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00" yWindow="380" windowWidth="16020" windowHeight="6310"/>
  </bookViews>
  <sheets>
    <sheet name="Instructions" sheetId="5" r:id="rId1"/>
    <sheet name="Simulation Data" sheetId="1" r:id="rId2"/>
    <sheet name="S-Curve" sheetId="2" r:id="rId3"/>
    <sheet name="JCL" sheetId="3" r:id="rId4"/>
    <sheet name="Annual Confidence" sheetId="4" r:id="rId5"/>
  </sheets>
  <definedNames>
    <definedName name="_AtRisk_SimSetting_AutomaticallyGenerateReports" hidden="1">TRUE</definedName>
    <definedName name="_AtRisk_SimSetting_AutomaticResultsDisplayMode" hidden="1">1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500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1839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0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Forecasts">OFFSET('Simulation Data'!$A$3, 0, 1,1,COUNTA('Simulation Data'!$3:$3)-1)</definedName>
    <definedName name="JCLx" localSheetId="3">OFFSET('Simulation Data'!$A$47, 1, MATCH(JCL!$I$6, 'Simulation Data'!$47:$47, FALSE)-1, 10000)</definedName>
    <definedName name="JCLy" localSheetId="3">OFFSET('Simulation Data'!$A$47, 1, MATCH(JCL!$I$7, 'Simulation Data'!$47:$47, FALSE)-1, 10000)</definedName>
    <definedName name="MaxXAxis">'S-Curve'!$G$9</definedName>
    <definedName name="MinXAxis">'S-Curve'!$G$8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FALSE</definedName>
    <definedName name="RiskNumIterations" hidden="1">5000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TRUE</definedName>
    <definedName name="RiskUseFixedSeed" hidden="1">FALSE</definedName>
    <definedName name="RiskUseMultipleCPUs" hidden="1">FALSE</definedName>
    <definedName name="X_Axis_Max">JCL!$I$16</definedName>
    <definedName name="X_Axis_Min">JCL!$I$15</definedName>
    <definedName name="Y_Axis_Max">JCL!$I$14</definedName>
    <definedName name="Y_Axis_Min">JCL!$I$13</definedName>
  </definedNames>
  <calcPr calcId="145621"/>
</workbook>
</file>

<file path=xl/calcChain.xml><?xml version="1.0" encoding="utf-8"?>
<calcChain xmlns="http://schemas.openxmlformats.org/spreadsheetml/2006/main">
  <c r="C8" i="4" l="1"/>
  <c r="C7" i="4"/>
  <c r="I11" i="4"/>
  <c r="H11" i="4"/>
  <c r="G11" i="4"/>
  <c r="F11" i="4"/>
  <c r="E11" i="4"/>
  <c r="D11" i="4"/>
  <c r="E12" i="4"/>
  <c r="F12" i="4"/>
  <c r="G12" i="4"/>
  <c r="H12" i="4"/>
  <c r="I12" i="4"/>
  <c r="D12" i="4"/>
  <c r="C9" i="4"/>
  <c r="C10" i="4"/>
  <c r="I7" i="4"/>
  <c r="I8" i="4" s="1"/>
  <c r="H7" i="4"/>
  <c r="G7" i="4"/>
  <c r="G8" i="4" s="1"/>
  <c r="F7" i="4"/>
  <c r="F8" i="4" s="1"/>
  <c r="E7" i="4"/>
  <c r="E8" i="4" s="1"/>
  <c r="D7" i="4"/>
  <c r="D8" i="4" l="1"/>
  <c r="H8" i="4"/>
  <c r="F9" i="4"/>
  <c r="F10" i="4" s="1"/>
  <c r="G9" i="4"/>
  <c r="G10" i="4" s="1"/>
  <c r="D16" i="3"/>
  <c r="C16" i="3"/>
  <c r="H9" i="4" l="1"/>
  <c r="D9" i="4"/>
  <c r="D10" i="4" s="1"/>
  <c r="I9" i="4"/>
  <c r="I10" i="4" s="1"/>
  <c r="E9" i="4"/>
  <c r="E10" i="4" s="1"/>
  <c r="H10" i="4"/>
  <c r="I16" i="3"/>
  <c r="I15" i="3"/>
  <c r="D15" i="3"/>
  <c r="C15" i="3"/>
  <c r="I14" i="3"/>
  <c r="I13" i="3"/>
  <c r="D31" i="2"/>
  <c r="D30" i="2"/>
  <c r="D29" i="2"/>
  <c r="D28" i="2"/>
  <c r="D27" i="2"/>
  <c r="D26" i="2"/>
  <c r="D25" i="2"/>
  <c r="D24" i="2"/>
  <c r="N23" i="2"/>
  <c r="D23" i="2"/>
  <c r="N22" i="2"/>
  <c r="D22" i="2"/>
  <c r="N21" i="2"/>
  <c r="J8" i="2" s="1"/>
  <c r="D21" i="2"/>
  <c r="D20" i="2"/>
  <c r="D19" i="2"/>
  <c r="D18" i="2"/>
  <c r="D17" i="2"/>
  <c r="D16" i="2"/>
  <c r="D15" i="2"/>
  <c r="D14" i="2"/>
  <c r="D13" i="2"/>
  <c r="G6" i="2"/>
  <c r="G8" i="2" l="1"/>
  <c r="J13" i="3"/>
  <c r="G7" i="2"/>
  <c r="B21" i="3"/>
  <c r="E21" i="3" s="1"/>
  <c r="J14" i="3"/>
  <c r="J16" i="3"/>
  <c r="C21" i="3"/>
  <c r="F21" i="3" s="1"/>
  <c r="B22" i="3"/>
  <c r="E22" i="3" s="1"/>
  <c r="E15" i="3"/>
  <c r="E16" i="3"/>
  <c r="J15" i="3"/>
  <c r="C22" i="3"/>
  <c r="F22" i="3" s="1"/>
  <c r="G9" i="2" l="1"/>
  <c r="D21" i="3"/>
  <c r="D22" i="3"/>
  <c r="B23" i="3"/>
  <c r="C23" i="3"/>
  <c r="D23" i="3"/>
</calcChain>
</file>

<file path=xl/sharedStrings.xml><?xml version="1.0" encoding="utf-8"?>
<sst xmlns="http://schemas.openxmlformats.org/spreadsheetml/2006/main" count="189" uniqueCount="100">
  <si>
    <t>Statistics</t>
  </si>
  <si>
    <t>Trials</t>
  </si>
  <si>
    <t>Base Case</t>
  </si>
  <si>
    <t>Mean</t>
  </si>
  <si>
    <t>Median</t>
  </si>
  <si>
    <t>Mode</t>
  </si>
  <si>
    <t>---</t>
  </si>
  <si>
    <t>Standard Deviation</t>
  </si>
  <si>
    <t>Variance</t>
  </si>
  <si>
    <t>Skewness</t>
  </si>
  <si>
    <t>Kurtosis</t>
  </si>
  <si>
    <t>Coeff. of Variability</t>
  </si>
  <si>
    <t>Minimum</t>
  </si>
  <si>
    <t>Maximum</t>
  </si>
  <si>
    <t>Range Width</t>
  </si>
  <si>
    <t>Mean Std. Error</t>
  </si>
  <si>
    <t>Percentiles</t>
  </si>
  <si>
    <t>0%</t>
  </si>
  <si>
    <t>5%</t>
  </si>
  <si>
    <t>10%</t>
  </si>
  <si>
    <t>15%</t>
  </si>
  <si>
    <t>20%</t>
  </si>
  <si>
    <t>25%</t>
  </si>
  <si>
    <t>30%</t>
  </si>
  <si>
    <t>35%</t>
  </si>
  <si>
    <t>40%</t>
  </si>
  <si>
    <t>45%</t>
  </si>
  <si>
    <t>50%</t>
  </si>
  <si>
    <t>55%</t>
  </si>
  <si>
    <t>60%</t>
  </si>
  <si>
    <t>65%</t>
  </si>
  <si>
    <t>70%</t>
  </si>
  <si>
    <t>75%</t>
  </si>
  <si>
    <t>80%</t>
  </si>
  <si>
    <t>85%</t>
  </si>
  <si>
    <t>90%</t>
  </si>
  <si>
    <t>95%</t>
  </si>
  <si>
    <t>100%</t>
  </si>
  <si>
    <t>Trial values</t>
  </si>
  <si>
    <t>S-Curve</t>
  </si>
  <si>
    <t>Forecast Name</t>
  </si>
  <si>
    <t>Phase</t>
  </si>
  <si>
    <t>Title</t>
  </si>
  <si>
    <t>X Axis Min</t>
  </si>
  <si>
    <t>X Axis Max</t>
  </si>
  <si>
    <t>Look up Row</t>
  </si>
  <si>
    <t>Percentile</t>
  </si>
  <si>
    <t>TY$M</t>
  </si>
  <si>
    <t>Statistic</t>
  </si>
  <si>
    <t>Value</t>
  </si>
  <si>
    <t>Look Up Row</t>
  </si>
  <si>
    <t>Joint Confidence Level</t>
  </si>
  <si>
    <t>X axis</t>
  </si>
  <si>
    <t>Y axis</t>
  </si>
  <si>
    <t>X Program
(Joint Confidence Level)</t>
  </si>
  <si>
    <t>Y- Axis</t>
  </si>
  <si>
    <t>X-Axis</t>
  </si>
  <si>
    <t>Y-Axis Min</t>
  </si>
  <si>
    <t>Schedule (IOC)</t>
  </si>
  <si>
    <t>Cost (TY$M)</t>
  </si>
  <si>
    <t>Cumulative Probability</t>
  </si>
  <si>
    <t>Y-Axis Max</t>
  </si>
  <si>
    <t>Simulation Mean</t>
  </si>
  <si>
    <t>X-Axis Min</t>
  </si>
  <si>
    <t>Baseline</t>
  </si>
  <si>
    <t>X-Axis Max</t>
  </si>
  <si>
    <t>JCL</t>
  </si>
  <si>
    <t>&lt; Schedule</t>
  </si>
  <si>
    <t>&gt; Schedule</t>
  </si>
  <si>
    <t>&gt; Cost</t>
  </si>
  <si>
    <t>&lt; Cost</t>
  </si>
  <si>
    <t>Annual Confidence Charts</t>
  </si>
  <si>
    <t>Run Simulation</t>
  </si>
  <si>
    <t>Extract Data</t>
  </si>
  <si>
    <t>FY17</t>
  </si>
  <si>
    <t>FY18</t>
  </si>
  <si>
    <t>FY19</t>
  </si>
  <si>
    <t>FY20</t>
  </si>
  <si>
    <t>FY21</t>
  </si>
  <si>
    <t>FY22</t>
  </si>
  <si>
    <t>Budget</t>
  </si>
  <si>
    <t>Fiscal Year</t>
  </si>
  <si>
    <t>Point Estimate</t>
  </si>
  <si>
    <t>Generate Canned Reports</t>
  </si>
  <si>
    <t>Navigate to tab of interest (S-Curve, JCL, Annual Confidence)
Choose Variable (Yellow Cells) from Simulation</t>
  </si>
  <si>
    <r>
      <rPr>
        <b/>
        <sz val="12"/>
        <color rgb="FFFF0000"/>
        <rFont val="Times New Roman"/>
        <family val="1"/>
      </rPr>
      <t>Navigate to Simulation Data Tab</t>
    </r>
    <r>
      <rPr>
        <sz val="12"/>
        <color theme="1"/>
        <rFont val="Times New Roman"/>
        <family val="2"/>
      </rPr>
      <t xml:space="preserve">
Click Options Tab
(Ensure to check boxes to include Labels formats, Workbook Name, and Worksheet Name</t>
    </r>
  </si>
  <si>
    <r>
      <rPr>
        <b/>
        <sz val="12"/>
        <color rgb="FFFF0000"/>
        <rFont val="Times New Roman"/>
        <family val="1"/>
      </rPr>
      <t>Navigate to Simulation Data Tab</t>
    </r>
    <r>
      <rPr>
        <sz val="12"/>
        <color theme="1"/>
        <rFont val="Times New Roman"/>
        <family val="2"/>
      </rPr>
      <t xml:space="preserve">
Click Extract Data from Crystal Ball Menu</t>
    </r>
  </si>
  <si>
    <r>
      <rPr>
        <b/>
        <sz val="12"/>
        <color rgb="FFFF0000"/>
        <rFont val="Times New Roman"/>
        <family val="1"/>
      </rPr>
      <t>Navigate to Simulation Data Tab</t>
    </r>
    <r>
      <rPr>
        <sz val="12"/>
        <color theme="1"/>
        <rFont val="Times New Roman"/>
        <family val="2"/>
      </rPr>
      <t xml:space="preserve">
Under Data Tab
(Ensure to check boxes to include Statistics, Percentiles (by 5%), and Trial Values)</t>
    </r>
  </si>
  <si>
    <t>Annual Confidence</t>
  </si>
  <si>
    <t>Run simulation (example uses Crystal Ball)</t>
  </si>
  <si>
    <t>Development Finish Date</t>
  </si>
  <si>
    <t>Development Cost</t>
  </si>
  <si>
    <t>Worksheet Name</t>
  </si>
  <si>
    <t>Workbook Name</t>
  </si>
  <si>
    <t>RDTE FY17</t>
  </si>
  <si>
    <t>RDTE FY18</t>
  </si>
  <si>
    <t>RDTE FY19</t>
  </si>
  <si>
    <t>RDTE FY20</t>
  </si>
  <si>
    <t>RDTE FY21</t>
  </si>
  <si>
    <t>RDTE FY22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</si>
</sst>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7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;\ &quot;$&quot;\(#,##0.0\)"/>
    <numFmt numFmtId="165" formatCode="0.0000"/>
    <numFmt numFmtId="166" formatCode="&quot;$&quot;#,##0.0"/>
    <numFmt numFmtId="167" formatCode="_(&quot;$&quot;* #,##0.0_);_(&quot;$&quot;* \(#,##0.0\);_(&quot;$&quot;* &quot;-&quot;??_);_(@_)"/>
    <numFmt numFmtId="168" formatCode="_(* #,##0.0000_);_(* \(#,##0.0000\);_(* &quot;-&quot;??_);_(@_)"/>
    <numFmt numFmtId="169" formatCode="_(&quot;$&quot;* #,##0_);_(&quot;$&quot;* \(#,##0\);_(&quot;$&quot;* &quot;-&quot;??_);_(@_)"/>
    <numFmt numFmtId="170" formatCode="[$-F800]dddd\,\ mmmm\ dd\,\ yyyy"/>
    <numFmt numFmtId="171" formatCode="0.0%"/>
    <numFmt numFmtId="172" formatCode="[$-409]mmm\-yy;@"/>
    <numFmt numFmtId="173" formatCode="[$-409]mmmm\-yy;@"/>
    <numFmt numFmtId="174" formatCode="[$-409]dd\-mmm\-yy;@"/>
    <numFmt numFmtId="175" formatCode="[$-409]d\-mmm\-yy;@"/>
    <numFmt numFmtId="176" formatCode="0.0"/>
    <numFmt numFmtId="177" formatCode="#,##0.000"/>
    <numFmt numFmtId="178" formatCode="#,##0.0000"/>
    <numFmt numFmtId="179" formatCode="#,##0.00000"/>
    <numFmt numFmtId="180" formatCode="#,##0.000000"/>
    <numFmt numFmtId="181" formatCode="0.000"/>
    <numFmt numFmtId="182" formatCode="#,##0.0_);[Red]\(#,##0.0\)"/>
    <numFmt numFmtId="183" formatCode="#,##0.000_);[Red]\(#,##0.000\)"/>
    <numFmt numFmtId="184" formatCode="00\-0000\-00\-0000\-000"/>
    <numFmt numFmtId="185" formatCode="00000"/>
    <numFmt numFmtId="186" formatCode="0.000_)"/>
    <numFmt numFmtId="187" formatCode="_(* #,##0.00_);\(* #,##0.00\);_(* &quot;-&quot;??_);_(@_)"/>
    <numFmt numFmtId="188" formatCode="#."/>
    <numFmt numFmtId="189" formatCode="_-* #,##0.00\ &quot;DM&quot;_-;\-* #,##0.00\ &quot;DM&quot;_-;_-* &quot;-&quot;??\ &quot;DM&quot;_-;_-@_-"/>
    <numFmt numFmtId="190" formatCode="&quot;$&quot;#,##0\ ;\(&quot;$&quot;#,##0\)"/>
    <numFmt numFmtId="191" formatCode=".0"/>
    <numFmt numFmtId="192" formatCode="#&quot;hrs&quot;"/>
    <numFmt numFmtId="193" formatCode="0000"/>
    <numFmt numFmtId="194" formatCode="0.00_)"/>
    <numFmt numFmtId="195" formatCode="0.0_)"/>
    <numFmt numFmtId="196" formatCode="General_)"/>
    <numFmt numFmtId="197" formatCode="&quot;£&quot;#,##0.00;\-&quot;£&quot;#,##0.00"/>
    <numFmt numFmtId="198" formatCode="00\-0000\-00\-0000"/>
    <numFmt numFmtId="199" formatCode="0.0000%"/>
    <numFmt numFmtId="200" formatCode="m/d/yy\ h:mm:ss"/>
    <numFmt numFmtId="201" formatCode="0.00000&quot;  &quot;"/>
    <numFmt numFmtId="202" formatCode="#&quot; Systems&quot;"/>
    <numFmt numFmtId="203" formatCode="_(* #,##0.0_);_(* \(#,##0.0\);_(* &quot;-&quot;??_);_(@_)"/>
  </numFmts>
  <fonts count="142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0"/>
      <name val="Helv"/>
      <charset val="204"/>
    </font>
    <font>
      <sz val="11"/>
      <name val="Arial"/>
      <family val="1"/>
    </font>
    <font>
      <sz val="10"/>
      <name val="Arial"/>
      <family val="2"/>
    </font>
    <font>
      <b/>
      <sz val="8"/>
      <name val="Arial"/>
      <family val="2"/>
    </font>
    <font>
      <b/>
      <sz val="10"/>
      <color indexed="8"/>
      <name val="Times New Roman"/>
      <family val="1"/>
    </font>
    <font>
      <sz val="10"/>
      <name val="Univers (WN)"/>
    </font>
    <font>
      <sz val="9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10"/>
      <name val="Helv"/>
    </font>
    <font>
      <sz val="11"/>
      <color indexed="9"/>
      <name val="Calibri"/>
      <family val="2"/>
    </font>
    <font>
      <sz val="11"/>
      <color theme="0"/>
      <name val="Arial"/>
      <family val="2"/>
    </font>
    <font>
      <sz val="11"/>
      <name val="Calibri"/>
      <family val="2"/>
    </font>
    <font>
      <sz val="8"/>
      <name val="Arial"/>
      <family val="2"/>
    </font>
    <font>
      <sz val="11"/>
      <color indexed="20"/>
      <name val="Calibri"/>
      <family val="2"/>
    </font>
    <font>
      <sz val="11"/>
      <color rgb="FF9C0006"/>
      <name val="Arial"/>
      <family val="2"/>
    </font>
    <font>
      <sz val="12"/>
      <name val="Tms Rmn"/>
    </font>
    <font>
      <sz val="10"/>
      <name val="Times New Roman"/>
      <family val="1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b/>
      <sz val="11"/>
      <color rgb="FFFA7D00"/>
      <name val="Arial"/>
      <family val="2"/>
    </font>
    <font>
      <sz val="1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theme="0"/>
      <name val="Arial"/>
      <family val="2"/>
    </font>
    <font>
      <sz val="11"/>
      <name val="Tms Rmn"/>
    </font>
    <font>
      <b/>
      <sz val="9"/>
      <color indexed="8"/>
      <name val="Times New Roman"/>
      <family val="1"/>
    </font>
    <font>
      <sz val="11"/>
      <color indexed="8"/>
      <name val="Arial"/>
      <family val="2"/>
    </font>
    <font>
      <sz val="10"/>
      <color indexed="8"/>
      <name val="Calibri"/>
      <family val="2"/>
    </font>
    <font>
      <sz val="9"/>
      <color indexed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24"/>
      <name val="Arial"/>
      <family val="2"/>
    </font>
    <font>
      <sz val="12"/>
      <name val="Helv"/>
    </font>
    <font>
      <sz val="1"/>
      <color indexed="16"/>
      <name val="Courier"/>
      <family val="3"/>
    </font>
    <font>
      <b/>
      <sz val="10"/>
      <name val="Courier"/>
      <family val="3"/>
    </font>
    <font>
      <b/>
      <i/>
      <sz val="10"/>
      <name val="Arial"/>
      <family val="2"/>
    </font>
    <font>
      <sz val="12"/>
      <color theme="1"/>
      <name val="Calibri"/>
      <family val="2"/>
      <scheme val="minor"/>
    </font>
    <font>
      <sz val="10"/>
      <color indexed="8"/>
      <name val="MS Sans Serif"/>
      <family val="2"/>
    </font>
    <font>
      <sz val="11"/>
      <color indexed="8"/>
      <name val="Calibri"/>
      <family val="2"/>
      <scheme val="minor"/>
    </font>
    <font>
      <sz val="10"/>
      <name val="MS Sans Serif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b/>
      <sz val="10"/>
      <name val="Helv"/>
    </font>
    <font>
      <b/>
      <sz val="9"/>
      <name val="Arial"/>
      <family val="2"/>
    </font>
    <font>
      <b/>
      <sz val="9"/>
      <name val="Geneva"/>
      <family val="2"/>
    </font>
    <font>
      <sz val="10"/>
      <color rgb="FF006100"/>
      <name val="Calibri"/>
      <family val="2"/>
      <scheme val="minor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11"/>
      <color rgb="FF006100"/>
      <name val="Tahoma"/>
      <family val="2"/>
    </font>
    <font>
      <sz val="11"/>
      <color rgb="FF006100"/>
      <name val="Arial"/>
      <family val="2"/>
    </font>
    <font>
      <sz val="11"/>
      <color rgb="FFFFFFFF"/>
      <name val="Calibri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8"/>
      <name val="Arial"/>
      <family val="2"/>
    </font>
    <font>
      <b/>
      <sz val="15"/>
      <color theme="3"/>
      <name val="Arial"/>
      <family val="2"/>
    </font>
    <font>
      <b/>
      <sz val="12"/>
      <color indexed="24"/>
      <name val="Arial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theme="3"/>
      <name val="Arial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theme="3"/>
      <name val="Arial"/>
      <family val="2"/>
    </font>
    <font>
      <b/>
      <sz val="1"/>
      <color indexed="16"/>
      <name val="Courier"/>
      <family val="3"/>
    </font>
    <font>
      <sz val="9"/>
      <name val="Helv"/>
    </font>
    <font>
      <sz val="10"/>
      <name val="Courier New"/>
      <family val="3"/>
    </font>
    <font>
      <u/>
      <sz val="10"/>
      <color theme="10"/>
      <name val="Arial"/>
      <family val="2"/>
    </font>
    <font>
      <u/>
      <sz val="8.5"/>
      <color indexed="12"/>
      <name val="Arial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u/>
      <sz val="9"/>
      <color indexed="12"/>
      <name val="Arial"/>
      <family val="2"/>
    </font>
    <font>
      <sz val="11"/>
      <color indexed="62"/>
      <name val="Calibri"/>
      <family val="2"/>
    </font>
    <font>
      <sz val="11"/>
      <color rgb="FF3F3F76"/>
      <name val="Arial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rgb="FFFA7D00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1"/>
      <color rgb="FF9C6500"/>
      <name val="Arial"/>
      <family val="2"/>
    </font>
    <font>
      <b/>
      <i/>
      <sz val="16"/>
      <name val="Helv"/>
    </font>
    <font>
      <sz val="8.5"/>
      <name val="LinePrinter"/>
      <family val="3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8"/>
      <name val="Courier New"/>
      <family val="3"/>
    </font>
    <font>
      <sz val="12"/>
      <name val="Arial MT"/>
    </font>
    <font>
      <sz val="9"/>
      <color theme="1"/>
      <name val="Calibri"/>
      <family val="2"/>
    </font>
    <font>
      <sz val="10"/>
      <name val="Tahoma"/>
      <family val="2"/>
    </font>
    <font>
      <sz val="11"/>
      <name val="Arial"/>
      <family val="2"/>
    </font>
    <font>
      <sz val="11"/>
      <color theme="1"/>
      <name val="Tahoma"/>
      <family val="2"/>
    </font>
    <font>
      <b/>
      <sz val="11"/>
      <color indexed="63"/>
      <name val="Calibri"/>
      <family val="2"/>
    </font>
    <font>
      <b/>
      <sz val="11"/>
      <color rgb="FF3F3F3F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14"/>
      <name val="Arial"/>
      <family val="2"/>
    </font>
    <font>
      <i/>
      <sz val="10"/>
      <name val="Arial"/>
      <family val="2"/>
    </font>
    <font>
      <sz val="18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Tahoma"/>
      <family val="2"/>
    </font>
    <font>
      <b/>
      <sz val="8"/>
      <color indexed="8"/>
      <name val="Arial"/>
      <family val="2"/>
    </font>
    <font>
      <sz val="10"/>
      <color indexed="8"/>
      <name val="Tahoma"/>
      <family val="2"/>
    </font>
    <font>
      <b/>
      <sz val="10"/>
      <color indexed="9"/>
      <name val="Tahoma"/>
      <family val="2"/>
    </font>
    <font>
      <sz val="12"/>
      <color indexed="8"/>
      <name val="Arial"/>
      <family val="2"/>
    </font>
    <font>
      <b/>
      <sz val="12"/>
      <color indexed="9"/>
      <name val="Arial"/>
      <family val="2"/>
    </font>
    <font>
      <b/>
      <sz val="14"/>
      <color indexed="8"/>
      <name val="Arial"/>
      <family val="2"/>
    </font>
    <font>
      <i/>
      <sz val="12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Tahoma"/>
      <family val="2"/>
    </font>
    <font>
      <b/>
      <sz val="16"/>
      <color indexed="24"/>
      <name val="Tahoma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2"/>
    </font>
    <font>
      <sz val="8"/>
      <name val="Times New Roman"/>
      <family val="1"/>
    </font>
    <font>
      <b/>
      <sz val="12"/>
      <name val="Univers (WN)"/>
    </font>
    <font>
      <b/>
      <sz val="18"/>
      <color indexed="56"/>
      <name val="Cambria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u/>
      <sz val="12"/>
      <color theme="10"/>
      <name val="Times New Roman"/>
      <family val="1"/>
    </font>
    <font>
      <b/>
      <sz val="12"/>
      <color rgb="FFFF0000"/>
      <name val="Times New Roman"/>
      <family val="1"/>
    </font>
  </fonts>
  <fills count="1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mediumGray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10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54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rgb="FFEBEBEB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rgb="FF92D050"/>
        <bgColor indexed="64"/>
      </patternFill>
    </fill>
    <fill>
      <patternFill patternType="solid">
        <f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rgb="FF5D5D5D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mediumGray">
        <fgColor indexed="48"/>
        <bgColor indexed="15"/>
      </patternFill>
    </fill>
    <fill>
      <patternFill patternType="solid">
        <fgColor indexed="44"/>
        <bgColor indexed="64"/>
      </patternFill>
    </fill>
    <fill>
      <patternFill patternType="solid">
        <fgColor indexed="23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0"/>
      </patternFill>
    </fill>
    <fill>
      <patternFill patternType="solid">
        <fgColor indexed="6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66FF66"/>
      </patternFill>
    </fill>
    <fill>
      <patternFill patternType="solid">
        <fgColor rgb="FF66FF66"/>
        <bgColor auto="1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FFFFFF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9029">
    <xf numFmtId="0" fontId="0" fillId="0" borderId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0" fillId="0" borderId="0"/>
    <xf numFmtId="38" fontId="21" fillId="0" borderId="0" applyProtection="0"/>
    <xf numFmtId="172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3" fontId="22" fillId="0" borderId="0"/>
    <xf numFmtId="173" fontId="22" fillId="0" borderId="0"/>
    <xf numFmtId="174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3" fontId="22" fillId="0" borderId="0"/>
    <xf numFmtId="173" fontId="22" fillId="0" borderId="0"/>
    <xf numFmtId="174" fontId="22" fillId="0" borderId="0"/>
    <xf numFmtId="38" fontId="21" fillId="0" borderId="0" applyProtection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38" fontId="21" fillId="0" borderId="0" applyProtection="0"/>
    <xf numFmtId="172" fontId="22" fillId="0" borderId="0"/>
    <xf numFmtId="173" fontId="22" fillId="0" borderId="0"/>
    <xf numFmtId="172" fontId="22" fillId="0" borderId="0"/>
    <xf numFmtId="38" fontId="21" fillId="0" borderId="0" applyProtection="0"/>
    <xf numFmtId="172" fontId="22" fillId="0" borderId="0"/>
    <xf numFmtId="173" fontId="22" fillId="0" borderId="0"/>
    <xf numFmtId="0" fontId="23" fillId="39" borderId="0"/>
    <xf numFmtId="173" fontId="23" fillId="39" borderId="0"/>
    <xf numFmtId="173" fontId="23" fillId="39" borderId="0"/>
    <xf numFmtId="174" fontId="23" fillId="39" borderId="0"/>
    <xf numFmtId="0" fontId="23" fillId="39" borderId="0"/>
    <xf numFmtId="173" fontId="23" fillId="39" borderId="0"/>
    <xf numFmtId="0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5" fontId="24" fillId="40" borderId="18">
      <alignment horizontal="left"/>
    </xf>
    <xf numFmtId="176" fontId="25" fillId="0" borderId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" fontId="26" fillId="0" borderId="0">
      <alignment horizontal="center" vertical="center" wrapText="1"/>
    </xf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2" fontId="27" fillId="42" borderId="0" applyNumberFormat="0" applyBorder="0" applyAlignment="0" applyProtection="0"/>
    <xf numFmtId="0" fontId="1" fillId="10" borderId="0" applyNumberFormat="0" applyBorder="0" applyAlignment="0" applyProtection="0"/>
    <xf numFmtId="174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7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72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8" fillId="10" borderId="0" applyNumberFormat="0" applyBorder="0" applyAlignment="0" applyProtection="0"/>
    <xf numFmtId="172" fontId="27" fillId="42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172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172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2" fontId="27" fillId="44" borderId="0" applyNumberFormat="0" applyBorder="0" applyAlignment="0" applyProtection="0"/>
    <xf numFmtId="0" fontId="1" fillId="14" borderId="0" applyNumberFormat="0" applyBorder="0" applyAlignment="0" applyProtection="0"/>
    <xf numFmtId="174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17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8" fillId="14" borderId="0" applyNumberFormat="0" applyBorder="0" applyAlignment="0" applyProtection="0"/>
    <xf numFmtId="172" fontId="27" fillId="4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172" fontId="27" fillId="46" borderId="0" applyNumberFormat="0" applyBorder="0" applyAlignment="0" applyProtection="0"/>
    <xf numFmtId="0" fontId="1" fillId="18" borderId="0" applyNumberFormat="0" applyBorder="0" applyAlignment="0" applyProtection="0"/>
    <xf numFmtId="174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8" fillId="18" borderId="0" applyNumberFormat="0" applyBorder="0" applyAlignment="0" applyProtection="0"/>
    <xf numFmtId="172" fontId="27" fillId="46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172" fontId="27" fillId="48" borderId="0" applyNumberFormat="0" applyBorder="0" applyAlignment="0" applyProtection="0"/>
    <xf numFmtId="0" fontId="1" fillId="22" borderId="0" applyNumberFormat="0" applyBorder="0" applyAlignment="0" applyProtection="0"/>
    <xf numFmtId="174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2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22" borderId="0" applyNumberFormat="0" applyBorder="0" applyAlignment="0" applyProtection="0"/>
    <xf numFmtId="172" fontId="27" fillId="48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172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172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1" fillId="26" borderId="0" applyNumberFormat="0" applyBorder="0" applyAlignment="0" applyProtection="0"/>
    <xf numFmtId="174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3" fontId="27" fillId="49" borderId="0" applyNumberFormat="0" applyBorder="0" applyAlignment="0" applyProtection="0"/>
    <xf numFmtId="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26" borderId="0" applyNumberFormat="0" applyBorder="0" applyAlignment="0" applyProtection="0"/>
    <xf numFmtId="172" fontId="27" fillId="49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172" fontId="27" fillId="46" borderId="0" applyNumberFormat="0" applyBorder="0" applyAlignment="0" applyProtection="0"/>
    <xf numFmtId="0" fontId="1" fillId="30" borderId="0" applyNumberFormat="0" applyBorder="0" applyAlignment="0" applyProtection="0"/>
    <xf numFmtId="174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17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8" fillId="30" borderId="0" applyNumberFormat="0" applyBorder="0" applyAlignment="0" applyProtection="0"/>
    <xf numFmtId="172" fontId="27" fillId="46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2" fontId="29" fillId="0" borderId="0"/>
    <xf numFmtId="181" fontId="29" fillId="0" borderId="0">
      <alignment horizontal="center"/>
    </xf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11" borderId="0" applyNumberFormat="0" applyBorder="0" applyAlignment="0" applyProtection="0"/>
    <xf numFmtId="172" fontId="27" fillId="49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2" fontId="27" fillId="44" borderId="0" applyNumberFormat="0" applyBorder="0" applyAlignment="0" applyProtection="0"/>
    <xf numFmtId="0" fontId="1" fillId="15" borderId="0" applyNumberFormat="0" applyBorder="0" applyAlignment="0" applyProtection="0"/>
    <xf numFmtId="174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3" fontId="27" fillId="44" borderId="0" applyNumberFormat="0" applyBorder="0" applyAlignment="0" applyProtection="0"/>
    <xf numFmtId="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15" borderId="0" applyNumberFormat="0" applyBorder="0" applyAlignment="0" applyProtection="0"/>
    <xf numFmtId="172" fontId="27" fillId="44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172" fontId="27" fillId="51" borderId="0" applyNumberFormat="0" applyBorder="0" applyAlignment="0" applyProtection="0"/>
    <xf numFmtId="0" fontId="1" fillId="19" borderId="0" applyNumberFormat="0" applyBorder="0" applyAlignment="0" applyProtection="0"/>
    <xf numFmtId="174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17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172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8" fillId="19" borderId="0" applyNumberFormat="0" applyBorder="0" applyAlignment="0" applyProtection="0"/>
    <xf numFmtId="172" fontId="27" fillId="51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172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172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172" fontId="27" fillId="43" borderId="0" applyNumberFormat="0" applyBorder="0" applyAlignment="0" applyProtection="0"/>
    <xf numFmtId="0" fontId="1" fillId="23" borderId="0" applyNumberFormat="0" applyBorder="0" applyAlignment="0" applyProtection="0"/>
    <xf numFmtId="174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2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23" borderId="0" applyNumberFormat="0" applyBorder="0" applyAlignment="0" applyProtection="0"/>
    <xf numFmtId="172" fontId="27" fillId="4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172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172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1" fillId="27" borderId="0" applyNumberFormat="0" applyBorder="0" applyAlignment="0" applyProtection="0"/>
    <xf numFmtId="174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27" borderId="0" applyNumberFormat="0" applyBorder="0" applyAlignment="0" applyProtection="0"/>
    <xf numFmtId="172" fontId="27" fillId="49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172" fontId="27" fillId="46" borderId="0" applyNumberFormat="0" applyBorder="0" applyAlignment="0" applyProtection="0"/>
    <xf numFmtId="0" fontId="1" fillId="31" borderId="0" applyNumberFormat="0" applyBorder="0" applyAlignment="0" applyProtection="0"/>
    <xf numFmtId="174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17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8" fillId="31" borderId="0" applyNumberFormat="0" applyBorder="0" applyAlignment="0" applyProtection="0"/>
    <xf numFmtId="172" fontId="27" fillId="46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9" fillId="0" borderId="0"/>
    <xf numFmtId="0" fontId="30" fillId="53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53" borderId="0" applyNumberFormat="0" applyBorder="0" applyAlignment="0" applyProtection="0"/>
    <xf numFmtId="174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53" borderId="0" applyNumberFormat="0" applyBorder="0" applyAlignment="0" applyProtection="0"/>
    <xf numFmtId="170" fontId="15" fillId="12" borderId="0" applyNumberFormat="0" applyBorder="0" applyAlignment="0" applyProtection="0"/>
    <xf numFmtId="0" fontId="30" fillId="49" borderId="0" applyNumberFormat="0" applyBorder="0" applyAlignment="0" applyProtection="0"/>
    <xf numFmtId="0" fontId="15" fillId="12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12" borderId="0" applyNumberFormat="0" applyBorder="0" applyAlignment="0" applyProtection="0"/>
    <xf numFmtId="172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12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44" borderId="0" applyNumberFormat="0" applyBorder="0" applyAlignment="0" applyProtection="0"/>
    <xf numFmtId="174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44" borderId="0" applyNumberFormat="0" applyBorder="0" applyAlignment="0" applyProtection="0"/>
    <xf numFmtId="170" fontId="15" fillId="16" borderId="0" applyNumberFormat="0" applyBorder="0" applyAlignment="0" applyProtection="0"/>
    <xf numFmtId="0" fontId="30" fillId="54" borderId="0" applyNumberFormat="0" applyBorder="0" applyAlignment="0" applyProtection="0"/>
    <xf numFmtId="0" fontId="15" fillId="16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6" borderId="0" applyNumberFormat="0" applyBorder="0" applyAlignment="0" applyProtection="0"/>
    <xf numFmtId="172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6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0" borderId="0" applyNumberFormat="0" applyBorder="0" applyAlignment="0" applyProtection="0"/>
    <xf numFmtId="174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0" borderId="0" applyNumberFormat="0" applyBorder="0" applyAlignment="0" applyProtection="0"/>
    <xf numFmtId="170" fontId="15" fillId="20" borderId="0" applyNumberFormat="0" applyBorder="0" applyAlignment="0" applyProtection="0"/>
    <xf numFmtId="0" fontId="30" fillId="52" borderId="0" applyNumberFormat="0" applyBorder="0" applyAlignment="0" applyProtection="0"/>
    <xf numFmtId="0" fontId="15" fillId="20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20" borderId="0" applyNumberFormat="0" applyBorder="0" applyAlignment="0" applyProtection="0"/>
    <xf numFmtId="172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20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5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172" fontId="30" fillId="43" borderId="0" applyNumberFormat="0" applyBorder="0" applyAlignment="0" applyProtection="0"/>
    <xf numFmtId="0" fontId="30" fillId="55" borderId="0" applyNumberFormat="0" applyBorder="0" applyAlignment="0" applyProtection="0"/>
    <xf numFmtId="174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55" borderId="0" applyNumberFormat="0" applyBorder="0" applyAlignment="0" applyProtection="0"/>
    <xf numFmtId="170" fontId="15" fillId="24" borderId="0" applyNumberFormat="0" applyBorder="0" applyAlignment="0" applyProtection="0"/>
    <xf numFmtId="0" fontId="30" fillId="43" borderId="0" applyNumberFormat="0" applyBorder="0" applyAlignment="0" applyProtection="0"/>
    <xf numFmtId="0" fontId="15" fillId="24" borderId="0" applyNumberFormat="0" applyBorder="0" applyAlignment="0" applyProtection="0"/>
    <xf numFmtId="172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1" fillId="24" borderId="0" applyNumberFormat="0" applyBorder="0" applyAlignment="0" applyProtection="0"/>
    <xf numFmtId="172" fontId="30" fillId="43" borderId="0" applyNumberFormat="0" applyBorder="0" applyAlignment="0" applyProtection="0"/>
    <xf numFmtId="172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1" fillId="24" borderId="0" applyNumberFormat="0" applyBorder="0" applyAlignment="0" applyProtection="0"/>
    <xf numFmtId="0" fontId="30" fillId="43" borderId="0" applyNumberFormat="0" applyBorder="0" applyAlignment="0" applyProtection="0"/>
    <xf numFmtId="172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56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56" borderId="0" applyNumberFormat="0" applyBorder="0" applyAlignment="0" applyProtection="0"/>
    <xf numFmtId="174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56" borderId="0" applyNumberFormat="0" applyBorder="0" applyAlignment="0" applyProtection="0"/>
    <xf numFmtId="170" fontId="15" fillId="28" borderId="0" applyNumberFormat="0" applyBorder="0" applyAlignment="0" applyProtection="0"/>
    <xf numFmtId="0" fontId="30" fillId="49" borderId="0" applyNumberFormat="0" applyBorder="0" applyAlignment="0" applyProtection="0"/>
    <xf numFmtId="0" fontId="15" fillId="28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28" borderId="0" applyNumberFormat="0" applyBorder="0" applyAlignment="0" applyProtection="0"/>
    <xf numFmtId="172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28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57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172" fontId="30" fillId="44" borderId="0" applyNumberFormat="0" applyBorder="0" applyAlignment="0" applyProtection="0"/>
    <xf numFmtId="0" fontId="30" fillId="57" borderId="0" applyNumberFormat="0" applyBorder="0" applyAlignment="0" applyProtection="0"/>
    <xf numFmtId="174" fontId="30" fillId="57" borderId="0" applyNumberFormat="0" applyBorder="0" applyAlignment="0" applyProtection="0"/>
    <xf numFmtId="0" fontId="30" fillId="57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57" borderId="0" applyNumberFormat="0" applyBorder="0" applyAlignment="0" applyProtection="0"/>
    <xf numFmtId="170" fontId="15" fillId="32" borderId="0" applyNumberFormat="0" applyBorder="0" applyAlignment="0" applyProtection="0"/>
    <xf numFmtId="0" fontId="30" fillId="44" borderId="0" applyNumberFormat="0" applyBorder="0" applyAlignment="0" applyProtection="0"/>
    <xf numFmtId="0" fontId="15" fillId="32" borderId="0" applyNumberFormat="0" applyBorder="0" applyAlignment="0" applyProtection="0"/>
    <xf numFmtId="172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1" fillId="32" borderId="0" applyNumberFormat="0" applyBorder="0" applyAlignment="0" applyProtection="0"/>
    <xf numFmtId="172" fontId="30" fillId="44" borderId="0" applyNumberFormat="0" applyBorder="0" applyAlignment="0" applyProtection="0"/>
    <xf numFmtId="172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1" fillId="32" borderId="0" applyNumberFormat="0" applyBorder="0" applyAlignment="0" applyProtection="0"/>
    <xf numFmtId="0" fontId="30" fillId="44" borderId="0" applyNumberFormat="0" applyBorder="0" applyAlignment="0" applyProtection="0"/>
    <xf numFmtId="172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30" fillId="60" borderId="0" applyNumberFormat="0" applyBorder="0" applyAlignment="0" applyProtection="0"/>
    <xf numFmtId="0" fontId="30" fillId="61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172" fontId="30" fillId="62" borderId="0" applyNumberFormat="0" applyBorder="0" applyAlignment="0" applyProtection="0"/>
    <xf numFmtId="0" fontId="30" fillId="61" borderId="0" applyNumberFormat="0" applyBorder="0" applyAlignment="0" applyProtection="0"/>
    <xf numFmtId="174" fontId="30" fillId="61" borderId="0" applyNumberFormat="0" applyBorder="0" applyAlignment="0" applyProtection="0"/>
    <xf numFmtId="0" fontId="30" fillId="61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1" borderId="0" applyNumberFormat="0" applyBorder="0" applyAlignment="0" applyProtection="0"/>
    <xf numFmtId="170" fontId="15" fillId="9" borderId="0" applyNumberFormat="0" applyBorder="0" applyAlignment="0" applyProtection="0"/>
    <xf numFmtId="0" fontId="30" fillId="62" borderId="0" applyNumberFormat="0" applyBorder="0" applyAlignment="0" applyProtection="0"/>
    <xf numFmtId="0" fontId="15" fillId="9" borderId="0" applyNumberFormat="0" applyBorder="0" applyAlignment="0" applyProtection="0"/>
    <xf numFmtId="172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1" fillId="9" borderId="0" applyNumberFormat="0" applyBorder="0" applyAlignment="0" applyProtection="0"/>
    <xf numFmtId="172" fontId="30" fillId="62" borderId="0" applyNumberFormat="0" applyBorder="0" applyAlignment="0" applyProtection="0"/>
    <xf numFmtId="172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1" fillId="9" borderId="0" applyNumberFormat="0" applyBorder="0" applyAlignment="0" applyProtection="0"/>
    <xf numFmtId="0" fontId="30" fillId="62" borderId="0" applyNumberFormat="0" applyBorder="0" applyAlignment="0" applyProtection="0"/>
    <xf numFmtId="172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30" fillId="65" borderId="0" applyNumberFormat="0" applyBorder="0" applyAlignment="0" applyProtection="0"/>
    <xf numFmtId="0" fontId="30" fillId="66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66" borderId="0" applyNumberFormat="0" applyBorder="0" applyAlignment="0" applyProtection="0"/>
    <xf numFmtId="174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66" borderId="0" applyNumberFormat="0" applyBorder="0" applyAlignment="0" applyProtection="0"/>
    <xf numFmtId="170" fontId="15" fillId="13" borderId="0" applyNumberFormat="0" applyBorder="0" applyAlignment="0" applyProtection="0"/>
    <xf numFmtId="0" fontId="30" fillId="54" borderId="0" applyNumberFormat="0" applyBorder="0" applyAlignment="0" applyProtection="0"/>
    <xf numFmtId="0" fontId="15" fillId="13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3" borderId="0" applyNumberFormat="0" applyBorder="0" applyAlignment="0" applyProtection="0"/>
    <xf numFmtId="172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3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27" fillId="67" borderId="0" applyNumberFormat="0" applyBorder="0" applyAlignment="0" applyProtection="0"/>
    <xf numFmtId="0" fontId="27" fillId="68" borderId="0" applyNumberFormat="0" applyBorder="0" applyAlignment="0" applyProtection="0"/>
    <xf numFmtId="0" fontId="30" fillId="69" borderId="0" applyNumberFormat="0" applyBorder="0" applyAlignment="0" applyProtection="0"/>
    <xf numFmtId="0" fontId="30" fillId="7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70" borderId="0" applyNumberFormat="0" applyBorder="0" applyAlignment="0" applyProtection="0"/>
    <xf numFmtId="174" fontId="30" fillId="70" borderId="0" applyNumberFormat="0" applyBorder="0" applyAlignment="0" applyProtection="0"/>
    <xf numFmtId="0" fontId="30" fillId="7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70" borderId="0" applyNumberFormat="0" applyBorder="0" applyAlignment="0" applyProtection="0"/>
    <xf numFmtId="170" fontId="15" fillId="17" borderId="0" applyNumberFormat="0" applyBorder="0" applyAlignment="0" applyProtection="0"/>
    <xf numFmtId="0" fontId="30" fillId="52" borderId="0" applyNumberFormat="0" applyBorder="0" applyAlignment="0" applyProtection="0"/>
    <xf numFmtId="0" fontId="15" fillId="17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17" borderId="0" applyNumberFormat="0" applyBorder="0" applyAlignment="0" applyProtection="0"/>
    <xf numFmtId="172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17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27" fillId="63" borderId="0" applyNumberFormat="0" applyBorder="0" applyAlignment="0" applyProtection="0"/>
    <xf numFmtId="0" fontId="27" fillId="71" borderId="0" applyNumberFormat="0" applyBorder="0" applyAlignment="0" applyProtection="0"/>
    <xf numFmtId="0" fontId="30" fillId="64" borderId="0" applyNumberFormat="0" applyBorder="0" applyAlignment="0" applyProtection="0"/>
    <xf numFmtId="0" fontId="30" fillId="55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172" fontId="30" fillId="72" borderId="0" applyNumberFormat="0" applyBorder="0" applyAlignment="0" applyProtection="0"/>
    <xf numFmtId="0" fontId="30" fillId="55" borderId="0" applyNumberFormat="0" applyBorder="0" applyAlignment="0" applyProtection="0"/>
    <xf numFmtId="174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55" borderId="0" applyNumberFormat="0" applyBorder="0" applyAlignment="0" applyProtection="0"/>
    <xf numFmtId="170" fontId="15" fillId="21" borderId="0" applyNumberFormat="0" applyBorder="0" applyAlignment="0" applyProtection="0"/>
    <xf numFmtId="0" fontId="30" fillId="72" borderId="0" applyNumberFormat="0" applyBorder="0" applyAlignment="0" applyProtection="0"/>
    <xf numFmtId="0" fontId="15" fillId="21" borderId="0" applyNumberFormat="0" applyBorder="0" applyAlignment="0" applyProtection="0"/>
    <xf numFmtId="172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1" fillId="21" borderId="0" applyNumberFormat="0" applyBorder="0" applyAlignment="0" applyProtection="0"/>
    <xf numFmtId="172" fontId="30" fillId="72" borderId="0" applyNumberFormat="0" applyBorder="0" applyAlignment="0" applyProtection="0"/>
    <xf numFmtId="172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1" fillId="21" borderId="0" applyNumberFormat="0" applyBorder="0" applyAlignment="0" applyProtection="0"/>
    <xf numFmtId="0" fontId="30" fillId="72" borderId="0" applyNumberFormat="0" applyBorder="0" applyAlignment="0" applyProtection="0"/>
    <xf numFmtId="172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27" fillId="73" borderId="0" applyNumberFormat="0" applyBorder="0" applyAlignment="0" applyProtection="0"/>
    <xf numFmtId="0" fontId="27" fillId="74" borderId="0" applyNumberFormat="0" applyBorder="0" applyAlignment="0" applyProtection="0"/>
    <xf numFmtId="0" fontId="30" fillId="60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174" fontId="30" fillId="56" borderId="0" applyNumberFormat="0" applyBorder="0" applyAlignment="0" applyProtection="0"/>
    <xf numFmtId="0" fontId="30" fillId="56" borderId="0" applyNumberFormat="0" applyBorder="0" applyAlignment="0" applyProtection="0"/>
    <xf numFmtId="173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170" fontId="15" fillId="25" borderId="0" applyNumberFormat="0" applyBorder="0" applyAlignment="0" applyProtection="0"/>
    <xf numFmtId="0" fontId="30" fillId="56" borderId="0" applyNumberFormat="0" applyBorder="0" applyAlignment="0" applyProtection="0"/>
    <xf numFmtId="0" fontId="15" fillId="25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1" fillId="25" borderId="0" applyNumberFormat="0" applyBorder="0" applyAlignment="0" applyProtection="0"/>
    <xf numFmtId="172" fontId="30" fillId="56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1" fillId="25" borderId="0" applyNumberFormat="0" applyBorder="0" applyAlignment="0" applyProtection="0"/>
    <xf numFmtId="0" fontId="30" fillId="56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27" fillId="75" borderId="0" applyNumberFormat="0" applyBorder="0" applyAlignment="0" applyProtection="0"/>
    <xf numFmtId="0" fontId="27" fillId="76" borderId="0" applyNumberFormat="0" applyBorder="0" applyAlignment="0" applyProtection="0"/>
    <xf numFmtId="0" fontId="30" fillId="77" borderId="0" applyNumberFormat="0" applyBorder="0" applyAlignment="0" applyProtection="0"/>
    <xf numFmtId="0" fontId="30" fillId="54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172" fontId="30" fillId="66" borderId="0" applyNumberFormat="0" applyBorder="0" applyAlignment="0" applyProtection="0"/>
    <xf numFmtId="0" fontId="30" fillId="54" borderId="0" applyNumberFormat="0" applyBorder="0" applyAlignment="0" applyProtection="0"/>
    <xf numFmtId="174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54" borderId="0" applyNumberFormat="0" applyBorder="0" applyAlignment="0" applyProtection="0"/>
    <xf numFmtId="170" fontId="15" fillId="29" borderId="0" applyNumberFormat="0" applyBorder="0" applyAlignment="0" applyProtection="0"/>
    <xf numFmtId="0" fontId="30" fillId="66" borderId="0" applyNumberFormat="0" applyBorder="0" applyAlignment="0" applyProtection="0"/>
    <xf numFmtId="0" fontId="15" fillId="29" borderId="0" applyNumberFormat="0" applyBorder="0" applyAlignment="0" applyProtection="0"/>
    <xf numFmtId="172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1" fillId="29" borderId="0" applyNumberFormat="0" applyBorder="0" applyAlignment="0" applyProtection="0"/>
    <xf numFmtId="172" fontId="30" fillId="66" borderId="0" applyNumberFormat="0" applyBorder="0" applyAlignment="0" applyProtection="0"/>
    <xf numFmtId="172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1" fillId="29" borderId="0" applyNumberFormat="0" applyBorder="0" applyAlignment="0" applyProtection="0"/>
    <xf numFmtId="0" fontId="30" fillId="66" borderId="0" applyNumberFormat="0" applyBorder="0" applyAlignment="0" applyProtection="0"/>
    <xf numFmtId="172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2" fillId="78" borderId="0">
      <alignment horizontal="center"/>
    </xf>
    <xf numFmtId="184" fontId="33" fillId="0" borderId="0" applyFont="0" applyFill="0" applyBorder="0" applyAlignment="0" applyProtection="0"/>
    <xf numFmtId="0" fontId="34" fillId="43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72" fontId="34" fillId="47" borderId="0" applyNumberFormat="0" applyBorder="0" applyAlignment="0" applyProtection="0"/>
    <xf numFmtId="0" fontId="34" fillId="43" borderId="0" applyNumberFormat="0" applyBorder="0" applyAlignment="0" applyProtection="0"/>
    <xf numFmtId="174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75" fontId="7" fillId="3" borderId="0" applyNumberFormat="0" applyBorder="0" applyAlignment="0" applyProtection="0"/>
    <xf numFmtId="173" fontId="7" fillId="3" borderId="0" applyNumberFormat="0" applyBorder="0" applyAlignment="0" applyProtection="0"/>
    <xf numFmtId="0" fontId="34" fillId="47" borderId="0" applyNumberFormat="0" applyBorder="0" applyAlignment="0" applyProtection="0"/>
    <xf numFmtId="0" fontId="7" fillId="3" borderId="0" applyNumberFormat="0" applyBorder="0" applyAlignment="0" applyProtection="0"/>
    <xf numFmtId="172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5" fillId="3" borderId="0" applyNumberFormat="0" applyBorder="0" applyAlignment="0" applyProtection="0"/>
    <xf numFmtId="172" fontId="34" fillId="47" borderId="0" applyNumberFormat="0" applyBorder="0" applyAlignment="0" applyProtection="0"/>
    <xf numFmtId="172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5" fillId="3" borderId="0" applyNumberFormat="0" applyBorder="0" applyAlignment="0" applyProtection="0"/>
    <xf numFmtId="0" fontId="34" fillId="47" borderId="0" applyNumberFormat="0" applyBorder="0" applyAlignment="0" applyProtection="0"/>
    <xf numFmtId="172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6" fillId="0" borderId="0" applyNumberFormat="0" applyFill="0" applyBorder="0" applyAlignment="0" applyProtection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37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0" fontId="38" fillId="79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175" fontId="38" fillId="79" borderId="19" applyNumberFormat="0" applyAlignment="0" applyProtection="0"/>
    <xf numFmtId="172" fontId="39" fillId="80" borderId="19" applyNumberFormat="0" applyAlignment="0" applyProtection="0"/>
    <xf numFmtId="173" fontId="10" fillId="6" borderId="4" applyNumberFormat="0" applyAlignment="0" applyProtection="0"/>
    <xf numFmtId="0" fontId="38" fillId="79" borderId="19" applyNumberFormat="0" applyAlignment="0" applyProtection="0"/>
    <xf numFmtId="174" fontId="10" fillId="6" borderId="4" applyNumberFormat="0" applyAlignment="0" applyProtection="0"/>
    <xf numFmtId="17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2" fontId="39" fillId="80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0" fontId="40" fillId="6" borderId="4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0" fontId="40" fillId="6" borderId="4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0" fontId="41" fillId="81" borderId="0">
      <protection locked="0"/>
    </xf>
    <xf numFmtId="0" fontId="42" fillId="82" borderId="20" applyNumberFormat="0" applyAlignment="0" applyProtection="0"/>
    <xf numFmtId="172" fontId="42" fillId="82" borderId="20" applyNumberFormat="0" applyAlignment="0" applyProtection="0"/>
    <xf numFmtId="0" fontId="42" fillId="82" borderId="20" applyNumberFormat="0" applyAlignment="0" applyProtection="0"/>
    <xf numFmtId="174" fontId="42" fillId="82" borderId="20" applyNumberFormat="0" applyAlignment="0" applyProtection="0"/>
    <xf numFmtId="0" fontId="42" fillId="82" borderId="20" applyNumberFormat="0" applyAlignment="0" applyProtection="0"/>
    <xf numFmtId="173" fontId="42" fillId="82" borderId="20" applyNumberFormat="0" applyAlignment="0" applyProtection="0"/>
    <xf numFmtId="0" fontId="42" fillId="82" borderId="20" applyNumberFormat="0" applyAlignment="0" applyProtection="0"/>
    <xf numFmtId="0" fontId="42" fillId="82" borderId="20" applyNumberFormat="0" applyAlignment="0" applyProtection="0"/>
    <xf numFmtId="170" fontId="12" fillId="7" borderId="7" applyNumberFormat="0" applyAlignment="0" applyProtection="0"/>
    <xf numFmtId="0" fontId="42" fillId="82" borderId="20" applyNumberFormat="0" applyAlignment="0" applyProtection="0"/>
    <xf numFmtId="0" fontId="12" fillId="7" borderId="7" applyNumberFormat="0" applyAlignment="0" applyProtection="0"/>
    <xf numFmtId="172" fontId="42" fillId="82" borderId="20" applyNumberFormat="0" applyAlignment="0" applyProtection="0"/>
    <xf numFmtId="0" fontId="43" fillId="7" borderId="7" applyNumberFormat="0" applyAlignment="0" applyProtection="0"/>
    <xf numFmtId="172" fontId="42" fillId="82" borderId="20" applyNumberFormat="0" applyAlignment="0" applyProtection="0"/>
    <xf numFmtId="172" fontId="42" fillId="82" borderId="20" applyNumberFormat="0" applyAlignment="0" applyProtection="0"/>
    <xf numFmtId="0" fontId="43" fillId="7" borderId="7" applyNumberFormat="0" applyAlignment="0" applyProtection="0"/>
    <xf numFmtId="172" fontId="42" fillId="82" borderId="20" applyNumberFormat="0" applyAlignment="0" applyProtection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41" fontId="22" fillId="0" borderId="0" applyFont="0" applyFill="0" applyBorder="0" applyAlignment="0" applyProtection="0"/>
    <xf numFmtId="185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87" fontId="4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8" fontId="22" fillId="0" borderId="0" applyFont="0" applyFill="0" applyProtection="0"/>
    <xf numFmtId="8" fontId="22" fillId="0" borderId="0" applyFont="0" applyFill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7" fontId="4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38" fontId="22" fillId="0" borderId="0"/>
    <xf numFmtId="182" fontId="22" fillId="0" borderId="0"/>
    <xf numFmtId="40" fontId="22" fillId="0" borderId="0"/>
    <xf numFmtId="3" fontId="53" fillId="0" borderId="0" applyFont="0" applyFill="0" applyBorder="0" applyAlignment="0" applyProtection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188" fontId="55" fillId="0" borderId="0">
      <protection locked="0"/>
    </xf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42" fontId="22" fillId="0" borderId="0" applyFont="0" applyFill="0" applyBorder="0" applyAlignment="0" applyProtection="0"/>
    <xf numFmtId="185" fontId="22" fillId="0" borderId="0" applyFont="0" applyFill="0" applyBorder="0" applyAlignment="0" applyProtection="0"/>
    <xf numFmtId="6" fontId="56" fillId="0" borderId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NumberFormat="0" applyFill="0" applyBorder="0" applyAlignment="0" applyProtection="0"/>
    <xf numFmtId="44" fontId="22" fillId="0" borderId="0" applyNumberFormat="0" applyFill="0" applyBorder="0" applyAlignment="0" applyProtection="0"/>
    <xf numFmtId="44" fontId="5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89" fontId="22" fillId="0" borderId="0" applyFont="0" applyFill="0" applyBorder="0" applyAlignment="0" applyProtection="0"/>
    <xf numFmtId="189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58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5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6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>
      <alignment vertical="center"/>
    </xf>
    <xf numFmtId="8" fontId="6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190" fontId="53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4" fontId="50" fillId="0" borderId="0" applyFill="0" applyBorder="0" applyAlignment="0"/>
    <xf numFmtId="188" fontId="55" fillId="0" borderId="0">
      <protection locked="0"/>
    </xf>
    <xf numFmtId="182" fontId="26" fillId="0" borderId="0"/>
    <xf numFmtId="38" fontId="61" fillId="0" borderId="21">
      <alignment vertical="center"/>
    </xf>
    <xf numFmtId="0" fontId="62" fillId="83" borderId="0" applyNumberFormat="0" applyBorder="0" applyAlignment="0" applyProtection="0"/>
    <xf numFmtId="0" fontId="62" fillId="84" borderId="0" applyNumberFormat="0" applyBorder="0" applyAlignment="0" applyProtection="0"/>
    <xf numFmtId="0" fontId="62" fillId="85" borderId="0" applyNumberFormat="0" applyBorder="0" applyAlignment="0" applyProtection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63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4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3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0" fontId="14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172" fontId="65" fillId="0" borderId="0"/>
    <xf numFmtId="0" fontId="65" fillId="0" borderId="0"/>
    <xf numFmtId="172" fontId="65" fillId="0" borderId="0"/>
    <xf numFmtId="0" fontId="65" fillId="0" borderId="0"/>
    <xf numFmtId="0" fontId="65" fillId="0" borderId="0"/>
    <xf numFmtId="191" fontId="65" fillId="0" borderId="0">
      <alignment wrapText="1"/>
      <protection locked="0"/>
    </xf>
    <xf numFmtId="2" fontId="53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172" fontId="66" fillId="1" borderId="0"/>
    <xf numFmtId="0" fontId="66" fillId="1" borderId="0"/>
    <xf numFmtId="172" fontId="66" fillId="1" borderId="0"/>
    <xf numFmtId="0" fontId="66" fillId="1" borderId="0"/>
    <xf numFmtId="0" fontId="66" fillId="1" borderId="0"/>
    <xf numFmtId="14" fontId="67" fillId="0" borderId="22" applyNumberFormat="0" applyBorder="0" applyAlignment="0">
      <alignment horizontal="center" wrapText="1"/>
    </xf>
    <xf numFmtId="14" fontId="67" fillId="0" borderId="22" applyNumberFormat="0" applyBorder="0" applyAlignment="0">
      <alignment horizontal="center" wrapText="1"/>
    </xf>
    <xf numFmtId="49" fontId="67" fillId="0" borderId="22" applyNumberFormat="0" applyBorder="0" applyAlignment="0">
      <alignment horizontal="center" wrapText="1"/>
    </xf>
    <xf numFmtId="49" fontId="67" fillId="0" borderId="22" applyNumberFormat="0" applyBorder="0" applyAlignment="0">
      <alignment horizontal="center" wrapText="1"/>
    </xf>
    <xf numFmtId="0" fontId="68" fillId="2" borderId="0" applyNumberFormat="0" applyBorder="0" applyAlignment="0" applyProtection="0"/>
    <xf numFmtId="0" fontId="69" fillId="45" borderId="0" applyNumberFormat="0" applyBorder="0" applyAlignment="0" applyProtection="0"/>
    <xf numFmtId="0" fontId="70" fillId="45" borderId="0" applyNumberFormat="0" applyBorder="0" applyAlignment="0" applyProtection="0"/>
    <xf numFmtId="0" fontId="69" fillId="49" borderId="0" applyNumberFormat="0" applyBorder="0" applyAlignment="0" applyProtection="0"/>
    <xf numFmtId="172" fontId="69" fillId="49" borderId="0" applyNumberFormat="0" applyBorder="0" applyAlignment="0" applyProtection="0"/>
    <xf numFmtId="173" fontId="69" fillId="45" borderId="0" applyNumberFormat="0" applyBorder="0" applyAlignment="0" applyProtection="0"/>
    <xf numFmtId="174" fontId="69" fillId="45" borderId="0" applyNumberFormat="0" applyBorder="0" applyAlignment="0" applyProtection="0"/>
    <xf numFmtId="0" fontId="69" fillId="45" borderId="0" applyNumberFormat="0" applyBorder="0" applyAlignment="0" applyProtection="0"/>
    <xf numFmtId="0" fontId="68" fillId="2" borderId="0" applyNumberFormat="0" applyBorder="0" applyAlignment="0" applyProtection="0"/>
    <xf numFmtId="0" fontId="69" fillId="49" borderId="0" applyNumberFormat="0" applyBorder="0" applyAlignment="0" applyProtection="0"/>
    <xf numFmtId="0" fontId="69" fillId="45" borderId="0" applyNumberFormat="0" applyBorder="0" applyAlignment="0" applyProtection="0"/>
    <xf numFmtId="0" fontId="71" fillId="2" borderId="0" applyNumberFormat="0" applyBorder="0" applyAlignment="0" applyProtection="0"/>
    <xf numFmtId="0" fontId="69" fillId="49" borderId="0" applyNumberFormat="0" applyBorder="0" applyAlignment="0" applyProtection="0"/>
    <xf numFmtId="175" fontId="6" fillId="2" borderId="0" applyNumberFormat="0" applyBorder="0" applyAlignment="0" applyProtection="0"/>
    <xf numFmtId="173" fontId="6" fillId="2" borderId="0" applyNumberFormat="0" applyBorder="0" applyAlignment="0" applyProtection="0"/>
    <xf numFmtId="0" fontId="69" fillId="49" borderId="0" applyNumberFormat="0" applyBorder="0" applyAlignment="0" applyProtection="0"/>
    <xf numFmtId="0" fontId="6" fillId="2" borderId="0" applyNumberFormat="0" applyBorder="0" applyAlignment="0" applyProtection="0"/>
    <xf numFmtId="172" fontId="69" fillId="49" borderId="0" applyNumberFormat="0" applyBorder="0" applyAlignment="0" applyProtection="0"/>
    <xf numFmtId="0" fontId="72" fillId="2" borderId="0" applyNumberFormat="0" applyBorder="0" applyAlignment="0" applyProtection="0"/>
    <xf numFmtId="172" fontId="69" fillId="49" borderId="0" applyNumberFormat="0" applyBorder="0" applyAlignment="0" applyProtection="0"/>
    <xf numFmtId="172" fontId="69" fillId="49" borderId="0" applyNumberFormat="0" applyBorder="0" applyAlignment="0" applyProtection="0"/>
    <xf numFmtId="0" fontId="72" fillId="2" borderId="0" applyNumberFormat="0" applyBorder="0" applyAlignment="0" applyProtection="0"/>
    <xf numFmtId="172" fontId="69" fillId="49" borderId="0" applyNumberFormat="0" applyBorder="0" applyAlignment="0" applyProtection="0"/>
    <xf numFmtId="0" fontId="73" fillId="86" borderId="23">
      <alignment horizontal="center"/>
    </xf>
    <xf numFmtId="172" fontId="74" fillId="0" borderId="24" applyNumberFormat="0" applyAlignment="0" applyProtection="0">
      <alignment horizontal="left" vertical="center"/>
    </xf>
    <xf numFmtId="172" fontId="74" fillId="0" borderId="24" applyNumberFormat="0" applyAlignment="0" applyProtection="0">
      <alignment horizontal="left" vertical="center"/>
    </xf>
    <xf numFmtId="172" fontId="74" fillId="0" borderId="24" applyNumberFormat="0" applyAlignment="0" applyProtection="0">
      <alignment horizontal="left" vertical="center"/>
    </xf>
    <xf numFmtId="173" fontId="74" fillId="0" borderId="24" applyNumberFormat="0" applyAlignment="0" applyProtection="0">
      <alignment horizontal="left" vertical="center"/>
    </xf>
    <xf numFmtId="173" fontId="74" fillId="0" borderId="24" applyNumberFormat="0" applyAlignment="0" applyProtection="0">
      <alignment horizontal="left" vertical="center"/>
    </xf>
    <xf numFmtId="172" fontId="74" fillId="0" borderId="24" applyNumberFormat="0" applyAlignment="0" applyProtection="0">
      <alignment horizontal="left" vertical="center"/>
    </xf>
    <xf numFmtId="172" fontId="74" fillId="0" borderId="15">
      <alignment horizontal="left" vertical="center"/>
    </xf>
    <xf numFmtId="172" fontId="74" fillId="0" borderId="15">
      <alignment horizontal="left" vertical="center"/>
    </xf>
    <xf numFmtId="172" fontId="74" fillId="0" borderId="15">
      <alignment horizontal="left" vertical="center"/>
    </xf>
    <xf numFmtId="173" fontId="74" fillId="0" borderId="15">
      <alignment horizontal="left" vertical="center"/>
    </xf>
    <xf numFmtId="173" fontId="74" fillId="0" borderId="15">
      <alignment horizontal="left" vertical="center"/>
    </xf>
    <xf numFmtId="172" fontId="74" fillId="0" borderId="15">
      <alignment horizontal="left" vertical="center"/>
    </xf>
    <xf numFmtId="0" fontId="75" fillId="0" borderId="0" applyNumberFormat="0" applyFill="0" applyBorder="0" applyAlignment="0" applyProtection="0"/>
    <xf numFmtId="0" fontId="76" fillId="0" borderId="25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2" fontId="76" fillId="0" borderId="25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0" fontId="77" fillId="0" borderId="26" applyNumberFormat="0" applyFill="0" applyAlignment="0" applyProtection="0"/>
    <xf numFmtId="170" fontId="77" fillId="0" borderId="26" applyNumberFormat="0" applyFill="0" applyAlignment="0" applyProtection="0"/>
    <xf numFmtId="170" fontId="77" fillId="0" borderId="26" applyNumberFormat="0" applyFill="0" applyAlignment="0" applyProtection="0"/>
    <xf numFmtId="17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5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4" fontId="78" fillId="0" borderId="0" applyNumberFormat="0" applyFill="0" applyBorder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0" fontId="76" fillId="0" borderId="25" applyNumberFormat="0" applyFill="0" applyAlignment="0" applyProtection="0"/>
    <xf numFmtId="0" fontId="3" fillId="0" borderId="1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0" fontId="76" fillId="0" borderId="25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8" fillId="0" borderId="0" applyNumberFormat="0" applyFill="0" applyBorder="0" applyAlignment="0" applyProtection="0"/>
    <xf numFmtId="173" fontId="78" fillId="0" borderId="0" applyNumberFormat="0" applyFill="0" applyBorder="0" applyAlignment="0" applyProtection="0"/>
    <xf numFmtId="0" fontId="76" fillId="0" borderId="25" applyNumberFormat="0" applyFill="0" applyAlignment="0" applyProtection="0"/>
    <xf numFmtId="0" fontId="3" fillId="0" borderId="1" applyNumberFormat="0" applyFill="0" applyAlignment="0" applyProtection="0"/>
    <xf numFmtId="172" fontId="76" fillId="0" borderId="25" applyNumberFormat="0" applyFill="0" applyAlignment="0" applyProtection="0"/>
    <xf numFmtId="0" fontId="79" fillId="0" borderId="1" applyNumberFormat="0" applyFill="0" applyAlignment="0" applyProtection="0"/>
    <xf numFmtId="172" fontId="76" fillId="0" borderId="25" applyNumberFormat="0" applyFill="0" applyAlignment="0" applyProtection="0"/>
    <xf numFmtId="172" fontId="76" fillId="0" borderId="25" applyNumberFormat="0" applyFill="0" applyAlignment="0" applyProtection="0"/>
    <xf numFmtId="0" fontId="79" fillId="0" borderId="1" applyNumberFormat="0" applyFill="0" applyAlignment="0" applyProtection="0"/>
    <xf numFmtId="172" fontId="76" fillId="0" borderId="25" applyNumberFormat="0" applyFill="0" applyAlignment="0" applyProtection="0"/>
    <xf numFmtId="0" fontId="80" fillId="0" borderId="0" applyNumberFormat="0" applyFill="0" applyBorder="0" applyAlignment="0" applyProtection="0"/>
    <xf numFmtId="0" fontId="81" fillId="0" borderId="27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2" fontId="81" fillId="0" borderId="27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0" fontId="82" fillId="0" borderId="28" applyNumberFormat="0" applyFill="0" applyAlignment="0" applyProtection="0"/>
    <xf numFmtId="170" fontId="82" fillId="0" borderId="28" applyNumberFormat="0" applyFill="0" applyAlignment="0" applyProtection="0"/>
    <xf numFmtId="170" fontId="82" fillId="0" borderId="28" applyNumberFormat="0" applyFill="0" applyAlignment="0" applyProtection="0"/>
    <xf numFmtId="17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0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4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4" fontId="74" fillId="0" borderId="0" applyNumberFormat="0" applyFill="0" applyBorder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0" fontId="81" fillId="0" borderId="27" applyNumberFormat="0" applyFill="0" applyAlignment="0" applyProtection="0"/>
    <xf numFmtId="0" fontId="4" fillId="0" borderId="2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0" fontId="81" fillId="0" borderId="27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4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74" fillId="0" borderId="0" applyNumberFormat="0" applyFill="0" applyBorder="0" applyAlignment="0" applyProtection="0"/>
    <xf numFmtId="173" fontId="74" fillId="0" borderId="0" applyNumberFormat="0" applyFill="0" applyBorder="0" applyAlignment="0" applyProtection="0"/>
    <xf numFmtId="0" fontId="81" fillId="0" borderId="27" applyNumberFormat="0" applyFill="0" applyAlignment="0" applyProtection="0"/>
    <xf numFmtId="0" fontId="4" fillId="0" borderId="2" applyNumberFormat="0" applyFill="0" applyAlignment="0" applyProtection="0"/>
    <xf numFmtId="172" fontId="81" fillId="0" borderId="27" applyNumberFormat="0" applyFill="0" applyAlignment="0" applyProtection="0"/>
    <xf numFmtId="0" fontId="83" fillId="0" borderId="2" applyNumberFormat="0" applyFill="0" applyAlignment="0" applyProtection="0"/>
    <xf numFmtId="172" fontId="81" fillId="0" borderId="27" applyNumberFormat="0" applyFill="0" applyAlignment="0" applyProtection="0"/>
    <xf numFmtId="172" fontId="81" fillId="0" borderId="27" applyNumberFormat="0" applyFill="0" applyAlignment="0" applyProtection="0"/>
    <xf numFmtId="0" fontId="83" fillId="0" borderId="2" applyNumberFormat="0" applyFill="0" applyAlignment="0" applyProtection="0"/>
    <xf numFmtId="172" fontId="81" fillId="0" borderId="27" applyNumberFormat="0" applyFill="0" applyAlignment="0" applyProtection="0"/>
    <xf numFmtId="0" fontId="84" fillId="0" borderId="29" applyNumberFormat="0" applyFill="0" applyAlignment="0" applyProtection="0"/>
    <xf numFmtId="0" fontId="85" fillId="0" borderId="30" applyNumberFormat="0" applyFill="0" applyAlignment="0" applyProtection="0"/>
    <xf numFmtId="172" fontId="85" fillId="0" borderId="30" applyNumberFormat="0" applyFill="0" applyAlignment="0" applyProtection="0"/>
    <xf numFmtId="0" fontId="84" fillId="0" borderId="29" applyNumberFormat="0" applyFill="0" applyAlignment="0" applyProtection="0"/>
    <xf numFmtId="174" fontId="84" fillId="0" borderId="29" applyNumberFormat="0" applyFill="0" applyAlignment="0" applyProtection="0"/>
    <xf numFmtId="0" fontId="84" fillId="0" borderId="29" applyNumberFormat="0" applyFill="0" applyAlignment="0" applyProtection="0"/>
    <xf numFmtId="0" fontId="85" fillId="0" borderId="30" applyNumberFormat="0" applyFill="0" applyAlignment="0" applyProtection="0"/>
    <xf numFmtId="0" fontId="85" fillId="0" borderId="30" applyNumberFormat="0" applyFill="0" applyAlignment="0" applyProtection="0"/>
    <xf numFmtId="0" fontId="84" fillId="0" borderId="29" applyNumberFormat="0" applyFill="0" applyAlignment="0" applyProtection="0"/>
    <xf numFmtId="170" fontId="5" fillId="0" borderId="3" applyNumberFormat="0" applyFill="0" applyAlignment="0" applyProtection="0"/>
    <xf numFmtId="0" fontId="85" fillId="0" borderId="30" applyNumberFormat="0" applyFill="0" applyAlignment="0" applyProtection="0"/>
    <xf numFmtId="0" fontId="5" fillId="0" borderId="3" applyNumberFormat="0" applyFill="0" applyAlignment="0" applyProtection="0"/>
    <xf numFmtId="172" fontId="85" fillId="0" borderId="30" applyNumberFormat="0" applyFill="0" applyAlignment="0" applyProtection="0"/>
    <xf numFmtId="0" fontId="86" fillId="0" borderId="3" applyNumberFormat="0" applyFill="0" applyAlignment="0" applyProtection="0"/>
    <xf numFmtId="172" fontId="85" fillId="0" borderId="30" applyNumberFormat="0" applyFill="0" applyAlignment="0" applyProtection="0"/>
    <xf numFmtId="172" fontId="85" fillId="0" borderId="30" applyNumberFormat="0" applyFill="0" applyAlignment="0" applyProtection="0"/>
    <xf numFmtId="0" fontId="86" fillId="0" borderId="3" applyNumberFormat="0" applyFill="0" applyAlignment="0" applyProtection="0"/>
    <xf numFmtId="172" fontId="85" fillId="0" borderId="30" applyNumberFormat="0" applyFill="0" applyAlignment="0" applyProtection="0"/>
    <xf numFmtId="0" fontId="84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74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70" fontId="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188" fontId="87" fillId="0" borderId="0">
      <protection locked="0"/>
    </xf>
    <xf numFmtId="188" fontId="87" fillId="0" borderId="0">
      <protection locked="0"/>
    </xf>
    <xf numFmtId="172" fontId="88" fillId="0" borderId="0" applyNumberFormat="0" applyFill="0" applyBorder="0" applyProtection="0">
      <alignment horizontal="center"/>
    </xf>
    <xf numFmtId="172" fontId="88" fillId="0" borderId="0" applyNumberFormat="0" applyFill="0" applyBorder="0" applyProtection="0">
      <alignment horizontal="center"/>
    </xf>
    <xf numFmtId="173" fontId="88" fillId="0" borderId="0" applyNumberFormat="0" applyFill="0" applyBorder="0" applyProtection="0">
      <alignment horizontal="center"/>
    </xf>
    <xf numFmtId="172" fontId="29" fillId="0" borderId="31" applyNumberFormat="0" applyFill="0" applyBorder="0" applyProtection="0">
      <alignment horizontal="center"/>
    </xf>
    <xf numFmtId="172" fontId="29" fillId="0" borderId="31" applyNumberFormat="0" applyFill="0" applyBorder="0" applyProtection="0">
      <alignment horizontal="center"/>
    </xf>
    <xf numFmtId="173" fontId="29" fillId="0" borderId="31" applyNumberFormat="0" applyFill="0" applyBorder="0" applyProtection="0">
      <alignment horizontal="center"/>
    </xf>
    <xf numFmtId="192" fontId="89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173" fontId="91" fillId="0" borderId="0" applyNumberFormat="0" applyFill="0" applyBorder="0" applyAlignment="0" applyProtection="0">
      <alignment vertical="top"/>
      <protection locked="0"/>
    </xf>
    <xf numFmtId="174" fontId="91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173" fontId="91" fillId="0" borderId="0" applyNumberFormat="0" applyFill="0" applyBorder="0" applyAlignment="0" applyProtection="0">
      <alignment vertical="top"/>
      <protection locked="0"/>
    </xf>
    <xf numFmtId="0" fontId="9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72" fontId="90" fillId="0" borderId="0" applyNumberFormat="0" applyFill="0" applyBorder="0" applyAlignment="0" applyProtection="0">
      <alignment vertical="top"/>
      <protection locked="0"/>
    </xf>
    <xf numFmtId="173" fontId="90" fillId="0" borderId="0" applyNumberFormat="0" applyFill="0" applyBorder="0" applyAlignment="0" applyProtection="0">
      <alignment vertical="top"/>
      <protection locked="0"/>
    </xf>
    <xf numFmtId="0" fontId="95" fillId="48" borderId="19" applyNumberFormat="0" applyAlignment="0" applyProtection="0"/>
    <xf numFmtId="0" fontId="95" fillId="51" borderId="19" applyNumberFormat="0" applyAlignment="0" applyProtection="0"/>
    <xf numFmtId="175" fontId="95" fillId="48" borderId="19" applyNumberFormat="0" applyAlignment="0" applyProtection="0"/>
    <xf numFmtId="172" fontId="95" fillId="51" borderId="19" applyNumberFormat="0" applyAlignment="0" applyProtection="0"/>
    <xf numFmtId="173" fontId="9" fillId="5" borderId="4" applyNumberFormat="0" applyAlignment="0" applyProtection="0"/>
    <xf numFmtId="0" fontId="95" fillId="48" borderId="19" applyNumberFormat="0" applyAlignment="0" applyProtection="0"/>
    <xf numFmtId="174" fontId="9" fillId="5" borderId="4" applyNumberFormat="0" applyAlignment="0" applyProtection="0"/>
    <xf numFmtId="17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2" fontId="95" fillId="51" borderId="19" applyNumberFormat="0" applyAlignment="0" applyProtection="0"/>
    <xf numFmtId="0" fontId="95" fillId="51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0" fontId="95" fillId="51" borderId="19" applyNumberFormat="0" applyAlignment="0" applyProtection="0"/>
    <xf numFmtId="0" fontId="95" fillId="48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51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51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0" fontId="96" fillId="5" borderId="4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0" fontId="95" fillId="48" borderId="19" applyNumberFormat="0" applyAlignment="0" applyProtection="0"/>
    <xf numFmtId="0" fontId="22" fillId="0" borderId="0">
      <alignment vertical="top"/>
    </xf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0" fontId="97" fillId="0" borderId="32" applyNumberFormat="0" applyFill="0" applyAlignment="0" applyProtection="0"/>
    <xf numFmtId="0" fontId="98" fillId="0" borderId="33" applyNumberFormat="0" applyFill="0" applyAlignment="0" applyProtection="0"/>
    <xf numFmtId="172" fontId="98" fillId="0" borderId="33" applyNumberFormat="0" applyFill="0" applyAlignment="0" applyProtection="0"/>
    <xf numFmtId="0" fontId="97" fillId="0" borderId="32" applyNumberFormat="0" applyFill="0" applyAlignment="0" applyProtection="0"/>
    <xf numFmtId="174" fontId="97" fillId="0" borderId="32" applyNumberFormat="0" applyFill="0" applyAlignment="0" applyProtection="0"/>
    <xf numFmtId="0" fontId="97" fillId="0" borderId="32" applyNumberFormat="0" applyFill="0" applyAlignment="0" applyProtection="0"/>
    <xf numFmtId="0" fontId="98" fillId="0" borderId="33" applyNumberFormat="0" applyFill="0" applyAlignment="0" applyProtection="0"/>
    <xf numFmtId="0" fontId="98" fillId="0" borderId="33" applyNumberFormat="0" applyFill="0" applyAlignment="0" applyProtection="0"/>
    <xf numFmtId="0" fontId="97" fillId="0" borderId="32" applyNumberFormat="0" applyFill="0" applyAlignment="0" applyProtection="0"/>
    <xf numFmtId="170" fontId="11" fillId="0" borderId="6" applyNumberFormat="0" applyFill="0" applyAlignment="0" applyProtection="0"/>
    <xf numFmtId="0" fontId="98" fillId="0" borderId="33" applyNumberFormat="0" applyFill="0" applyAlignment="0" applyProtection="0"/>
    <xf numFmtId="0" fontId="11" fillId="0" borderId="6" applyNumberFormat="0" applyFill="0" applyAlignment="0" applyProtection="0"/>
    <xf numFmtId="172" fontId="98" fillId="0" borderId="33" applyNumberFormat="0" applyFill="0" applyAlignment="0" applyProtection="0"/>
    <xf numFmtId="0" fontId="99" fillId="0" borderId="6" applyNumberFormat="0" applyFill="0" applyAlignment="0" applyProtection="0"/>
    <xf numFmtId="172" fontId="98" fillId="0" borderId="33" applyNumberFormat="0" applyFill="0" applyAlignment="0" applyProtection="0"/>
    <xf numFmtId="172" fontId="98" fillId="0" borderId="33" applyNumberFormat="0" applyFill="0" applyAlignment="0" applyProtection="0"/>
    <xf numFmtId="0" fontId="99" fillId="0" borderId="6" applyNumberFormat="0" applyFill="0" applyAlignment="0" applyProtection="0"/>
    <xf numFmtId="172" fontId="98" fillId="0" borderId="33" applyNumberFormat="0" applyFill="0" applyAlignment="0" applyProtection="0"/>
    <xf numFmtId="193" fontId="33" fillId="0" borderId="0" applyBorder="0">
      <alignment horizontal="center"/>
    </xf>
    <xf numFmtId="1" fontId="26" fillId="0" borderId="0">
      <alignment horizontal="center" vertical="center" wrapText="1"/>
    </xf>
    <xf numFmtId="0" fontId="100" fillId="51" borderId="0" applyNumberFormat="0" applyBorder="0" applyAlignment="0" applyProtection="0"/>
    <xf numFmtId="0" fontId="101" fillId="51" borderId="0" applyNumberFormat="0" applyBorder="0" applyAlignment="0" applyProtection="0"/>
    <xf numFmtId="172" fontId="101" fillId="51" borderId="0" applyNumberFormat="0" applyBorder="0" applyAlignment="0" applyProtection="0"/>
    <xf numFmtId="0" fontId="102" fillId="4" borderId="0" applyNumberFormat="0" applyBorder="0" applyAlignment="0" applyProtection="0"/>
    <xf numFmtId="0" fontId="100" fillId="51" borderId="0" applyNumberFormat="0" applyBorder="0" applyAlignment="0" applyProtection="0"/>
    <xf numFmtId="0" fontId="100" fillId="51" borderId="0" applyNumberFormat="0" applyBorder="0" applyAlignment="0" applyProtection="0"/>
    <xf numFmtId="0" fontId="101" fillId="51" borderId="0" applyNumberFormat="0" applyBorder="0" applyAlignment="0" applyProtection="0"/>
    <xf numFmtId="0" fontId="101" fillId="51" borderId="0" applyNumberFormat="0" applyBorder="0" applyAlignment="0" applyProtection="0"/>
    <xf numFmtId="175" fontId="8" fillId="4" borderId="0" applyNumberFormat="0" applyBorder="0" applyAlignment="0" applyProtection="0"/>
    <xf numFmtId="173" fontId="8" fillId="4" borderId="0" applyNumberFormat="0" applyBorder="0" applyAlignment="0" applyProtection="0"/>
    <xf numFmtId="0" fontId="101" fillId="51" borderId="0" applyNumberFormat="0" applyBorder="0" applyAlignment="0" applyProtection="0"/>
    <xf numFmtId="0" fontId="8" fillId="4" borderId="0" applyNumberFormat="0" applyBorder="0" applyAlignment="0" applyProtection="0"/>
    <xf numFmtId="172" fontId="101" fillId="51" borderId="0" applyNumberFormat="0" applyBorder="0" applyAlignment="0" applyProtection="0"/>
    <xf numFmtId="0" fontId="102" fillId="4" borderId="0" applyNumberFormat="0" applyBorder="0" applyAlignment="0" applyProtection="0"/>
    <xf numFmtId="172" fontId="101" fillId="51" borderId="0" applyNumberFormat="0" applyBorder="0" applyAlignment="0" applyProtection="0"/>
    <xf numFmtId="172" fontId="101" fillId="51" borderId="0" applyNumberFormat="0" applyBorder="0" applyAlignment="0" applyProtection="0"/>
    <xf numFmtId="0" fontId="102" fillId="4" borderId="0" applyNumberFormat="0" applyBorder="0" applyAlignment="0" applyProtection="0"/>
    <xf numFmtId="172" fontId="101" fillId="51" borderId="0" applyNumberFormat="0" applyBorder="0" applyAlignment="0" applyProtection="0"/>
    <xf numFmtId="172" fontId="61" fillId="0" borderId="0"/>
    <xf numFmtId="194" fontId="103" fillId="0" borderId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4" fontId="1" fillId="0" borderId="0"/>
    <xf numFmtId="0" fontId="27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175" fontId="22" fillId="0" borderId="0"/>
    <xf numFmtId="172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50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0" fontId="22" fillId="0" borderId="0"/>
    <xf numFmtId="195" fontId="104" fillId="0" borderId="0"/>
    <xf numFmtId="195" fontId="104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175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7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7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7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28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05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1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59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0" fontId="106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06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5" fontId="22" fillId="0" borderId="0"/>
    <xf numFmtId="173" fontId="22" fillId="0" borderId="0"/>
    <xf numFmtId="175" fontId="105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5" fontId="105" fillId="0" borderId="0"/>
    <xf numFmtId="173" fontId="105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2" fontId="22" fillId="0" borderId="0"/>
    <xf numFmtId="172" fontId="22" fillId="0" borderId="0"/>
    <xf numFmtId="173" fontId="22" fillId="0" borderId="0"/>
    <xf numFmtId="175" fontId="22" fillId="0" borderId="0"/>
    <xf numFmtId="173" fontId="22" fillId="0" borderId="0"/>
    <xf numFmtId="175" fontId="22" fillId="0" borderId="0"/>
    <xf numFmtId="172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4" fontId="22" fillId="0" borderId="0"/>
    <xf numFmtId="173" fontId="22" fillId="0" borderId="0"/>
    <xf numFmtId="174" fontId="22" fillId="0" borderId="0"/>
    <xf numFmtId="172" fontId="22" fillId="0" borderId="0"/>
    <xf numFmtId="172" fontId="22" fillId="0" borderId="0"/>
    <xf numFmtId="173" fontId="22" fillId="0" borderId="0"/>
    <xf numFmtId="175" fontId="22" fillId="0" borderId="0"/>
    <xf numFmtId="173" fontId="22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22" fillId="0" borderId="0"/>
    <xf numFmtId="173" fontId="1" fillId="0" borderId="0"/>
    <xf numFmtId="0" fontId="106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06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22" fillId="0" borderId="0"/>
    <xf numFmtId="175" fontId="22" fillId="0" borderId="0"/>
    <xf numFmtId="173" fontId="22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172" fontId="22" fillId="0" borderId="0"/>
    <xf numFmtId="0" fontId="22" fillId="0" borderId="0"/>
    <xf numFmtId="173" fontId="1" fillId="0" borderId="0"/>
    <xf numFmtId="0" fontId="28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1" fillId="0" borderId="0"/>
    <xf numFmtId="174" fontId="1" fillId="0" borderId="0"/>
    <xf numFmtId="0" fontId="28" fillId="0" borderId="0"/>
    <xf numFmtId="0" fontId="1" fillId="0" borderId="0"/>
    <xf numFmtId="0" fontId="28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06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4" fontId="1" fillId="0" borderId="0"/>
    <xf numFmtId="174" fontId="1" fillId="0" borderId="0"/>
    <xf numFmtId="174" fontId="1" fillId="0" borderId="0"/>
    <xf numFmtId="172" fontId="1" fillId="0" borderId="0"/>
    <xf numFmtId="174" fontId="1" fillId="0" borderId="0"/>
    <xf numFmtId="174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22" fillId="0" borderId="0"/>
    <xf numFmtId="172" fontId="22" fillId="0" borderId="0"/>
    <xf numFmtId="172" fontId="22" fillId="0" borderId="0"/>
    <xf numFmtId="173" fontId="22" fillId="0" borderId="0"/>
    <xf numFmtId="175" fontId="22" fillId="0" borderId="0"/>
    <xf numFmtId="173" fontId="22" fillId="0" borderId="0"/>
    <xf numFmtId="172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58" fillId="0" borderId="0"/>
    <xf numFmtId="172" fontId="58" fillId="0" borderId="0"/>
    <xf numFmtId="173" fontId="58" fillId="0" borderId="0"/>
    <xf numFmtId="172" fontId="22" fillId="0" borderId="0"/>
    <xf numFmtId="172" fontId="22" fillId="0" borderId="0"/>
    <xf numFmtId="172" fontId="22" fillId="0" borderId="0"/>
    <xf numFmtId="172" fontId="22" fillId="0" borderId="0"/>
    <xf numFmtId="174" fontId="22" fillId="0" borderId="0"/>
    <xf numFmtId="173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3" fontId="22" fillId="0" borderId="0"/>
    <xf numFmtId="172" fontId="22" fillId="0" borderId="0"/>
    <xf numFmtId="0" fontId="1" fillId="0" borderId="0"/>
    <xf numFmtId="173" fontId="1" fillId="0" borderId="0"/>
    <xf numFmtId="0" fontId="28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06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106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07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07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106" fillId="0" borderId="0"/>
    <xf numFmtId="174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50" fillId="0" borderId="0"/>
    <xf numFmtId="0" fontId="107" fillId="0" borderId="0"/>
    <xf numFmtId="0" fontId="1" fillId="0" borderId="0"/>
    <xf numFmtId="0" fontId="1" fillId="0" borderId="0"/>
    <xf numFmtId="172" fontId="50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173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22" fillId="0" borderId="0"/>
    <xf numFmtId="172" fontId="22" fillId="0" borderId="0"/>
    <xf numFmtId="196" fontId="108" fillId="0" borderId="0"/>
    <xf numFmtId="172" fontId="22" fillId="0" borderId="0"/>
    <xf numFmtId="0" fontId="22" fillId="0" borderId="0"/>
    <xf numFmtId="172" fontId="106" fillId="0" borderId="0"/>
    <xf numFmtId="172" fontId="106" fillId="0" borderId="0"/>
    <xf numFmtId="0" fontId="1" fillId="0" borderId="0"/>
    <xf numFmtId="173" fontId="22" fillId="0" borderId="0"/>
    <xf numFmtId="173" fontId="22" fillId="0" borderId="0"/>
    <xf numFmtId="175" fontId="22" fillId="0" borderId="0"/>
    <xf numFmtId="0" fontId="1" fillId="0" borderId="0"/>
    <xf numFmtId="0" fontId="22" fillId="0" borderId="0"/>
    <xf numFmtId="0" fontId="22" fillId="0" borderId="0"/>
    <xf numFmtId="174" fontId="22" fillId="0" borderId="0"/>
    <xf numFmtId="173" fontId="22" fillId="0" borderId="0"/>
    <xf numFmtId="0" fontId="1" fillId="0" borderId="0"/>
    <xf numFmtId="0" fontId="1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106" fillId="0" borderId="0"/>
    <xf numFmtId="173" fontId="22" fillId="0" borderId="0"/>
    <xf numFmtId="174" fontId="22" fillId="0" borderId="0"/>
    <xf numFmtId="175" fontId="22" fillId="0" borderId="0"/>
    <xf numFmtId="173" fontId="22" fillId="0" borderId="0"/>
    <xf numFmtId="173" fontId="22" fillId="0" borderId="0"/>
    <xf numFmtId="0" fontId="105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172" fontId="106" fillId="0" borderId="0"/>
    <xf numFmtId="0" fontId="22" fillId="0" borderId="0"/>
    <xf numFmtId="0" fontId="1" fillId="0" borderId="0"/>
    <xf numFmtId="172" fontId="22" fillId="0" borderId="0"/>
    <xf numFmtId="172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172" fontId="22" fillId="0" borderId="0"/>
    <xf numFmtId="174" fontId="22" fillId="0" borderId="0"/>
    <xf numFmtId="174" fontId="22" fillId="0" borderId="0"/>
    <xf numFmtId="173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172" fontId="106" fillId="0" borderId="0"/>
    <xf numFmtId="0" fontId="22" fillId="0" borderId="0"/>
    <xf numFmtId="174" fontId="109" fillId="0" borderId="0"/>
    <xf numFmtId="0" fontId="33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105" fillId="0" borderId="0"/>
    <xf numFmtId="0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0" fontId="22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105" fillId="0" borderId="0"/>
    <xf numFmtId="172" fontId="105" fillId="0" borderId="0"/>
    <xf numFmtId="173" fontId="105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0" fontId="22" fillId="0" borderId="0"/>
    <xf numFmtId="0" fontId="1" fillId="0" borderId="0"/>
    <xf numFmtId="173" fontId="1" fillId="0" borderId="0"/>
    <xf numFmtId="0" fontId="22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10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0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3" fontId="22" fillId="0" borderId="0"/>
    <xf numFmtId="0" fontId="1" fillId="0" borderId="0"/>
    <xf numFmtId="173" fontId="22" fillId="0" borderId="0"/>
    <xf numFmtId="173" fontId="22" fillId="0" borderId="0"/>
    <xf numFmtId="0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0" fontId="1" fillId="0" borderId="0"/>
    <xf numFmtId="174" fontId="22" fillId="0" borderId="0"/>
    <xf numFmtId="173" fontId="22" fillId="0" borderId="0"/>
    <xf numFmtId="0" fontId="1" fillId="0" borderId="0"/>
    <xf numFmtId="0" fontId="59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0" fontId="22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2" fillId="0" borderId="0"/>
    <xf numFmtId="0" fontId="1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8" fillId="0" borderId="0"/>
    <xf numFmtId="0" fontId="1" fillId="0" borderId="0"/>
    <xf numFmtId="173" fontId="1" fillId="0" borderId="0"/>
    <xf numFmtId="0" fontId="28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2" fillId="0" borderId="0"/>
    <xf numFmtId="0" fontId="22" fillId="0" borderId="0"/>
    <xf numFmtId="173" fontId="22" fillId="0" borderId="0"/>
    <xf numFmtId="0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174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173" fontId="22" fillId="0" borderId="0"/>
    <xf numFmtId="173" fontId="22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06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59" fillId="0" borderId="0"/>
    <xf numFmtId="0" fontId="22" fillId="0" borderId="0"/>
    <xf numFmtId="0" fontId="22" fillId="0" borderId="0"/>
    <xf numFmtId="0" fontId="22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59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06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60" fillId="0" borderId="0"/>
    <xf numFmtId="0" fontId="22" fillId="0" borderId="0"/>
    <xf numFmtId="0" fontId="22" fillId="0" borderId="0"/>
    <xf numFmtId="0" fontId="60" fillId="0" borderId="0"/>
    <xf numFmtId="174" fontId="22" fillId="0" borderId="0"/>
    <xf numFmtId="0" fontId="60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33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172" fontId="22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27" fillId="0" borderId="0"/>
    <xf numFmtId="0" fontId="22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0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60" fillId="0" borderId="0"/>
    <xf numFmtId="0" fontId="61" fillId="0" borderId="0"/>
    <xf numFmtId="0" fontId="60" fillId="0" borderId="0"/>
    <xf numFmtId="0" fontId="60" fillId="0" borderId="0"/>
    <xf numFmtId="0" fontId="60" fillId="0" borderId="0"/>
    <xf numFmtId="0" fontId="22" fillId="0" borderId="0">
      <alignment vertical="center"/>
    </xf>
    <xf numFmtId="196" fontId="22" fillId="0" borderId="0"/>
    <xf numFmtId="0" fontId="60" fillId="0" borderId="0"/>
    <xf numFmtId="0" fontId="60" fillId="0" borderId="0"/>
    <xf numFmtId="0" fontId="60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60" fillId="0" borderId="0"/>
    <xf numFmtId="0" fontId="17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173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174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173" fontId="111" fillId="0" borderId="0"/>
    <xf numFmtId="0" fontId="1" fillId="0" borderId="0"/>
    <xf numFmtId="0" fontId="1" fillId="0" borderId="0"/>
    <xf numFmtId="0" fontId="1" fillId="0" borderId="0"/>
    <xf numFmtId="0" fontId="22" fillId="0" borderId="0">
      <alignment wrapText="1"/>
    </xf>
    <xf numFmtId="173" fontId="22" fillId="0" borderId="0">
      <alignment wrapText="1"/>
    </xf>
    <xf numFmtId="0" fontId="22" fillId="0" borderId="0">
      <alignment wrapText="1"/>
    </xf>
    <xf numFmtId="174" fontId="22" fillId="0" borderId="0">
      <alignment wrapText="1"/>
    </xf>
    <xf numFmtId="0" fontId="1" fillId="0" borderId="0"/>
    <xf numFmtId="0" fontId="1" fillId="0" borderId="0"/>
    <xf numFmtId="0" fontId="22" fillId="0" borderId="0">
      <alignment wrapText="1"/>
    </xf>
    <xf numFmtId="173" fontId="22" fillId="0" borderId="0">
      <alignment wrapText="1"/>
    </xf>
    <xf numFmtId="173" fontId="22" fillId="0" borderId="0">
      <alignment wrapText="1"/>
    </xf>
    <xf numFmtId="0" fontId="1" fillId="0" borderId="0"/>
    <xf numFmtId="172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7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59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172" fontId="22" fillId="0" borderId="0"/>
    <xf numFmtId="172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175" fontId="1" fillId="0" borderId="0"/>
    <xf numFmtId="173" fontId="1" fillId="0" borderId="0"/>
    <xf numFmtId="173" fontId="1" fillId="0" borderId="0"/>
    <xf numFmtId="0" fontId="1" fillId="0" borderId="0"/>
    <xf numFmtId="0" fontId="22" fillId="0" borderId="0"/>
    <xf numFmtId="0" fontId="5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173" fontId="22" fillId="0" borderId="0">
      <alignment wrapText="1"/>
    </xf>
    <xf numFmtId="0" fontId="33" fillId="87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0" fontId="22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0" fontId="22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1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0" fontId="5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5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22" fillId="0" borderId="0"/>
    <xf numFmtId="173" fontId="1" fillId="0" borderId="0"/>
    <xf numFmtId="173" fontId="1" fillId="0" borderId="0"/>
    <xf numFmtId="174" fontId="1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172" fontId="22" fillId="0" borderId="0"/>
    <xf numFmtId="172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8" fillId="0" borderId="0"/>
    <xf numFmtId="0" fontId="28" fillId="0" borderId="0"/>
    <xf numFmtId="0" fontId="28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7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0" fontId="28" fillId="0" borderId="0"/>
    <xf numFmtId="0" fontId="28" fillId="0" borderId="0"/>
    <xf numFmtId="172" fontId="22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2" fontId="22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10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0" fontId="33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2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0" fontId="1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2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2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12" fillId="0" borderId="0"/>
    <xf numFmtId="0" fontId="112" fillId="0" borderId="0"/>
    <xf numFmtId="0" fontId="1" fillId="0" borderId="0"/>
    <xf numFmtId="173" fontId="1" fillId="0" borderId="0"/>
    <xf numFmtId="173" fontId="1" fillId="0" borderId="0"/>
    <xf numFmtId="0" fontId="112" fillId="0" borderId="0"/>
    <xf numFmtId="0" fontId="1" fillId="0" borderId="0"/>
    <xf numFmtId="173" fontId="1" fillId="0" borderId="0"/>
    <xf numFmtId="172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41" fillId="37" borderId="0">
      <protection locked="0"/>
    </xf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7" fillId="46" borderId="34" applyNumberFormat="0" applyFont="0" applyAlignment="0" applyProtection="0"/>
    <xf numFmtId="0" fontId="1" fillId="8" borderId="8" applyNumberFormat="0" applyFont="0" applyAlignment="0" applyProtection="0"/>
    <xf numFmtId="172" fontId="22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0" fontId="1" fillId="8" borderId="8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2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172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33" fillId="75" borderId="35" applyNumberFormat="0" applyFont="0" applyAlignment="0" applyProtection="0"/>
    <xf numFmtId="0" fontId="22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0" fontId="22" fillId="46" borderId="34" applyNumberFormat="0" applyFont="0" applyAlignment="0" applyProtection="0"/>
    <xf numFmtId="174" fontId="27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0" fontId="22" fillId="0" borderId="0"/>
    <xf numFmtId="172" fontId="22" fillId="0" borderId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80" borderId="36" applyNumberFormat="0" applyAlignment="0" applyProtection="0"/>
    <xf numFmtId="0" fontId="113" fillId="79" borderId="36" applyNumberFormat="0" applyAlignment="0" applyProtection="0"/>
    <xf numFmtId="172" fontId="113" fillId="80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80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80" borderId="36" applyNumberFormat="0" applyAlignment="0" applyProtection="0"/>
    <xf numFmtId="0" fontId="113" fillId="80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80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80" borderId="36" applyNumberFormat="0" applyAlignment="0" applyProtection="0"/>
    <xf numFmtId="0" fontId="113" fillId="80" borderId="36" applyNumberFormat="0" applyAlignment="0" applyProtection="0"/>
    <xf numFmtId="0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0" fontId="114" fillId="6" borderId="5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0" fontId="114" fillId="6" borderId="5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0" fontId="41" fillId="36" borderId="0">
      <protection locked="0"/>
    </xf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97" fontId="3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72" fontId="115" fillId="88" borderId="0"/>
    <xf numFmtId="172" fontId="115" fillId="88" borderId="0"/>
    <xf numFmtId="173" fontId="115" fillId="88" borderId="0"/>
    <xf numFmtId="198" fontId="33" fillId="0" borderId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4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4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4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5" fontId="61" fillId="0" borderId="0" applyFont="0" applyFill="0" applyBorder="0" applyAlignment="0" applyProtection="0"/>
    <xf numFmtId="15" fontId="61" fillId="0" borderId="0" applyFont="0" applyFill="0" applyBorder="0" applyAlignment="0" applyProtection="0"/>
    <xf numFmtId="15" fontId="61" fillId="0" borderId="0" applyFont="0" applyFill="0" applyBorder="0" applyAlignment="0" applyProtection="0"/>
    <xf numFmtId="4" fontId="61" fillId="0" borderId="0" applyFont="0" applyFill="0" applyBorder="0" applyAlignment="0" applyProtection="0"/>
    <xf numFmtId="4" fontId="61" fillId="0" borderId="0" applyFont="0" applyFill="0" applyBorder="0" applyAlignment="0" applyProtection="0"/>
    <xf numFmtId="4" fontId="61" fillId="0" borderId="0" applyFont="0" applyFill="0" applyBorder="0" applyAlignment="0" applyProtection="0"/>
    <xf numFmtId="0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174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174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174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0" fontId="116" fillId="0" borderId="37">
      <alignment horizontal="center"/>
    </xf>
    <xf numFmtId="3" fontId="61" fillId="0" borderId="0" applyFont="0" applyFill="0" applyBorder="0" applyAlignment="0" applyProtection="0"/>
    <xf numFmtId="3" fontId="61" fillId="0" borderId="0" applyFont="0" applyFill="0" applyBorder="0" applyAlignment="0" applyProtection="0"/>
    <xf numFmtId="3" fontId="61" fillId="0" borderId="0" applyFont="0" applyFill="0" applyBorder="0" applyAlignment="0" applyProtection="0"/>
    <xf numFmtId="0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4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4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4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2" fontId="59" fillId="0" borderId="11" applyNumberFormat="0" applyBorder="0"/>
    <xf numFmtId="172" fontId="59" fillId="0" borderId="11" applyNumberFormat="0" applyBorder="0"/>
    <xf numFmtId="173" fontId="59" fillId="0" borderId="11" applyNumberFormat="0" applyBorder="0"/>
    <xf numFmtId="199" fontId="22" fillId="0" borderId="0" applyFont="0" applyFill="0" applyBorder="0" applyAlignment="0" applyProtection="0"/>
    <xf numFmtId="0" fontId="22" fillId="0" borderId="38" applyNumberFormat="0" applyFont="0" applyFill="0" applyAlignment="0" applyProtection="0"/>
    <xf numFmtId="0" fontId="22" fillId="0" borderId="39" applyNumberFormat="0" applyFont="0" applyFill="0" applyAlignment="0" applyProtection="0"/>
    <xf numFmtId="0" fontId="22" fillId="0" borderId="40" applyNumberFormat="0" applyFont="0" applyFill="0" applyAlignment="0" applyProtection="0"/>
    <xf numFmtId="0" fontId="22" fillId="0" borderId="41" applyNumberFormat="0" applyFont="0" applyFill="0" applyAlignment="0" applyProtection="0"/>
    <xf numFmtId="0" fontId="22" fillId="0" borderId="42" applyNumberFormat="0" applyFont="0" applyFill="0" applyAlignment="0" applyProtection="0"/>
    <xf numFmtId="0" fontId="22" fillId="80" borderId="0" applyNumberFormat="0" applyFont="0" applyBorder="0" applyAlignment="0" applyProtection="0"/>
    <xf numFmtId="0" fontId="22" fillId="0" borderId="43" applyNumberFormat="0" applyFont="0" applyFill="0" applyAlignment="0" applyProtection="0"/>
    <xf numFmtId="0" fontId="22" fillId="0" borderId="44" applyNumberFormat="0" applyFont="0" applyFill="0" applyAlignment="0" applyProtection="0"/>
    <xf numFmtId="46" fontId="2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22" fillId="0" borderId="45" applyNumberFormat="0" applyFont="0" applyFill="0" applyAlignment="0" applyProtection="0"/>
    <xf numFmtId="0" fontId="22" fillId="0" borderId="46" applyNumberFormat="0" applyFont="0" applyFill="0" applyAlignment="0" applyProtection="0"/>
    <xf numFmtId="0" fontId="22" fillId="0" borderId="34" applyNumberFormat="0" applyFont="0" applyFill="0" applyAlignment="0" applyProtection="0"/>
    <xf numFmtId="0" fontId="22" fillId="0" borderId="47" applyNumberFormat="0" applyFont="0" applyFill="0" applyAlignment="0" applyProtection="0"/>
    <xf numFmtId="0" fontId="22" fillId="0" borderId="34" applyNumberFormat="0" applyFont="0" applyFill="0" applyAlignment="0" applyProtection="0"/>
    <xf numFmtId="0" fontId="22" fillId="0" borderId="0" applyNumberFormat="0" applyFont="0" applyFill="0" applyBorder="0" applyProtection="0">
      <alignment horizontal="center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66" fillId="0" borderId="0" applyNumberFormat="0" applyFill="0" applyBorder="0" applyProtection="0">
      <alignment horizontal="left"/>
    </xf>
    <xf numFmtId="0" fontId="22" fillId="80" borderId="0" applyNumberFormat="0" applyFont="0" applyBorder="0" applyAlignment="0" applyProtection="0"/>
    <xf numFmtId="0" fontId="11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22" fillId="0" borderId="48" applyNumberFormat="0" applyFont="0" applyFill="0" applyAlignment="0" applyProtection="0"/>
    <xf numFmtId="0" fontId="22" fillId="0" borderId="49" applyNumberFormat="0" applyFont="0" applyFill="0" applyAlignment="0" applyProtection="0"/>
    <xf numFmtId="200" fontId="22" fillId="0" borderId="0" applyFont="0" applyFill="0" applyBorder="0" applyAlignment="0" applyProtection="0"/>
    <xf numFmtId="0" fontId="22" fillId="0" borderId="50" applyNumberFormat="0" applyFont="0" applyFill="0" applyAlignment="0" applyProtection="0"/>
    <xf numFmtId="0" fontId="22" fillId="0" borderId="51" applyNumberFormat="0" applyFont="0" applyFill="0" applyAlignment="0" applyProtection="0"/>
    <xf numFmtId="0" fontId="22" fillId="0" borderId="52" applyNumberFormat="0" applyFont="0" applyFill="0" applyAlignment="0" applyProtection="0"/>
    <xf numFmtId="0" fontId="22" fillId="0" borderId="53" applyNumberFormat="0" applyFont="0" applyFill="0" applyAlignment="0" applyProtection="0"/>
    <xf numFmtId="0" fontId="22" fillId="0" borderId="54" applyNumberFormat="0" applyFont="0" applyFill="0" applyAlignment="0" applyProtection="0"/>
    <xf numFmtId="0" fontId="32" fillId="0" borderId="0">
      <alignment horizontal="center"/>
    </xf>
    <xf numFmtId="0" fontId="32" fillId="0" borderId="0">
      <alignment horizont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0" fontId="123" fillId="51" borderId="55" applyNumberFormat="0" applyProtection="0">
      <alignment horizontal="left" vertical="top" indent="1"/>
    </xf>
    <xf numFmtId="4" fontId="124" fillId="92" borderId="0">
      <alignment horizontal="left" vertical="center" indent="1"/>
    </xf>
    <xf numFmtId="4" fontId="125" fillId="93" borderId="0">
      <alignment horizontal="left" vertical="center" indent="1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0" fillId="102" borderId="0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102" borderId="0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92" borderId="0">
      <alignment horizontal="left" vertical="center" indent="1"/>
    </xf>
    <xf numFmtId="4" fontId="120" fillId="92" borderId="0">
      <alignment horizontal="left" vertical="center" indent="1"/>
    </xf>
    <xf numFmtId="4" fontId="120" fillId="92" borderId="0">
      <alignment horizontal="left" vertical="center" indent="1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4" fillId="102" borderId="0" applyFill="0">
      <alignment horizontal="left" vertical="center" indent="1"/>
    </xf>
    <xf numFmtId="4" fontId="124" fillId="102" borderId="0" applyFill="0">
      <alignment horizontal="left" vertical="center" indent="1"/>
    </xf>
    <xf numFmtId="4" fontId="50" fillId="92" borderId="0">
      <alignment horizontal="left" vertical="center" indent="1"/>
    </xf>
    <xf numFmtId="4" fontId="50" fillId="92" borderId="0">
      <alignment horizontal="left" vertical="center" indent="1"/>
    </xf>
    <xf numFmtId="0" fontId="33" fillId="79" borderId="35" applyNumberFormat="0" applyProtection="0">
      <alignment horizontal="left" vertical="center" indent="1"/>
    </xf>
    <xf numFmtId="0" fontId="33" fillId="72" borderId="55" applyNumberFormat="0" applyProtection="0">
      <alignment horizontal="left" vertical="top" indent="1"/>
    </xf>
    <xf numFmtId="0" fontId="33" fillId="103" borderId="35" applyNumberFormat="0" applyProtection="0">
      <alignment horizontal="left" vertical="center" indent="1"/>
    </xf>
    <xf numFmtId="0" fontId="33" fillId="104" borderId="55" applyNumberFormat="0" applyProtection="0">
      <alignment horizontal="left" vertical="top" indent="1"/>
    </xf>
    <xf numFmtId="0" fontId="33" fillId="42" borderId="35" applyNumberFormat="0" applyProtection="0">
      <alignment horizontal="left" vertical="center" indent="1"/>
    </xf>
    <xf numFmtId="0" fontId="33" fillId="42" borderId="55" applyNumberFormat="0" applyProtection="0">
      <alignment horizontal="left" vertical="top" indent="1"/>
    </xf>
    <xf numFmtId="0" fontId="33" fillId="105" borderId="35" applyNumberFormat="0" applyProtection="0">
      <alignment horizontal="left" vertical="center" indent="1"/>
    </xf>
    <xf numFmtId="0" fontId="33" fillId="105" borderId="55" applyNumberFormat="0" applyProtection="0">
      <alignment horizontal="left" vertical="top" indent="1"/>
    </xf>
    <xf numFmtId="0" fontId="33" fillId="80" borderId="58" applyNumberFormat="0">
      <protection locked="0"/>
    </xf>
    <xf numFmtId="0" fontId="33" fillId="80" borderId="58" applyNumberFormat="0">
      <protection locked="0"/>
    </xf>
    <xf numFmtId="0" fontId="23" fillId="72" borderId="59" applyBorder="0"/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0" fontId="130" fillId="46" borderId="55" applyNumberFormat="0" applyProtection="0">
      <alignment horizontal="left" vertical="top" inden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40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0" fontId="130" fillId="104" borderId="55" applyNumberFormat="0" applyProtection="0">
      <alignment horizontal="left" vertical="top" indent="1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0" fontId="33" fillId="109" borderId="57"/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37" fontId="22" fillId="110" borderId="61" applyBorder="0"/>
    <xf numFmtId="0" fontId="134" fillId="0" borderId="0" applyNumberFormat="0" applyFill="0" applyBorder="0" applyAlignment="0" applyProtection="0"/>
    <xf numFmtId="201" fontId="37" fillId="0" borderId="0" applyFont="0" applyFill="0" applyBorder="0" applyAlignment="0" applyProtection="0"/>
    <xf numFmtId="172" fontId="22" fillId="111" borderId="62" applyBorder="0"/>
    <xf numFmtId="0" fontId="135" fillId="0" borderId="0"/>
    <xf numFmtId="0" fontId="135" fillId="0" borderId="0"/>
    <xf numFmtId="0" fontId="135" fillId="0" borderId="0"/>
    <xf numFmtId="173" fontId="135" fillId="0" borderId="0"/>
    <xf numFmtId="173" fontId="135" fillId="0" borderId="0"/>
    <xf numFmtId="174" fontId="135" fillId="0" borderId="0"/>
    <xf numFmtId="0" fontId="135" fillId="0" borderId="0"/>
    <xf numFmtId="173" fontId="135" fillId="0" borderId="0"/>
    <xf numFmtId="173" fontId="135" fillId="0" borderId="0"/>
    <xf numFmtId="173" fontId="135" fillId="0" borderId="0"/>
    <xf numFmtId="174" fontId="135" fillId="0" borderId="0"/>
    <xf numFmtId="0" fontId="135" fillId="0" borderId="0"/>
    <xf numFmtId="173" fontId="135" fillId="0" borderId="0"/>
    <xf numFmtId="173" fontId="135" fillId="0" borderId="0"/>
    <xf numFmtId="173" fontId="135" fillId="0" borderId="0"/>
    <xf numFmtId="174" fontId="135" fillId="0" borderId="0"/>
    <xf numFmtId="0" fontId="135" fillId="0" borderId="0"/>
    <xf numFmtId="173" fontId="135" fillId="0" borderId="0"/>
    <xf numFmtId="38" fontId="21" fillId="0" borderId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38" fontId="21" fillId="0" borderId="0" applyProtection="0"/>
    <xf numFmtId="38" fontId="21" fillId="0" borderId="0" applyProtection="0"/>
    <xf numFmtId="38" fontId="136" fillId="0" borderId="0"/>
    <xf numFmtId="202" fontId="89" fillId="0" borderId="0"/>
    <xf numFmtId="0" fontId="135" fillId="112" borderId="0" applyNumberFormat="0" applyFont="0" applyAlignment="0"/>
    <xf numFmtId="0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4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4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4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49" fontId="50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0" fontId="137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174" fontId="137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170" fontId="2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53" fillId="0" borderId="63" applyNumberFormat="0" applyFont="0" applyFill="0" applyAlignment="0" applyProtection="0"/>
    <xf numFmtId="0" fontId="62" fillId="0" borderId="64" applyNumberFormat="0" applyFill="0" applyAlignment="0" applyProtection="0"/>
    <xf numFmtId="175" fontId="62" fillId="0" borderId="65" applyNumberFormat="0" applyFill="0" applyAlignment="0" applyProtection="0"/>
    <xf numFmtId="172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0" fontId="62" fillId="0" borderId="65" applyNumberFormat="0" applyFill="0" applyAlignment="0" applyProtection="0"/>
    <xf numFmtId="173" fontId="22" fillId="0" borderId="63" applyNumberFormat="0" applyFon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172" fontId="62" fillId="0" borderId="64" applyNumberFormat="0" applyFill="0" applyAlignment="0" applyProtection="0"/>
    <xf numFmtId="173" fontId="22" fillId="0" borderId="63" applyNumberFormat="0" applyFont="0" applyFill="0" applyAlignment="0" applyProtection="0"/>
    <xf numFmtId="0" fontId="62" fillId="0" borderId="64" applyNumberFormat="0" applyFill="0" applyAlignment="0" applyProtection="0"/>
    <xf numFmtId="0" fontId="53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5" fontId="62" fillId="0" borderId="65" applyNumberFormat="0" applyFill="0" applyAlignment="0" applyProtection="0"/>
    <xf numFmtId="173" fontId="22" fillId="0" borderId="63" applyNumberFormat="0" applyFon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0" fontId="62" fillId="0" borderId="64" applyNumberFormat="0" applyFill="0" applyAlignment="0" applyProtection="0"/>
    <xf numFmtId="0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0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0" fontId="62" fillId="0" borderId="64" applyNumberFormat="0" applyFill="0" applyAlignment="0" applyProtection="0"/>
    <xf numFmtId="0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0" fontId="138" fillId="0" borderId="9" applyNumberForma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0" fontId="138" fillId="0" borderId="9" applyNumberForma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0" fontId="98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74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73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172" fontId="98" fillId="0" borderId="0" applyNumberFormat="0" applyFill="0" applyBorder="0" applyAlignment="0" applyProtection="0"/>
  </cellStyleXfs>
  <cellXfs count="88">
    <xf numFmtId="0" fontId="0" fillId="0" borderId="0" xfId="0"/>
    <xf numFmtId="0" fontId="16" fillId="0" borderId="0" xfId="4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18" fillId="0" borderId="11" xfId="0" applyFont="1" applyBorder="1"/>
    <xf numFmtId="0" fontId="18" fillId="0" borderId="12" xfId="0" applyFont="1" applyBorder="1" applyAlignment="1">
      <alignment horizontal="center"/>
    </xf>
    <xf numFmtId="0" fontId="0" fillId="0" borderId="11" xfId="0" applyBorder="1" applyAlignment="1">
      <alignment horizontal="left"/>
    </xf>
    <xf numFmtId="166" fontId="0" fillId="0" borderId="0" xfId="2" applyNumberFormat="1" applyFont="1"/>
    <xf numFmtId="0" fontId="18" fillId="0" borderId="0" xfId="0" applyFont="1" applyFill="1" applyBorder="1" applyAlignment="1">
      <alignment horizontal="left"/>
    </xf>
    <xf numFmtId="0" fontId="18" fillId="33" borderId="13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0" fillId="35" borderId="13" xfId="0" applyFill="1" applyBorder="1" applyAlignment="1">
      <alignment horizontal="left" vertical="center"/>
    </xf>
    <xf numFmtId="0" fontId="0" fillId="0" borderId="13" xfId="0" applyBorder="1" applyAlignment="1">
      <alignment horizontal="center"/>
    </xf>
    <xf numFmtId="43" fontId="0" fillId="0" borderId="13" xfId="1" applyFont="1" applyBorder="1"/>
    <xf numFmtId="167" fontId="0" fillId="0" borderId="13" xfId="2" applyNumberFormat="1" applyFont="1" applyBorder="1"/>
    <xf numFmtId="0" fontId="0" fillId="0" borderId="13" xfId="0" applyBorder="1" applyAlignment="1">
      <alignment horizontal="left"/>
    </xf>
    <xf numFmtId="167" fontId="0" fillId="0" borderId="13" xfId="2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3" fontId="0" fillId="0" borderId="13" xfId="1" applyNumberFormat="1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wrapText="1"/>
    </xf>
    <xf numFmtId="0" fontId="19" fillId="0" borderId="0" xfId="0" applyFont="1"/>
    <xf numFmtId="0" fontId="19" fillId="33" borderId="13" xfId="0" applyFont="1" applyFill="1" applyBorder="1" applyAlignment="1">
      <alignment horizontal="left"/>
    </xf>
    <xf numFmtId="0" fontId="19" fillId="33" borderId="13" xfId="0" applyFont="1" applyFill="1" applyBorder="1" applyAlignment="1">
      <alignment horizontal="left" vertical="center" wrapText="1"/>
    </xf>
    <xf numFmtId="167" fontId="19" fillId="0" borderId="0" xfId="2" applyNumberFormat="1" applyFont="1"/>
    <xf numFmtId="2" fontId="19" fillId="0" borderId="0" xfId="0" applyNumberFormat="1" applyFont="1"/>
    <xf numFmtId="0" fontId="19" fillId="0" borderId="0" xfId="0" applyFont="1" applyAlignment="1"/>
    <xf numFmtId="44" fontId="19" fillId="0" borderId="17" xfId="0" applyNumberFormat="1" applyFont="1" applyBorder="1"/>
    <xf numFmtId="0" fontId="19" fillId="35" borderId="13" xfId="0" applyFont="1" applyFill="1" applyBorder="1"/>
    <xf numFmtId="0" fontId="19" fillId="35" borderId="13" xfId="0" applyFont="1" applyFill="1" applyBorder="1" applyAlignment="1">
      <alignment horizontal="center" vertical="center" wrapText="1"/>
    </xf>
    <xf numFmtId="44" fontId="19" fillId="0" borderId="13" xfId="0" applyNumberFormat="1" applyFont="1" applyBorder="1"/>
    <xf numFmtId="2" fontId="19" fillId="0" borderId="13" xfId="0" applyNumberFormat="1" applyFont="1" applyBorder="1"/>
    <xf numFmtId="168" fontId="19" fillId="0" borderId="13" xfId="1" applyNumberFormat="1" applyFont="1" applyBorder="1"/>
    <xf numFmtId="2" fontId="19" fillId="34" borderId="13" xfId="0" applyNumberFormat="1" applyFont="1" applyFill="1" applyBorder="1"/>
    <xf numFmtId="0" fontId="19" fillId="0" borderId="13" xfId="0" applyFont="1" applyBorder="1" applyAlignment="1"/>
    <xf numFmtId="0" fontId="19" fillId="33" borderId="13" xfId="0" applyFont="1" applyFill="1" applyBorder="1" applyAlignment="1"/>
    <xf numFmtId="0" fontId="19" fillId="0" borderId="0" xfId="0" applyFont="1" applyAlignment="1">
      <alignment wrapText="1"/>
    </xf>
    <xf numFmtId="170" fontId="19" fillId="0" borderId="0" xfId="0" applyNumberFormat="1" applyFont="1"/>
    <xf numFmtId="171" fontId="19" fillId="36" borderId="13" xfId="3" applyNumberFormat="1" applyFont="1" applyFill="1" applyBorder="1" applyAlignment="1">
      <alignment horizontal="center" vertical="center"/>
    </xf>
    <xf numFmtId="171" fontId="19" fillId="37" borderId="13" xfId="3" applyNumberFormat="1" applyFont="1" applyFill="1" applyBorder="1" applyAlignment="1">
      <alignment horizontal="center" vertical="center"/>
    </xf>
    <xf numFmtId="171" fontId="19" fillId="0" borderId="1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167" fontId="19" fillId="0" borderId="0" xfId="0" applyNumberFormat="1" applyFont="1"/>
    <xf numFmtId="171" fontId="19" fillId="38" borderId="13" xfId="3" applyNumberFormat="1" applyFont="1" applyFill="1" applyBorder="1" applyAlignment="1">
      <alignment horizontal="center" vertical="center"/>
    </xf>
    <xf numFmtId="171" fontId="19" fillId="0" borderId="13" xfId="3" applyNumberFormat="1" applyFont="1" applyBorder="1" applyAlignment="1">
      <alignment horizontal="center" vertical="center"/>
    </xf>
    <xf numFmtId="0" fontId="0" fillId="0" borderId="0" xfId="0" applyAlignment="1"/>
    <xf numFmtId="171" fontId="19" fillId="0" borderId="0" xfId="0" applyNumberFormat="1" applyFont="1"/>
    <xf numFmtId="43" fontId="19" fillId="0" borderId="13" xfId="1" applyFont="1" applyBorder="1"/>
    <xf numFmtId="0" fontId="0" fillId="0" borderId="0" xfId="0" applyAlignment="1">
      <alignment horizontal="left" indent="1"/>
    </xf>
    <xf numFmtId="167" fontId="19" fillId="0" borderId="13" xfId="2" applyNumberFormat="1" applyFont="1" applyBorder="1"/>
    <xf numFmtId="167" fontId="19" fillId="34" borderId="13" xfId="2" applyNumberFormat="1" applyFont="1" applyFill="1" applyBorder="1"/>
    <xf numFmtId="0" fontId="0" fillId="0" borderId="57" xfId="0" applyBorder="1"/>
    <xf numFmtId="169" fontId="19" fillId="0" borderId="17" xfId="0" applyNumberFormat="1" applyFont="1" applyBorder="1"/>
    <xf numFmtId="169" fontId="19" fillId="0" borderId="13" xfId="0" applyNumberFormat="1" applyFont="1" applyBorder="1"/>
    <xf numFmtId="0" fontId="18" fillId="35" borderId="13" xfId="0" applyFont="1" applyFill="1" applyBorder="1" applyAlignment="1">
      <alignment vertical="center"/>
    </xf>
    <xf numFmtId="169" fontId="19" fillId="0" borderId="0" xfId="2" applyNumberFormat="1" applyFont="1"/>
    <xf numFmtId="0" fontId="140" fillId="0" borderId="0" xfId="4" applyFont="1"/>
    <xf numFmtId="0" fontId="19" fillId="33" borderId="13" xfId="0" applyFont="1" applyFill="1" applyBorder="1" applyAlignment="1">
      <alignment horizontal="left" vertical="center"/>
    </xf>
    <xf numFmtId="43" fontId="0" fillId="0" borderId="0" xfId="1" applyFont="1"/>
    <xf numFmtId="169" fontId="0" fillId="0" borderId="57" xfId="2" applyNumberFormat="1" applyFont="1" applyBorder="1"/>
    <xf numFmtId="9" fontId="0" fillId="35" borderId="14" xfId="0" applyNumberFormat="1" applyFill="1" applyBorder="1" applyAlignment="1">
      <alignment horizontal="center"/>
    </xf>
    <xf numFmtId="9" fontId="0" fillId="35" borderId="67" xfId="0" applyNumberFormat="1" applyFill="1" applyBorder="1" applyAlignment="1">
      <alignment horizontal="center"/>
    </xf>
    <xf numFmtId="0" fontId="0" fillId="34" borderId="57" xfId="0" applyFill="1" applyBorder="1" applyAlignment="1">
      <alignment wrapText="1"/>
    </xf>
    <xf numFmtId="167" fontId="0" fillId="0" borderId="66" xfId="2" applyNumberFormat="1" applyFont="1" applyFill="1" applyBorder="1"/>
    <xf numFmtId="0" fontId="0" fillId="0" borderId="57" xfId="0" applyBorder="1" applyAlignment="1">
      <alignment vertical="center"/>
    </xf>
    <xf numFmtId="0" fontId="0" fillId="0" borderId="57" xfId="0" applyBorder="1" applyAlignment="1">
      <alignment vertical="center" wrapText="1"/>
    </xf>
    <xf numFmtId="0" fontId="0" fillId="35" borderId="57" xfId="0" applyFill="1" applyBorder="1" applyAlignment="1">
      <alignment vertical="center"/>
    </xf>
    <xf numFmtId="0" fontId="0" fillId="35" borderId="57" xfId="0" applyFill="1" applyBorder="1" applyAlignment="1">
      <alignment horizontal="left" vertical="center" wrapText="1"/>
    </xf>
    <xf numFmtId="0" fontId="19" fillId="0" borderId="57" xfId="0" applyFont="1" applyBorder="1" applyAlignment="1">
      <alignment vertical="center" wrapText="1"/>
    </xf>
    <xf numFmtId="2" fontId="0" fillId="0" borderId="0" xfId="0" applyNumberFormat="1"/>
    <xf numFmtId="7" fontId="0" fillId="0" borderId="0" xfId="0" applyNumberFormat="1"/>
    <xf numFmtId="0" fontId="0" fillId="34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wrapText="1"/>
    </xf>
    <xf numFmtId="203" fontId="0" fillId="0" borderId="13" xfId="1" applyNumberFormat="1" applyFont="1" applyBorder="1" applyAlignment="1">
      <alignment horizontal="center"/>
    </xf>
    <xf numFmtId="0" fontId="19" fillId="35" borderId="14" xfId="0" applyFont="1" applyFill="1" applyBorder="1" applyAlignment="1">
      <alignment horizontal="center" vertical="center"/>
    </xf>
    <xf numFmtId="0" fontId="19" fillId="35" borderId="15" xfId="0" applyFont="1" applyFill="1" applyBorder="1" applyAlignment="1">
      <alignment horizontal="center" vertical="center"/>
    </xf>
    <xf numFmtId="0" fontId="19" fillId="35" borderId="16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</cellXfs>
  <cellStyles count="59029">
    <cellStyle name=" 1" xfId="5"/>
    <cellStyle name=" 1 2" xfId="6"/>
    <cellStyle name=" 10" xfId="7"/>
    <cellStyle name=" 10 2" xfId="8"/>
    <cellStyle name=" 10 2 2" xfId="9"/>
    <cellStyle name=" 10 2 3" xfId="10"/>
    <cellStyle name=" 10 3" xfId="11"/>
    <cellStyle name=" 10 4" xfId="12"/>
    <cellStyle name=" 11" xfId="13"/>
    <cellStyle name=" 11 2" xfId="14"/>
    <cellStyle name=" 11 2 2" xfId="15"/>
    <cellStyle name=" 11 2 3" xfId="16"/>
    <cellStyle name=" 11 3" xfId="17"/>
    <cellStyle name=" 11 4" xfId="18"/>
    <cellStyle name=" 12" xfId="19"/>
    <cellStyle name=" 12 2" xfId="20"/>
    <cellStyle name=" 12 3" xfId="21"/>
    <cellStyle name=" 13" xfId="22"/>
    <cellStyle name=" 13 2" xfId="23"/>
    <cellStyle name=" 13 3" xfId="24"/>
    <cellStyle name=" 14" xfId="25"/>
    <cellStyle name=" 14 2" xfId="26"/>
    <cellStyle name=" 14 3" xfId="27"/>
    <cellStyle name=" 15" xfId="28"/>
    <cellStyle name=" 16" xfId="29"/>
    <cellStyle name=" 17" xfId="30"/>
    <cellStyle name=" 18" xfId="31"/>
    <cellStyle name=" 19" xfId="32"/>
    <cellStyle name=" 19 2" xfId="33"/>
    <cellStyle name=" 19 3" xfId="34"/>
    <cellStyle name=" 2" xfId="35"/>
    <cellStyle name=" 20" xfId="36"/>
    <cellStyle name=" 20 2" xfId="37"/>
    <cellStyle name=" 20 3" xfId="38"/>
    <cellStyle name=" 21" xfId="39"/>
    <cellStyle name=" 21 2" xfId="40"/>
    <cellStyle name=" 21 3" xfId="41"/>
    <cellStyle name=" 22" xfId="42"/>
    <cellStyle name=" 22 2" xfId="43"/>
    <cellStyle name=" 22 3" xfId="44"/>
    <cellStyle name=" 23" xfId="45"/>
    <cellStyle name=" 24" xfId="46"/>
    <cellStyle name=" 25" xfId="47"/>
    <cellStyle name=" 26" xfId="48"/>
    <cellStyle name=" 27" xfId="49"/>
    <cellStyle name=" 28" xfId="50"/>
    <cellStyle name=" 29" xfId="51"/>
    <cellStyle name=" 29 2" xfId="52"/>
    <cellStyle name=" 29 3" xfId="53"/>
    <cellStyle name=" 3" xfId="54"/>
    <cellStyle name=" 30" xfId="55"/>
    <cellStyle name=" 30 2" xfId="56"/>
    <cellStyle name=" 30 3" xfId="57"/>
    <cellStyle name=" 31" xfId="58"/>
    <cellStyle name=" 31 2" xfId="59"/>
    <cellStyle name=" 31 3" xfId="60"/>
    <cellStyle name=" 32" xfId="61"/>
    <cellStyle name=" 32 2" xfId="62"/>
    <cellStyle name=" 32 3" xfId="63"/>
    <cellStyle name=" 33" xfId="64"/>
    <cellStyle name=" 33 2" xfId="65"/>
    <cellStyle name=" 33 3" xfId="66"/>
    <cellStyle name=" 34" xfId="67"/>
    <cellStyle name=" 34 2" xfId="68"/>
    <cellStyle name=" 34 3" xfId="69"/>
    <cellStyle name=" 35" xfId="70"/>
    <cellStyle name=" 35 2" xfId="71"/>
    <cellStyle name=" 35 3" xfId="72"/>
    <cellStyle name=" 36" xfId="73"/>
    <cellStyle name=" 36 2" xfId="74"/>
    <cellStyle name=" 36 3" xfId="75"/>
    <cellStyle name=" 37" xfId="76"/>
    <cellStyle name=" 38" xfId="77"/>
    <cellStyle name=" 39" xfId="78"/>
    <cellStyle name=" 4" xfId="79"/>
    <cellStyle name=" 4 2" xfId="80"/>
    <cellStyle name=" 4 2 2" xfId="81"/>
    <cellStyle name=" 4 2 3" xfId="82"/>
    <cellStyle name=" 40" xfId="83"/>
    <cellStyle name=" 41" xfId="84"/>
    <cellStyle name=" 41 2" xfId="85"/>
    <cellStyle name=" 41 3" xfId="86"/>
    <cellStyle name=" 42" xfId="87"/>
    <cellStyle name=" 42 2" xfId="88"/>
    <cellStyle name=" 42 3" xfId="89"/>
    <cellStyle name=" 43" xfId="90"/>
    <cellStyle name=" 43 2" xfId="91"/>
    <cellStyle name=" 43 3" xfId="92"/>
    <cellStyle name=" 44" xfId="93"/>
    <cellStyle name=" 44 2" xfId="94"/>
    <cellStyle name=" 44 3" xfId="95"/>
    <cellStyle name=" 5" xfId="96"/>
    <cellStyle name=" 5 2" xfId="97"/>
    <cellStyle name=" 5 2 2" xfId="98"/>
    <cellStyle name=" 5 2 3" xfId="99"/>
    <cellStyle name=" 6" xfId="100"/>
    <cellStyle name=" 6 2" xfId="101"/>
    <cellStyle name=" 6 2 2" xfId="102"/>
    <cellStyle name=" 6 2 3" xfId="103"/>
    <cellStyle name=" 7" xfId="104"/>
    <cellStyle name=" 7 2" xfId="105"/>
    <cellStyle name=" 7 2 2" xfId="106"/>
    <cellStyle name=" 7 2 3" xfId="107"/>
    <cellStyle name=" 7 3" xfId="108"/>
    <cellStyle name=" 7 4" xfId="109"/>
    <cellStyle name=" 8" xfId="110"/>
    <cellStyle name=" 8 2" xfId="111"/>
    <cellStyle name=" 8 3" xfId="112"/>
    <cellStyle name=" 8 4" xfId="113"/>
    <cellStyle name=" 9" xfId="114"/>
    <cellStyle name=" 9 2" xfId="115"/>
    <cellStyle name=" 9 3" xfId="116"/>
    <cellStyle name=" 9 4" xfId="117"/>
    <cellStyle name="!top/bottom" xfId="118"/>
    <cellStyle name="!top/bottom 2" xfId="119"/>
    <cellStyle name="!top/bottom 2 2" xfId="120"/>
    <cellStyle name="!top/bottom 2 3" xfId="121"/>
    <cellStyle name="!top/bottom 3" xfId="122"/>
    <cellStyle name="!top/bottom 4" xfId="123"/>
    <cellStyle name="!user entry" xfId="124"/>
    <cellStyle name="!user entry 10" xfId="125"/>
    <cellStyle name="!user entry 10 2" xfId="126"/>
    <cellStyle name="!user entry 10 2 2" xfId="127"/>
    <cellStyle name="!user entry 10 2 2 2" xfId="128"/>
    <cellStyle name="!user entry 10 2 3" xfId="129"/>
    <cellStyle name="!user entry 10 3" xfId="130"/>
    <cellStyle name="!user entry 10 3 2" xfId="131"/>
    <cellStyle name="!user entry 10 3 2 2" xfId="132"/>
    <cellStyle name="!user entry 10 3 3" xfId="133"/>
    <cellStyle name="!user entry 10 4" xfId="134"/>
    <cellStyle name="!user entry 10 4 2" xfId="135"/>
    <cellStyle name="!user entry 10 5" xfId="136"/>
    <cellStyle name="!user entry 11" xfId="137"/>
    <cellStyle name="!user entry 11 2" xfId="138"/>
    <cellStyle name="!user entry 11 2 2" xfId="139"/>
    <cellStyle name="!user entry 11 2 2 2" xfId="140"/>
    <cellStyle name="!user entry 11 2 3" xfId="141"/>
    <cellStyle name="!user entry 11 3" xfId="142"/>
    <cellStyle name="!user entry 11 3 2" xfId="143"/>
    <cellStyle name="!user entry 11 3 2 2" xfId="144"/>
    <cellStyle name="!user entry 11 3 3" xfId="145"/>
    <cellStyle name="!user entry 11 4" xfId="146"/>
    <cellStyle name="!user entry 11 4 2" xfId="147"/>
    <cellStyle name="!user entry 11 5" xfId="148"/>
    <cellStyle name="!user entry 12" xfId="149"/>
    <cellStyle name="!user entry 12 2" xfId="150"/>
    <cellStyle name="!user entry 12 2 2" xfId="151"/>
    <cellStyle name="!user entry 12 3" xfId="152"/>
    <cellStyle name="!user entry 12 4" xfId="153"/>
    <cellStyle name="!user entry 12 5" xfId="154"/>
    <cellStyle name="!user entry 13" xfId="155"/>
    <cellStyle name="!user entry 13 2" xfId="156"/>
    <cellStyle name="!user entry 13 2 2" xfId="157"/>
    <cellStyle name="!user entry 13 3" xfId="158"/>
    <cellStyle name="!user entry 14" xfId="159"/>
    <cellStyle name="!user entry 14 2" xfId="160"/>
    <cellStyle name="!user entry 14 2 2" xfId="161"/>
    <cellStyle name="!user entry 14 3" xfId="162"/>
    <cellStyle name="!user entry 15" xfId="163"/>
    <cellStyle name="!user entry 15 2" xfId="164"/>
    <cellStyle name="!user entry 16" xfId="165"/>
    <cellStyle name="!user entry 2" xfId="166"/>
    <cellStyle name="!user entry 2 2" xfId="167"/>
    <cellStyle name="!user entry 2 2 2" xfId="168"/>
    <cellStyle name="!user entry 2 2 2 2" xfId="169"/>
    <cellStyle name="!user entry 2 2 3" xfId="170"/>
    <cellStyle name="!user entry 2 2 4" xfId="171"/>
    <cellStyle name="!user entry 2 2 5" xfId="172"/>
    <cellStyle name="!user entry 2 3" xfId="173"/>
    <cellStyle name="!user entry 2 3 2" xfId="174"/>
    <cellStyle name="!user entry 2 3 2 2" xfId="175"/>
    <cellStyle name="!user entry 2 3 3" xfId="176"/>
    <cellStyle name="!user entry 2 4" xfId="177"/>
    <cellStyle name="!user entry 2 4 2" xfId="178"/>
    <cellStyle name="!user entry 2 4 2 2" xfId="179"/>
    <cellStyle name="!user entry 2 4 3" xfId="180"/>
    <cellStyle name="!user entry 2 5" xfId="181"/>
    <cellStyle name="!user entry 2 5 2" xfId="182"/>
    <cellStyle name="!user entry 2 6" xfId="183"/>
    <cellStyle name="!user entry 3" xfId="184"/>
    <cellStyle name="!user entry 3 2" xfId="185"/>
    <cellStyle name="!user entry 3 2 2" xfId="186"/>
    <cellStyle name="!user entry 3 2 2 2" xfId="187"/>
    <cellStyle name="!user entry 3 2 3" xfId="188"/>
    <cellStyle name="!user entry 3 2 4" xfId="189"/>
    <cellStyle name="!user entry 3 2 5" xfId="190"/>
    <cellStyle name="!user entry 3 3" xfId="191"/>
    <cellStyle name="!user entry 3 3 2" xfId="192"/>
    <cellStyle name="!user entry 3 3 2 2" xfId="193"/>
    <cellStyle name="!user entry 3 3 3" xfId="194"/>
    <cellStyle name="!user entry 3 4" xfId="195"/>
    <cellStyle name="!user entry 3 4 2" xfId="196"/>
    <cellStyle name="!user entry 3 4 2 2" xfId="197"/>
    <cellStyle name="!user entry 3 4 3" xfId="198"/>
    <cellStyle name="!user entry 3 5" xfId="199"/>
    <cellStyle name="!user entry 3 5 2" xfId="200"/>
    <cellStyle name="!user entry 3 6" xfId="201"/>
    <cellStyle name="!user entry 4" xfId="202"/>
    <cellStyle name="!user entry 4 2" xfId="203"/>
    <cellStyle name="!user entry 4 2 2" xfId="204"/>
    <cellStyle name="!user entry 4 2 2 2" xfId="205"/>
    <cellStyle name="!user entry 4 2 3" xfId="206"/>
    <cellStyle name="!user entry 4 2 4" xfId="207"/>
    <cellStyle name="!user entry 4 2 5" xfId="208"/>
    <cellStyle name="!user entry 4 3" xfId="209"/>
    <cellStyle name="!user entry 4 3 2" xfId="210"/>
    <cellStyle name="!user entry 4 3 2 2" xfId="211"/>
    <cellStyle name="!user entry 4 3 3" xfId="212"/>
    <cellStyle name="!user entry 4 4" xfId="213"/>
    <cellStyle name="!user entry 4 4 2" xfId="214"/>
    <cellStyle name="!user entry 4 4 2 2" xfId="215"/>
    <cellStyle name="!user entry 4 4 3" xfId="216"/>
    <cellStyle name="!user entry 4 5" xfId="217"/>
    <cellStyle name="!user entry 4 5 2" xfId="218"/>
    <cellStyle name="!user entry 4 6" xfId="219"/>
    <cellStyle name="!user entry 5" xfId="220"/>
    <cellStyle name="!user entry 5 2" xfId="221"/>
    <cellStyle name="!user entry 5 2 2" xfId="222"/>
    <cellStyle name="!user entry 5 2 2 2" xfId="223"/>
    <cellStyle name="!user entry 5 2 3" xfId="224"/>
    <cellStyle name="!user entry 5 2 4" xfId="225"/>
    <cellStyle name="!user entry 5 2 5" xfId="226"/>
    <cellStyle name="!user entry 5 3" xfId="227"/>
    <cellStyle name="!user entry 5 3 2" xfId="228"/>
    <cellStyle name="!user entry 5 3 2 2" xfId="229"/>
    <cellStyle name="!user entry 5 3 3" xfId="230"/>
    <cellStyle name="!user entry 5 4" xfId="231"/>
    <cellStyle name="!user entry 5 4 2" xfId="232"/>
    <cellStyle name="!user entry 5 4 2 2" xfId="233"/>
    <cellStyle name="!user entry 5 4 3" xfId="234"/>
    <cellStyle name="!user entry 5 5" xfId="235"/>
    <cellStyle name="!user entry 5 5 2" xfId="236"/>
    <cellStyle name="!user entry 5 6" xfId="237"/>
    <cellStyle name="!user entry 6" xfId="238"/>
    <cellStyle name="!user entry 6 2" xfId="239"/>
    <cellStyle name="!user entry 6 2 2" xfId="240"/>
    <cellStyle name="!user entry 6 2 2 2" xfId="241"/>
    <cellStyle name="!user entry 6 2 3" xfId="242"/>
    <cellStyle name="!user entry 6 3" xfId="243"/>
    <cellStyle name="!user entry 6 3 2" xfId="244"/>
    <cellStyle name="!user entry 6 3 2 2" xfId="245"/>
    <cellStyle name="!user entry 6 3 3" xfId="246"/>
    <cellStyle name="!user entry 6 4" xfId="247"/>
    <cellStyle name="!user entry 6 4 2" xfId="248"/>
    <cellStyle name="!user entry 6 4 2 2" xfId="249"/>
    <cellStyle name="!user entry 6 4 3" xfId="250"/>
    <cellStyle name="!user entry 6 5" xfId="251"/>
    <cellStyle name="!user entry 6 5 2" xfId="252"/>
    <cellStyle name="!user entry 6 6" xfId="253"/>
    <cellStyle name="!user entry 7" xfId="254"/>
    <cellStyle name="!user entry 7 2" xfId="255"/>
    <cellStyle name="!user entry 7 2 2" xfId="256"/>
    <cellStyle name="!user entry 7 2 2 2" xfId="257"/>
    <cellStyle name="!user entry 7 2 3" xfId="258"/>
    <cellStyle name="!user entry 7 3" xfId="259"/>
    <cellStyle name="!user entry 7 3 2" xfId="260"/>
    <cellStyle name="!user entry 7 3 2 2" xfId="261"/>
    <cellStyle name="!user entry 7 3 3" xfId="262"/>
    <cellStyle name="!user entry 7 4" xfId="263"/>
    <cellStyle name="!user entry 7 4 2" xfId="264"/>
    <cellStyle name="!user entry 7 4 2 2" xfId="265"/>
    <cellStyle name="!user entry 7 4 3" xfId="266"/>
    <cellStyle name="!user entry 7 5" xfId="267"/>
    <cellStyle name="!user entry 7 5 2" xfId="268"/>
    <cellStyle name="!user entry 7 6" xfId="269"/>
    <cellStyle name="!user entry 8" xfId="270"/>
    <cellStyle name="!user entry 8 2" xfId="271"/>
    <cellStyle name="!user entry 8 2 2" xfId="272"/>
    <cellStyle name="!user entry 8 2 2 2" xfId="273"/>
    <cellStyle name="!user entry 8 2 3" xfId="274"/>
    <cellStyle name="!user entry 8 3" xfId="275"/>
    <cellStyle name="!user entry 8 3 2" xfId="276"/>
    <cellStyle name="!user entry 8 3 2 2" xfId="277"/>
    <cellStyle name="!user entry 8 3 3" xfId="278"/>
    <cellStyle name="!user entry 8 4" xfId="279"/>
    <cellStyle name="!user entry 8 4 2" xfId="280"/>
    <cellStyle name="!user entry 8 4 2 2" xfId="281"/>
    <cellStyle name="!user entry 8 4 3" xfId="282"/>
    <cellStyle name="!user entry 8 5" xfId="283"/>
    <cellStyle name="!user entry 8 5 2" xfId="284"/>
    <cellStyle name="!user entry 8 6" xfId="285"/>
    <cellStyle name="!user entry 9" xfId="286"/>
    <cellStyle name="!user entry 9 2" xfId="287"/>
    <cellStyle name="!user entry 9 2 2" xfId="288"/>
    <cellStyle name="!user entry 9 2 2 2" xfId="289"/>
    <cellStyle name="!user entry 9 2 3" xfId="290"/>
    <cellStyle name="!user entry 9 3" xfId="291"/>
    <cellStyle name="!user entry 9 3 2" xfId="292"/>
    <cellStyle name="!user entry 9 3 2 2" xfId="293"/>
    <cellStyle name="!user entry 9 3 3" xfId="294"/>
    <cellStyle name="!user entry 9 4" xfId="295"/>
    <cellStyle name="!user entry 9 4 2" xfId="296"/>
    <cellStyle name="!user entry 9 5" xfId="297"/>
    <cellStyle name="&quot;oh3" xfId="298"/>
    <cellStyle name="$0" xfId="299"/>
    <cellStyle name="$0 2" xfId="300"/>
    <cellStyle name="$0 3" xfId="301"/>
    <cellStyle name="$0 4" xfId="302"/>
    <cellStyle name="$0 4 2" xfId="303"/>
    <cellStyle name="$2" xfId="304"/>
    <cellStyle name="$2 2" xfId="305"/>
    <cellStyle name="$2 3" xfId="306"/>
    <cellStyle name="$2 4" xfId="307"/>
    <cellStyle name="$2 4 2" xfId="308"/>
    <cellStyle name="%0" xfId="309"/>
    <cellStyle name="%0 2" xfId="310"/>
    <cellStyle name="%0 3" xfId="311"/>
    <cellStyle name="%0 4" xfId="312"/>
    <cellStyle name="%0 4 2" xfId="313"/>
    <cellStyle name="%1" xfId="314"/>
    <cellStyle name="%1 2" xfId="315"/>
    <cellStyle name="%1 3" xfId="316"/>
    <cellStyle name="%1 4" xfId="317"/>
    <cellStyle name="%1 4 2" xfId="318"/>
    <cellStyle name="%2" xfId="319"/>
    <cellStyle name="%2 2" xfId="320"/>
    <cellStyle name="%2 3" xfId="321"/>
    <cellStyle name="%2 4" xfId="322"/>
    <cellStyle name="%2 4 2" xfId="323"/>
    <cellStyle name=",0" xfId="324"/>
    <cellStyle name=",0 2" xfId="325"/>
    <cellStyle name=",0 3" xfId="326"/>
    <cellStyle name=",0 4" xfId="327"/>
    <cellStyle name=",0 4 2" xfId="328"/>
    <cellStyle name=",1" xfId="329"/>
    <cellStyle name=",1 2" xfId="330"/>
    <cellStyle name=",1 3" xfId="331"/>
    <cellStyle name=",1 4" xfId="332"/>
    <cellStyle name=",1 4 2" xfId="333"/>
    <cellStyle name=",2" xfId="334"/>
    <cellStyle name=",2 2" xfId="335"/>
    <cellStyle name=",2 3" xfId="336"/>
    <cellStyle name=",2 4" xfId="337"/>
    <cellStyle name=",2 4 2" xfId="338"/>
    <cellStyle name="±0" xfId="339"/>
    <cellStyle name="±0 2" xfId="340"/>
    <cellStyle name="±0 3" xfId="341"/>
    <cellStyle name="±0 4" xfId="342"/>
    <cellStyle name="±0 4 2" xfId="343"/>
    <cellStyle name="±2" xfId="344"/>
    <cellStyle name="±2 2" xfId="345"/>
    <cellStyle name="±2 3" xfId="346"/>
    <cellStyle name="±2 4" xfId="347"/>
    <cellStyle name="±2 4 2" xfId="348"/>
    <cellStyle name="0,0_x000d__x000a_NA_x000d__x000a_" xfId="349"/>
    <cellStyle name="0,0_x000d__x000a_NA_x000d__x000a_ 2" xfId="350"/>
    <cellStyle name="0,0_x000d__x000a_NA_x000d__x000a_ 2 2" xfId="351"/>
    <cellStyle name="0,0_x000d__x000a_NA_x000d__x000a_ 3" xfId="352"/>
    <cellStyle name="0,0_x000d__x000a_NA_x000d__x000a_ 5 2" xfId="353"/>
    <cellStyle name="1" xfId="354"/>
    <cellStyle name="20% - Accent1 10" xfId="355"/>
    <cellStyle name="20% - Accent1 10 2" xfId="356"/>
    <cellStyle name="20% - Accent1 11" xfId="357"/>
    <cellStyle name="20% - Accent1 11 2" xfId="358"/>
    <cellStyle name="20% - Accent1 12" xfId="359"/>
    <cellStyle name="20% - Accent1 12 2" xfId="360"/>
    <cellStyle name="20% - Accent1 13" xfId="361"/>
    <cellStyle name="20% - Accent1 13 2" xfId="362"/>
    <cellStyle name="20% - Accent1 14" xfId="363"/>
    <cellStyle name="20% - Accent1 2" xfId="364"/>
    <cellStyle name="20% - Accent1 2 2" xfId="365"/>
    <cellStyle name="20% - Accent1 2 2 2" xfId="366"/>
    <cellStyle name="20% - Accent1 2 2 3" xfId="367"/>
    <cellStyle name="20% - Accent1 2 3" xfId="368"/>
    <cellStyle name="20% - Accent1 2 3 2" xfId="369"/>
    <cellStyle name="20% - Accent1 2 4" xfId="370"/>
    <cellStyle name="20% - Accent1 2 5" xfId="371"/>
    <cellStyle name="20% - Accent1 2_P-8A FRP Make Parts Detail Estimate 08,06,2012" xfId="372"/>
    <cellStyle name="20% - Accent1 3" xfId="373"/>
    <cellStyle name="20% - Accent1 3 2" xfId="374"/>
    <cellStyle name="20% - Accent1 3 2 2" xfId="375"/>
    <cellStyle name="20% - Accent1 3 2_P-8A FRP Make Parts Detail Estimate 08,06,2012" xfId="376"/>
    <cellStyle name="20% - Accent1 3 3" xfId="377"/>
    <cellStyle name="20% - Accent1 3 4" xfId="378"/>
    <cellStyle name="20% - Accent1 3_P-8A FRP Make Parts Detail Estimate 08,06,2012" xfId="379"/>
    <cellStyle name="20% - Accent1 4" xfId="380"/>
    <cellStyle name="20% - Accent1 4 2" xfId="381"/>
    <cellStyle name="20% - Accent1 4 2 2" xfId="382"/>
    <cellStyle name="20% - Accent1 4 3" xfId="383"/>
    <cellStyle name="20% - Accent1 5" xfId="384"/>
    <cellStyle name="20% - Accent1 5 2" xfId="385"/>
    <cellStyle name="20% - Accent1 5 2 2" xfId="386"/>
    <cellStyle name="20% - Accent1 5 3" xfId="387"/>
    <cellStyle name="20% - Accent1 6" xfId="388"/>
    <cellStyle name="20% - Accent1 6 2" xfId="389"/>
    <cellStyle name="20% - Accent1 6 2 2" xfId="390"/>
    <cellStyle name="20% - Accent1 6 3" xfId="391"/>
    <cellStyle name="20% - Accent1 7" xfId="392"/>
    <cellStyle name="20% - Accent1 7 2" xfId="393"/>
    <cellStyle name="20% - Accent1 8" xfId="394"/>
    <cellStyle name="20% - Accent1 8 2" xfId="395"/>
    <cellStyle name="20% - Accent1 8 3" xfId="396"/>
    <cellStyle name="20% - Accent1 9" xfId="397"/>
    <cellStyle name="20% - Accent1 9 2" xfId="398"/>
    <cellStyle name="20% - Accent2 10" xfId="399"/>
    <cellStyle name="20% - Accent2 10 2" xfId="400"/>
    <cellStyle name="20% - Accent2 11" xfId="401"/>
    <cellStyle name="20% - Accent2 11 2" xfId="402"/>
    <cellStyle name="20% - Accent2 12" xfId="403"/>
    <cellStyle name="20% - Accent2 12 2" xfId="404"/>
    <cellStyle name="20% - Accent2 13" xfId="405"/>
    <cellStyle name="20% - Accent2 13 2" xfId="406"/>
    <cellStyle name="20% - Accent2 14" xfId="407"/>
    <cellStyle name="20% - Accent2 2" xfId="408"/>
    <cellStyle name="20% - Accent2 2 2" xfId="409"/>
    <cellStyle name="20% - Accent2 2 2 2" xfId="410"/>
    <cellStyle name="20% - Accent2 2 2 3" xfId="411"/>
    <cellStyle name="20% - Accent2 2 3" xfId="412"/>
    <cellStyle name="20% - Accent2 2 3 2" xfId="413"/>
    <cellStyle name="20% - Accent2 2 4" xfId="414"/>
    <cellStyle name="20% - Accent2 2 5" xfId="415"/>
    <cellStyle name="20% - Accent2 2_P-8A FRP Make Parts Detail Estimate 08,06,2012" xfId="416"/>
    <cellStyle name="20% - Accent2 3" xfId="417"/>
    <cellStyle name="20% - Accent2 3 2" xfId="418"/>
    <cellStyle name="20% - Accent2 3 2 2" xfId="419"/>
    <cellStyle name="20% - Accent2 3 2_P-8A FRP Make Parts Detail Estimate 08,06,2012" xfId="420"/>
    <cellStyle name="20% - Accent2 3 3" xfId="421"/>
    <cellStyle name="20% - Accent2 3 4" xfId="422"/>
    <cellStyle name="20% - Accent2 3_P-8A FRP Make Parts Detail Estimate 08,06,2012" xfId="423"/>
    <cellStyle name="20% - Accent2 4" xfId="424"/>
    <cellStyle name="20% - Accent2 4 2" xfId="425"/>
    <cellStyle name="20% - Accent2 4 2 2" xfId="426"/>
    <cellStyle name="20% - Accent2 4 3" xfId="427"/>
    <cellStyle name="20% - Accent2 5" xfId="428"/>
    <cellStyle name="20% - Accent2 5 2" xfId="429"/>
    <cellStyle name="20% - Accent2 5 2 2" xfId="430"/>
    <cellStyle name="20% - Accent2 5 3" xfId="431"/>
    <cellStyle name="20% - Accent2 6" xfId="432"/>
    <cellStyle name="20% - Accent2 6 2" xfId="433"/>
    <cellStyle name="20% - Accent2 6 2 2" xfId="434"/>
    <cellStyle name="20% - Accent2 6 3" xfId="435"/>
    <cellStyle name="20% - Accent2 7" xfId="436"/>
    <cellStyle name="20% - Accent2 7 2" xfId="437"/>
    <cellStyle name="20% - Accent2 8" xfId="438"/>
    <cellStyle name="20% - Accent2 8 2" xfId="439"/>
    <cellStyle name="20% - Accent2 8 3" xfId="440"/>
    <cellStyle name="20% - Accent2 9" xfId="441"/>
    <cellStyle name="20% - Accent2 9 2" xfId="442"/>
    <cellStyle name="20% - Accent3 10" xfId="443"/>
    <cellStyle name="20% - Accent3 10 2" xfId="444"/>
    <cellStyle name="20% - Accent3 11" xfId="445"/>
    <cellStyle name="20% - Accent3 11 2" xfId="446"/>
    <cellStyle name="20% - Accent3 12" xfId="447"/>
    <cellStyle name="20% - Accent3 12 2" xfId="448"/>
    <cellStyle name="20% - Accent3 13" xfId="449"/>
    <cellStyle name="20% - Accent3 13 2" xfId="450"/>
    <cellStyle name="20% - Accent3 14" xfId="451"/>
    <cellStyle name="20% - Accent3 2" xfId="452"/>
    <cellStyle name="20% - Accent3 2 2" xfId="453"/>
    <cellStyle name="20% - Accent3 2 2 2" xfId="454"/>
    <cellStyle name="20% - Accent3 2 2 3" xfId="455"/>
    <cellStyle name="20% - Accent3 2 3" xfId="456"/>
    <cellStyle name="20% - Accent3 2 3 2" xfId="457"/>
    <cellStyle name="20% - Accent3 2 4" xfId="458"/>
    <cellStyle name="20% - Accent3 2 5" xfId="459"/>
    <cellStyle name="20% - Accent3 2_P-8A FRP Make Parts Detail Estimate 08,06,2012" xfId="460"/>
    <cellStyle name="20% - Accent3 3" xfId="461"/>
    <cellStyle name="20% - Accent3 3 2" xfId="462"/>
    <cellStyle name="20% - Accent3 3 2 2" xfId="463"/>
    <cellStyle name="20% - Accent3 3 2_P-8A FRP Make Parts Detail Estimate 08,06,2012" xfId="464"/>
    <cellStyle name="20% - Accent3 3 3" xfId="465"/>
    <cellStyle name="20% - Accent3 3 4" xfId="466"/>
    <cellStyle name="20% - Accent3 3_P-8A FRP Make Parts Detail Estimate 08,06,2012" xfId="467"/>
    <cellStyle name="20% - Accent3 4" xfId="468"/>
    <cellStyle name="20% - Accent3 4 2" xfId="469"/>
    <cellStyle name="20% - Accent3 4 2 2" xfId="470"/>
    <cellStyle name="20% - Accent3 4 3" xfId="471"/>
    <cellStyle name="20% - Accent3 5" xfId="472"/>
    <cellStyle name="20% - Accent3 5 2" xfId="473"/>
    <cellStyle name="20% - Accent3 5 2 2" xfId="474"/>
    <cellStyle name="20% - Accent3 5 3" xfId="475"/>
    <cellStyle name="20% - Accent3 6" xfId="476"/>
    <cellStyle name="20% - Accent3 6 2" xfId="477"/>
    <cellStyle name="20% - Accent3 6 2 2" xfId="478"/>
    <cellStyle name="20% - Accent3 6 3" xfId="479"/>
    <cellStyle name="20% - Accent3 7" xfId="480"/>
    <cellStyle name="20% - Accent3 7 2" xfId="481"/>
    <cellStyle name="20% - Accent3 8" xfId="482"/>
    <cellStyle name="20% - Accent3 8 2" xfId="483"/>
    <cellStyle name="20% - Accent3 8 3" xfId="484"/>
    <cellStyle name="20% - Accent3 9" xfId="485"/>
    <cellStyle name="20% - Accent3 9 2" xfId="486"/>
    <cellStyle name="20% - Accent4 10" xfId="487"/>
    <cellStyle name="20% - Accent4 10 2" xfId="488"/>
    <cellStyle name="20% - Accent4 11" xfId="489"/>
    <cellStyle name="20% - Accent4 11 2" xfId="490"/>
    <cellStyle name="20% - Accent4 12" xfId="491"/>
    <cellStyle name="20% - Accent4 12 2" xfId="492"/>
    <cellStyle name="20% - Accent4 13" xfId="493"/>
    <cellStyle name="20% - Accent4 13 2" xfId="494"/>
    <cellStyle name="20% - Accent4 14" xfId="495"/>
    <cellStyle name="20% - Accent4 2" xfId="496"/>
    <cellStyle name="20% - Accent4 2 2" xfId="497"/>
    <cellStyle name="20% - Accent4 2 2 2" xfId="498"/>
    <cellStyle name="20% - Accent4 2 2 3" xfId="499"/>
    <cellStyle name="20% - Accent4 2 3" xfId="500"/>
    <cellStyle name="20% - Accent4 2 3 2" xfId="501"/>
    <cellStyle name="20% - Accent4 2 4" xfId="502"/>
    <cellStyle name="20% - Accent4 2 5" xfId="503"/>
    <cellStyle name="20% - Accent4 2_P-8A FRP Make Parts Detail Estimate 08,06,2012" xfId="504"/>
    <cellStyle name="20% - Accent4 3" xfId="505"/>
    <cellStyle name="20% - Accent4 3 2" xfId="506"/>
    <cellStyle name="20% - Accent4 3 2 2" xfId="507"/>
    <cellStyle name="20% - Accent4 3 2_P-8A FRP Make Parts Detail Estimate 08,06,2012" xfId="508"/>
    <cellStyle name="20% - Accent4 3 3" xfId="509"/>
    <cellStyle name="20% - Accent4 3 4" xfId="510"/>
    <cellStyle name="20% - Accent4 3_P-8A FRP Make Parts Detail Estimate 08,06,2012" xfId="511"/>
    <cellStyle name="20% - Accent4 4" xfId="512"/>
    <cellStyle name="20% - Accent4 4 2" xfId="513"/>
    <cellStyle name="20% - Accent4 4 2 2" xfId="514"/>
    <cellStyle name="20% - Accent4 4 3" xfId="515"/>
    <cellStyle name="20% - Accent4 5" xfId="516"/>
    <cellStyle name="20% - Accent4 5 2" xfId="517"/>
    <cellStyle name="20% - Accent4 5 2 2" xfId="518"/>
    <cellStyle name="20% - Accent4 5 3" xfId="519"/>
    <cellStyle name="20% - Accent4 6" xfId="520"/>
    <cellStyle name="20% - Accent4 6 2" xfId="521"/>
    <cellStyle name="20% - Accent4 6 2 2" xfId="522"/>
    <cellStyle name="20% - Accent4 6 3" xfId="523"/>
    <cellStyle name="20% - Accent4 7" xfId="524"/>
    <cellStyle name="20% - Accent4 7 2" xfId="525"/>
    <cellStyle name="20% - Accent4 8" xfId="526"/>
    <cellStyle name="20% - Accent4 8 2" xfId="527"/>
    <cellStyle name="20% - Accent4 8 3" xfId="528"/>
    <cellStyle name="20% - Accent4 9" xfId="529"/>
    <cellStyle name="20% - Accent4 9 2" xfId="530"/>
    <cellStyle name="20% - Accent5 10" xfId="531"/>
    <cellStyle name="20% - Accent5 10 2" xfId="532"/>
    <cellStyle name="20% - Accent5 11" xfId="533"/>
    <cellStyle name="20% - Accent5 11 2" xfId="534"/>
    <cellStyle name="20% - Accent5 12" xfId="535"/>
    <cellStyle name="20% - Accent5 12 2" xfId="536"/>
    <cellStyle name="20% - Accent5 13" xfId="537"/>
    <cellStyle name="20% - Accent5 13 2" xfId="538"/>
    <cellStyle name="20% - Accent5 14" xfId="539"/>
    <cellStyle name="20% - Accent5 2" xfId="540"/>
    <cellStyle name="20% - Accent5 2 2" xfId="541"/>
    <cellStyle name="20% - Accent5 2 2 2" xfId="542"/>
    <cellStyle name="20% - Accent5 2 2 3" xfId="543"/>
    <cellStyle name="20% - Accent5 2 3" xfId="544"/>
    <cellStyle name="20% - Accent5 2 3 2" xfId="545"/>
    <cellStyle name="20% - Accent5 2 4" xfId="546"/>
    <cellStyle name="20% - Accent5 2 5" xfId="547"/>
    <cellStyle name="20% - Accent5 2_P-8A FRP Make Parts Detail Estimate 08,06,2012" xfId="548"/>
    <cellStyle name="20% - Accent5 3" xfId="549"/>
    <cellStyle name="20% - Accent5 3 2" xfId="550"/>
    <cellStyle name="20% - Accent5 3 2 2" xfId="551"/>
    <cellStyle name="20% - Accent5 3 2_P-8A FRP Make Parts Detail Estimate 08,06,2012" xfId="552"/>
    <cellStyle name="20% - Accent5 3 3" xfId="553"/>
    <cellStyle name="20% - Accent5 3 4" xfId="554"/>
    <cellStyle name="20% - Accent5 3_P-8A FRP Make Parts Detail Estimate 08,06,2012" xfId="555"/>
    <cellStyle name="20% - Accent5 4" xfId="556"/>
    <cellStyle name="20% - Accent5 4 2" xfId="557"/>
    <cellStyle name="20% - Accent5 4 2 2" xfId="558"/>
    <cellStyle name="20% - Accent5 4 3" xfId="559"/>
    <cellStyle name="20% - Accent5 5" xfId="560"/>
    <cellStyle name="20% - Accent5 5 2" xfId="561"/>
    <cellStyle name="20% - Accent5 5 2 2" xfId="562"/>
    <cellStyle name="20% - Accent5 5 3" xfId="563"/>
    <cellStyle name="20% - Accent5 6" xfId="564"/>
    <cellStyle name="20% - Accent5 6 2" xfId="565"/>
    <cellStyle name="20% - Accent5 6 2 2" xfId="566"/>
    <cellStyle name="20% - Accent5 6 3" xfId="567"/>
    <cellStyle name="20% - Accent5 7" xfId="568"/>
    <cellStyle name="20% - Accent5 7 2" xfId="569"/>
    <cellStyle name="20% - Accent5 8" xfId="570"/>
    <cellStyle name="20% - Accent5 8 2" xfId="571"/>
    <cellStyle name="20% - Accent5 8 3" xfId="572"/>
    <cellStyle name="20% - Accent5 9" xfId="573"/>
    <cellStyle name="20% - Accent5 9 2" xfId="574"/>
    <cellStyle name="20% - Accent6 10" xfId="575"/>
    <cellStyle name="20% - Accent6 10 2" xfId="576"/>
    <cellStyle name="20% - Accent6 11" xfId="577"/>
    <cellStyle name="20% - Accent6 11 2" xfId="578"/>
    <cellStyle name="20% - Accent6 12" xfId="579"/>
    <cellStyle name="20% - Accent6 12 2" xfId="580"/>
    <cellStyle name="20% - Accent6 13" xfId="581"/>
    <cellStyle name="20% - Accent6 13 2" xfId="582"/>
    <cellStyle name="20% - Accent6 14" xfId="583"/>
    <cellStyle name="20% - Accent6 2" xfId="584"/>
    <cellStyle name="20% - Accent6 2 2" xfId="585"/>
    <cellStyle name="20% - Accent6 2 2 2" xfId="586"/>
    <cellStyle name="20% - Accent6 2 2 3" xfId="587"/>
    <cellStyle name="20% - Accent6 2 3" xfId="588"/>
    <cellStyle name="20% - Accent6 2 3 2" xfId="589"/>
    <cellStyle name="20% - Accent6 2 4" xfId="590"/>
    <cellStyle name="20% - Accent6 2 5" xfId="591"/>
    <cellStyle name="20% - Accent6 2_P-8A FRP Make Parts Detail Estimate 08,06,2012" xfId="592"/>
    <cellStyle name="20% - Accent6 3" xfId="593"/>
    <cellStyle name="20% - Accent6 3 2" xfId="594"/>
    <cellStyle name="20% - Accent6 3 2 2" xfId="595"/>
    <cellStyle name="20% - Accent6 3 2_P-8A FRP Make Parts Detail Estimate 08,06,2012" xfId="596"/>
    <cellStyle name="20% - Accent6 3 3" xfId="597"/>
    <cellStyle name="20% - Accent6 3 4" xfId="598"/>
    <cellStyle name="20% - Accent6 3_P-8A FRP Make Parts Detail Estimate 08,06,2012" xfId="599"/>
    <cellStyle name="20% - Accent6 4" xfId="600"/>
    <cellStyle name="20% - Accent6 4 2" xfId="601"/>
    <cellStyle name="20% - Accent6 4 2 2" xfId="602"/>
    <cellStyle name="20% - Accent6 4 3" xfId="603"/>
    <cellStyle name="20% - Accent6 5" xfId="604"/>
    <cellStyle name="20% - Accent6 5 2" xfId="605"/>
    <cellStyle name="20% - Accent6 5 2 2" xfId="606"/>
    <cellStyle name="20% - Accent6 5 3" xfId="607"/>
    <cellStyle name="20% - Accent6 6" xfId="608"/>
    <cellStyle name="20% - Accent6 6 2" xfId="609"/>
    <cellStyle name="20% - Accent6 6 2 2" xfId="610"/>
    <cellStyle name="20% - Accent6 6 3" xfId="611"/>
    <cellStyle name="20% - Accent6 7" xfId="612"/>
    <cellStyle name="20% - Accent6 7 2" xfId="613"/>
    <cellStyle name="20% - Accent6 8" xfId="614"/>
    <cellStyle name="20% - Accent6 8 2" xfId="615"/>
    <cellStyle name="20% - Accent6 8 3" xfId="616"/>
    <cellStyle name="20% - Accent6 9" xfId="617"/>
    <cellStyle name="20% - Accent6 9 2" xfId="618"/>
    <cellStyle name="2DRATES" xfId="619"/>
    <cellStyle name="3DRATES" xfId="620"/>
    <cellStyle name="40% - Accent1 10" xfId="621"/>
    <cellStyle name="40% - Accent1 10 2" xfId="622"/>
    <cellStyle name="40% - Accent1 11" xfId="623"/>
    <cellStyle name="40% - Accent1 11 2" xfId="624"/>
    <cellStyle name="40% - Accent1 12" xfId="625"/>
    <cellStyle name="40% - Accent1 12 2" xfId="626"/>
    <cellStyle name="40% - Accent1 13" xfId="627"/>
    <cellStyle name="40% - Accent1 13 2" xfId="628"/>
    <cellStyle name="40% - Accent1 14" xfId="629"/>
    <cellStyle name="40% - Accent1 2" xfId="630"/>
    <cellStyle name="40% - Accent1 2 2" xfId="631"/>
    <cellStyle name="40% - Accent1 2 2 2" xfId="632"/>
    <cellStyle name="40% - Accent1 2 2 2 2" xfId="633"/>
    <cellStyle name="40% - Accent1 2 2 2 3" xfId="634"/>
    <cellStyle name="40% - Accent1 2 2 3" xfId="635"/>
    <cellStyle name="40% - Accent1 2 2 4" xfId="636"/>
    <cellStyle name="40% - Accent1 2 3" xfId="637"/>
    <cellStyle name="40% - Accent1 2 3 2" xfId="638"/>
    <cellStyle name="40% - Accent1 2 3 2 2" xfId="639"/>
    <cellStyle name="40% - Accent1 2 3 3" xfId="640"/>
    <cellStyle name="40% - Accent1 2 3 4" xfId="641"/>
    <cellStyle name="40% - Accent1 2 4" xfId="642"/>
    <cellStyle name="40% - Accent1 2 4 2" xfId="643"/>
    <cellStyle name="40% - Accent1 2 4 3" xfId="644"/>
    <cellStyle name="40% - Accent1 2 5" xfId="645"/>
    <cellStyle name="40% - Accent1 2 6" xfId="646"/>
    <cellStyle name="40% - Accent1 2_P-8A FRP Make Parts Detail Estimate 08,06,2012" xfId="647"/>
    <cellStyle name="40% - Accent1 3" xfId="648"/>
    <cellStyle name="40% - Accent1 3 2" xfId="649"/>
    <cellStyle name="40% - Accent1 3 2 2" xfId="650"/>
    <cellStyle name="40% - Accent1 3 2_P-8A FRP Make Parts Detail Estimate 08,06,2012" xfId="651"/>
    <cellStyle name="40% - Accent1 3 3" xfId="652"/>
    <cellStyle name="40% - Accent1 3 4" xfId="653"/>
    <cellStyle name="40% - Accent1 3_P-8A FRP Make Parts Detail Estimate 08,06,2012" xfId="654"/>
    <cellStyle name="40% - Accent1 4" xfId="655"/>
    <cellStyle name="40% - Accent1 4 2" xfId="656"/>
    <cellStyle name="40% - Accent1 4 2 2" xfId="657"/>
    <cellStyle name="40% - Accent1 4 3" xfId="658"/>
    <cellStyle name="40% - Accent1 5" xfId="659"/>
    <cellStyle name="40% - Accent1 5 2" xfId="660"/>
    <cellStyle name="40% - Accent1 5 2 2" xfId="661"/>
    <cellStyle name="40% - Accent1 5 3" xfId="662"/>
    <cellStyle name="40% - Accent1 6" xfId="663"/>
    <cellStyle name="40% - Accent1 6 2" xfId="664"/>
    <cellStyle name="40% - Accent1 6 2 2" xfId="665"/>
    <cellStyle name="40% - Accent1 6 3" xfId="666"/>
    <cellStyle name="40% - Accent1 7" xfId="667"/>
    <cellStyle name="40% - Accent1 7 2" xfId="668"/>
    <cellStyle name="40% - Accent1 8" xfId="669"/>
    <cellStyle name="40% - Accent1 8 2" xfId="670"/>
    <cellStyle name="40% - Accent1 8 3" xfId="671"/>
    <cellStyle name="40% - Accent1 9" xfId="672"/>
    <cellStyle name="40% - Accent1 9 2" xfId="673"/>
    <cellStyle name="40% - Accent2 10" xfId="674"/>
    <cellStyle name="40% - Accent2 10 2" xfId="675"/>
    <cellStyle name="40% - Accent2 11" xfId="676"/>
    <cellStyle name="40% - Accent2 11 2" xfId="677"/>
    <cellStyle name="40% - Accent2 12" xfId="678"/>
    <cellStyle name="40% - Accent2 12 2" xfId="679"/>
    <cellStyle name="40% - Accent2 13" xfId="680"/>
    <cellStyle name="40% - Accent2 13 2" xfId="681"/>
    <cellStyle name="40% - Accent2 14" xfId="682"/>
    <cellStyle name="40% - Accent2 2" xfId="683"/>
    <cellStyle name="40% - Accent2 2 2" xfId="684"/>
    <cellStyle name="40% - Accent2 2 2 2" xfId="685"/>
    <cellStyle name="40% - Accent2 2 2 3" xfId="686"/>
    <cellStyle name="40% - Accent2 2 3" xfId="687"/>
    <cellStyle name="40% - Accent2 2 3 2" xfId="688"/>
    <cellStyle name="40% - Accent2 2 4" xfId="689"/>
    <cellStyle name="40% - Accent2 2 5" xfId="690"/>
    <cellStyle name="40% - Accent2 2_P-8A FRP Make Parts Detail Estimate 08,06,2012" xfId="691"/>
    <cellStyle name="40% - Accent2 3" xfId="692"/>
    <cellStyle name="40% - Accent2 3 2" xfId="693"/>
    <cellStyle name="40% - Accent2 3 2 2" xfId="694"/>
    <cellStyle name="40% - Accent2 3 2_P-8A FRP Make Parts Detail Estimate 08,06,2012" xfId="695"/>
    <cellStyle name="40% - Accent2 3 3" xfId="696"/>
    <cellStyle name="40% - Accent2 3 4" xfId="697"/>
    <cellStyle name="40% - Accent2 3_P-8A FRP Make Parts Detail Estimate 08,06,2012" xfId="698"/>
    <cellStyle name="40% - Accent2 4" xfId="699"/>
    <cellStyle name="40% - Accent2 4 2" xfId="700"/>
    <cellStyle name="40% - Accent2 4 2 2" xfId="701"/>
    <cellStyle name="40% - Accent2 4 3" xfId="702"/>
    <cellStyle name="40% - Accent2 5" xfId="703"/>
    <cellStyle name="40% - Accent2 5 2" xfId="704"/>
    <cellStyle name="40% - Accent2 5 2 2" xfId="705"/>
    <cellStyle name="40% - Accent2 5 3" xfId="706"/>
    <cellStyle name="40% - Accent2 6" xfId="707"/>
    <cellStyle name="40% - Accent2 6 2" xfId="708"/>
    <cellStyle name="40% - Accent2 6 2 2" xfId="709"/>
    <cellStyle name="40% - Accent2 6 3" xfId="710"/>
    <cellStyle name="40% - Accent2 7" xfId="711"/>
    <cellStyle name="40% - Accent2 7 2" xfId="712"/>
    <cellStyle name="40% - Accent2 8" xfId="713"/>
    <cellStyle name="40% - Accent2 8 2" xfId="714"/>
    <cellStyle name="40% - Accent2 8 3" xfId="715"/>
    <cellStyle name="40% - Accent2 9" xfId="716"/>
    <cellStyle name="40% - Accent2 9 2" xfId="717"/>
    <cellStyle name="40% - Accent3 10" xfId="718"/>
    <cellStyle name="40% - Accent3 10 2" xfId="719"/>
    <cellStyle name="40% - Accent3 11" xfId="720"/>
    <cellStyle name="40% - Accent3 11 2" xfId="721"/>
    <cellStyle name="40% - Accent3 12" xfId="722"/>
    <cellStyle name="40% - Accent3 12 2" xfId="723"/>
    <cellStyle name="40% - Accent3 13" xfId="724"/>
    <cellStyle name="40% - Accent3 13 2" xfId="725"/>
    <cellStyle name="40% - Accent3 14" xfId="726"/>
    <cellStyle name="40% - Accent3 2" xfId="727"/>
    <cellStyle name="40% - Accent3 2 2" xfId="728"/>
    <cellStyle name="40% - Accent3 2 2 2" xfId="729"/>
    <cellStyle name="40% - Accent3 2 2 3" xfId="730"/>
    <cellStyle name="40% - Accent3 2 3" xfId="731"/>
    <cellStyle name="40% - Accent3 2 3 2" xfId="732"/>
    <cellStyle name="40% - Accent3 2 4" xfId="733"/>
    <cellStyle name="40% - Accent3 2 5" xfId="734"/>
    <cellStyle name="40% - Accent3 2_P-8A FRP Make Parts Detail Estimate 08,06,2012" xfId="735"/>
    <cellStyle name="40% - Accent3 3" xfId="736"/>
    <cellStyle name="40% - Accent3 3 2" xfId="737"/>
    <cellStyle name="40% - Accent3 3 2 2" xfId="738"/>
    <cellStyle name="40% - Accent3 3 2_P-8A FRP Make Parts Detail Estimate 08,06,2012" xfId="739"/>
    <cellStyle name="40% - Accent3 3 3" xfId="740"/>
    <cellStyle name="40% - Accent3 3 4" xfId="741"/>
    <cellStyle name="40% - Accent3 3_P-8A FRP Make Parts Detail Estimate 08,06,2012" xfId="742"/>
    <cellStyle name="40% - Accent3 4" xfId="743"/>
    <cellStyle name="40% - Accent3 4 2" xfId="744"/>
    <cellStyle name="40% - Accent3 4 2 2" xfId="745"/>
    <cellStyle name="40% - Accent3 4 3" xfId="746"/>
    <cellStyle name="40% - Accent3 5" xfId="747"/>
    <cellStyle name="40% - Accent3 5 2" xfId="748"/>
    <cellStyle name="40% - Accent3 5 2 2" xfId="749"/>
    <cellStyle name="40% - Accent3 5 3" xfId="750"/>
    <cellStyle name="40% - Accent3 6" xfId="751"/>
    <cellStyle name="40% - Accent3 6 2" xfId="752"/>
    <cellStyle name="40% - Accent3 6 2 2" xfId="753"/>
    <cellStyle name="40% - Accent3 6 3" xfId="754"/>
    <cellStyle name="40% - Accent3 7" xfId="755"/>
    <cellStyle name="40% - Accent3 7 2" xfId="756"/>
    <cellStyle name="40% - Accent3 8" xfId="757"/>
    <cellStyle name="40% - Accent3 8 2" xfId="758"/>
    <cellStyle name="40% - Accent3 8 3" xfId="759"/>
    <cellStyle name="40% - Accent3 9" xfId="760"/>
    <cellStyle name="40% - Accent3 9 2" xfId="761"/>
    <cellStyle name="40% - Accent4 10" xfId="762"/>
    <cellStyle name="40% - Accent4 10 2" xfId="763"/>
    <cellStyle name="40% - Accent4 11" xfId="764"/>
    <cellStyle name="40% - Accent4 11 2" xfId="765"/>
    <cellStyle name="40% - Accent4 12" xfId="766"/>
    <cellStyle name="40% - Accent4 12 2" xfId="767"/>
    <cellStyle name="40% - Accent4 13" xfId="768"/>
    <cellStyle name="40% - Accent4 13 2" xfId="769"/>
    <cellStyle name="40% - Accent4 14" xfId="770"/>
    <cellStyle name="40% - Accent4 2" xfId="771"/>
    <cellStyle name="40% - Accent4 2 2" xfId="772"/>
    <cellStyle name="40% - Accent4 2 2 2" xfId="773"/>
    <cellStyle name="40% - Accent4 2 2 3" xfId="774"/>
    <cellStyle name="40% - Accent4 2 3" xfId="775"/>
    <cellStyle name="40% - Accent4 2 3 2" xfId="776"/>
    <cellStyle name="40% - Accent4 2 4" xfId="777"/>
    <cellStyle name="40% - Accent4 2 5" xfId="778"/>
    <cellStyle name="40% - Accent4 2_P-8A FRP Make Parts Detail Estimate 08,06,2012" xfId="779"/>
    <cellStyle name="40% - Accent4 3" xfId="780"/>
    <cellStyle name="40% - Accent4 3 2" xfId="781"/>
    <cellStyle name="40% - Accent4 3 2 2" xfId="782"/>
    <cellStyle name="40% - Accent4 3 2_P-8A FRP Make Parts Detail Estimate 08,06,2012" xfId="783"/>
    <cellStyle name="40% - Accent4 3 3" xfId="784"/>
    <cellStyle name="40% - Accent4 3 4" xfId="785"/>
    <cellStyle name="40% - Accent4 3_P-8A FRP Make Parts Detail Estimate 08,06,2012" xfId="786"/>
    <cellStyle name="40% - Accent4 4" xfId="787"/>
    <cellStyle name="40% - Accent4 4 2" xfId="788"/>
    <cellStyle name="40% - Accent4 4 2 2" xfId="789"/>
    <cellStyle name="40% - Accent4 4 3" xfId="790"/>
    <cellStyle name="40% - Accent4 5" xfId="791"/>
    <cellStyle name="40% - Accent4 5 2" xfId="792"/>
    <cellStyle name="40% - Accent4 5 2 2" xfId="793"/>
    <cellStyle name="40% - Accent4 5 3" xfId="794"/>
    <cellStyle name="40% - Accent4 6" xfId="795"/>
    <cellStyle name="40% - Accent4 6 2" xfId="796"/>
    <cellStyle name="40% - Accent4 6 2 2" xfId="797"/>
    <cellStyle name="40% - Accent4 6 3" xfId="798"/>
    <cellStyle name="40% - Accent4 7" xfId="799"/>
    <cellStyle name="40% - Accent4 7 2" xfId="800"/>
    <cellStyle name="40% - Accent4 8" xfId="801"/>
    <cellStyle name="40% - Accent4 8 2" xfId="802"/>
    <cellStyle name="40% - Accent4 8 3" xfId="803"/>
    <cellStyle name="40% - Accent4 9" xfId="804"/>
    <cellStyle name="40% - Accent4 9 2" xfId="805"/>
    <cellStyle name="40% - Accent5 10" xfId="806"/>
    <cellStyle name="40% - Accent5 10 2" xfId="807"/>
    <cellStyle name="40% - Accent5 11" xfId="808"/>
    <cellStyle name="40% - Accent5 11 2" xfId="809"/>
    <cellStyle name="40% - Accent5 12" xfId="810"/>
    <cellStyle name="40% - Accent5 12 2" xfId="811"/>
    <cellStyle name="40% - Accent5 13" xfId="812"/>
    <cellStyle name="40% - Accent5 13 2" xfId="813"/>
    <cellStyle name="40% - Accent5 14" xfId="814"/>
    <cellStyle name="40% - Accent5 2" xfId="815"/>
    <cellStyle name="40% - Accent5 2 2" xfId="816"/>
    <cellStyle name="40% - Accent5 2 2 2" xfId="817"/>
    <cellStyle name="40% - Accent5 2 2 3" xfId="818"/>
    <cellStyle name="40% - Accent5 2 3" xfId="819"/>
    <cellStyle name="40% - Accent5 2 3 2" xfId="820"/>
    <cellStyle name="40% - Accent5 2 4" xfId="821"/>
    <cellStyle name="40% - Accent5 2 5" xfId="822"/>
    <cellStyle name="40% - Accent5 2_P-8A FRP Make Parts Detail Estimate 08,06,2012" xfId="823"/>
    <cellStyle name="40% - Accent5 3" xfId="824"/>
    <cellStyle name="40% - Accent5 3 2" xfId="825"/>
    <cellStyle name="40% - Accent5 3 2 2" xfId="826"/>
    <cellStyle name="40% - Accent5 3 2_P-8A FRP Make Parts Detail Estimate 08,06,2012" xfId="827"/>
    <cellStyle name="40% - Accent5 3 3" xfId="828"/>
    <cellStyle name="40% - Accent5 3 4" xfId="829"/>
    <cellStyle name="40% - Accent5 3_P-8A FRP Make Parts Detail Estimate 08,06,2012" xfId="830"/>
    <cellStyle name="40% - Accent5 4" xfId="831"/>
    <cellStyle name="40% - Accent5 4 2" xfId="832"/>
    <cellStyle name="40% - Accent5 4 2 2" xfId="833"/>
    <cellStyle name="40% - Accent5 4 3" xfId="834"/>
    <cellStyle name="40% - Accent5 5" xfId="835"/>
    <cellStyle name="40% - Accent5 5 2" xfId="836"/>
    <cellStyle name="40% - Accent5 5 2 2" xfId="837"/>
    <cellStyle name="40% - Accent5 5 3" xfId="838"/>
    <cellStyle name="40% - Accent5 6" xfId="839"/>
    <cellStyle name="40% - Accent5 6 2" xfId="840"/>
    <cellStyle name="40% - Accent5 6 2 2" xfId="841"/>
    <cellStyle name="40% - Accent5 6 3" xfId="842"/>
    <cellStyle name="40% - Accent5 7" xfId="843"/>
    <cellStyle name="40% - Accent5 7 2" xfId="844"/>
    <cellStyle name="40% - Accent5 8" xfId="845"/>
    <cellStyle name="40% - Accent5 8 2" xfId="846"/>
    <cellStyle name="40% - Accent5 8 3" xfId="847"/>
    <cellStyle name="40% - Accent5 9" xfId="848"/>
    <cellStyle name="40% - Accent5 9 2" xfId="849"/>
    <cellStyle name="40% - Accent6 10" xfId="850"/>
    <cellStyle name="40% - Accent6 10 2" xfId="851"/>
    <cellStyle name="40% - Accent6 11" xfId="852"/>
    <cellStyle name="40% - Accent6 11 2" xfId="853"/>
    <cellStyle name="40% - Accent6 12" xfId="854"/>
    <cellStyle name="40% - Accent6 12 2" xfId="855"/>
    <cellStyle name="40% - Accent6 13" xfId="856"/>
    <cellStyle name="40% - Accent6 13 2" xfId="857"/>
    <cellStyle name="40% - Accent6 14" xfId="858"/>
    <cellStyle name="40% - Accent6 2" xfId="859"/>
    <cellStyle name="40% - Accent6 2 2" xfId="860"/>
    <cellStyle name="40% - Accent6 2 2 2" xfId="861"/>
    <cellStyle name="40% - Accent6 2 2 3" xfId="862"/>
    <cellStyle name="40% - Accent6 2 3" xfId="863"/>
    <cellStyle name="40% - Accent6 2 3 2" xfId="864"/>
    <cellStyle name="40% - Accent6 2 4" xfId="865"/>
    <cellStyle name="40% - Accent6 2 5" xfId="866"/>
    <cellStyle name="40% - Accent6 2_P-8A FRP Make Parts Detail Estimate 08,06,2012" xfId="867"/>
    <cellStyle name="40% - Accent6 3" xfId="868"/>
    <cellStyle name="40% - Accent6 3 2" xfId="869"/>
    <cellStyle name="40% - Accent6 3 2 2" xfId="870"/>
    <cellStyle name="40% - Accent6 3 2_P-8A FRP Make Parts Detail Estimate 08,06,2012" xfId="871"/>
    <cellStyle name="40% - Accent6 3 3" xfId="872"/>
    <cellStyle name="40% - Accent6 3 4" xfId="873"/>
    <cellStyle name="40% - Accent6 3_P-8A FRP Make Parts Detail Estimate 08,06,2012" xfId="874"/>
    <cellStyle name="40% - Accent6 4" xfId="875"/>
    <cellStyle name="40% - Accent6 4 2" xfId="876"/>
    <cellStyle name="40% - Accent6 4 2 2" xfId="877"/>
    <cellStyle name="40% - Accent6 4 3" xfId="878"/>
    <cellStyle name="40% - Accent6 5" xfId="879"/>
    <cellStyle name="40% - Accent6 5 2" xfId="880"/>
    <cellStyle name="40% - Accent6 5 2 2" xfId="881"/>
    <cellStyle name="40% - Accent6 5 3" xfId="882"/>
    <cellStyle name="40% - Accent6 6" xfId="883"/>
    <cellStyle name="40% - Accent6 6 2" xfId="884"/>
    <cellStyle name="40% - Accent6 6 2 2" xfId="885"/>
    <cellStyle name="40% - Accent6 6 3" xfId="886"/>
    <cellStyle name="40% - Accent6 7" xfId="887"/>
    <cellStyle name="40% - Accent6 7 2" xfId="888"/>
    <cellStyle name="40% - Accent6 8" xfId="889"/>
    <cellStyle name="40% - Accent6 8 2" xfId="890"/>
    <cellStyle name="40% - Accent6 8 3" xfId="891"/>
    <cellStyle name="40% - Accent6 9" xfId="892"/>
    <cellStyle name="40% - Accent6 9 2" xfId="893"/>
    <cellStyle name="4DRATES" xfId="894"/>
    <cellStyle name="60% - Accent1 10" xfId="895"/>
    <cellStyle name="60% - Accent1 10 2" xfId="896"/>
    <cellStyle name="60% - Accent1 11" xfId="897"/>
    <cellStyle name="60% - Accent1 11 2" xfId="898"/>
    <cellStyle name="60% - Accent1 12" xfId="899"/>
    <cellStyle name="60% - Accent1 12 2" xfId="900"/>
    <cellStyle name="60% - Accent1 13" xfId="901"/>
    <cellStyle name="60% - Accent1 13 2" xfId="902"/>
    <cellStyle name="60% - Accent1 14" xfId="903"/>
    <cellStyle name="60% - Accent1 2" xfId="904"/>
    <cellStyle name="60% - Accent1 2 2" xfId="905"/>
    <cellStyle name="60% - Accent1 2 2 2" xfId="906"/>
    <cellStyle name="60% - Accent1 2 2 3" xfId="907"/>
    <cellStyle name="60% - Accent1 2 3" xfId="908"/>
    <cellStyle name="60% - Accent1 2 4" xfId="909"/>
    <cellStyle name="60% - Accent1 3" xfId="910"/>
    <cellStyle name="60% - Accent1 3 2" xfId="911"/>
    <cellStyle name="60% - Accent1 3 3" xfId="912"/>
    <cellStyle name="60% - Accent1 4" xfId="913"/>
    <cellStyle name="60% - Accent1 4 2" xfId="914"/>
    <cellStyle name="60% - Accent1 5" xfId="915"/>
    <cellStyle name="60% - Accent1 5 2" xfId="916"/>
    <cellStyle name="60% - Accent1 6" xfId="917"/>
    <cellStyle name="60% - Accent1 6 2" xfId="918"/>
    <cellStyle name="60% - Accent1 7" xfId="919"/>
    <cellStyle name="60% - Accent1 7 2" xfId="920"/>
    <cellStyle name="60% - Accent1 8" xfId="921"/>
    <cellStyle name="60% - Accent1 8 2" xfId="922"/>
    <cellStyle name="60% - Accent1 9" xfId="923"/>
    <cellStyle name="60% - Accent1 9 2" xfId="924"/>
    <cellStyle name="60% - Accent2 10" xfId="925"/>
    <cellStyle name="60% - Accent2 10 2" xfId="926"/>
    <cellStyle name="60% - Accent2 11" xfId="927"/>
    <cellStyle name="60% - Accent2 11 2" xfId="928"/>
    <cellStyle name="60% - Accent2 12" xfId="929"/>
    <cellStyle name="60% - Accent2 12 2" xfId="930"/>
    <cellStyle name="60% - Accent2 13" xfId="931"/>
    <cellStyle name="60% - Accent2 13 2" xfId="932"/>
    <cellStyle name="60% - Accent2 14" xfId="933"/>
    <cellStyle name="60% - Accent2 2" xfId="934"/>
    <cellStyle name="60% - Accent2 2 2" xfId="935"/>
    <cellStyle name="60% - Accent2 2 2 2" xfId="936"/>
    <cellStyle name="60% - Accent2 2 2 3" xfId="937"/>
    <cellStyle name="60% - Accent2 2 3" xfId="938"/>
    <cellStyle name="60% - Accent2 2 4" xfId="939"/>
    <cellStyle name="60% - Accent2 3" xfId="940"/>
    <cellStyle name="60% - Accent2 3 2" xfId="941"/>
    <cellStyle name="60% - Accent2 3 3" xfId="942"/>
    <cellStyle name="60% - Accent2 4" xfId="943"/>
    <cellStyle name="60% - Accent2 4 2" xfId="944"/>
    <cellStyle name="60% - Accent2 5" xfId="945"/>
    <cellStyle name="60% - Accent2 5 2" xfId="946"/>
    <cellStyle name="60% - Accent2 6" xfId="947"/>
    <cellStyle name="60% - Accent2 6 2" xfId="948"/>
    <cellStyle name="60% - Accent2 7" xfId="949"/>
    <cellStyle name="60% - Accent2 7 2" xfId="950"/>
    <cellStyle name="60% - Accent2 8" xfId="951"/>
    <cellStyle name="60% - Accent2 8 2" xfId="952"/>
    <cellStyle name="60% - Accent2 9" xfId="953"/>
    <cellStyle name="60% - Accent2 9 2" xfId="954"/>
    <cellStyle name="60% - Accent3 10" xfId="955"/>
    <cellStyle name="60% - Accent3 10 2" xfId="956"/>
    <cellStyle name="60% - Accent3 11" xfId="957"/>
    <cellStyle name="60% - Accent3 11 2" xfId="958"/>
    <cellStyle name="60% - Accent3 12" xfId="959"/>
    <cellStyle name="60% - Accent3 12 2" xfId="960"/>
    <cellStyle name="60% - Accent3 13" xfId="961"/>
    <cellStyle name="60% - Accent3 13 2" xfId="962"/>
    <cellStyle name="60% - Accent3 14" xfId="963"/>
    <cellStyle name="60% - Accent3 2" xfId="964"/>
    <cellStyle name="60% - Accent3 2 2" xfId="965"/>
    <cellStyle name="60% - Accent3 2 2 2" xfId="966"/>
    <cellStyle name="60% - Accent3 2 2 3" xfId="967"/>
    <cellStyle name="60% - Accent3 2 3" xfId="968"/>
    <cellStyle name="60% - Accent3 2 4" xfId="969"/>
    <cellStyle name="60% - Accent3 3" xfId="970"/>
    <cellStyle name="60% - Accent3 3 2" xfId="971"/>
    <cellStyle name="60% - Accent3 3 3" xfId="972"/>
    <cellStyle name="60% - Accent3 4" xfId="973"/>
    <cellStyle name="60% - Accent3 4 2" xfId="974"/>
    <cellStyle name="60% - Accent3 5" xfId="975"/>
    <cellStyle name="60% - Accent3 5 2" xfId="976"/>
    <cellStyle name="60% - Accent3 6" xfId="977"/>
    <cellStyle name="60% - Accent3 6 2" xfId="978"/>
    <cellStyle name="60% - Accent3 7" xfId="979"/>
    <cellStyle name="60% - Accent3 7 2" xfId="980"/>
    <cellStyle name="60% - Accent3 8" xfId="981"/>
    <cellStyle name="60% - Accent3 8 2" xfId="982"/>
    <cellStyle name="60% - Accent3 9" xfId="983"/>
    <cellStyle name="60% - Accent3 9 2" xfId="984"/>
    <cellStyle name="60% - Accent4 10" xfId="985"/>
    <cellStyle name="60% - Accent4 10 2" xfId="986"/>
    <cellStyle name="60% - Accent4 11" xfId="987"/>
    <cellStyle name="60% - Accent4 11 2" xfId="988"/>
    <cellStyle name="60% - Accent4 12" xfId="989"/>
    <cellStyle name="60% - Accent4 12 2" xfId="990"/>
    <cellStyle name="60% - Accent4 13" xfId="991"/>
    <cellStyle name="60% - Accent4 13 2" xfId="992"/>
    <cellStyle name="60% - Accent4 14" xfId="993"/>
    <cellStyle name="60% - Accent4 2" xfId="994"/>
    <cellStyle name="60% - Accent4 2 2" xfId="995"/>
    <cellStyle name="60% - Accent4 2 2 2" xfId="996"/>
    <cellStyle name="60% - Accent4 2 2 3" xfId="997"/>
    <cellStyle name="60% - Accent4 2 3" xfId="998"/>
    <cellStyle name="60% - Accent4 2 4" xfId="999"/>
    <cellStyle name="60% - Accent4 3" xfId="1000"/>
    <cellStyle name="60% - Accent4 3 2" xfId="1001"/>
    <cellStyle name="60% - Accent4 3 3" xfId="1002"/>
    <cellStyle name="60% - Accent4 4" xfId="1003"/>
    <cellStyle name="60% - Accent4 4 2" xfId="1004"/>
    <cellStyle name="60% - Accent4 5" xfId="1005"/>
    <cellStyle name="60% - Accent4 5 2" xfId="1006"/>
    <cellStyle name="60% - Accent4 6" xfId="1007"/>
    <cellStyle name="60% - Accent4 6 2" xfId="1008"/>
    <cellStyle name="60% - Accent4 7" xfId="1009"/>
    <cellStyle name="60% - Accent4 7 2" xfId="1010"/>
    <cellStyle name="60% - Accent4 8" xfId="1011"/>
    <cellStyle name="60% - Accent4 8 2" xfId="1012"/>
    <cellStyle name="60% - Accent4 9" xfId="1013"/>
    <cellStyle name="60% - Accent4 9 2" xfId="1014"/>
    <cellStyle name="60% - Accent5 10" xfId="1015"/>
    <cellStyle name="60% - Accent5 10 2" xfId="1016"/>
    <cellStyle name="60% - Accent5 11" xfId="1017"/>
    <cellStyle name="60% - Accent5 11 2" xfId="1018"/>
    <cellStyle name="60% - Accent5 12" xfId="1019"/>
    <cellStyle name="60% - Accent5 12 2" xfId="1020"/>
    <cellStyle name="60% - Accent5 13" xfId="1021"/>
    <cellStyle name="60% - Accent5 13 2" xfId="1022"/>
    <cellStyle name="60% - Accent5 14" xfId="1023"/>
    <cellStyle name="60% - Accent5 2" xfId="1024"/>
    <cellStyle name="60% - Accent5 2 2" xfId="1025"/>
    <cellStyle name="60% - Accent5 2 2 2" xfId="1026"/>
    <cellStyle name="60% - Accent5 2 2 3" xfId="1027"/>
    <cellStyle name="60% - Accent5 2 3" xfId="1028"/>
    <cellStyle name="60% - Accent5 2 4" xfId="1029"/>
    <cellStyle name="60% - Accent5 3" xfId="1030"/>
    <cellStyle name="60% - Accent5 3 2" xfId="1031"/>
    <cellStyle name="60% - Accent5 3 3" xfId="1032"/>
    <cellStyle name="60% - Accent5 4" xfId="1033"/>
    <cellStyle name="60% - Accent5 4 2" xfId="1034"/>
    <cellStyle name="60% - Accent5 5" xfId="1035"/>
    <cellStyle name="60% - Accent5 5 2" xfId="1036"/>
    <cellStyle name="60% - Accent5 6" xfId="1037"/>
    <cellStyle name="60% - Accent5 6 2" xfId="1038"/>
    <cellStyle name="60% - Accent5 7" xfId="1039"/>
    <cellStyle name="60% - Accent5 7 2" xfId="1040"/>
    <cellStyle name="60% - Accent5 8" xfId="1041"/>
    <cellStyle name="60% - Accent5 8 2" xfId="1042"/>
    <cellStyle name="60% - Accent5 9" xfId="1043"/>
    <cellStyle name="60% - Accent5 9 2" xfId="1044"/>
    <cellStyle name="60% - Accent6 10" xfId="1045"/>
    <cellStyle name="60% - Accent6 10 2" xfId="1046"/>
    <cellStyle name="60% - Accent6 11" xfId="1047"/>
    <cellStyle name="60% - Accent6 11 2" xfId="1048"/>
    <cellStyle name="60% - Accent6 12" xfId="1049"/>
    <cellStyle name="60% - Accent6 12 2" xfId="1050"/>
    <cellStyle name="60% - Accent6 13" xfId="1051"/>
    <cellStyle name="60% - Accent6 13 2" xfId="1052"/>
    <cellStyle name="60% - Accent6 14" xfId="1053"/>
    <cellStyle name="60% - Accent6 2" xfId="1054"/>
    <cellStyle name="60% - Accent6 2 2" xfId="1055"/>
    <cellStyle name="60% - Accent6 2 2 2" xfId="1056"/>
    <cellStyle name="60% - Accent6 2 2 3" xfId="1057"/>
    <cellStyle name="60% - Accent6 2 3" xfId="1058"/>
    <cellStyle name="60% - Accent6 2 4" xfId="1059"/>
    <cellStyle name="60% - Accent6 3" xfId="1060"/>
    <cellStyle name="60% - Accent6 3 2" xfId="1061"/>
    <cellStyle name="60% - Accent6 3 3" xfId="1062"/>
    <cellStyle name="60% - Accent6 4" xfId="1063"/>
    <cellStyle name="60% - Accent6 4 2" xfId="1064"/>
    <cellStyle name="60% - Accent6 5" xfId="1065"/>
    <cellStyle name="60% - Accent6 5 2" xfId="1066"/>
    <cellStyle name="60% - Accent6 6" xfId="1067"/>
    <cellStyle name="60% - Accent6 6 2" xfId="1068"/>
    <cellStyle name="60% - Accent6 7" xfId="1069"/>
    <cellStyle name="60% - Accent6 7 2" xfId="1070"/>
    <cellStyle name="60% - Accent6 8" xfId="1071"/>
    <cellStyle name="60% - Accent6 8 2" xfId="1072"/>
    <cellStyle name="60% - Accent6 9" xfId="1073"/>
    <cellStyle name="60% - Accent6 9 2" xfId="1074"/>
    <cellStyle name="Accent1 - 20%" xfId="1075"/>
    <cellStyle name="Accent1 - 40%" xfId="1076"/>
    <cellStyle name="Accent1 - 60%" xfId="1077"/>
    <cellStyle name="Accent1 10" xfId="1078"/>
    <cellStyle name="Accent1 10 2" xfId="1079"/>
    <cellStyle name="Accent1 11" xfId="1080"/>
    <cellStyle name="Accent1 11 2" xfId="1081"/>
    <cellStyle name="Accent1 12" xfId="1082"/>
    <cellStyle name="Accent1 12 2" xfId="1083"/>
    <cellStyle name="Accent1 13" xfId="1084"/>
    <cellStyle name="Accent1 13 2" xfId="1085"/>
    <cellStyle name="Accent1 14" xfId="1086"/>
    <cellStyle name="Accent1 2" xfId="1087"/>
    <cellStyle name="Accent1 2 2" xfId="1088"/>
    <cellStyle name="Accent1 2 2 2" xfId="1089"/>
    <cellStyle name="Accent1 2 2 3" xfId="1090"/>
    <cellStyle name="Accent1 2 3" xfId="1091"/>
    <cellStyle name="Accent1 2 4" xfId="1092"/>
    <cellStyle name="Accent1 3" xfId="1093"/>
    <cellStyle name="Accent1 3 2" xfId="1094"/>
    <cellStyle name="Accent1 3 3" xfId="1095"/>
    <cellStyle name="Accent1 4" xfId="1096"/>
    <cellStyle name="Accent1 4 2" xfId="1097"/>
    <cellStyle name="Accent1 5" xfId="1098"/>
    <cellStyle name="Accent1 5 2" xfId="1099"/>
    <cellStyle name="Accent1 6" xfId="1100"/>
    <cellStyle name="Accent1 6 2" xfId="1101"/>
    <cellStyle name="Accent1 7" xfId="1102"/>
    <cellStyle name="Accent1 7 2" xfId="1103"/>
    <cellStyle name="Accent1 8" xfId="1104"/>
    <cellStyle name="Accent1 8 2" xfId="1105"/>
    <cellStyle name="Accent1 9" xfId="1106"/>
    <cellStyle name="Accent1 9 2" xfId="1107"/>
    <cellStyle name="Accent2 - 20%" xfId="1108"/>
    <cellStyle name="Accent2 - 40%" xfId="1109"/>
    <cellStyle name="Accent2 - 60%" xfId="1110"/>
    <cellStyle name="Accent2 10" xfId="1111"/>
    <cellStyle name="Accent2 10 2" xfId="1112"/>
    <cellStyle name="Accent2 11" xfId="1113"/>
    <cellStyle name="Accent2 11 2" xfId="1114"/>
    <cellStyle name="Accent2 12" xfId="1115"/>
    <cellStyle name="Accent2 12 2" xfId="1116"/>
    <cellStyle name="Accent2 13" xfId="1117"/>
    <cellStyle name="Accent2 13 2" xfId="1118"/>
    <cellStyle name="Accent2 14" xfId="1119"/>
    <cellStyle name="Accent2 2" xfId="1120"/>
    <cellStyle name="Accent2 2 2" xfId="1121"/>
    <cellStyle name="Accent2 2 2 2" xfId="1122"/>
    <cellStyle name="Accent2 2 2 3" xfId="1123"/>
    <cellStyle name="Accent2 2 3" xfId="1124"/>
    <cellStyle name="Accent2 2 4" xfId="1125"/>
    <cellStyle name="Accent2 3" xfId="1126"/>
    <cellStyle name="Accent2 3 2" xfId="1127"/>
    <cellStyle name="Accent2 3 3" xfId="1128"/>
    <cellStyle name="Accent2 4" xfId="1129"/>
    <cellStyle name="Accent2 4 2" xfId="1130"/>
    <cellStyle name="Accent2 5" xfId="1131"/>
    <cellStyle name="Accent2 5 2" xfId="1132"/>
    <cellStyle name="Accent2 6" xfId="1133"/>
    <cellStyle name="Accent2 6 2" xfId="1134"/>
    <cellStyle name="Accent2 7" xfId="1135"/>
    <cellStyle name="Accent2 7 2" xfId="1136"/>
    <cellStyle name="Accent2 8" xfId="1137"/>
    <cellStyle name="Accent2 8 2" xfId="1138"/>
    <cellStyle name="Accent2 9" xfId="1139"/>
    <cellStyle name="Accent2 9 2" xfId="1140"/>
    <cellStyle name="Accent3 - 20%" xfId="1141"/>
    <cellStyle name="Accent3 - 40%" xfId="1142"/>
    <cellStyle name="Accent3 - 60%" xfId="1143"/>
    <cellStyle name="Accent3 10" xfId="1144"/>
    <cellStyle name="Accent3 10 2" xfId="1145"/>
    <cellStyle name="Accent3 11" xfId="1146"/>
    <cellStyle name="Accent3 11 2" xfId="1147"/>
    <cellStyle name="Accent3 12" xfId="1148"/>
    <cellStyle name="Accent3 12 2" xfId="1149"/>
    <cellStyle name="Accent3 13" xfId="1150"/>
    <cellStyle name="Accent3 13 2" xfId="1151"/>
    <cellStyle name="Accent3 14" xfId="1152"/>
    <cellStyle name="Accent3 2" xfId="1153"/>
    <cellStyle name="Accent3 2 2" xfId="1154"/>
    <cellStyle name="Accent3 2 2 2" xfId="1155"/>
    <cellStyle name="Accent3 2 2 3" xfId="1156"/>
    <cellStyle name="Accent3 2 3" xfId="1157"/>
    <cellStyle name="Accent3 2 4" xfId="1158"/>
    <cellStyle name="Accent3 3" xfId="1159"/>
    <cellStyle name="Accent3 3 2" xfId="1160"/>
    <cellStyle name="Accent3 3 3" xfId="1161"/>
    <cellStyle name="Accent3 4" xfId="1162"/>
    <cellStyle name="Accent3 4 2" xfId="1163"/>
    <cellStyle name="Accent3 5" xfId="1164"/>
    <cellStyle name="Accent3 5 2" xfId="1165"/>
    <cellStyle name="Accent3 6" xfId="1166"/>
    <cellStyle name="Accent3 6 2" xfId="1167"/>
    <cellStyle name="Accent3 7" xfId="1168"/>
    <cellStyle name="Accent3 7 2" xfId="1169"/>
    <cellStyle name="Accent3 8" xfId="1170"/>
    <cellStyle name="Accent3 8 2" xfId="1171"/>
    <cellStyle name="Accent3 9" xfId="1172"/>
    <cellStyle name="Accent3 9 2" xfId="1173"/>
    <cellStyle name="Accent4 - 20%" xfId="1174"/>
    <cellStyle name="Accent4 - 40%" xfId="1175"/>
    <cellStyle name="Accent4 - 60%" xfId="1176"/>
    <cellStyle name="Accent4 10" xfId="1177"/>
    <cellStyle name="Accent4 10 2" xfId="1178"/>
    <cellStyle name="Accent4 11" xfId="1179"/>
    <cellStyle name="Accent4 11 2" xfId="1180"/>
    <cellStyle name="Accent4 12" xfId="1181"/>
    <cellStyle name="Accent4 12 2" xfId="1182"/>
    <cellStyle name="Accent4 13" xfId="1183"/>
    <cellStyle name="Accent4 13 2" xfId="1184"/>
    <cellStyle name="Accent4 14" xfId="1185"/>
    <cellStyle name="Accent4 2" xfId="1186"/>
    <cellStyle name="Accent4 2 2" xfId="1187"/>
    <cellStyle name="Accent4 2 2 2" xfId="1188"/>
    <cellStyle name="Accent4 2 2 3" xfId="1189"/>
    <cellStyle name="Accent4 2 3" xfId="1190"/>
    <cellStyle name="Accent4 2 4" xfId="1191"/>
    <cellStyle name="Accent4 3" xfId="1192"/>
    <cellStyle name="Accent4 3 2" xfId="1193"/>
    <cellStyle name="Accent4 3 3" xfId="1194"/>
    <cellStyle name="Accent4 4" xfId="1195"/>
    <cellStyle name="Accent4 4 2" xfId="1196"/>
    <cellStyle name="Accent4 5" xfId="1197"/>
    <cellStyle name="Accent4 5 2" xfId="1198"/>
    <cellStyle name="Accent4 6" xfId="1199"/>
    <cellStyle name="Accent4 6 2" xfId="1200"/>
    <cellStyle name="Accent4 7" xfId="1201"/>
    <cellStyle name="Accent4 7 2" xfId="1202"/>
    <cellStyle name="Accent4 8" xfId="1203"/>
    <cellStyle name="Accent4 8 2" xfId="1204"/>
    <cellStyle name="Accent4 9" xfId="1205"/>
    <cellStyle name="Accent4 9 2" xfId="1206"/>
    <cellStyle name="Accent5 - 20%" xfId="1207"/>
    <cellStyle name="Accent5 - 40%" xfId="1208"/>
    <cellStyle name="Accent5 - 60%" xfId="1209"/>
    <cellStyle name="Accent5 10" xfId="1210"/>
    <cellStyle name="Accent5 10 2" xfId="1211"/>
    <cellStyle name="Accent5 11" xfId="1212"/>
    <cellStyle name="Accent5 11 2" xfId="1213"/>
    <cellStyle name="Accent5 12" xfId="1214"/>
    <cellStyle name="Accent5 12 2" xfId="1215"/>
    <cellStyle name="Accent5 13" xfId="1216"/>
    <cellStyle name="Accent5 13 2" xfId="1217"/>
    <cellStyle name="Accent5 14" xfId="1218"/>
    <cellStyle name="Accent5 2" xfId="1219"/>
    <cellStyle name="Accent5 2 2" xfId="1220"/>
    <cellStyle name="Accent5 2 2 2" xfId="1221"/>
    <cellStyle name="Accent5 2 2 3" xfId="1222"/>
    <cellStyle name="Accent5 2 3" xfId="1223"/>
    <cellStyle name="Accent5 2 4" xfId="1224"/>
    <cellStyle name="Accent5 3" xfId="1225"/>
    <cellStyle name="Accent5 3 2" xfId="1226"/>
    <cellStyle name="Accent5 3 3" xfId="1227"/>
    <cellStyle name="Accent5 4" xfId="1228"/>
    <cellStyle name="Accent5 4 2" xfId="1229"/>
    <cellStyle name="Accent5 5" xfId="1230"/>
    <cellStyle name="Accent5 5 2" xfId="1231"/>
    <cellStyle name="Accent5 6" xfId="1232"/>
    <cellStyle name="Accent5 6 2" xfId="1233"/>
    <cellStyle name="Accent5 7" xfId="1234"/>
    <cellStyle name="Accent5 7 2" xfId="1235"/>
    <cellStyle name="Accent5 8" xfId="1236"/>
    <cellStyle name="Accent5 8 2" xfId="1237"/>
    <cellStyle name="Accent5 9" xfId="1238"/>
    <cellStyle name="Accent5 9 2" xfId="1239"/>
    <cellStyle name="Accent6 - 20%" xfId="1240"/>
    <cellStyle name="Accent6 - 40%" xfId="1241"/>
    <cellStyle name="Accent6 - 60%" xfId="1242"/>
    <cellStyle name="Accent6 10" xfId="1243"/>
    <cellStyle name="Accent6 10 2" xfId="1244"/>
    <cellStyle name="Accent6 11" xfId="1245"/>
    <cellStyle name="Accent6 11 2" xfId="1246"/>
    <cellStyle name="Accent6 12" xfId="1247"/>
    <cellStyle name="Accent6 12 2" xfId="1248"/>
    <cellStyle name="Accent6 13" xfId="1249"/>
    <cellStyle name="Accent6 13 2" xfId="1250"/>
    <cellStyle name="Accent6 14" xfId="1251"/>
    <cellStyle name="Accent6 2" xfId="1252"/>
    <cellStyle name="Accent6 2 2" xfId="1253"/>
    <cellStyle name="Accent6 2 2 2" xfId="1254"/>
    <cellStyle name="Accent6 2 2 3" xfId="1255"/>
    <cellStyle name="Accent6 2 3" xfId="1256"/>
    <cellStyle name="Accent6 2 4" xfId="1257"/>
    <cellStyle name="Accent6 3" xfId="1258"/>
    <cellStyle name="Accent6 3 2" xfId="1259"/>
    <cellStyle name="Accent6 3 3" xfId="1260"/>
    <cellStyle name="Accent6 4" xfId="1261"/>
    <cellStyle name="Accent6 4 2" xfId="1262"/>
    <cellStyle name="Accent6 5" xfId="1263"/>
    <cellStyle name="Accent6 5 2" xfId="1264"/>
    <cellStyle name="Accent6 6" xfId="1265"/>
    <cellStyle name="Accent6 6 2" xfId="1266"/>
    <cellStyle name="Accent6 7" xfId="1267"/>
    <cellStyle name="Accent6 7 2" xfId="1268"/>
    <cellStyle name="Accent6 8" xfId="1269"/>
    <cellStyle name="Accent6 8 2" xfId="1270"/>
    <cellStyle name="Accent6 9" xfId="1271"/>
    <cellStyle name="Accent6 9 2" xfId="1272"/>
    <cellStyle name="AlternatingRow" xfId="1273"/>
    <cellStyle name="B&amp;P" xfId="1274"/>
    <cellStyle name="Bad 10" xfId="1275"/>
    <cellStyle name="Bad 10 2" xfId="1276"/>
    <cellStyle name="Bad 11" xfId="1277"/>
    <cellStyle name="Bad 11 2" xfId="1278"/>
    <cellStyle name="Bad 12" xfId="1279"/>
    <cellStyle name="Bad 12 2" xfId="1280"/>
    <cellStyle name="Bad 13" xfId="1281"/>
    <cellStyle name="Bad 13 2" xfId="1282"/>
    <cellStyle name="Bad 14" xfId="1283"/>
    <cellStyle name="Bad 2" xfId="1284"/>
    <cellStyle name="Bad 2 2" xfId="1285"/>
    <cellStyle name="Bad 2 2 2" xfId="1286"/>
    <cellStyle name="Bad 2 2 3" xfId="1287"/>
    <cellStyle name="Bad 2 3" xfId="1288"/>
    <cellStyle name="Bad 2 4" xfId="1289"/>
    <cellStyle name="Bad 3" xfId="1290"/>
    <cellStyle name="Bad 3 2" xfId="1291"/>
    <cellStyle name="Bad 3 3" xfId="1292"/>
    <cellStyle name="Bad 4" xfId="1293"/>
    <cellStyle name="Bad 4 2" xfId="1294"/>
    <cellStyle name="Bad 5" xfId="1295"/>
    <cellStyle name="Bad 5 2" xfId="1296"/>
    <cellStyle name="Bad 6" xfId="1297"/>
    <cellStyle name="Bad 6 2" xfId="1298"/>
    <cellStyle name="Bad 7" xfId="1299"/>
    <cellStyle name="Bad 7 2" xfId="1300"/>
    <cellStyle name="Bad 8" xfId="1301"/>
    <cellStyle name="Bad 8 2" xfId="1302"/>
    <cellStyle name="Bad 9" xfId="1303"/>
    <cellStyle name="Bad 9 2" xfId="1304"/>
    <cellStyle name="Body" xfId="1305"/>
    <cellStyle name="Calc Currency (0)" xfId="1306"/>
    <cellStyle name="Calc Currency (2)" xfId="1307"/>
    <cellStyle name="Calc Percent (0)" xfId="1308"/>
    <cellStyle name="Calc Percent (1)" xfId="1309"/>
    <cellStyle name="Calc Percent (2)" xfId="1310"/>
    <cellStyle name="Calc Units (0)" xfId="1311"/>
    <cellStyle name="Calc Units (1)" xfId="1312"/>
    <cellStyle name="Calc Units (2)" xfId="1313"/>
    <cellStyle name="Calculation 10" xfId="1314"/>
    <cellStyle name="Calculation 10 2" xfId="1315"/>
    <cellStyle name="Calculation 10 2 2" xfId="1316"/>
    <cellStyle name="Calculation 10 2 2 2" xfId="1317"/>
    <cellStyle name="Calculation 10 2 2 2 2" xfId="1318"/>
    <cellStyle name="Calculation 10 2 2 2 2 2" xfId="1319"/>
    <cellStyle name="Calculation 10 2 2 2 2 3" xfId="1320"/>
    <cellStyle name="Calculation 10 2 2 2 2 4" xfId="1321"/>
    <cellStyle name="Calculation 10 2 2 2 2 5" xfId="1322"/>
    <cellStyle name="Calculation 10 2 2 2 2 6" xfId="1323"/>
    <cellStyle name="Calculation 10 2 2 2 2 7" xfId="1324"/>
    <cellStyle name="Calculation 10 2 2 2 2 8" xfId="1325"/>
    <cellStyle name="Calculation 10 2 2 2 3" xfId="1326"/>
    <cellStyle name="Calculation 10 2 2 2 3 2" xfId="1327"/>
    <cellStyle name="Calculation 10 2 2 2 3 3" xfId="1328"/>
    <cellStyle name="Calculation 10 2 2 2 3 4" xfId="1329"/>
    <cellStyle name="Calculation 10 2 2 2 3 5" xfId="1330"/>
    <cellStyle name="Calculation 10 2 2 2 3 6" xfId="1331"/>
    <cellStyle name="Calculation 10 2 2 2 3 7" xfId="1332"/>
    <cellStyle name="Calculation 10 2 2 2 3 8" xfId="1333"/>
    <cellStyle name="Calculation 10 2 2 2 4" xfId="1334"/>
    <cellStyle name="Calculation 10 2 2 2 4 2" xfId="1335"/>
    <cellStyle name="Calculation 10 2 2 2 4 3" xfId="1336"/>
    <cellStyle name="Calculation 10 2 2 2 4 4" xfId="1337"/>
    <cellStyle name="Calculation 10 2 2 2 4 5" xfId="1338"/>
    <cellStyle name="Calculation 10 2 2 2 4 6" xfId="1339"/>
    <cellStyle name="Calculation 10 2 2 2 4 7" xfId="1340"/>
    <cellStyle name="Calculation 10 2 2 2 4 8" xfId="1341"/>
    <cellStyle name="Calculation 10 2 2 2 5" xfId="1342"/>
    <cellStyle name="Calculation 10 2 2 3" xfId="1343"/>
    <cellStyle name="Calculation 10 2 2 3 2" xfId="1344"/>
    <cellStyle name="Calculation 10 2 2 3 2 2" xfId="1345"/>
    <cellStyle name="Calculation 10 2 2 3 2 3" xfId="1346"/>
    <cellStyle name="Calculation 10 2 2 3 2 4" xfId="1347"/>
    <cellStyle name="Calculation 10 2 2 3 2 5" xfId="1348"/>
    <cellStyle name="Calculation 10 2 2 3 2 6" xfId="1349"/>
    <cellStyle name="Calculation 10 2 2 3 2 7" xfId="1350"/>
    <cellStyle name="Calculation 10 2 2 3 2 8" xfId="1351"/>
    <cellStyle name="Calculation 10 2 2 3 3" xfId="1352"/>
    <cellStyle name="Calculation 10 2 2 3 3 2" xfId="1353"/>
    <cellStyle name="Calculation 10 2 2 3 3 3" xfId="1354"/>
    <cellStyle name="Calculation 10 2 2 3 3 4" xfId="1355"/>
    <cellStyle name="Calculation 10 2 2 3 3 5" xfId="1356"/>
    <cellStyle name="Calculation 10 2 2 3 3 6" xfId="1357"/>
    <cellStyle name="Calculation 10 2 2 3 3 7" xfId="1358"/>
    <cellStyle name="Calculation 10 2 2 3 3 8" xfId="1359"/>
    <cellStyle name="Calculation 10 2 2 3 4" xfId="1360"/>
    <cellStyle name="Calculation 10 2 2 3 4 2" xfId="1361"/>
    <cellStyle name="Calculation 10 2 2 3 4 3" xfId="1362"/>
    <cellStyle name="Calculation 10 2 2 3 4 4" xfId="1363"/>
    <cellStyle name="Calculation 10 2 2 3 4 5" xfId="1364"/>
    <cellStyle name="Calculation 10 2 2 3 4 6" xfId="1365"/>
    <cellStyle name="Calculation 10 2 2 3 4 7" xfId="1366"/>
    <cellStyle name="Calculation 10 2 2 3 4 8" xfId="1367"/>
    <cellStyle name="Calculation 10 2 2 3 5" xfId="1368"/>
    <cellStyle name="Calculation 10 2 2 4" xfId="1369"/>
    <cellStyle name="Calculation 10 2 2 4 2" xfId="1370"/>
    <cellStyle name="Calculation 10 2 2 4 2 2" xfId="1371"/>
    <cellStyle name="Calculation 10 2 2 4 2 3" xfId="1372"/>
    <cellStyle name="Calculation 10 2 2 4 2 4" xfId="1373"/>
    <cellStyle name="Calculation 10 2 2 4 2 5" xfId="1374"/>
    <cellStyle name="Calculation 10 2 2 4 2 6" xfId="1375"/>
    <cellStyle name="Calculation 10 2 2 4 2 7" xfId="1376"/>
    <cellStyle name="Calculation 10 2 2 4 2 8" xfId="1377"/>
    <cellStyle name="Calculation 10 2 2 4 3" xfId="1378"/>
    <cellStyle name="Calculation 10 2 2 4 3 2" xfId="1379"/>
    <cellStyle name="Calculation 10 2 2 4 3 3" xfId="1380"/>
    <cellStyle name="Calculation 10 2 2 4 3 4" xfId="1381"/>
    <cellStyle name="Calculation 10 2 2 4 3 5" xfId="1382"/>
    <cellStyle name="Calculation 10 2 2 4 3 6" xfId="1383"/>
    <cellStyle name="Calculation 10 2 2 4 3 7" xfId="1384"/>
    <cellStyle name="Calculation 10 2 2 4 3 8" xfId="1385"/>
    <cellStyle name="Calculation 10 2 2 4 4" xfId="1386"/>
    <cellStyle name="Calculation 10 2 2 4 4 2" xfId="1387"/>
    <cellStyle name="Calculation 10 2 2 4 4 3" xfId="1388"/>
    <cellStyle name="Calculation 10 2 2 4 4 4" xfId="1389"/>
    <cellStyle name="Calculation 10 2 2 4 4 5" xfId="1390"/>
    <cellStyle name="Calculation 10 2 2 4 4 6" xfId="1391"/>
    <cellStyle name="Calculation 10 2 2 4 4 7" xfId="1392"/>
    <cellStyle name="Calculation 10 2 2 4 4 8" xfId="1393"/>
    <cellStyle name="Calculation 10 2 2 5" xfId="1394"/>
    <cellStyle name="Calculation 10 2 2 5 2" xfId="1395"/>
    <cellStyle name="Calculation 10 2 2 5 3" xfId="1396"/>
    <cellStyle name="Calculation 10 2 2 5 4" xfId="1397"/>
    <cellStyle name="Calculation 10 2 2 5 5" xfId="1398"/>
    <cellStyle name="Calculation 10 2 2 5 6" xfId="1399"/>
    <cellStyle name="Calculation 10 2 2 5 7" xfId="1400"/>
    <cellStyle name="Calculation 10 2 2 5 8" xfId="1401"/>
    <cellStyle name="Calculation 10 2 2 6" xfId="1402"/>
    <cellStyle name="Calculation 10 2 2 6 2" xfId="1403"/>
    <cellStyle name="Calculation 10 2 2 6 3" xfId="1404"/>
    <cellStyle name="Calculation 10 2 2 6 4" xfId="1405"/>
    <cellStyle name="Calculation 10 2 2 6 5" xfId="1406"/>
    <cellStyle name="Calculation 10 2 2 6 6" xfId="1407"/>
    <cellStyle name="Calculation 10 2 2 6 7" xfId="1408"/>
    <cellStyle name="Calculation 10 2 2 6 8" xfId="1409"/>
    <cellStyle name="Calculation 10 2 2 7" xfId="1410"/>
    <cellStyle name="Calculation 10 2 2 7 2" xfId="1411"/>
    <cellStyle name="Calculation 10 2 2 7 3" xfId="1412"/>
    <cellStyle name="Calculation 10 2 2 7 4" xfId="1413"/>
    <cellStyle name="Calculation 10 2 2 7 5" xfId="1414"/>
    <cellStyle name="Calculation 10 2 2 7 6" xfId="1415"/>
    <cellStyle name="Calculation 10 2 2 7 7" xfId="1416"/>
    <cellStyle name="Calculation 10 2 2 7 8" xfId="1417"/>
    <cellStyle name="Calculation 10 2 3" xfId="1418"/>
    <cellStyle name="Calculation 10 2 3 2" xfId="1419"/>
    <cellStyle name="Calculation 10 2 3 2 2" xfId="1420"/>
    <cellStyle name="Calculation 10 2 3 2 2 2" xfId="1421"/>
    <cellStyle name="Calculation 10 2 3 2 2 3" xfId="1422"/>
    <cellStyle name="Calculation 10 2 3 2 2 4" xfId="1423"/>
    <cellStyle name="Calculation 10 2 3 2 2 5" xfId="1424"/>
    <cellStyle name="Calculation 10 2 3 2 2 6" xfId="1425"/>
    <cellStyle name="Calculation 10 2 3 2 2 7" xfId="1426"/>
    <cellStyle name="Calculation 10 2 3 2 2 8" xfId="1427"/>
    <cellStyle name="Calculation 10 2 3 2 3" xfId="1428"/>
    <cellStyle name="Calculation 10 2 3 2 3 2" xfId="1429"/>
    <cellStyle name="Calculation 10 2 3 2 3 3" xfId="1430"/>
    <cellStyle name="Calculation 10 2 3 2 3 4" xfId="1431"/>
    <cellStyle name="Calculation 10 2 3 2 3 5" xfId="1432"/>
    <cellStyle name="Calculation 10 2 3 2 3 6" xfId="1433"/>
    <cellStyle name="Calculation 10 2 3 2 3 7" xfId="1434"/>
    <cellStyle name="Calculation 10 2 3 2 3 8" xfId="1435"/>
    <cellStyle name="Calculation 10 2 3 2 4" xfId="1436"/>
    <cellStyle name="Calculation 10 2 3 2 4 2" xfId="1437"/>
    <cellStyle name="Calculation 10 2 3 2 4 3" xfId="1438"/>
    <cellStyle name="Calculation 10 2 3 2 4 4" xfId="1439"/>
    <cellStyle name="Calculation 10 2 3 2 4 5" xfId="1440"/>
    <cellStyle name="Calculation 10 2 3 2 4 6" xfId="1441"/>
    <cellStyle name="Calculation 10 2 3 2 4 7" xfId="1442"/>
    <cellStyle name="Calculation 10 2 3 2 4 8" xfId="1443"/>
    <cellStyle name="Calculation 10 2 3 2 5" xfId="1444"/>
    <cellStyle name="Calculation 10 2 3 3" xfId="1445"/>
    <cellStyle name="Calculation 10 2 3 3 2" xfId="1446"/>
    <cellStyle name="Calculation 10 2 3 3 3" xfId="1447"/>
    <cellStyle name="Calculation 10 2 3 3 4" xfId="1448"/>
    <cellStyle name="Calculation 10 2 3 3 5" xfId="1449"/>
    <cellStyle name="Calculation 10 2 3 3 6" xfId="1450"/>
    <cellStyle name="Calculation 10 2 3 3 7" xfId="1451"/>
    <cellStyle name="Calculation 10 2 3 3 8" xfId="1452"/>
    <cellStyle name="Calculation 10 2 3 4" xfId="1453"/>
    <cellStyle name="Calculation 10 2 3 4 2" xfId="1454"/>
    <cellStyle name="Calculation 10 2 3 4 3" xfId="1455"/>
    <cellStyle name="Calculation 10 2 3 4 4" xfId="1456"/>
    <cellStyle name="Calculation 10 2 3 4 5" xfId="1457"/>
    <cellStyle name="Calculation 10 2 3 4 6" xfId="1458"/>
    <cellStyle name="Calculation 10 2 3 4 7" xfId="1459"/>
    <cellStyle name="Calculation 10 2 3 4 8" xfId="1460"/>
    <cellStyle name="Calculation 10 2 3 5" xfId="1461"/>
    <cellStyle name="Calculation 10 2 3 5 2" xfId="1462"/>
    <cellStyle name="Calculation 10 2 3 5 3" xfId="1463"/>
    <cellStyle name="Calculation 10 2 3 5 4" xfId="1464"/>
    <cellStyle name="Calculation 10 2 3 5 5" xfId="1465"/>
    <cellStyle name="Calculation 10 2 3 5 6" xfId="1466"/>
    <cellStyle name="Calculation 10 2 3 5 7" xfId="1467"/>
    <cellStyle name="Calculation 10 2 3 5 8" xfId="1468"/>
    <cellStyle name="Calculation 10 2 3 6" xfId="1469"/>
    <cellStyle name="Calculation 10 2 4" xfId="1470"/>
    <cellStyle name="Calculation 10 2 4 2" xfId="1471"/>
    <cellStyle name="Calculation 10 2 4 3" xfId="1472"/>
    <cellStyle name="Calculation 10 2 4 4" xfId="1473"/>
    <cellStyle name="Calculation 10 2 4 5" xfId="1474"/>
    <cellStyle name="Calculation 10 2 4 6" xfId="1475"/>
    <cellStyle name="Calculation 10 2 4 7" xfId="1476"/>
    <cellStyle name="Calculation 10 2 4 8" xfId="1477"/>
    <cellStyle name="Calculation 10 2 5" xfId="1478"/>
    <cellStyle name="Calculation 10 2 5 2" xfId="1479"/>
    <cellStyle name="Calculation 10 2 5 3" xfId="1480"/>
    <cellStyle name="Calculation 10 2 5 4" xfId="1481"/>
    <cellStyle name="Calculation 10 2 5 5" xfId="1482"/>
    <cellStyle name="Calculation 10 2 5 6" xfId="1483"/>
    <cellStyle name="Calculation 10 2 5 7" xfId="1484"/>
    <cellStyle name="Calculation 10 2 5 8" xfId="1485"/>
    <cellStyle name="Calculation 10 2 6" xfId="1486"/>
    <cellStyle name="Calculation 10 2 6 2" xfId="1487"/>
    <cellStyle name="Calculation 10 2 6 3" xfId="1488"/>
    <cellStyle name="Calculation 10 2 6 4" xfId="1489"/>
    <cellStyle name="Calculation 10 2 6 5" xfId="1490"/>
    <cellStyle name="Calculation 10 2 6 6" xfId="1491"/>
    <cellStyle name="Calculation 10 2 6 7" xfId="1492"/>
    <cellStyle name="Calculation 10 2 6 8" xfId="1493"/>
    <cellStyle name="Calculation 10 3" xfId="1494"/>
    <cellStyle name="Calculation 10 3 2" xfId="1495"/>
    <cellStyle name="Calculation 10 3 2 2" xfId="1496"/>
    <cellStyle name="Calculation 10 3 2 2 2" xfId="1497"/>
    <cellStyle name="Calculation 10 3 2 2 3" xfId="1498"/>
    <cellStyle name="Calculation 10 3 2 2 4" xfId="1499"/>
    <cellStyle name="Calculation 10 3 2 2 5" xfId="1500"/>
    <cellStyle name="Calculation 10 3 2 2 6" xfId="1501"/>
    <cellStyle name="Calculation 10 3 2 2 7" xfId="1502"/>
    <cellStyle name="Calculation 10 3 2 2 8" xfId="1503"/>
    <cellStyle name="Calculation 10 3 2 3" xfId="1504"/>
    <cellStyle name="Calculation 10 3 2 3 2" xfId="1505"/>
    <cellStyle name="Calculation 10 3 2 3 3" xfId="1506"/>
    <cellStyle name="Calculation 10 3 2 3 4" xfId="1507"/>
    <cellStyle name="Calculation 10 3 2 3 5" xfId="1508"/>
    <cellStyle name="Calculation 10 3 2 3 6" xfId="1509"/>
    <cellStyle name="Calculation 10 3 2 3 7" xfId="1510"/>
    <cellStyle name="Calculation 10 3 2 3 8" xfId="1511"/>
    <cellStyle name="Calculation 10 3 2 4" xfId="1512"/>
    <cellStyle name="Calculation 10 3 2 4 2" xfId="1513"/>
    <cellStyle name="Calculation 10 3 2 4 3" xfId="1514"/>
    <cellStyle name="Calculation 10 3 2 4 4" xfId="1515"/>
    <cellStyle name="Calculation 10 3 2 4 5" xfId="1516"/>
    <cellStyle name="Calculation 10 3 2 4 6" xfId="1517"/>
    <cellStyle name="Calculation 10 3 2 4 7" xfId="1518"/>
    <cellStyle name="Calculation 10 3 2 4 8" xfId="1519"/>
    <cellStyle name="Calculation 10 3 2 5" xfId="1520"/>
    <cellStyle name="Calculation 10 3 3" xfId="1521"/>
    <cellStyle name="Calculation 10 3 3 2" xfId="1522"/>
    <cellStyle name="Calculation 10 3 3 2 2" xfId="1523"/>
    <cellStyle name="Calculation 10 3 3 2 3" xfId="1524"/>
    <cellStyle name="Calculation 10 3 3 2 4" xfId="1525"/>
    <cellStyle name="Calculation 10 3 3 2 5" xfId="1526"/>
    <cellStyle name="Calculation 10 3 3 2 6" xfId="1527"/>
    <cellStyle name="Calculation 10 3 3 2 7" xfId="1528"/>
    <cellStyle name="Calculation 10 3 3 2 8" xfId="1529"/>
    <cellStyle name="Calculation 10 3 3 3" xfId="1530"/>
    <cellStyle name="Calculation 10 3 3 3 2" xfId="1531"/>
    <cellStyle name="Calculation 10 3 3 3 3" xfId="1532"/>
    <cellStyle name="Calculation 10 3 3 3 4" xfId="1533"/>
    <cellStyle name="Calculation 10 3 3 3 5" xfId="1534"/>
    <cellStyle name="Calculation 10 3 3 3 6" xfId="1535"/>
    <cellStyle name="Calculation 10 3 3 3 7" xfId="1536"/>
    <cellStyle name="Calculation 10 3 3 3 8" xfId="1537"/>
    <cellStyle name="Calculation 10 3 3 4" xfId="1538"/>
    <cellStyle name="Calculation 10 3 3 4 2" xfId="1539"/>
    <cellStyle name="Calculation 10 3 3 4 3" xfId="1540"/>
    <cellStyle name="Calculation 10 3 3 4 4" xfId="1541"/>
    <cellStyle name="Calculation 10 3 3 4 5" xfId="1542"/>
    <cellStyle name="Calculation 10 3 3 4 6" xfId="1543"/>
    <cellStyle name="Calculation 10 3 3 4 7" xfId="1544"/>
    <cellStyle name="Calculation 10 3 3 4 8" xfId="1545"/>
    <cellStyle name="Calculation 10 3 3 5" xfId="1546"/>
    <cellStyle name="Calculation 10 3 4" xfId="1547"/>
    <cellStyle name="Calculation 10 3 4 2" xfId="1548"/>
    <cellStyle name="Calculation 10 3 4 2 2" xfId="1549"/>
    <cellStyle name="Calculation 10 3 4 2 3" xfId="1550"/>
    <cellStyle name="Calculation 10 3 4 2 4" xfId="1551"/>
    <cellStyle name="Calculation 10 3 4 2 5" xfId="1552"/>
    <cellStyle name="Calculation 10 3 4 2 6" xfId="1553"/>
    <cellStyle name="Calculation 10 3 4 2 7" xfId="1554"/>
    <cellStyle name="Calculation 10 3 4 2 8" xfId="1555"/>
    <cellStyle name="Calculation 10 3 4 3" xfId="1556"/>
    <cellStyle name="Calculation 10 3 4 3 2" xfId="1557"/>
    <cellStyle name="Calculation 10 3 4 3 3" xfId="1558"/>
    <cellStyle name="Calculation 10 3 4 3 4" xfId="1559"/>
    <cellStyle name="Calculation 10 3 4 3 5" xfId="1560"/>
    <cellStyle name="Calculation 10 3 4 3 6" xfId="1561"/>
    <cellStyle name="Calculation 10 3 4 3 7" xfId="1562"/>
    <cellStyle name="Calculation 10 3 4 3 8" xfId="1563"/>
    <cellStyle name="Calculation 10 3 4 4" xfId="1564"/>
    <cellStyle name="Calculation 10 3 4 4 2" xfId="1565"/>
    <cellStyle name="Calculation 10 3 4 4 3" xfId="1566"/>
    <cellStyle name="Calculation 10 3 4 4 4" xfId="1567"/>
    <cellStyle name="Calculation 10 3 4 4 5" xfId="1568"/>
    <cellStyle name="Calculation 10 3 4 4 6" xfId="1569"/>
    <cellStyle name="Calculation 10 3 4 4 7" xfId="1570"/>
    <cellStyle name="Calculation 10 3 4 4 8" xfId="1571"/>
    <cellStyle name="Calculation 10 3 5" xfId="1572"/>
    <cellStyle name="Calculation 10 3 5 2" xfId="1573"/>
    <cellStyle name="Calculation 10 3 5 3" xfId="1574"/>
    <cellStyle name="Calculation 10 3 5 4" xfId="1575"/>
    <cellStyle name="Calculation 10 3 5 5" xfId="1576"/>
    <cellStyle name="Calculation 10 3 5 6" xfId="1577"/>
    <cellStyle name="Calculation 10 3 5 7" xfId="1578"/>
    <cellStyle name="Calculation 10 3 5 8" xfId="1579"/>
    <cellStyle name="Calculation 10 3 6" xfId="1580"/>
    <cellStyle name="Calculation 10 3 6 2" xfId="1581"/>
    <cellStyle name="Calculation 10 3 6 3" xfId="1582"/>
    <cellStyle name="Calculation 10 3 6 4" xfId="1583"/>
    <cellStyle name="Calculation 10 3 6 5" xfId="1584"/>
    <cellStyle name="Calculation 10 3 6 6" xfId="1585"/>
    <cellStyle name="Calculation 10 3 6 7" xfId="1586"/>
    <cellStyle name="Calculation 10 3 6 8" xfId="1587"/>
    <cellStyle name="Calculation 10 3 7" xfId="1588"/>
    <cellStyle name="Calculation 10 3 7 2" xfId="1589"/>
    <cellStyle name="Calculation 10 3 7 3" xfId="1590"/>
    <cellStyle name="Calculation 10 3 7 4" xfId="1591"/>
    <cellStyle name="Calculation 10 3 7 5" xfId="1592"/>
    <cellStyle name="Calculation 10 3 7 6" xfId="1593"/>
    <cellStyle name="Calculation 10 3 7 7" xfId="1594"/>
    <cellStyle name="Calculation 10 3 7 8" xfId="1595"/>
    <cellStyle name="Calculation 10 4" xfId="1596"/>
    <cellStyle name="Calculation 10 4 2" xfId="1597"/>
    <cellStyle name="Calculation 10 4 2 2" xfId="1598"/>
    <cellStyle name="Calculation 10 4 2 2 2" xfId="1599"/>
    <cellStyle name="Calculation 10 4 2 2 3" xfId="1600"/>
    <cellStyle name="Calculation 10 4 2 2 4" xfId="1601"/>
    <cellStyle name="Calculation 10 4 2 2 5" xfId="1602"/>
    <cellStyle name="Calculation 10 4 2 2 6" xfId="1603"/>
    <cellStyle name="Calculation 10 4 2 2 7" xfId="1604"/>
    <cellStyle name="Calculation 10 4 2 2 8" xfId="1605"/>
    <cellStyle name="Calculation 10 4 2 3" xfId="1606"/>
    <cellStyle name="Calculation 10 4 2 3 2" xfId="1607"/>
    <cellStyle name="Calculation 10 4 2 3 3" xfId="1608"/>
    <cellStyle name="Calculation 10 4 2 3 4" xfId="1609"/>
    <cellStyle name="Calculation 10 4 2 3 5" xfId="1610"/>
    <cellStyle name="Calculation 10 4 2 3 6" xfId="1611"/>
    <cellStyle name="Calculation 10 4 2 3 7" xfId="1612"/>
    <cellStyle name="Calculation 10 4 2 3 8" xfId="1613"/>
    <cellStyle name="Calculation 10 4 2 4" xfId="1614"/>
    <cellStyle name="Calculation 10 4 2 4 2" xfId="1615"/>
    <cellStyle name="Calculation 10 4 2 4 3" xfId="1616"/>
    <cellStyle name="Calculation 10 4 2 4 4" xfId="1617"/>
    <cellStyle name="Calculation 10 4 2 4 5" xfId="1618"/>
    <cellStyle name="Calculation 10 4 2 4 6" xfId="1619"/>
    <cellStyle name="Calculation 10 4 2 4 7" xfId="1620"/>
    <cellStyle name="Calculation 10 4 2 4 8" xfId="1621"/>
    <cellStyle name="Calculation 10 4 2 5" xfId="1622"/>
    <cellStyle name="Calculation 10 4 3" xfId="1623"/>
    <cellStyle name="Calculation 10 4 3 2" xfId="1624"/>
    <cellStyle name="Calculation 10 4 3 3" xfId="1625"/>
    <cellStyle name="Calculation 10 4 3 4" xfId="1626"/>
    <cellStyle name="Calculation 10 4 3 5" xfId="1627"/>
    <cellStyle name="Calculation 10 4 3 6" xfId="1628"/>
    <cellStyle name="Calculation 10 4 3 7" xfId="1629"/>
    <cellStyle name="Calculation 10 4 3 8" xfId="1630"/>
    <cellStyle name="Calculation 10 4 4" xfId="1631"/>
    <cellStyle name="Calculation 10 4 4 2" xfId="1632"/>
    <cellStyle name="Calculation 10 4 4 3" xfId="1633"/>
    <cellStyle name="Calculation 10 4 4 4" xfId="1634"/>
    <cellStyle name="Calculation 10 4 4 5" xfId="1635"/>
    <cellStyle name="Calculation 10 4 4 6" xfId="1636"/>
    <cellStyle name="Calculation 10 4 4 7" xfId="1637"/>
    <cellStyle name="Calculation 10 4 4 8" xfId="1638"/>
    <cellStyle name="Calculation 10 4 5" xfId="1639"/>
    <cellStyle name="Calculation 10 4 5 2" xfId="1640"/>
    <cellStyle name="Calculation 10 4 5 3" xfId="1641"/>
    <cellStyle name="Calculation 10 4 5 4" xfId="1642"/>
    <cellStyle name="Calculation 10 4 5 5" xfId="1643"/>
    <cellStyle name="Calculation 10 4 5 6" xfId="1644"/>
    <cellStyle name="Calculation 10 4 5 7" xfId="1645"/>
    <cellStyle name="Calculation 10 4 5 8" xfId="1646"/>
    <cellStyle name="Calculation 10 4 6" xfId="1647"/>
    <cellStyle name="Calculation 10 5" xfId="1648"/>
    <cellStyle name="Calculation 10 5 2" xfId="1649"/>
    <cellStyle name="Calculation 10 5 3" xfId="1650"/>
    <cellStyle name="Calculation 10 5 4" xfId="1651"/>
    <cellStyle name="Calculation 10 5 5" xfId="1652"/>
    <cellStyle name="Calculation 10 5 6" xfId="1653"/>
    <cellStyle name="Calculation 10 5 7" xfId="1654"/>
    <cellStyle name="Calculation 10 5 8" xfId="1655"/>
    <cellStyle name="Calculation 10 6" xfId="1656"/>
    <cellStyle name="Calculation 10 6 2" xfId="1657"/>
    <cellStyle name="Calculation 10 6 3" xfId="1658"/>
    <cellStyle name="Calculation 10 6 4" xfId="1659"/>
    <cellStyle name="Calculation 10 6 5" xfId="1660"/>
    <cellStyle name="Calculation 10 6 6" xfId="1661"/>
    <cellStyle name="Calculation 10 6 7" xfId="1662"/>
    <cellStyle name="Calculation 10 6 8" xfId="1663"/>
    <cellStyle name="Calculation 10 7" xfId="1664"/>
    <cellStyle name="Calculation 10 7 2" xfId="1665"/>
    <cellStyle name="Calculation 10 7 3" xfId="1666"/>
    <cellStyle name="Calculation 10 7 4" xfId="1667"/>
    <cellStyle name="Calculation 10 7 5" xfId="1668"/>
    <cellStyle name="Calculation 10 7 6" xfId="1669"/>
    <cellStyle name="Calculation 10 7 7" xfId="1670"/>
    <cellStyle name="Calculation 10 7 8" xfId="1671"/>
    <cellStyle name="Calculation 11" xfId="1672"/>
    <cellStyle name="Calculation 11 2" xfId="1673"/>
    <cellStyle name="Calculation 11 2 2" xfId="1674"/>
    <cellStyle name="Calculation 11 2 2 2" xfId="1675"/>
    <cellStyle name="Calculation 11 2 2 2 2" xfId="1676"/>
    <cellStyle name="Calculation 11 2 2 2 2 2" xfId="1677"/>
    <cellStyle name="Calculation 11 2 2 2 2 3" xfId="1678"/>
    <cellStyle name="Calculation 11 2 2 2 2 4" xfId="1679"/>
    <cellStyle name="Calculation 11 2 2 2 2 5" xfId="1680"/>
    <cellStyle name="Calculation 11 2 2 2 2 6" xfId="1681"/>
    <cellStyle name="Calculation 11 2 2 2 2 7" xfId="1682"/>
    <cellStyle name="Calculation 11 2 2 2 2 8" xfId="1683"/>
    <cellStyle name="Calculation 11 2 2 2 3" xfId="1684"/>
    <cellStyle name="Calculation 11 2 2 2 3 2" xfId="1685"/>
    <cellStyle name="Calculation 11 2 2 2 3 3" xfId="1686"/>
    <cellStyle name="Calculation 11 2 2 2 3 4" xfId="1687"/>
    <cellStyle name="Calculation 11 2 2 2 3 5" xfId="1688"/>
    <cellStyle name="Calculation 11 2 2 2 3 6" xfId="1689"/>
    <cellStyle name="Calculation 11 2 2 2 3 7" xfId="1690"/>
    <cellStyle name="Calculation 11 2 2 2 3 8" xfId="1691"/>
    <cellStyle name="Calculation 11 2 2 2 4" xfId="1692"/>
    <cellStyle name="Calculation 11 2 2 2 4 2" xfId="1693"/>
    <cellStyle name="Calculation 11 2 2 2 4 3" xfId="1694"/>
    <cellStyle name="Calculation 11 2 2 2 4 4" xfId="1695"/>
    <cellStyle name="Calculation 11 2 2 2 4 5" xfId="1696"/>
    <cellStyle name="Calculation 11 2 2 2 4 6" xfId="1697"/>
    <cellStyle name="Calculation 11 2 2 2 4 7" xfId="1698"/>
    <cellStyle name="Calculation 11 2 2 2 4 8" xfId="1699"/>
    <cellStyle name="Calculation 11 2 2 2 5" xfId="1700"/>
    <cellStyle name="Calculation 11 2 2 3" xfId="1701"/>
    <cellStyle name="Calculation 11 2 2 3 2" xfId="1702"/>
    <cellStyle name="Calculation 11 2 2 3 2 2" xfId="1703"/>
    <cellStyle name="Calculation 11 2 2 3 2 3" xfId="1704"/>
    <cellStyle name="Calculation 11 2 2 3 2 4" xfId="1705"/>
    <cellStyle name="Calculation 11 2 2 3 2 5" xfId="1706"/>
    <cellStyle name="Calculation 11 2 2 3 2 6" xfId="1707"/>
    <cellStyle name="Calculation 11 2 2 3 2 7" xfId="1708"/>
    <cellStyle name="Calculation 11 2 2 3 2 8" xfId="1709"/>
    <cellStyle name="Calculation 11 2 2 3 3" xfId="1710"/>
    <cellStyle name="Calculation 11 2 2 3 3 2" xfId="1711"/>
    <cellStyle name="Calculation 11 2 2 3 3 3" xfId="1712"/>
    <cellStyle name="Calculation 11 2 2 3 3 4" xfId="1713"/>
    <cellStyle name="Calculation 11 2 2 3 3 5" xfId="1714"/>
    <cellStyle name="Calculation 11 2 2 3 3 6" xfId="1715"/>
    <cellStyle name="Calculation 11 2 2 3 3 7" xfId="1716"/>
    <cellStyle name="Calculation 11 2 2 3 3 8" xfId="1717"/>
    <cellStyle name="Calculation 11 2 2 3 4" xfId="1718"/>
    <cellStyle name="Calculation 11 2 2 3 4 2" xfId="1719"/>
    <cellStyle name="Calculation 11 2 2 3 4 3" xfId="1720"/>
    <cellStyle name="Calculation 11 2 2 3 4 4" xfId="1721"/>
    <cellStyle name="Calculation 11 2 2 3 4 5" xfId="1722"/>
    <cellStyle name="Calculation 11 2 2 3 4 6" xfId="1723"/>
    <cellStyle name="Calculation 11 2 2 3 4 7" xfId="1724"/>
    <cellStyle name="Calculation 11 2 2 3 4 8" xfId="1725"/>
    <cellStyle name="Calculation 11 2 2 3 5" xfId="1726"/>
    <cellStyle name="Calculation 11 2 2 4" xfId="1727"/>
    <cellStyle name="Calculation 11 2 2 4 2" xfId="1728"/>
    <cellStyle name="Calculation 11 2 2 4 2 2" xfId="1729"/>
    <cellStyle name="Calculation 11 2 2 4 2 3" xfId="1730"/>
    <cellStyle name="Calculation 11 2 2 4 2 4" xfId="1731"/>
    <cellStyle name="Calculation 11 2 2 4 2 5" xfId="1732"/>
    <cellStyle name="Calculation 11 2 2 4 2 6" xfId="1733"/>
    <cellStyle name="Calculation 11 2 2 4 2 7" xfId="1734"/>
    <cellStyle name="Calculation 11 2 2 4 2 8" xfId="1735"/>
    <cellStyle name="Calculation 11 2 2 4 3" xfId="1736"/>
    <cellStyle name="Calculation 11 2 2 4 3 2" xfId="1737"/>
    <cellStyle name="Calculation 11 2 2 4 3 3" xfId="1738"/>
    <cellStyle name="Calculation 11 2 2 4 3 4" xfId="1739"/>
    <cellStyle name="Calculation 11 2 2 4 3 5" xfId="1740"/>
    <cellStyle name="Calculation 11 2 2 4 3 6" xfId="1741"/>
    <cellStyle name="Calculation 11 2 2 4 3 7" xfId="1742"/>
    <cellStyle name="Calculation 11 2 2 4 3 8" xfId="1743"/>
    <cellStyle name="Calculation 11 2 2 4 4" xfId="1744"/>
    <cellStyle name="Calculation 11 2 2 4 4 2" xfId="1745"/>
    <cellStyle name="Calculation 11 2 2 4 4 3" xfId="1746"/>
    <cellStyle name="Calculation 11 2 2 4 4 4" xfId="1747"/>
    <cellStyle name="Calculation 11 2 2 4 4 5" xfId="1748"/>
    <cellStyle name="Calculation 11 2 2 4 4 6" xfId="1749"/>
    <cellStyle name="Calculation 11 2 2 4 4 7" xfId="1750"/>
    <cellStyle name="Calculation 11 2 2 4 4 8" xfId="1751"/>
    <cellStyle name="Calculation 11 2 2 5" xfId="1752"/>
    <cellStyle name="Calculation 11 2 2 5 2" xfId="1753"/>
    <cellStyle name="Calculation 11 2 2 5 3" xfId="1754"/>
    <cellStyle name="Calculation 11 2 2 5 4" xfId="1755"/>
    <cellStyle name="Calculation 11 2 2 5 5" xfId="1756"/>
    <cellStyle name="Calculation 11 2 2 5 6" xfId="1757"/>
    <cellStyle name="Calculation 11 2 2 5 7" xfId="1758"/>
    <cellStyle name="Calculation 11 2 2 5 8" xfId="1759"/>
    <cellStyle name="Calculation 11 2 2 6" xfId="1760"/>
    <cellStyle name="Calculation 11 2 2 6 2" xfId="1761"/>
    <cellStyle name="Calculation 11 2 2 6 3" xfId="1762"/>
    <cellStyle name="Calculation 11 2 2 6 4" xfId="1763"/>
    <cellStyle name="Calculation 11 2 2 6 5" xfId="1764"/>
    <cellStyle name="Calculation 11 2 2 6 6" xfId="1765"/>
    <cellStyle name="Calculation 11 2 2 6 7" xfId="1766"/>
    <cellStyle name="Calculation 11 2 2 6 8" xfId="1767"/>
    <cellStyle name="Calculation 11 2 2 7" xfId="1768"/>
    <cellStyle name="Calculation 11 2 2 7 2" xfId="1769"/>
    <cellStyle name="Calculation 11 2 2 7 3" xfId="1770"/>
    <cellStyle name="Calculation 11 2 2 7 4" xfId="1771"/>
    <cellStyle name="Calculation 11 2 2 7 5" xfId="1772"/>
    <cellStyle name="Calculation 11 2 2 7 6" xfId="1773"/>
    <cellStyle name="Calculation 11 2 2 7 7" xfId="1774"/>
    <cellStyle name="Calculation 11 2 2 7 8" xfId="1775"/>
    <cellStyle name="Calculation 11 2 3" xfId="1776"/>
    <cellStyle name="Calculation 11 2 3 2" xfId="1777"/>
    <cellStyle name="Calculation 11 2 3 2 2" xfId="1778"/>
    <cellStyle name="Calculation 11 2 3 2 2 2" xfId="1779"/>
    <cellStyle name="Calculation 11 2 3 2 2 3" xfId="1780"/>
    <cellStyle name="Calculation 11 2 3 2 2 4" xfId="1781"/>
    <cellStyle name="Calculation 11 2 3 2 2 5" xfId="1782"/>
    <cellStyle name="Calculation 11 2 3 2 2 6" xfId="1783"/>
    <cellStyle name="Calculation 11 2 3 2 2 7" xfId="1784"/>
    <cellStyle name="Calculation 11 2 3 2 2 8" xfId="1785"/>
    <cellStyle name="Calculation 11 2 3 2 3" xfId="1786"/>
    <cellStyle name="Calculation 11 2 3 2 3 2" xfId="1787"/>
    <cellStyle name="Calculation 11 2 3 2 3 3" xfId="1788"/>
    <cellStyle name="Calculation 11 2 3 2 3 4" xfId="1789"/>
    <cellStyle name="Calculation 11 2 3 2 3 5" xfId="1790"/>
    <cellStyle name="Calculation 11 2 3 2 3 6" xfId="1791"/>
    <cellStyle name="Calculation 11 2 3 2 3 7" xfId="1792"/>
    <cellStyle name="Calculation 11 2 3 2 3 8" xfId="1793"/>
    <cellStyle name="Calculation 11 2 3 2 4" xfId="1794"/>
    <cellStyle name="Calculation 11 2 3 2 4 2" xfId="1795"/>
    <cellStyle name="Calculation 11 2 3 2 4 3" xfId="1796"/>
    <cellStyle name="Calculation 11 2 3 2 4 4" xfId="1797"/>
    <cellStyle name="Calculation 11 2 3 2 4 5" xfId="1798"/>
    <cellStyle name="Calculation 11 2 3 2 4 6" xfId="1799"/>
    <cellStyle name="Calculation 11 2 3 2 4 7" xfId="1800"/>
    <cellStyle name="Calculation 11 2 3 2 4 8" xfId="1801"/>
    <cellStyle name="Calculation 11 2 3 2 5" xfId="1802"/>
    <cellStyle name="Calculation 11 2 3 3" xfId="1803"/>
    <cellStyle name="Calculation 11 2 3 3 2" xfId="1804"/>
    <cellStyle name="Calculation 11 2 3 3 3" xfId="1805"/>
    <cellStyle name="Calculation 11 2 3 3 4" xfId="1806"/>
    <cellStyle name="Calculation 11 2 3 3 5" xfId="1807"/>
    <cellStyle name="Calculation 11 2 3 3 6" xfId="1808"/>
    <cellStyle name="Calculation 11 2 3 3 7" xfId="1809"/>
    <cellStyle name="Calculation 11 2 3 3 8" xfId="1810"/>
    <cellStyle name="Calculation 11 2 3 4" xfId="1811"/>
    <cellStyle name="Calculation 11 2 3 4 2" xfId="1812"/>
    <cellStyle name="Calculation 11 2 3 4 3" xfId="1813"/>
    <cellStyle name="Calculation 11 2 3 4 4" xfId="1814"/>
    <cellStyle name="Calculation 11 2 3 4 5" xfId="1815"/>
    <cellStyle name="Calculation 11 2 3 4 6" xfId="1816"/>
    <cellStyle name="Calculation 11 2 3 4 7" xfId="1817"/>
    <cellStyle name="Calculation 11 2 3 4 8" xfId="1818"/>
    <cellStyle name="Calculation 11 2 3 5" xfId="1819"/>
    <cellStyle name="Calculation 11 2 3 5 2" xfId="1820"/>
    <cellStyle name="Calculation 11 2 3 5 3" xfId="1821"/>
    <cellStyle name="Calculation 11 2 3 5 4" xfId="1822"/>
    <cellStyle name="Calculation 11 2 3 5 5" xfId="1823"/>
    <cellStyle name="Calculation 11 2 3 5 6" xfId="1824"/>
    <cellStyle name="Calculation 11 2 3 5 7" xfId="1825"/>
    <cellStyle name="Calculation 11 2 3 5 8" xfId="1826"/>
    <cellStyle name="Calculation 11 2 3 6" xfId="1827"/>
    <cellStyle name="Calculation 11 2 4" xfId="1828"/>
    <cellStyle name="Calculation 11 2 4 2" xfId="1829"/>
    <cellStyle name="Calculation 11 2 4 3" xfId="1830"/>
    <cellStyle name="Calculation 11 2 4 4" xfId="1831"/>
    <cellStyle name="Calculation 11 2 4 5" xfId="1832"/>
    <cellStyle name="Calculation 11 2 4 6" xfId="1833"/>
    <cellStyle name="Calculation 11 2 4 7" xfId="1834"/>
    <cellStyle name="Calculation 11 2 4 8" xfId="1835"/>
    <cellStyle name="Calculation 11 2 5" xfId="1836"/>
    <cellStyle name="Calculation 11 2 5 2" xfId="1837"/>
    <cellStyle name="Calculation 11 2 5 3" xfId="1838"/>
    <cellStyle name="Calculation 11 2 5 4" xfId="1839"/>
    <cellStyle name="Calculation 11 2 5 5" xfId="1840"/>
    <cellStyle name="Calculation 11 2 5 6" xfId="1841"/>
    <cellStyle name="Calculation 11 2 5 7" xfId="1842"/>
    <cellStyle name="Calculation 11 2 5 8" xfId="1843"/>
    <cellStyle name="Calculation 11 2 6" xfId="1844"/>
    <cellStyle name="Calculation 11 2 6 2" xfId="1845"/>
    <cellStyle name="Calculation 11 2 6 3" xfId="1846"/>
    <cellStyle name="Calculation 11 2 6 4" xfId="1847"/>
    <cellStyle name="Calculation 11 2 6 5" xfId="1848"/>
    <cellStyle name="Calculation 11 2 6 6" xfId="1849"/>
    <cellStyle name="Calculation 11 2 6 7" xfId="1850"/>
    <cellStyle name="Calculation 11 2 6 8" xfId="1851"/>
    <cellStyle name="Calculation 11 3" xfId="1852"/>
    <cellStyle name="Calculation 11 3 2" xfId="1853"/>
    <cellStyle name="Calculation 11 3 2 2" xfId="1854"/>
    <cellStyle name="Calculation 11 3 2 2 2" xfId="1855"/>
    <cellStyle name="Calculation 11 3 2 2 3" xfId="1856"/>
    <cellStyle name="Calculation 11 3 2 2 4" xfId="1857"/>
    <cellStyle name="Calculation 11 3 2 2 5" xfId="1858"/>
    <cellStyle name="Calculation 11 3 2 2 6" xfId="1859"/>
    <cellStyle name="Calculation 11 3 2 2 7" xfId="1860"/>
    <cellStyle name="Calculation 11 3 2 2 8" xfId="1861"/>
    <cellStyle name="Calculation 11 3 2 3" xfId="1862"/>
    <cellStyle name="Calculation 11 3 2 3 2" xfId="1863"/>
    <cellStyle name="Calculation 11 3 2 3 3" xfId="1864"/>
    <cellStyle name="Calculation 11 3 2 3 4" xfId="1865"/>
    <cellStyle name="Calculation 11 3 2 3 5" xfId="1866"/>
    <cellStyle name="Calculation 11 3 2 3 6" xfId="1867"/>
    <cellStyle name="Calculation 11 3 2 3 7" xfId="1868"/>
    <cellStyle name="Calculation 11 3 2 3 8" xfId="1869"/>
    <cellStyle name="Calculation 11 3 2 4" xfId="1870"/>
    <cellStyle name="Calculation 11 3 2 4 2" xfId="1871"/>
    <cellStyle name="Calculation 11 3 2 4 3" xfId="1872"/>
    <cellStyle name="Calculation 11 3 2 4 4" xfId="1873"/>
    <cellStyle name="Calculation 11 3 2 4 5" xfId="1874"/>
    <cellStyle name="Calculation 11 3 2 4 6" xfId="1875"/>
    <cellStyle name="Calculation 11 3 2 4 7" xfId="1876"/>
    <cellStyle name="Calculation 11 3 2 4 8" xfId="1877"/>
    <cellStyle name="Calculation 11 3 2 5" xfId="1878"/>
    <cellStyle name="Calculation 11 3 3" xfId="1879"/>
    <cellStyle name="Calculation 11 3 3 2" xfId="1880"/>
    <cellStyle name="Calculation 11 3 3 2 2" xfId="1881"/>
    <cellStyle name="Calculation 11 3 3 2 3" xfId="1882"/>
    <cellStyle name="Calculation 11 3 3 2 4" xfId="1883"/>
    <cellStyle name="Calculation 11 3 3 2 5" xfId="1884"/>
    <cellStyle name="Calculation 11 3 3 2 6" xfId="1885"/>
    <cellStyle name="Calculation 11 3 3 2 7" xfId="1886"/>
    <cellStyle name="Calculation 11 3 3 2 8" xfId="1887"/>
    <cellStyle name="Calculation 11 3 3 3" xfId="1888"/>
    <cellStyle name="Calculation 11 3 3 3 2" xfId="1889"/>
    <cellStyle name="Calculation 11 3 3 3 3" xfId="1890"/>
    <cellStyle name="Calculation 11 3 3 3 4" xfId="1891"/>
    <cellStyle name="Calculation 11 3 3 3 5" xfId="1892"/>
    <cellStyle name="Calculation 11 3 3 3 6" xfId="1893"/>
    <cellStyle name="Calculation 11 3 3 3 7" xfId="1894"/>
    <cellStyle name="Calculation 11 3 3 3 8" xfId="1895"/>
    <cellStyle name="Calculation 11 3 3 4" xfId="1896"/>
    <cellStyle name="Calculation 11 3 3 4 2" xfId="1897"/>
    <cellStyle name="Calculation 11 3 3 4 3" xfId="1898"/>
    <cellStyle name="Calculation 11 3 3 4 4" xfId="1899"/>
    <cellStyle name="Calculation 11 3 3 4 5" xfId="1900"/>
    <cellStyle name="Calculation 11 3 3 4 6" xfId="1901"/>
    <cellStyle name="Calculation 11 3 3 4 7" xfId="1902"/>
    <cellStyle name="Calculation 11 3 3 4 8" xfId="1903"/>
    <cellStyle name="Calculation 11 3 3 5" xfId="1904"/>
    <cellStyle name="Calculation 11 3 4" xfId="1905"/>
    <cellStyle name="Calculation 11 3 4 2" xfId="1906"/>
    <cellStyle name="Calculation 11 3 4 2 2" xfId="1907"/>
    <cellStyle name="Calculation 11 3 4 2 3" xfId="1908"/>
    <cellStyle name="Calculation 11 3 4 2 4" xfId="1909"/>
    <cellStyle name="Calculation 11 3 4 2 5" xfId="1910"/>
    <cellStyle name="Calculation 11 3 4 2 6" xfId="1911"/>
    <cellStyle name="Calculation 11 3 4 2 7" xfId="1912"/>
    <cellStyle name="Calculation 11 3 4 2 8" xfId="1913"/>
    <cellStyle name="Calculation 11 3 4 3" xfId="1914"/>
    <cellStyle name="Calculation 11 3 4 3 2" xfId="1915"/>
    <cellStyle name="Calculation 11 3 4 3 3" xfId="1916"/>
    <cellStyle name="Calculation 11 3 4 3 4" xfId="1917"/>
    <cellStyle name="Calculation 11 3 4 3 5" xfId="1918"/>
    <cellStyle name="Calculation 11 3 4 3 6" xfId="1919"/>
    <cellStyle name="Calculation 11 3 4 3 7" xfId="1920"/>
    <cellStyle name="Calculation 11 3 4 3 8" xfId="1921"/>
    <cellStyle name="Calculation 11 3 4 4" xfId="1922"/>
    <cellStyle name="Calculation 11 3 4 4 2" xfId="1923"/>
    <cellStyle name="Calculation 11 3 4 4 3" xfId="1924"/>
    <cellStyle name="Calculation 11 3 4 4 4" xfId="1925"/>
    <cellStyle name="Calculation 11 3 4 4 5" xfId="1926"/>
    <cellStyle name="Calculation 11 3 4 4 6" xfId="1927"/>
    <cellStyle name="Calculation 11 3 4 4 7" xfId="1928"/>
    <cellStyle name="Calculation 11 3 4 4 8" xfId="1929"/>
    <cellStyle name="Calculation 11 3 5" xfId="1930"/>
    <cellStyle name="Calculation 11 3 5 2" xfId="1931"/>
    <cellStyle name="Calculation 11 3 5 3" xfId="1932"/>
    <cellStyle name="Calculation 11 3 5 4" xfId="1933"/>
    <cellStyle name="Calculation 11 3 5 5" xfId="1934"/>
    <cellStyle name="Calculation 11 3 5 6" xfId="1935"/>
    <cellStyle name="Calculation 11 3 5 7" xfId="1936"/>
    <cellStyle name="Calculation 11 3 5 8" xfId="1937"/>
    <cellStyle name="Calculation 11 3 6" xfId="1938"/>
    <cellStyle name="Calculation 11 3 6 2" xfId="1939"/>
    <cellStyle name="Calculation 11 3 6 3" xfId="1940"/>
    <cellStyle name="Calculation 11 3 6 4" xfId="1941"/>
    <cellStyle name="Calculation 11 3 6 5" xfId="1942"/>
    <cellStyle name="Calculation 11 3 6 6" xfId="1943"/>
    <cellStyle name="Calculation 11 3 6 7" xfId="1944"/>
    <cellStyle name="Calculation 11 3 6 8" xfId="1945"/>
    <cellStyle name="Calculation 11 3 7" xfId="1946"/>
    <cellStyle name="Calculation 11 3 7 2" xfId="1947"/>
    <cellStyle name="Calculation 11 3 7 3" xfId="1948"/>
    <cellStyle name="Calculation 11 3 7 4" xfId="1949"/>
    <cellStyle name="Calculation 11 3 7 5" xfId="1950"/>
    <cellStyle name="Calculation 11 3 7 6" xfId="1951"/>
    <cellStyle name="Calculation 11 3 7 7" xfId="1952"/>
    <cellStyle name="Calculation 11 3 7 8" xfId="1953"/>
    <cellStyle name="Calculation 11 4" xfId="1954"/>
    <cellStyle name="Calculation 11 4 2" xfId="1955"/>
    <cellStyle name="Calculation 11 4 2 2" xfId="1956"/>
    <cellStyle name="Calculation 11 4 2 2 2" xfId="1957"/>
    <cellStyle name="Calculation 11 4 2 2 3" xfId="1958"/>
    <cellStyle name="Calculation 11 4 2 2 4" xfId="1959"/>
    <cellStyle name="Calculation 11 4 2 2 5" xfId="1960"/>
    <cellStyle name="Calculation 11 4 2 2 6" xfId="1961"/>
    <cellStyle name="Calculation 11 4 2 2 7" xfId="1962"/>
    <cellStyle name="Calculation 11 4 2 2 8" xfId="1963"/>
    <cellStyle name="Calculation 11 4 2 3" xfId="1964"/>
    <cellStyle name="Calculation 11 4 2 3 2" xfId="1965"/>
    <cellStyle name="Calculation 11 4 2 3 3" xfId="1966"/>
    <cellStyle name="Calculation 11 4 2 3 4" xfId="1967"/>
    <cellStyle name="Calculation 11 4 2 3 5" xfId="1968"/>
    <cellStyle name="Calculation 11 4 2 3 6" xfId="1969"/>
    <cellStyle name="Calculation 11 4 2 3 7" xfId="1970"/>
    <cellStyle name="Calculation 11 4 2 3 8" xfId="1971"/>
    <cellStyle name="Calculation 11 4 2 4" xfId="1972"/>
    <cellStyle name="Calculation 11 4 2 4 2" xfId="1973"/>
    <cellStyle name="Calculation 11 4 2 4 3" xfId="1974"/>
    <cellStyle name="Calculation 11 4 2 4 4" xfId="1975"/>
    <cellStyle name="Calculation 11 4 2 4 5" xfId="1976"/>
    <cellStyle name="Calculation 11 4 2 4 6" xfId="1977"/>
    <cellStyle name="Calculation 11 4 2 4 7" xfId="1978"/>
    <cellStyle name="Calculation 11 4 2 4 8" xfId="1979"/>
    <cellStyle name="Calculation 11 4 2 5" xfId="1980"/>
    <cellStyle name="Calculation 11 4 3" xfId="1981"/>
    <cellStyle name="Calculation 11 4 3 2" xfId="1982"/>
    <cellStyle name="Calculation 11 4 3 3" xfId="1983"/>
    <cellStyle name="Calculation 11 4 3 4" xfId="1984"/>
    <cellStyle name="Calculation 11 4 3 5" xfId="1985"/>
    <cellStyle name="Calculation 11 4 3 6" xfId="1986"/>
    <cellStyle name="Calculation 11 4 3 7" xfId="1987"/>
    <cellStyle name="Calculation 11 4 3 8" xfId="1988"/>
    <cellStyle name="Calculation 11 4 4" xfId="1989"/>
    <cellStyle name="Calculation 11 4 4 2" xfId="1990"/>
    <cellStyle name="Calculation 11 4 4 3" xfId="1991"/>
    <cellStyle name="Calculation 11 4 4 4" xfId="1992"/>
    <cellStyle name="Calculation 11 4 4 5" xfId="1993"/>
    <cellStyle name="Calculation 11 4 4 6" xfId="1994"/>
    <cellStyle name="Calculation 11 4 4 7" xfId="1995"/>
    <cellStyle name="Calculation 11 4 4 8" xfId="1996"/>
    <cellStyle name="Calculation 11 4 5" xfId="1997"/>
    <cellStyle name="Calculation 11 4 5 2" xfId="1998"/>
    <cellStyle name="Calculation 11 4 5 3" xfId="1999"/>
    <cellStyle name="Calculation 11 4 5 4" xfId="2000"/>
    <cellStyle name="Calculation 11 4 5 5" xfId="2001"/>
    <cellStyle name="Calculation 11 4 5 6" xfId="2002"/>
    <cellStyle name="Calculation 11 4 5 7" xfId="2003"/>
    <cellStyle name="Calculation 11 4 5 8" xfId="2004"/>
    <cellStyle name="Calculation 11 4 6" xfId="2005"/>
    <cellStyle name="Calculation 11 5" xfId="2006"/>
    <cellStyle name="Calculation 11 5 2" xfId="2007"/>
    <cellStyle name="Calculation 11 5 3" xfId="2008"/>
    <cellStyle name="Calculation 11 5 4" xfId="2009"/>
    <cellStyle name="Calculation 11 5 5" xfId="2010"/>
    <cellStyle name="Calculation 11 5 6" xfId="2011"/>
    <cellStyle name="Calculation 11 5 7" xfId="2012"/>
    <cellStyle name="Calculation 11 5 8" xfId="2013"/>
    <cellStyle name="Calculation 11 6" xfId="2014"/>
    <cellStyle name="Calculation 11 6 2" xfId="2015"/>
    <cellStyle name="Calculation 11 6 3" xfId="2016"/>
    <cellStyle name="Calculation 11 6 4" xfId="2017"/>
    <cellStyle name="Calculation 11 6 5" xfId="2018"/>
    <cellStyle name="Calculation 11 6 6" xfId="2019"/>
    <cellStyle name="Calculation 11 6 7" xfId="2020"/>
    <cellStyle name="Calculation 11 6 8" xfId="2021"/>
    <cellStyle name="Calculation 11 7" xfId="2022"/>
    <cellStyle name="Calculation 11 7 2" xfId="2023"/>
    <cellStyle name="Calculation 11 7 3" xfId="2024"/>
    <cellStyle name="Calculation 11 7 4" xfId="2025"/>
    <cellStyle name="Calculation 11 7 5" xfId="2026"/>
    <cellStyle name="Calculation 11 7 6" xfId="2027"/>
    <cellStyle name="Calculation 11 7 7" xfId="2028"/>
    <cellStyle name="Calculation 11 7 8" xfId="2029"/>
    <cellStyle name="Calculation 12" xfId="2030"/>
    <cellStyle name="Calculation 12 2" xfId="2031"/>
    <cellStyle name="Calculation 12 2 2" xfId="2032"/>
    <cellStyle name="Calculation 12 2 2 2" xfId="2033"/>
    <cellStyle name="Calculation 12 2 2 2 2" xfId="2034"/>
    <cellStyle name="Calculation 12 2 2 2 2 2" xfId="2035"/>
    <cellStyle name="Calculation 12 2 2 2 2 3" xfId="2036"/>
    <cellStyle name="Calculation 12 2 2 2 2 4" xfId="2037"/>
    <cellStyle name="Calculation 12 2 2 2 2 5" xfId="2038"/>
    <cellStyle name="Calculation 12 2 2 2 2 6" xfId="2039"/>
    <cellStyle name="Calculation 12 2 2 2 2 7" xfId="2040"/>
    <cellStyle name="Calculation 12 2 2 2 2 8" xfId="2041"/>
    <cellStyle name="Calculation 12 2 2 2 3" xfId="2042"/>
    <cellStyle name="Calculation 12 2 2 2 3 2" xfId="2043"/>
    <cellStyle name="Calculation 12 2 2 2 3 3" xfId="2044"/>
    <cellStyle name="Calculation 12 2 2 2 3 4" xfId="2045"/>
    <cellStyle name="Calculation 12 2 2 2 3 5" xfId="2046"/>
    <cellStyle name="Calculation 12 2 2 2 3 6" xfId="2047"/>
    <cellStyle name="Calculation 12 2 2 2 3 7" xfId="2048"/>
    <cellStyle name="Calculation 12 2 2 2 3 8" xfId="2049"/>
    <cellStyle name="Calculation 12 2 2 2 4" xfId="2050"/>
    <cellStyle name="Calculation 12 2 2 2 4 2" xfId="2051"/>
    <cellStyle name="Calculation 12 2 2 2 4 3" xfId="2052"/>
    <cellStyle name="Calculation 12 2 2 2 4 4" xfId="2053"/>
    <cellStyle name="Calculation 12 2 2 2 4 5" xfId="2054"/>
    <cellStyle name="Calculation 12 2 2 2 4 6" xfId="2055"/>
    <cellStyle name="Calculation 12 2 2 2 4 7" xfId="2056"/>
    <cellStyle name="Calculation 12 2 2 2 4 8" xfId="2057"/>
    <cellStyle name="Calculation 12 2 2 2 5" xfId="2058"/>
    <cellStyle name="Calculation 12 2 2 3" xfId="2059"/>
    <cellStyle name="Calculation 12 2 2 3 2" xfId="2060"/>
    <cellStyle name="Calculation 12 2 2 3 2 2" xfId="2061"/>
    <cellStyle name="Calculation 12 2 2 3 2 3" xfId="2062"/>
    <cellStyle name="Calculation 12 2 2 3 2 4" xfId="2063"/>
    <cellStyle name="Calculation 12 2 2 3 2 5" xfId="2064"/>
    <cellStyle name="Calculation 12 2 2 3 2 6" xfId="2065"/>
    <cellStyle name="Calculation 12 2 2 3 2 7" xfId="2066"/>
    <cellStyle name="Calculation 12 2 2 3 2 8" xfId="2067"/>
    <cellStyle name="Calculation 12 2 2 3 3" xfId="2068"/>
    <cellStyle name="Calculation 12 2 2 3 3 2" xfId="2069"/>
    <cellStyle name="Calculation 12 2 2 3 3 3" xfId="2070"/>
    <cellStyle name="Calculation 12 2 2 3 3 4" xfId="2071"/>
    <cellStyle name="Calculation 12 2 2 3 3 5" xfId="2072"/>
    <cellStyle name="Calculation 12 2 2 3 3 6" xfId="2073"/>
    <cellStyle name="Calculation 12 2 2 3 3 7" xfId="2074"/>
    <cellStyle name="Calculation 12 2 2 3 3 8" xfId="2075"/>
    <cellStyle name="Calculation 12 2 2 3 4" xfId="2076"/>
    <cellStyle name="Calculation 12 2 2 3 4 2" xfId="2077"/>
    <cellStyle name="Calculation 12 2 2 3 4 3" xfId="2078"/>
    <cellStyle name="Calculation 12 2 2 3 4 4" xfId="2079"/>
    <cellStyle name="Calculation 12 2 2 3 4 5" xfId="2080"/>
    <cellStyle name="Calculation 12 2 2 3 4 6" xfId="2081"/>
    <cellStyle name="Calculation 12 2 2 3 4 7" xfId="2082"/>
    <cellStyle name="Calculation 12 2 2 3 4 8" xfId="2083"/>
    <cellStyle name="Calculation 12 2 2 3 5" xfId="2084"/>
    <cellStyle name="Calculation 12 2 2 4" xfId="2085"/>
    <cellStyle name="Calculation 12 2 2 4 2" xfId="2086"/>
    <cellStyle name="Calculation 12 2 2 4 2 2" xfId="2087"/>
    <cellStyle name="Calculation 12 2 2 4 2 3" xfId="2088"/>
    <cellStyle name="Calculation 12 2 2 4 2 4" xfId="2089"/>
    <cellStyle name="Calculation 12 2 2 4 2 5" xfId="2090"/>
    <cellStyle name="Calculation 12 2 2 4 2 6" xfId="2091"/>
    <cellStyle name="Calculation 12 2 2 4 2 7" xfId="2092"/>
    <cellStyle name="Calculation 12 2 2 4 2 8" xfId="2093"/>
    <cellStyle name="Calculation 12 2 2 4 3" xfId="2094"/>
    <cellStyle name="Calculation 12 2 2 4 3 2" xfId="2095"/>
    <cellStyle name="Calculation 12 2 2 4 3 3" xfId="2096"/>
    <cellStyle name="Calculation 12 2 2 4 3 4" xfId="2097"/>
    <cellStyle name="Calculation 12 2 2 4 3 5" xfId="2098"/>
    <cellStyle name="Calculation 12 2 2 4 3 6" xfId="2099"/>
    <cellStyle name="Calculation 12 2 2 4 3 7" xfId="2100"/>
    <cellStyle name="Calculation 12 2 2 4 3 8" xfId="2101"/>
    <cellStyle name="Calculation 12 2 2 4 4" xfId="2102"/>
    <cellStyle name="Calculation 12 2 2 4 4 2" xfId="2103"/>
    <cellStyle name="Calculation 12 2 2 4 4 3" xfId="2104"/>
    <cellStyle name="Calculation 12 2 2 4 4 4" xfId="2105"/>
    <cellStyle name="Calculation 12 2 2 4 4 5" xfId="2106"/>
    <cellStyle name="Calculation 12 2 2 4 4 6" xfId="2107"/>
    <cellStyle name="Calculation 12 2 2 4 4 7" xfId="2108"/>
    <cellStyle name="Calculation 12 2 2 4 4 8" xfId="2109"/>
    <cellStyle name="Calculation 12 2 2 5" xfId="2110"/>
    <cellStyle name="Calculation 12 2 2 5 2" xfId="2111"/>
    <cellStyle name="Calculation 12 2 2 5 3" xfId="2112"/>
    <cellStyle name="Calculation 12 2 2 5 4" xfId="2113"/>
    <cellStyle name="Calculation 12 2 2 5 5" xfId="2114"/>
    <cellStyle name="Calculation 12 2 2 5 6" xfId="2115"/>
    <cellStyle name="Calculation 12 2 2 5 7" xfId="2116"/>
    <cellStyle name="Calculation 12 2 2 5 8" xfId="2117"/>
    <cellStyle name="Calculation 12 2 2 6" xfId="2118"/>
    <cellStyle name="Calculation 12 2 2 6 2" xfId="2119"/>
    <cellStyle name="Calculation 12 2 2 6 3" xfId="2120"/>
    <cellStyle name="Calculation 12 2 2 6 4" xfId="2121"/>
    <cellStyle name="Calculation 12 2 2 6 5" xfId="2122"/>
    <cellStyle name="Calculation 12 2 2 6 6" xfId="2123"/>
    <cellStyle name="Calculation 12 2 2 6 7" xfId="2124"/>
    <cellStyle name="Calculation 12 2 2 6 8" xfId="2125"/>
    <cellStyle name="Calculation 12 2 2 7" xfId="2126"/>
    <cellStyle name="Calculation 12 2 2 7 2" xfId="2127"/>
    <cellStyle name="Calculation 12 2 2 7 3" xfId="2128"/>
    <cellStyle name="Calculation 12 2 2 7 4" xfId="2129"/>
    <cellStyle name="Calculation 12 2 2 7 5" xfId="2130"/>
    <cellStyle name="Calculation 12 2 2 7 6" xfId="2131"/>
    <cellStyle name="Calculation 12 2 2 7 7" xfId="2132"/>
    <cellStyle name="Calculation 12 2 2 7 8" xfId="2133"/>
    <cellStyle name="Calculation 12 2 3" xfId="2134"/>
    <cellStyle name="Calculation 12 2 3 2" xfId="2135"/>
    <cellStyle name="Calculation 12 2 3 2 2" xfId="2136"/>
    <cellStyle name="Calculation 12 2 3 2 2 2" xfId="2137"/>
    <cellStyle name="Calculation 12 2 3 2 2 3" xfId="2138"/>
    <cellStyle name="Calculation 12 2 3 2 2 4" xfId="2139"/>
    <cellStyle name="Calculation 12 2 3 2 2 5" xfId="2140"/>
    <cellStyle name="Calculation 12 2 3 2 2 6" xfId="2141"/>
    <cellStyle name="Calculation 12 2 3 2 2 7" xfId="2142"/>
    <cellStyle name="Calculation 12 2 3 2 2 8" xfId="2143"/>
    <cellStyle name="Calculation 12 2 3 2 3" xfId="2144"/>
    <cellStyle name="Calculation 12 2 3 2 3 2" xfId="2145"/>
    <cellStyle name="Calculation 12 2 3 2 3 3" xfId="2146"/>
    <cellStyle name="Calculation 12 2 3 2 3 4" xfId="2147"/>
    <cellStyle name="Calculation 12 2 3 2 3 5" xfId="2148"/>
    <cellStyle name="Calculation 12 2 3 2 3 6" xfId="2149"/>
    <cellStyle name="Calculation 12 2 3 2 3 7" xfId="2150"/>
    <cellStyle name="Calculation 12 2 3 2 3 8" xfId="2151"/>
    <cellStyle name="Calculation 12 2 3 2 4" xfId="2152"/>
    <cellStyle name="Calculation 12 2 3 2 4 2" xfId="2153"/>
    <cellStyle name="Calculation 12 2 3 2 4 3" xfId="2154"/>
    <cellStyle name="Calculation 12 2 3 2 4 4" xfId="2155"/>
    <cellStyle name="Calculation 12 2 3 2 4 5" xfId="2156"/>
    <cellStyle name="Calculation 12 2 3 2 4 6" xfId="2157"/>
    <cellStyle name="Calculation 12 2 3 2 4 7" xfId="2158"/>
    <cellStyle name="Calculation 12 2 3 2 4 8" xfId="2159"/>
    <cellStyle name="Calculation 12 2 3 2 5" xfId="2160"/>
    <cellStyle name="Calculation 12 2 3 3" xfId="2161"/>
    <cellStyle name="Calculation 12 2 3 3 2" xfId="2162"/>
    <cellStyle name="Calculation 12 2 3 3 3" xfId="2163"/>
    <cellStyle name="Calculation 12 2 3 3 4" xfId="2164"/>
    <cellStyle name="Calculation 12 2 3 3 5" xfId="2165"/>
    <cellStyle name="Calculation 12 2 3 3 6" xfId="2166"/>
    <cellStyle name="Calculation 12 2 3 3 7" xfId="2167"/>
    <cellStyle name="Calculation 12 2 3 3 8" xfId="2168"/>
    <cellStyle name="Calculation 12 2 3 4" xfId="2169"/>
    <cellStyle name="Calculation 12 2 3 4 2" xfId="2170"/>
    <cellStyle name="Calculation 12 2 3 4 3" xfId="2171"/>
    <cellStyle name="Calculation 12 2 3 4 4" xfId="2172"/>
    <cellStyle name="Calculation 12 2 3 4 5" xfId="2173"/>
    <cellStyle name="Calculation 12 2 3 4 6" xfId="2174"/>
    <cellStyle name="Calculation 12 2 3 4 7" xfId="2175"/>
    <cellStyle name="Calculation 12 2 3 4 8" xfId="2176"/>
    <cellStyle name="Calculation 12 2 3 5" xfId="2177"/>
    <cellStyle name="Calculation 12 2 3 5 2" xfId="2178"/>
    <cellStyle name="Calculation 12 2 3 5 3" xfId="2179"/>
    <cellStyle name="Calculation 12 2 3 5 4" xfId="2180"/>
    <cellStyle name="Calculation 12 2 3 5 5" xfId="2181"/>
    <cellStyle name="Calculation 12 2 3 5 6" xfId="2182"/>
    <cellStyle name="Calculation 12 2 3 5 7" xfId="2183"/>
    <cellStyle name="Calculation 12 2 3 5 8" xfId="2184"/>
    <cellStyle name="Calculation 12 2 3 6" xfId="2185"/>
    <cellStyle name="Calculation 12 2 4" xfId="2186"/>
    <cellStyle name="Calculation 12 2 4 2" xfId="2187"/>
    <cellStyle name="Calculation 12 2 4 3" xfId="2188"/>
    <cellStyle name="Calculation 12 2 4 4" xfId="2189"/>
    <cellStyle name="Calculation 12 2 4 5" xfId="2190"/>
    <cellStyle name="Calculation 12 2 4 6" xfId="2191"/>
    <cellStyle name="Calculation 12 2 4 7" xfId="2192"/>
    <cellStyle name="Calculation 12 2 4 8" xfId="2193"/>
    <cellStyle name="Calculation 12 2 5" xfId="2194"/>
    <cellStyle name="Calculation 12 2 5 2" xfId="2195"/>
    <cellStyle name="Calculation 12 2 5 3" xfId="2196"/>
    <cellStyle name="Calculation 12 2 5 4" xfId="2197"/>
    <cellStyle name="Calculation 12 2 5 5" xfId="2198"/>
    <cellStyle name="Calculation 12 2 5 6" xfId="2199"/>
    <cellStyle name="Calculation 12 2 5 7" xfId="2200"/>
    <cellStyle name="Calculation 12 2 5 8" xfId="2201"/>
    <cellStyle name="Calculation 12 2 6" xfId="2202"/>
    <cellStyle name="Calculation 12 2 6 2" xfId="2203"/>
    <cellStyle name="Calculation 12 2 6 3" xfId="2204"/>
    <cellStyle name="Calculation 12 2 6 4" xfId="2205"/>
    <cellStyle name="Calculation 12 2 6 5" xfId="2206"/>
    <cellStyle name="Calculation 12 2 6 6" xfId="2207"/>
    <cellStyle name="Calculation 12 2 6 7" xfId="2208"/>
    <cellStyle name="Calculation 12 2 6 8" xfId="2209"/>
    <cellStyle name="Calculation 12 3" xfId="2210"/>
    <cellStyle name="Calculation 12 3 2" xfId="2211"/>
    <cellStyle name="Calculation 12 3 2 2" xfId="2212"/>
    <cellStyle name="Calculation 12 3 2 2 2" xfId="2213"/>
    <cellStyle name="Calculation 12 3 2 2 3" xfId="2214"/>
    <cellStyle name="Calculation 12 3 2 2 4" xfId="2215"/>
    <cellStyle name="Calculation 12 3 2 2 5" xfId="2216"/>
    <cellStyle name="Calculation 12 3 2 2 6" xfId="2217"/>
    <cellStyle name="Calculation 12 3 2 2 7" xfId="2218"/>
    <cellStyle name="Calculation 12 3 2 2 8" xfId="2219"/>
    <cellStyle name="Calculation 12 3 2 3" xfId="2220"/>
    <cellStyle name="Calculation 12 3 2 3 2" xfId="2221"/>
    <cellStyle name="Calculation 12 3 2 3 3" xfId="2222"/>
    <cellStyle name="Calculation 12 3 2 3 4" xfId="2223"/>
    <cellStyle name="Calculation 12 3 2 3 5" xfId="2224"/>
    <cellStyle name="Calculation 12 3 2 3 6" xfId="2225"/>
    <cellStyle name="Calculation 12 3 2 3 7" xfId="2226"/>
    <cellStyle name="Calculation 12 3 2 3 8" xfId="2227"/>
    <cellStyle name="Calculation 12 3 2 4" xfId="2228"/>
    <cellStyle name="Calculation 12 3 2 4 2" xfId="2229"/>
    <cellStyle name="Calculation 12 3 2 4 3" xfId="2230"/>
    <cellStyle name="Calculation 12 3 2 4 4" xfId="2231"/>
    <cellStyle name="Calculation 12 3 2 4 5" xfId="2232"/>
    <cellStyle name="Calculation 12 3 2 4 6" xfId="2233"/>
    <cellStyle name="Calculation 12 3 2 4 7" xfId="2234"/>
    <cellStyle name="Calculation 12 3 2 4 8" xfId="2235"/>
    <cellStyle name="Calculation 12 3 2 5" xfId="2236"/>
    <cellStyle name="Calculation 12 3 3" xfId="2237"/>
    <cellStyle name="Calculation 12 3 3 2" xfId="2238"/>
    <cellStyle name="Calculation 12 3 3 2 2" xfId="2239"/>
    <cellStyle name="Calculation 12 3 3 2 3" xfId="2240"/>
    <cellStyle name="Calculation 12 3 3 2 4" xfId="2241"/>
    <cellStyle name="Calculation 12 3 3 2 5" xfId="2242"/>
    <cellStyle name="Calculation 12 3 3 2 6" xfId="2243"/>
    <cellStyle name="Calculation 12 3 3 2 7" xfId="2244"/>
    <cellStyle name="Calculation 12 3 3 2 8" xfId="2245"/>
    <cellStyle name="Calculation 12 3 3 3" xfId="2246"/>
    <cellStyle name="Calculation 12 3 3 3 2" xfId="2247"/>
    <cellStyle name="Calculation 12 3 3 3 3" xfId="2248"/>
    <cellStyle name="Calculation 12 3 3 3 4" xfId="2249"/>
    <cellStyle name="Calculation 12 3 3 3 5" xfId="2250"/>
    <cellStyle name="Calculation 12 3 3 3 6" xfId="2251"/>
    <cellStyle name="Calculation 12 3 3 3 7" xfId="2252"/>
    <cellStyle name="Calculation 12 3 3 3 8" xfId="2253"/>
    <cellStyle name="Calculation 12 3 3 4" xfId="2254"/>
    <cellStyle name="Calculation 12 3 3 4 2" xfId="2255"/>
    <cellStyle name="Calculation 12 3 3 4 3" xfId="2256"/>
    <cellStyle name="Calculation 12 3 3 4 4" xfId="2257"/>
    <cellStyle name="Calculation 12 3 3 4 5" xfId="2258"/>
    <cellStyle name="Calculation 12 3 3 4 6" xfId="2259"/>
    <cellStyle name="Calculation 12 3 3 4 7" xfId="2260"/>
    <cellStyle name="Calculation 12 3 3 4 8" xfId="2261"/>
    <cellStyle name="Calculation 12 3 3 5" xfId="2262"/>
    <cellStyle name="Calculation 12 3 4" xfId="2263"/>
    <cellStyle name="Calculation 12 3 4 2" xfId="2264"/>
    <cellStyle name="Calculation 12 3 4 2 2" xfId="2265"/>
    <cellStyle name="Calculation 12 3 4 2 3" xfId="2266"/>
    <cellStyle name="Calculation 12 3 4 2 4" xfId="2267"/>
    <cellStyle name="Calculation 12 3 4 2 5" xfId="2268"/>
    <cellStyle name="Calculation 12 3 4 2 6" xfId="2269"/>
    <cellStyle name="Calculation 12 3 4 2 7" xfId="2270"/>
    <cellStyle name="Calculation 12 3 4 2 8" xfId="2271"/>
    <cellStyle name="Calculation 12 3 4 3" xfId="2272"/>
    <cellStyle name="Calculation 12 3 4 3 2" xfId="2273"/>
    <cellStyle name="Calculation 12 3 4 3 3" xfId="2274"/>
    <cellStyle name="Calculation 12 3 4 3 4" xfId="2275"/>
    <cellStyle name="Calculation 12 3 4 3 5" xfId="2276"/>
    <cellStyle name="Calculation 12 3 4 3 6" xfId="2277"/>
    <cellStyle name="Calculation 12 3 4 3 7" xfId="2278"/>
    <cellStyle name="Calculation 12 3 4 3 8" xfId="2279"/>
    <cellStyle name="Calculation 12 3 4 4" xfId="2280"/>
    <cellStyle name="Calculation 12 3 4 4 2" xfId="2281"/>
    <cellStyle name="Calculation 12 3 4 4 3" xfId="2282"/>
    <cellStyle name="Calculation 12 3 4 4 4" xfId="2283"/>
    <cellStyle name="Calculation 12 3 4 4 5" xfId="2284"/>
    <cellStyle name="Calculation 12 3 4 4 6" xfId="2285"/>
    <cellStyle name="Calculation 12 3 4 4 7" xfId="2286"/>
    <cellStyle name="Calculation 12 3 4 4 8" xfId="2287"/>
    <cellStyle name="Calculation 12 3 5" xfId="2288"/>
    <cellStyle name="Calculation 12 3 5 2" xfId="2289"/>
    <cellStyle name="Calculation 12 3 5 3" xfId="2290"/>
    <cellStyle name="Calculation 12 3 5 4" xfId="2291"/>
    <cellStyle name="Calculation 12 3 5 5" xfId="2292"/>
    <cellStyle name="Calculation 12 3 5 6" xfId="2293"/>
    <cellStyle name="Calculation 12 3 5 7" xfId="2294"/>
    <cellStyle name="Calculation 12 3 5 8" xfId="2295"/>
    <cellStyle name="Calculation 12 3 6" xfId="2296"/>
    <cellStyle name="Calculation 12 3 6 2" xfId="2297"/>
    <cellStyle name="Calculation 12 3 6 3" xfId="2298"/>
    <cellStyle name="Calculation 12 3 6 4" xfId="2299"/>
    <cellStyle name="Calculation 12 3 6 5" xfId="2300"/>
    <cellStyle name="Calculation 12 3 6 6" xfId="2301"/>
    <cellStyle name="Calculation 12 3 6 7" xfId="2302"/>
    <cellStyle name="Calculation 12 3 6 8" xfId="2303"/>
    <cellStyle name="Calculation 12 3 7" xfId="2304"/>
    <cellStyle name="Calculation 12 3 7 2" xfId="2305"/>
    <cellStyle name="Calculation 12 3 7 3" xfId="2306"/>
    <cellStyle name="Calculation 12 3 7 4" xfId="2307"/>
    <cellStyle name="Calculation 12 3 7 5" xfId="2308"/>
    <cellStyle name="Calculation 12 3 7 6" xfId="2309"/>
    <cellStyle name="Calculation 12 3 7 7" xfId="2310"/>
    <cellStyle name="Calculation 12 3 7 8" xfId="2311"/>
    <cellStyle name="Calculation 12 4" xfId="2312"/>
    <cellStyle name="Calculation 12 4 2" xfId="2313"/>
    <cellStyle name="Calculation 12 4 2 2" xfId="2314"/>
    <cellStyle name="Calculation 12 4 2 2 2" xfId="2315"/>
    <cellStyle name="Calculation 12 4 2 2 3" xfId="2316"/>
    <cellStyle name="Calculation 12 4 2 2 4" xfId="2317"/>
    <cellStyle name="Calculation 12 4 2 2 5" xfId="2318"/>
    <cellStyle name="Calculation 12 4 2 2 6" xfId="2319"/>
    <cellStyle name="Calculation 12 4 2 2 7" xfId="2320"/>
    <cellStyle name="Calculation 12 4 2 2 8" xfId="2321"/>
    <cellStyle name="Calculation 12 4 2 3" xfId="2322"/>
    <cellStyle name="Calculation 12 4 2 3 2" xfId="2323"/>
    <cellStyle name="Calculation 12 4 2 3 3" xfId="2324"/>
    <cellStyle name="Calculation 12 4 2 3 4" xfId="2325"/>
    <cellStyle name="Calculation 12 4 2 3 5" xfId="2326"/>
    <cellStyle name="Calculation 12 4 2 3 6" xfId="2327"/>
    <cellStyle name="Calculation 12 4 2 3 7" xfId="2328"/>
    <cellStyle name="Calculation 12 4 2 3 8" xfId="2329"/>
    <cellStyle name="Calculation 12 4 2 4" xfId="2330"/>
    <cellStyle name="Calculation 12 4 2 4 2" xfId="2331"/>
    <cellStyle name="Calculation 12 4 2 4 3" xfId="2332"/>
    <cellStyle name="Calculation 12 4 2 4 4" xfId="2333"/>
    <cellStyle name="Calculation 12 4 2 4 5" xfId="2334"/>
    <cellStyle name="Calculation 12 4 2 4 6" xfId="2335"/>
    <cellStyle name="Calculation 12 4 2 4 7" xfId="2336"/>
    <cellStyle name="Calculation 12 4 2 4 8" xfId="2337"/>
    <cellStyle name="Calculation 12 4 2 5" xfId="2338"/>
    <cellStyle name="Calculation 12 4 3" xfId="2339"/>
    <cellStyle name="Calculation 12 4 3 2" xfId="2340"/>
    <cellStyle name="Calculation 12 4 3 3" xfId="2341"/>
    <cellStyle name="Calculation 12 4 3 4" xfId="2342"/>
    <cellStyle name="Calculation 12 4 3 5" xfId="2343"/>
    <cellStyle name="Calculation 12 4 3 6" xfId="2344"/>
    <cellStyle name="Calculation 12 4 3 7" xfId="2345"/>
    <cellStyle name="Calculation 12 4 3 8" xfId="2346"/>
    <cellStyle name="Calculation 12 4 4" xfId="2347"/>
    <cellStyle name="Calculation 12 4 4 2" xfId="2348"/>
    <cellStyle name="Calculation 12 4 4 3" xfId="2349"/>
    <cellStyle name="Calculation 12 4 4 4" xfId="2350"/>
    <cellStyle name="Calculation 12 4 4 5" xfId="2351"/>
    <cellStyle name="Calculation 12 4 4 6" xfId="2352"/>
    <cellStyle name="Calculation 12 4 4 7" xfId="2353"/>
    <cellStyle name="Calculation 12 4 4 8" xfId="2354"/>
    <cellStyle name="Calculation 12 4 5" xfId="2355"/>
    <cellStyle name="Calculation 12 4 5 2" xfId="2356"/>
    <cellStyle name="Calculation 12 4 5 3" xfId="2357"/>
    <cellStyle name="Calculation 12 4 5 4" xfId="2358"/>
    <cellStyle name="Calculation 12 4 5 5" xfId="2359"/>
    <cellStyle name="Calculation 12 4 5 6" xfId="2360"/>
    <cellStyle name="Calculation 12 4 5 7" xfId="2361"/>
    <cellStyle name="Calculation 12 4 5 8" xfId="2362"/>
    <cellStyle name="Calculation 12 4 6" xfId="2363"/>
    <cellStyle name="Calculation 12 5" xfId="2364"/>
    <cellStyle name="Calculation 12 5 2" xfId="2365"/>
    <cellStyle name="Calculation 12 5 3" xfId="2366"/>
    <cellStyle name="Calculation 12 5 4" xfId="2367"/>
    <cellStyle name="Calculation 12 5 5" xfId="2368"/>
    <cellStyle name="Calculation 12 5 6" xfId="2369"/>
    <cellStyle name="Calculation 12 5 7" xfId="2370"/>
    <cellStyle name="Calculation 12 5 8" xfId="2371"/>
    <cellStyle name="Calculation 12 6" xfId="2372"/>
    <cellStyle name="Calculation 12 6 2" xfId="2373"/>
    <cellStyle name="Calculation 12 6 3" xfId="2374"/>
    <cellStyle name="Calculation 12 6 4" xfId="2375"/>
    <cellStyle name="Calculation 12 6 5" xfId="2376"/>
    <cellStyle name="Calculation 12 6 6" xfId="2377"/>
    <cellStyle name="Calculation 12 6 7" xfId="2378"/>
    <cellStyle name="Calculation 12 6 8" xfId="2379"/>
    <cellStyle name="Calculation 12 7" xfId="2380"/>
    <cellStyle name="Calculation 12 7 2" xfId="2381"/>
    <cellStyle name="Calculation 12 7 3" xfId="2382"/>
    <cellStyle name="Calculation 12 7 4" xfId="2383"/>
    <cellStyle name="Calculation 12 7 5" xfId="2384"/>
    <cellStyle name="Calculation 12 7 6" xfId="2385"/>
    <cellStyle name="Calculation 12 7 7" xfId="2386"/>
    <cellStyle name="Calculation 12 7 8" xfId="2387"/>
    <cellStyle name="Calculation 13" xfId="2388"/>
    <cellStyle name="Calculation 13 2" xfId="2389"/>
    <cellStyle name="Calculation 13 2 2" xfId="2390"/>
    <cellStyle name="Calculation 13 2 2 2" xfId="2391"/>
    <cellStyle name="Calculation 13 2 2 2 2" xfId="2392"/>
    <cellStyle name="Calculation 13 2 2 2 2 2" xfId="2393"/>
    <cellStyle name="Calculation 13 2 2 2 2 3" xfId="2394"/>
    <cellStyle name="Calculation 13 2 2 2 2 4" xfId="2395"/>
    <cellStyle name="Calculation 13 2 2 2 2 5" xfId="2396"/>
    <cellStyle name="Calculation 13 2 2 2 2 6" xfId="2397"/>
    <cellStyle name="Calculation 13 2 2 2 2 7" xfId="2398"/>
    <cellStyle name="Calculation 13 2 2 2 2 8" xfId="2399"/>
    <cellStyle name="Calculation 13 2 2 2 3" xfId="2400"/>
    <cellStyle name="Calculation 13 2 2 2 3 2" xfId="2401"/>
    <cellStyle name="Calculation 13 2 2 2 3 3" xfId="2402"/>
    <cellStyle name="Calculation 13 2 2 2 3 4" xfId="2403"/>
    <cellStyle name="Calculation 13 2 2 2 3 5" xfId="2404"/>
    <cellStyle name="Calculation 13 2 2 2 3 6" xfId="2405"/>
    <cellStyle name="Calculation 13 2 2 2 3 7" xfId="2406"/>
    <cellStyle name="Calculation 13 2 2 2 3 8" xfId="2407"/>
    <cellStyle name="Calculation 13 2 2 2 4" xfId="2408"/>
    <cellStyle name="Calculation 13 2 2 2 4 2" xfId="2409"/>
    <cellStyle name="Calculation 13 2 2 2 4 3" xfId="2410"/>
    <cellStyle name="Calculation 13 2 2 2 4 4" xfId="2411"/>
    <cellStyle name="Calculation 13 2 2 2 4 5" xfId="2412"/>
    <cellStyle name="Calculation 13 2 2 2 4 6" xfId="2413"/>
    <cellStyle name="Calculation 13 2 2 2 4 7" xfId="2414"/>
    <cellStyle name="Calculation 13 2 2 2 4 8" xfId="2415"/>
    <cellStyle name="Calculation 13 2 2 2 5" xfId="2416"/>
    <cellStyle name="Calculation 13 2 2 3" xfId="2417"/>
    <cellStyle name="Calculation 13 2 2 3 2" xfId="2418"/>
    <cellStyle name="Calculation 13 2 2 3 2 2" xfId="2419"/>
    <cellStyle name="Calculation 13 2 2 3 2 3" xfId="2420"/>
    <cellStyle name="Calculation 13 2 2 3 2 4" xfId="2421"/>
    <cellStyle name="Calculation 13 2 2 3 2 5" xfId="2422"/>
    <cellStyle name="Calculation 13 2 2 3 2 6" xfId="2423"/>
    <cellStyle name="Calculation 13 2 2 3 2 7" xfId="2424"/>
    <cellStyle name="Calculation 13 2 2 3 2 8" xfId="2425"/>
    <cellStyle name="Calculation 13 2 2 3 3" xfId="2426"/>
    <cellStyle name="Calculation 13 2 2 3 3 2" xfId="2427"/>
    <cellStyle name="Calculation 13 2 2 3 3 3" xfId="2428"/>
    <cellStyle name="Calculation 13 2 2 3 3 4" xfId="2429"/>
    <cellStyle name="Calculation 13 2 2 3 3 5" xfId="2430"/>
    <cellStyle name="Calculation 13 2 2 3 3 6" xfId="2431"/>
    <cellStyle name="Calculation 13 2 2 3 3 7" xfId="2432"/>
    <cellStyle name="Calculation 13 2 2 3 3 8" xfId="2433"/>
    <cellStyle name="Calculation 13 2 2 3 4" xfId="2434"/>
    <cellStyle name="Calculation 13 2 2 3 4 2" xfId="2435"/>
    <cellStyle name="Calculation 13 2 2 3 4 3" xfId="2436"/>
    <cellStyle name="Calculation 13 2 2 3 4 4" xfId="2437"/>
    <cellStyle name="Calculation 13 2 2 3 4 5" xfId="2438"/>
    <cellStyle name="Calculation 13 2 2 3 4 6" xfId="2439"/>
    <cellStyle name="Calculation 13 2 2 3 4 7" xfId="2440"/>
    <cellStyle name="Calculation 13 2 2 3 4 8" xfId="2441"/>
    <cellStyle name="Calculation 13 2 2 3 5" xfId="2442"/>
    <cellStyle name="Calculation 13 2 2 4" xfId="2443"/>
    <cellStyle name="Calculation 13 2 2 4 2" xfId="2444"/>
    <cellStyle name="Calculation 13 2 2 4 2 2" xfId="2445"/>
    <cellStyle name="Calculation 13 2 2 4 2 3" xfId="2446"/>
    <cellStyle name="Calculation 13 2 2 4 2 4" xfId="2447"/>
    <cellStyle name="Calculation 13 2 2 4 2 5" xfId="2448"/>
    <cellStyle name="Calculation 13 2 2 4 2 6" xfId="2449"/>
    <cellStyle name="Calculation 13 2 2 4 2 7" xfId="2450"/>
    <cellStyle name="Calculation 13 2 2 4 2 8" xfId="2451"/>
    <cellStyle name="Calculation 13 2 2 4 3" xfId="2452"/>
    <cellStyle name="Calculation 13 2 2 4 3 2" xfId="2453"/>
    <cellStyle name="Calculation 13 2 2 4 3 3" xfId="2454"/>
    <cellStyle name="Calculation 13 2 2 4 3 4" xfId="2455"/>
    <cellStyle name="Calculation 13 2 2 4 3 5" xfId="2456"/>
    <cellStyle name="Calculation 13 2 2 4 3 6" xfId="2457"/>
    <cellStyle name="Calculation 13 2 2 4 3 7" xfId="2458"/>
    <cellStyle name="Calculation 13 2 2 4 3 8" xfId="2459"/>
    <cellStyle name="Calculation 13 2 2 4 4" xfId="2460"/>
    <cellStyle name="Calculation 13 2 2 4 4 2" xfId="2461"/>
    <cellStyle name="Calculation 13 2 2 4 4 3" xfId="2462"/>
    <cellStyle name="Calculation 13 2 2 4 4 4" xfId="2463"/>
    <cellStyle name="Calculation 13 2 2 4 4 5" xfId="2464"/>
    <cellStyle name="Calculation 13 2 2 4 4 6" xfId="2465"/>
    <cellStyle name="Calculation 13 2 2 4 4 7" xfId="2466"/>
    <cellStyle name="Calculation 13 2 2 4 4 8" xfId="2467"/>
    <cellStyle name="Calculation 13 2 2 5" xfId="2468"/>
    <cellStyle name="Calculation 13 2 2 5 2" xfId="2469"/>
    <cellStyle name="Calculation 13 2 2 5 3" xfId="2470"/>
    <cellStyle name="Calculation 13 2 2 5 4" xfId="2471"/>
    <cellStyle name="Calculation 13 2 2 5 5" xfId="2472"/>
    <cellStyle name="Calculation 13 2 2 5 6" xfId="2473"/>
    <cellStyle name="Calculation 13 2 2 5 7" xfId="2474"/>
    <cellStyle name="Calculation 13 2 2 5 8" xfId="2475"/>
    <cellStyle name="Calculation 13 2 2 6" xfId="2476"/>
    <cellStyle name="Calculation 13 2 2 6 2" xfId="2477"/>
    <cellStyle name="Calculation 13 2 2 6 3" xfId="2478"/>
    <cellStyle name="Calculation 13 2 2 6 4" xfId="2479"/>
    <cellStyle name="Calculation 13 2 2 6 5" xfId="2480"/>
    <cellStyle name="Calculation 13 2 2 6 6" xfId="2481"/>
    <cellStyle name="Calculation 13 2 2 6 7" xfId="2482"/>
    <cellStyle name="Calculation 13 2 2 6 8" xfId="2483"/>
    <cellStyle name="Calculation 13 2 2 7" xfId="2484"/>
    <cellStyle name="Calculation 13 2 2 7 2" xfId="2485"/>
    <cellStyle name="Calculation 13 2 2 7 3" xfId="2486"/>
    <cellStyle name="Calculation 13 2 2 7 4" xfId="2487"/>
    <cellStyle name="Calculation 13 2 2 7 5" xfId="2488"/>
    <cellStyle name="Calculation 13 2 2 7 6" xfId="2489"/>
    <cellStyle name="Calculation 13 2 2 7 7" xfId="2490"/>
    <cellStyle name="Calculation 13 2 2 7 8" xfId="2491"/>
    <cellStyle name="Calculation 13 2 3" xfId="2492"/>
    <cellStyle name="Calculation 13 2 3 2" xfId="2493"/>
    <cellStyle name="Calculation 13 2 3 2 2" xfId="2494"/>
    <cellStyle name="Calculation 13 2 3 2 2 2" xfId="2495"/>
    <cellStyle name="Calculation 13 2 3 2 2 3" xfId="2496"/>
    <cellStyle name="Calculation 13 2 3 2 2 4" xfId="2497"/>
    <cellStyle name="Calculation 13 2 3 2 2 5" xfId="2498"/>
    <cellStyle name="Calculation 13 2 3 2 2 6" xfId="2499"/>
    <cellStyle name="Calculation 13 2 3 2 2 7" xfId="2500"/>
    <cellStyle name="Calculation 13 2 3 2 2 8" xfId="2501"/>
    <cellStyle name="Calculation 13 2 3 2 3" xfId="2502"/>
    <cellStyle name="Calculation 13 2 3 2 3 2" xfId="2503"/>
    <cellStyle name="Calculation 13 2 3 2 3 3" xfId="2504"/>
    <cellStyle name="Calculation 13 2 3 2 3 4" xfId="2505"/>
    <cellStyle name="Calculation 13 2 3 2 3 5" xfId="2506"/>
    <cellStyle name="Calculation 13 2 3 2 3 6" xfId="2507"/>
    <cellStyle name="Calculation 13 2 3 2 3 7" xfId="2508"/>
    <cellStyle name="Calculation 13 2 3 2 3 8" xfId="2509"/>
    <cellStyle name="Calculation 13 2 3 2 4" xfId="2510"/>
    <cellStyle name="Calculation 13 2 3 2 4 2" xfId="2511"/>
    <cellStyle name="Calculation 13 2 3 2 4 3" xfId="2512"/>
    <cellStyle name="Calculation 13 2 3 2 4 4" xfId="2513"/>
    <cellStyle name="Calculation 13 2 3 2 4 5" xfId="2514"/>
    <cellStyle name="Calculation 13 2 3 2 4 6" xfId="2515"/>
    <cellStyle name="Calculation 13 2 3 2 4 7" xfId="2516"/>
    <cellStyle name="Calculation 13 2 3 2 4 8" xfId="2517"/>
    <cellStyle name="Calculation 13 2 3 2 5" xfId="2518"/>
    <cellStyle name="Calculation 13 2 3 3" xfId="2519"/>
    <cellStyle name="Calculation 13 2 3 3 2" xfId="2520"/>
    <cellStyle name="Calculation 13 2 3 3 3" xfId="2521"/>
    <cellStyle name="Calculation 13 2 3 3 4" xfId="2522"/>
    <cellStyle name="Calculation 13 2 3 3 5" xfId="2523"/>
    <cellStyle name="Calculation 13 2 3 3 6" xfId="2524"/>
    <cellStyle name="Calculation 13 2 3 3 7" xfId="2525"/>
    <cellStyle name="Calculation 13 2 3 3 8" xfId="2526"/>
    <cellStyle name="Calculation 13 2 3 4" xfId="2527"/>
    <cellStyle name="Calculation 13 2 3 4 2" xfId="2528"/>
    <cellStyle name="Calculation 13 2 3 4 3" xfId="2529"/>
    <cellStyle name="Calculation 13 2 3 4 4" xfId="2530"/>
    <cellStyle name="Calculation 13 2 3 4 5" xfId="2531"/>
    <cellStyle name="Calculation 13 2 3 4 6" xfId="2532"/>
    <cellStyle name="Calculation 13 2 3 4 7" xfId="2533"/>
    <cellStyle name="Calculation 13 2 3 4 8" xfId="2534"/>
    <cellStyle name="Calculation 13 2 3 5" xfId="2535"/>
    <cellStyle name="Calculation 13 2 3 5 2" xfId="2536"/>
    <cellStyle name="Calculation 13 2 3 5 3" xfId="2537"/>
    <cellStyle name="Calculation 13 2 3 5 4" xfId="2538"/>
    <cellStyle name="Calculation 13 2 3 5 5" xfId="2539"/>
    <cellStyle name="Calculation 13 2 3 5 6" xfId="2540"/>
    <cellStyle name="Calculation 13 2 3 5 7" xfId="2541"/>
    <cellStyle name="Calculation 13 2 3 5 8" xfId="2542"/>
    <cellStyle name="Calculation 13 2 3 6" xfId="2543"/>
    <cellStyle name="Calculation 13 2 4" xfId="2544"/>
    <cellStyle name="Calculation 13 2 4 2" xfId="2545"/>
    <cellStyle name="Calculation 13 2 4 3" xfId="2546"/>
    <cellStyle name="Calculation 13 2 4 4" xfId="2547"/>
    <cellStyle name="Calculation 13 2 4 5" xfId="2548"/>
    <cellStyle name="Calculation 13 2 4 6" xfId="2549"/>
    <cellStyle name="Calculation 13 2 4 7" xfId="2550"/>
    <cellStyle name="Calculation 13 2 4 8" xfId="2551"/>
    <cellStyle name="Calculation 13 2 5" xfId="2552"/>
    <cellStyle name="Calculation 13 2 5 2" xfId="2553"/>
    <cellStyle name="Calculation 13 2 5 3" xfId="2554"/>
    <cellStyle name="Calculation 13 2 5 4" xfId="2555"/>
    <cellStyle name="Calculation 13 2 5 5" xfId="2556"/>
    <cellStyle name="Calculation 13 2 5 6" xfId="2557"/>
    <cellStyle name="Calculation 13 2 5 7" xfId="2558"/>
    <cellStyle name="Calculation 13 2 5 8" xfId="2559"/>
    <cellStyle name="Calculation 13 2 6" xfId="2560"/>
    <cellStyle name="Calculation 13 2 6 2" xfId="2561"/>
    <cellStyle name="Calculation 13 2 6 3" xfId="2562"/>
    <cellStyle name="Calculation 13 2 6 4" xfId="2563"/>
    <cellStyle name="Calculation 13 2 6 5" xfId="2564"/>
    <cellStyle name="Calculation 13 2 6 6" xfId="2565"/>
    <cellStyle name="Calculation 13 2 6 7" xfId="2566"/>
    <cellStyle name="Calculation 13 2 6 8" xfId="2567"/>
    <cellStyle name="Calculation 13 3" xfId="2568"/>
    <cellStyle name="Calculation 13 3 2" xfId="2569"/>
    <cellStyle name="Calculation 13 3 2 2" xfId="2570"/>
    <cellStyle name="Calculation 13 3 2 2 2" xfId="2571"/>
    <cellStyle name="Calculation 13 3 2 2 3" xfId="2572"/>
    <cellStyle name="Calculation 13 3 2 2 4" xfId="2573"/>
    <cellStyle name="Calculation 13 3 2 2 5" xfId="2574"/>
    <cellStyle name="Calculation 13 3 2 2 6" xfId="2575"/>
    <cellStyle name="Calculation 13 3 2 2 7" xfId="2576"/>
    <cellStyle name="Calculation 13 3 2 2 8" xfId="2577"/>
    <cellStyle name="Calculation 13 3 2 3" xfId="2578"/>
    <cellStyle name="Calculation 13 3 2 3 2" xfId="2579"/>
    <cellStyle name="Calculation 13 3 2 3 3" xfId="2580"/>
    <cellStyle name="Calculation 13 3 2 3 4" xfId="2581"/>
    <cellStyle name="Calculation 13 3 2 3 5" xfId="2582"/>
    <cellStyle name="Calculation 13 3 2 3 6" xfId="2583"/>
    <cellStyle name="Calculation 13 3 2 3 7" xfId="2584"/>
    <cellStyle name="Calculation 13 3 2 3 8" xfId="2585"/>
    <cellStyle name="Calculation 13 3 2 4" xfId="2586"/>
    <cellStyle name="Calculation 13 3 2 4 2" xfId="2587"/>
    <cellStyle name="Calculation 13 3 2 4 3" xfId="2588"/>
    <cellStyle name="Calculation 13 3 2 4 4" xfId="2589"/>
    <cellStyle name="Calculation 13 3 2 4 5" xfId="2590"/>
    <cellStyle name="Calculation 13 3 2 4 6" xfId="2591"/>
    <cellStyle name="Calculation 13 3 2 4 7" xfId="2592"/>
    <cellStyle name="Calculation 13 3 2 4 8" xfId="2593"/>
    <cellStyle name="Calculation 13 3 2 5" xfId="2594"/>
    <cellStyle name="Calculation 13 3 3" xfId="2595"/>
    <cellStyle name="Calculation 13 3 3 2" xfId="2596"/>
    <cellStyle name="Calculation 13 3 3 2 2" xfId="2597"/>
    <cellStyle name="Calculation 13 3 3 2 3" xfId="2598"/>
    <cellStyle name="Calculation 13 3 3 2 4" xfId="2599"/>
    <cellStyle name="Calculation 13 3 3 2 5" xfId="2600"/>
    <cellStyle name="Calculation 13 3 3 2 6" xfId="2601"/>
    <cellStyle name="Calculation 13 3 3 2 7" xfId="2602"/>
    <cellStyle name="Calculation 13 3 3 2 8" xfId="2603"/>
    <cellStyle name="Calculation 13 3 3 3" xfId="2604"/>
    <cellStyle name="Calculation 13 3 3 3 2" xfId="2605"/>
    <cellStyle name="Calculation 13 3 3 3 3" xfId="2606"/>
    <cellStyle name="Calculation 13 3 3 3 4" xfId="2607"/>
    <cellStyle name="Calculation 13 3 3 3 5" xfId="2608"/>
    <cellStyle name="Calculation 13 3 3 3 6" xfId="2609"/>
    <cellStyle name="Calculation 13 3 3 3 7" xfId="2610"/>
    <cellStyle name="Calculation 13 3 3 3 8" xfId="2611"/>
    <cellStyle name="Calculation 13 3 3 4" xfId="2612"/>
    <cellStyle name="Calculation 13 3 3 4 2" xfId="2613"/>
    <cellStyle name="Calculation 13 3 3 4 3" xfId="2614"/>
    <cellStyle name="Calculation 13 3 3 4 4" xfId="2615"/>
    <cellStyle name="Calculation 13 3 3 4 5" xfId="2616"/>
    <cellStyle name="Calculation 13 3 3 4 6" xfId="2617"/>
    <cellStyle name="Calculation 13 3 3 4 7" xfId="2618"/>
    <cellStyle name="Calculation 13 3 3 4 8" xfId="2619"/>
    <cellStyle name="Calculation 13 3 3 5" xfId="2620"/>
    <cellStyle name="Calculation 13 3 4" xfId="2621"/>
    <cellStyle name="Calculation 13 3 4 2" xfId="2622"/>
    <cellStyle name="Calculation 13 3 4 2 2" xfId="2623"/>
    <cellStyle name="Calculation 13 3 4 2 3" xfId="2624"/>
    <cellStyle name="Calculation 13 3 4 2 4" xfId="2625"/>
    <cellStyle name="Calculation 13 3 4 2 5" xfId="2626"/>
    <cellStyle name="Calculation 13 3 4 2 6" xfId="2627"/>
    <cellStyle name="Calculation 13 3 4 2 7" xfId="2628"/>
    <cellStyle name="Calculation 13 3 4 2 8" xfId="2629"/>
    <cellStyle name="Calculation 13 3 4 3" xfId="2630"/>
    <cellStyle name="Calculation 13 3 4 3 2" xfId="2631"/>
    <cellStyle name="Calculation 13 3 4 3 3" xfId="2632"/>
    <cellStyle name="Calculation 13 3 4 3 4" xfId="2633"/>
    <cellStyle name="Calculation 13 3 4 3 5" xfId="2634"/>
    <cellStyle name="Calculation 13 3 4 3 6" xfId="2635"/>
    <cellStyle name="Calculation 13 3 4 3 7" xfId="2636"/>
    <cellStyle name="Calculation 13 3 4 3 8" xfId="2637"/>
    <cellStyle name="Calculation 13 3 4 4" xfId="2638"/>
    <cellStyle name="Calculation 13 3 4 4 2" xfId="2639"/>
    <cellStyle name="Calculation 13 3 4 4 3" xfId="2640"/>
    <cellStyle name="Calculation 13 3 4 4 4" xfId="2641"/>
    <cellStyle name="Calculation 13 3 4 4 5" xfId="2642"/>
    <cellStyle name="Calculation 13 3 4 4 6" xfId="2643"/>
    <cellStyle name="Calculation 13 3 4 4 7" xfId="2644"/>
    <cellStyle name="Calculation 13 3 4 4 8" xfId="2645"/>
    <cellStyle name="Calculation 13 3 5" xfId="2646"/>
    <cellStyle name="Calculation 13 3 5 2" xfId="2647"/>
    <cellStyle name="Calculation 13 3 5 3" xfId="2648"/>
    <cellStyle name="Calculation 13 3 5 4" xfId="2649"/>
    <cellStyle name="Calculation 13 3 5 5" xfId="2650"/>
    <cellStyle name="Calculation 13 3 5 6" xfId="2651"/>
    <cellStyle name="Calculation 13 3 5 7" xfId="2652"/>
    <cellStyle name="Calculation 13 3 5 8" xfId="2653"/>
    <cellStyle name="Calculation 13 3 6" xfId="2654"/>
    <cellStyle name="Calculation 13 3 6 2" xfId="2655"/>
    <cellStyle name="Calculation 13 3 6 3" xfId="2656"/>
    <cellStyle name="Calculation 13 3 6 4" xfId="2657"/>
    <cellStyle name="Calculation 13 3 6 5" xfId="2658"/>
    <cellStyle name="Calculation 13 3 6 6" xfId="2659"/>
    <cellStyle name="Calculation 13 3 6 7" xfId="2660"/>
    <cellStyle name="Calculation 13 3 6 8" xfId="2661"/>
    <cellStyle name="Calculation 13 3 7" xfId="2662"/>
    <cellStyle name="Calculation 13 3 7 2" xfId="2663"/>
    <cellStyle name="Calculation 13 3 7 3" xfId="2664"/>
    <cellStyle name="Calculation 13 3 7 4" xfId="2665"/>
    <cellStyle name="Calculation 13 3 7 5" xfId="2666"/>
    <cellStyle name="Calculation 13 3 7 6" xfId="2667"/>
    <cellStyle name="Calculation 13 3 7 7" xfId="2668"/>
    <cellStyle name="Calculation 13 3 7 8" xfId="2669"/>
    <cellStyle name="Calculation 13 4" xfId="2670"/>
    <cellStyle name="Calculation 13 4 2" xfId="2671"/>
    <cellStyle name="Calculation 13 4 2 2" xfId="2672"/>
    <cellStyle name="Calculation 13 4 2 2 2" xfId="2673"/>
    <cellStyle name="Calculation 13 4 2 2 3" xfId="2674"/>
    <cellStyle name="Calculation 13 4 2 2 4" xfId="2675"/>
    <cellStyle name="Calculation 13 4 2 2 5" xfId="2676"/>
    <cellStyle name="Calculation 13 4 2 2 6" xfId="2677"/>
    <cellStyle name="Calculation 13 4 2 2 7" xfId="2678"/>
    <cellStyle name="Calculation 13 4 2 2 8" xfId="2679"/>
    <cellStyle name="Calculation 13 4 2 3" xfId="2680"/>
    <cellStyle name="Calculation 13 4 2 3 2" xfId="2681"/>
    <cellStyle name="Calculation 13 4 2 3 3" xfId="2682"/>
    <cellStyle name="Calculation 13 4 2 3 4" xfId="2683"/>
    <cellStyle name="Calculation 13 4 2 3 5" xfId="2684"/>
    <cellStyle name="Calculation 13 4 2 3 6" xfId="2685"/>
    <cellStyle name="Calculation 13 4 2 3 7" xfId="2686"/>
    <cellStyle name="Calculation 13 4 2 3 8" xfId="2687"/>
    <cellStyle name="Calculation 2" xfId="2688"/>
    <cellStyle name="Calculation 2 10" xfId="2689"/>
    <cellStyle name="Calculation 2 2" xfId="2690"/>
    <cellStyle name="Calculation 2 2 2" xfId="2691"/>
    <cellStyle name="Calculation 2 2 2 2" xfId="2692"/>
    <cellStyle name="Calculation 2 2 3" xfId="2693"/>
    <cellStyle name="Calculation 2 2 3 2" xfId="2694"/>
    <cellStyle name="Calculation 2 2 4" xfId="2695"/>
    <cellStyle name="Calculation 2 2 4 2" xfId="2696"/>
    <cellStyle name="Calculation 2 2 5" xfId="2697"/>
    <cellStyle name="Calculation 2 2 5 2" xfId="2698"/>
    <cellStyle name="Calculation 2 2 6" xfId="2699"/>
    <cellStyle name="Calculation 2 2 6 2" xfId="2700"/>
    <cellStyle name="Calculation 2 2 7" xfId="2701"/>
    <cellStyle name="Calculation 2 2 7 2" xfId="2702"/>
    <cellStyle name="Calculation 2 2 8" xfId="2703"/>
    <cellStyle name="Calculation 2 2 8 2" xfId="2704"/>
    <cellStyle name="Calculation 2 2 9" xfId="2705"/>
    <cellStyle name="Calculation 2 3" xfId="2706"/>
    <cellStyle name="Calculation 2 3 2" xfId="2707"/>
    <cellStyle name="Calculation 2 4" xfId="2708"/>
    <cellStyle name="Calculation 2 4 2" xfId="2709"/>
    <cellStyle name="Calculation 2 5" xfId="2710"/>
    <cellStyle name="Calculation 2 5 2" xfId="2711"/>
    <cellStyle name="Calculation 2 6" xfId="2712"/>
    <cellStyle name="Calculation 2 6 2" xfId="2713"/>
    <cellStyle name="Calculation 2 7" xfId="2714"/>
    <cellStyle name="Calculation 2 7 2" xfId="2715"/>
    <cellStyle name="Calculation 2 8" xfId="2716"/>
    <cellStyle name="Calculation 2 8 2" xfId="2717"/>
    <cellStyle name="Calculation 2 9" xfId="2718"/>
    <cellStyle name="Calculation 2 9 2" xfId="2719"/>
    <cellStyle name="Calculation 3" xfId="2720"/>
    <cellStyle name="Calculation 3 10" xfId="2721"/>
    <cellStyle name="Calculation 3 2" xfId="2722"/>
    <cellStyle name="Calculation 3 2 2" xfId="2723"/>
    <cellStyle name="Calculation 3 2 2 2" xfId="2724"/>
    <cellStyle name="Calculation 3 2 2 3" xfId="2725"/>
    <cellStyle name="Calculation 3 2 2 4" xfId="2726"/>
    <cellStyle name="Calculation 3 2 3" xfId="2727"/>
    <cellStyle name="Calculation 3 2 3 2" xfId="2728"/>
    <cellStyle name="Calculation 3 2 4" xfId="2729"/>
    <cellStyle name="Calculation 3 2 4 2" xfId="2730"/>
    <cellStyle name="Calculation 3 2 5" xfId="2731"/>
    <cellStyle name="Calculation 3 3" xfId="2732"/>
    <cellStyle name="Calculation 3 3 2" xfId="2733"/>
    <cellStyle name="Calculation 3 3 2 2" xfId="2734"/>
    <cellStyle name="Calculation 3 3 2 3" xfId="2735"/>
    <cellStyle name="Calculation 3 3 2 4" xfId="2736"/>
    <cellStyle name="Calculation 3 3 3" xfId="2737"/>
    <cellStyle name="Calculation 3 3 3 2" xfId="2738"/>
    <cellStyle name="Calculation 3 3 4" xfId="2739"/>
    <cellStyle name="Calculation 3 3 4 2" xfId="2740"/>
    <cellStyle name="Calculation 3 3 5" xfId="2741"/>
    <cellStyle name="Calculation 3 4" xfId="2742"/>
    <cellStyle name="Calculation 3 4 2" xfId="2743"/>
    <cellStyle name="Calculation 3 4 2 2" xfId="2744"/>
    <cellStyle name="Calculation 3 4 2 3" xfId="2745"/>
    <cellStyle name="Calculation 3 4 2 4" xfId="2746"/>
    <cellStyle name="Calculation 3 4 3" xfId="2747"/>
    <cellStyle name="Calculation 3 4 3 2" xfId="2748"/>
    <cellStyle name="Calculation 3 4 4" xfId="2749"/>
    <cellStyle name="Calculation 3 4 4 2" xfId="2750"/>
    <cellStyle name="Calculation 3 4 5" xfId="2751"/>
    <cellStyle name="Calculation 3 5" xfId="2752"/>
    <cellStyle name="Calculation 3 5 2" xfId="2753"/>
    <cellStyle name="Calculation 3 5 2 2" xfId="2754"/>
    <cellStyle name="Calculation 3 5 2 3" xfId="2755"/>
    <cellStyle name="Calculation 3 5 2 4" xfId="2756"/>
    <cellStyle name="Calculation 3 5 3" xfId="2757"/>
    <cellStyle name="Calculation 3 5 3 2" xfId="2758"/>
    <cellStyle name="Calculation 3 5 4" xfId="2759"/>
    <cellStyle name="Calculation 3 5 4 2" xfId="2760"/>
    <cellStyle name="Calculation 3 5 5" xfId="2761"/>
    <cellStyle name="Calculation 3 6" xfId="2762"/>
    <cellStyle name="Calculation 3 6 2" xfId="2763"/>
    <cellStyle name="Calculation 3 6 2 2" xfId="2764"/>
    <cellStyle name="Calculation 3 6 2 3" xfId="2765"/>
    <cellStyle name="Calculation 3 6 2 4" xfId="2766"/>
    <cellStyle name="Calculation 3 6 3" xfId="2767"/>
    <cellStyle name="Calculation 3 6 3 2" xfId="2768"/>
    <cellStyle name="Calculation 3 6 4" xfId="2769"/>
    <cellStyle name="Calculation 3 6 4 2" xfId="2770"/>
    <cellStyle name="Calculation 3 6 5" xfId="2771"/>
    <cellStyle name="Calculation 3 7" xfId="2772"/>
    <cellStyle name="Calculation 3 7 2" xfId="2773"/>
    <cellStyle name="Calculation 3 7 3" xfId="2774"/>
    <cellStyle name="Calculation 3 7 4" xfId="2775"/>
    <cellStyle name="Calculation 3 8" xfId="2776"/>
    <cellStyle name="Calculation 3 8 2" xfId="2777"/>
    <cellStyle name="Calculation 3 9" xfId="2778"/>
    <cellStyle name="Calculation 3 9 2" xfId="2779"/>
    <cellStyle name="Calculation 4" xfId="2780"/>
    <cellStyle name="Calculation 4 2" xfId="2781"/>
    <cellStyle name="Calculation 4 2 2" xfId="2782"/>
    <cellStyle name="Calculation 4 2 3" xfId="2783"/>
    <cellStyle name="Calculation 4 2 4" xfId="2784"/>
    <cellStyle name="Calculation 4 3" xfId="2785"/>
    <cellStyle name="Calculation 4 3 2" xfId="2786"/>
    <cellStyle name="Calculation 4 4" xfId="2787"/>
    <cellStyle name="Calculation 4 4 2" xfId="2788"/>
    <cellStyle name="Calculation 4 5" xfId="2789"/>
    <cellStyle name="Calculation 5" xfId="2790"/>
    <cellStyle name="Calculation 5 2" xfId="2791"/>
    <cellStyle name="Calculation 5 3" xfId="2792"/>
    <cellStyle name="Calculation 6" xfId="2793"/>
    <cellStyle name="Calculation 6 2" xfId="2794"/>
    <cellStyle name="Calculation 6 3" xfId="2795"/>
    <cellStyle name="Calculation 7" xfId="2796"/>
    <cellStyle name="Calculation 7 2" xfId="2797"/>
    <cellStyle name="Calculation 8" xfId="2798"/>
    <cellStyle name="Calculation 9" xfId="2799"/>
    <cellStyle name="Calculation 9 2" xfId="2800"/>
    <cellStyle name="Capable to Test" xfId="2801"/>
    <cellStyle name="Check Cell 2" xfId="2802"/>
    <cellStyle name="Check Cell 2 2" xfId="2803"/>
    <cellStyle name="Check Cell 2 2 2" xfId="2804"/>
    <cellStyle name="Check Cell 2 2 3" xfId="2805"/>
    <cellStyle name="Check Cell 2 3" xfId="2806"/>
    <cellStyle name="Check Cell 2 4" xfId="2807"/>
    <cellStyle name="Check Cell 3" xfId="2808"/>
    <cellStyle name="Check Cell 3 2" xfId="2809"/>
    <cellStyle name="Check Cell 3 3" xfId="2810"/>
    <cellStyle name="Check Cell 4" xfId="2811"/>
    <cellStyle name="Check Cell 4 2" xfId="2812"/>
    <cellStyle name="Check Cell 5" xfId="2813"/>
    <cellStyle name="Check Cell 6" xfId="2814"/>
    <cellStyle name="Check Cell 6 2" xfId="2815"/>
    <cellStyle name="Check Cell 7" xfId="2816"/>
    <cellStyle name="Check Cell 8" xfId="2817"/>
    <cellStyle name="Check Cell 9" xfId="2818"/>
    <cellStyle name="Comma" xfId="1" builtinId="3"/>
    <cellStyle name="Comma  - Style1" xfId="2819"/>
    <cellStyle name="Comma  - Style2" xfId="2820"/>
    <cellStyle name="Comma  - Style3" xfId="2821"/>
    <cellStyle name="Comma  - Style4" xfId="2822"/>
    <cellStyle name="Comma  - Style5" xfId="2823"/>
    <cellStyle name="Comma  - Style6" xfId="2824"/>
    <cellStyle name="Comma  - Style7" xfId="2825"/>
    <cellStyle name="Comma  - Style8" xfId="2826"/>
    <cellStyle name="Comma [0] 2" xfId="2827"/>
    <cellStyle name="Comma [00]" xfId="2828"/>
    <cellStyle name="Comma [2]" xfId="2829"/>
    <cellStyle name="Comma 10" xfId="2830"/>
    <cellStyle name="Comma 10 2" xfId="2831"/>
    <cellStyle name="Comma 10 3" xfId="2832"/>
    <cellStyle name="Comma 10 3 2" xfId="2833"/>
    <cellStyle name="Comma 10 3 3" xfId="2834"/>
    <cellStyle name="Comma 11" xfId="2835"/>
    <cellStyle name="Comma 11 2" xfId="2836"/>
    <cellStyle name="Comma 11 2 2" xfId="2837"/>
    <cellStyle name="Comma 11 3" xfId="2838"/>
    <cellStyle name="Comma 12" xfId="2839"/>
    <cellStyle name="Comma 12 2" xfId="2840"/>
    <cellStyle name="Comma 12 2 2" xfId="2841"/>
    <cellStyle name="Comma 13" xfId="2842"/>
    <cellStyle name="Comma 13 2" xfId="2843"/>
    <cellStyle name="Comma 13 2 2" xfId="2844"/>
    <cellStyle name="Comma 14" xfId="2845"/>
    <cellStyle name="Comma 14 2" xfId="2846"/>
    <cellStyle name="Comma 14 2 2" xfId="2847"/>
    <cellStyle name="Comma 14 3" xfId="2848"/>
    <cellStyle name="Comma 15" xfId="2849"/>
    <cellStyle name="Comma 15 2" xfId="2850"/>
    <cellStyle name="Comma 16" xfId="2851"/>
    <cellStyle name="Comma 17" xfId="2852"/>
    <cellStyle name="Comma 17 2" xfId="2853"/>
    <cellStyle name="Comma 17 2 2" xfId="2854"/>
    <cellStyle name="Comma 17 3" xfId="2855"/>
    <cellStyle name="Comma 18" xfId="2856"/>
    <cellStyle name="Comma 18 2" xfId="2857"/>
    <cellStyle name="Comma 18 2 2" xfId="2858"/>
    <cellStyle name="Comma 18 3" xfId="2859"/>
    <cellStyle name="Comma 19" xfId="2860"/>
    <cellStyle name="Comma 19 2" xfId="2861"/>
    <cellStyle name="Comma 19 2 2" xfId="2862"/>
    <cellStyle name="Comma 19 3" xfId="2863"/>
    <cellStyle name="Comma 2" xfId="2864"/>
    <cellStyle name="Comma 2 10" xfId="2865"/>
    <cellStyle name="Comma 2 10 2" xfId="2866"/>
    <cellStyle name="Comma 2 10 2 2" xfId="2867"/>
    <cellStyle name="Comma 2 10 2 2 2" xfId="2868"/>
    <cellStyle name="Comma 2 10 2 3" xfId="2869"/>
    <cellStyle name="Comma 2 10 3" xfId="2870"/>
    <cellStyle name="Comma 2 10 4" xfId="2871"/>
    <cellStyle name="Comma 2 11" xfId="2872"/>
    <cellStyle name="Comma 2 11 2" xfId="2873"/>
    <cellStyle name="Comma 2 11 2 2" xfId="2874"/>
    <cellStyle name="Comma 2 11 2 2 2" xfId="2875"/>
    <cellStyle name="Comma 2 11 2 3" xfId="2876"/>
    <cellStyle name="Comma 2 11 3" xfId="2877"/>
    <cellStyle name="Comma 2 12" xfId="2878"/>
    <cellStyle name="Comma 2 12 2" xfId="2879"/>
    <cellStyle name="Comma 2 12 2 2" xfId="2880"/>
    <cellStyle name="Comma 2 12 2 2 2" xfId="2881"/>
    <cellStyle name="Comma 2 12 2 3" xfId="2882"/>
    <cellStyle name="Comma 2 12 3" xfId="2883"/>
    <cellStyle name="Comma 2 13" xfId="2884"/>
    <cellStyle name="Comma 2 13 2" xfId="2885"/>
    <cellStyle name="Comma 2 13 2 2" xfId="2886"/>
    <cellStyle name="Comma 2 13 2 2 2" xfId="2887"/>
    <cellStyle name="Comma 2 13 2 3" xfId="2888"/>
    <cellStyle name="Comma 2 13 3" xfId="2889"/>
    <cellStyle name="Comma 2 14" xfId="2890"/>
    <cellStyle name="Comma 2 14 2" xfId="2891"/>
    <cellStyle name="Comma 2 14 2 2" xfId="2892"/>
    <cellStyle name="Comma 2 14 2 2 2" xfId="2893"/>
    <cellStyle name="Comma 2 14 2 3" xfId="2894"/>
    <cellStyle name="Comma 2 14 3" xfId="2895"/>
    <cellStyle name="Comma 2 15" xfId="2896"/>
    <cellStyle name="Comma 2 15 2" xfId="2897"/>
    <cellStyle name="Comma 2 15 2 2" xfId="2898"/>
    <cellStyle name="Comma 2 15 2 2 2" xfId="2899"/>
    <cellStyle name="Comma 2 15 2 3" xfId="2900"/>
    <cellStyle name="Comma 2 15 3" xfId="2901"/>
    <cellStyle name="Comma 2 16" xfId="2902"/>
    <cellStyle name="Comma 2 16 2" xfId="2903"/>
    <cellStyle name="Comma 2 16 2 2" xfId="2904"/>
    <cellStyle name="Comma 2 16 2 2 2" xfId="2905"/>
    <cellStyle name="Comma 2 16 2 3" xfId="2906"/>
    <cellStyle name="Comma 2 16 3" xfId="2907"/>
    <cellStyle name="Comma 2 17" xfId="2908"/>
    <cellStyle name="Comma 2 17 2" xfId="2909"/>
    <cellStyle name="Comma 2 17 2 2" xfId="2910"/>
    <cellStyle name="Comma 2 17 2 2 2" xfId="2911"/>
    <cellStyle name="Comma 2 17 2 3" xfId="2912"/>
    <cellStyle name="Comma 2 17 3" xfId="2913"/>
    <cellStyle name="Comma 2 18" xfId="2914"/>
    <cellStyle name="Comma 2 18 2" xfId="2915"/>
    <cellStyle name="Comma 2 18 2 2" xfId="2916"/>
    <cellStyle name="Comma 2 18 2 2 2" xfId="2917"/>
    <cellStyle name="Comma 2 18 2 3" xfId="2918"/>
    <cellStyle name="Comma 2 18 3" xfId="2919"/>
    <cellStyle name="Comma 2 19" xfId="2920"/>
    <cellStyle name="Comma 2 19 2" xfId="2921"/>
    <cellStyle name="Comma 2 19 2 2" xfId="2922"/>
    <cellStyle name="Comma 2 19 2 2 2" xfId="2923"/>
    <cellStyle name="Comma 2 19 2 3" xfId="2924"/>
    <cellStyle name="Comma 2 19 3" xfId="2925"/>
    <cellStyle name="Comma 2 2" xfId="2926"/>
    <cellStyle name="Comma 2 2 10" xfId="2927"/>
    <cellStyle name="Comma 2 2 2" xfId="2928"/>
    <cellStyle name="Comma 2 2 2 2" xfId="2929"/>
    <cellStyle name="Comma 2 2 2 2 2" xfId="2930"/>
    <cellStyle name="Comma 2 2 2 2 3" xfId="2931"/>
    <cellStyle name="Comma 2 2 2 2 4" xfId="2932"/>
    <cellStyle name="Comma 2 2 2 2 5" xfId="2933"/>
    <cellStyle name="Comma 2 2 2 3" xfId="2934"/>
    <cellStyle name="Comma 2 2 2 4" xfId="2935"/>
    <cellStyle name="Comma 2 2 2 5" xfId="2936"/>
    <cellStyle name="Comma 2 2 2 6" xfId="2937"/>
    <cellStyle name="Comma 2 2 2 7" xfId="2938"/>
    <cellStyle name="Comma 2 2 2 8" xfId="2939"/>
    <cellStyle name="Comma 2 2 3" xfId="2940"/>
    <cellStyle name="Comma 2 2 3 2" xfId="2941"/>
    <cellStyle name="Comma 2 2 3 3" xfId="2942"/>
    <cellStyle name="Comma 2 2 3 4" xfId="2943"/>
    <cellStyle name="Comma 2 2 3 5" xfId="2944"/>
    <cellStyle name="Comma 2 2 4" xfId="2945"/>
    <cellStyle name="Comma 2 2 5" xfId="2946"/>
    <cellStyle name="Comma 2 2 6" xfId="2947"/>
    <cellStyle name="Comma 2 2 7" xfId="2948"/>
    <cellStyle name="Comma 2 2 8" xfId="2949"/>
    <cellStyle name="Comma 2 2 9" xfId="2950"/>
    <cellStyle name="Comma 2 20" xfId="2951"/>
    <cellStyle name="Comma 2 20 2" xfId="2952"/>
    <cellStyle name="Comma 2 20 2 2" xfId="2953"/>
    <cellStyle name="Comma 2 20 2 2 2" xfId="2954"/>
    <cellStyle name="Comma 2 20 2 3" xfId="2955"/>
    <cellStyle name="Comma 2 20 3" xfId="2956"/>
    <cellStyle name="Comma 2 21" xfId="2957"/>
    <cellStyle name="Comma 2 21 2" xfId="2958"/>
    <cellStyle name="Comma 2 22" xfId="2959"/>
    <cellStyle name="Comma 2 22 2" xfId="2960"/>
    <cellStyle name="Comma 2 23" xfId="2961"/>
    <cellStyle name="Comma 2 23 2" xfId="2962"/>
    <cellStyle name="Comma 2 24" xfId="2963"/>
    <cellStyle name="Comma 2 24 2" xfId="2964"/>
    <cellStyle name="Comma 2 25" xfId="2965"/>
    <cellStyle name="Comma 2 25 2" xfId="2966"/>
    <cellStyle name="Comma 2 26" xfId="2967"/>
    <cellStyle name="Comma 2 26 2" xfId="2968"/>
    <cellStyle name="Comma 2 27" xfId="2969"/>
    <cellStyle name="Comma 2 27 2" xfId="2970"/>
    <cellStyle name="Comma 2 28" xfId="2971"/>
    <cellStyle name="Comma 2 28 2" xfId="2972"/>
    <cellStyle name="Comma 2 29" xfId="2973"/>
    <cellStyle name="Comma 2 29 2" xfId="2974"/>
    <cellStyle name="Comma 2 3" xfId="2975"/>
    <cellStyle name="Comma 2 3 2" xfId="2976"/>
    <cellStyle name="Comma 2 3 2 2" xfId="2977"/>
    <cellStyle name="Comma 2 3 2 2 2" xfId="2978"/>
    <cellStyle name="Comma 2 3 2 3" xfId="2979"/>
    <cellStyle name="Comma 2 3 2 4" xfId="2980"/>
    <cellStyle name="Comma 2 3 2 5" xfId="2981"/>
    <cellStyle name="Comma 2 3 3" xfId="2982"/>
    <cellStyle name="Comma 2 3 4" xfId="2983"/>
    <cellStyle name="Comma 2 3 5" xfId="2984"/>
    <cellStyle name="Comma 2 3 6" xfId="2985"/>
    <cellStyle name="Comma 2 3 7" xfId="2986"/>
    <cellStyle name="Comma 2 3 8" xfId="2987"/>
    <cellStyle name="Comma 2 30" xfId="2988"/>
    <cellStyle name="Comma 2 30 2" xfId="2989"/>
    <cellStyle name="Comma 2 31" xfId="2990"/>
    <cellStyle name="Comma 2 31 2" xfId="2991"/>
    <cellStyle name="Comma 2 32" xfId="2992"/>
    <cellStyle name="Comma 2 32 2" xfId="2993"/>
    <cellStyle name="Comma 2 33" xfId="2994"/>
    <cellStyle name="Comma 2 33 2" xfId="2995"/>
    <cellStyle name="Comma 2 34" xfId="2996"/>
    <cellStyle name="Comma 2 34 2" xfId="2997"/>
    <cellStyle name="Comma 2 35" xfId="2998"/>
    <cellStyle name="Comma 2 35 2" xfId="2999"/>
    <cellStyle name="Comma 2 36" xfId="3000"/>
    <cellStyle name="Comma 2 36 2" xfId="3001"/>
    <cellStyle name="Comma 2 37" xfId="3002"/>
    <cellStyle name="Comma 2 38" xfId="3003"/>
    <cellStyle name="Comma 2 4" xfId="3004"/>
    <cellStyle name="Comma 2 4 2" xfId="3005"/>
    <cellStyle name="Comma 2 4 2 2" xfId="3006"/>
    <cellStyle name="Comma 2 4 2 2 2" xfId="3007"/>
    <cellStyle name="Comma 2 4 2 3" xfId="3008"/>
    <cellStyle name="Comma 2 4 3" xfId="3009"/>
    <cellStyle name="Comma 2 4 4" xfId="3010"/>
    <cellStyle name="Comma 2 4 5" xfId="3011"/>
    <cellStyle name="Comma 2 4 6" xfId="3012"/>
    <cellStyle name="Comma 2 4 7" xfId="3013"/>
    <cellStyle name="Comma 2 5" xfId="3014"/>
    <cellStyle name="Comma 2 5 2" xfId="3015"/>
    <cellStyle name="Comma 2 5 2 2" xfId="3016"/>
    <cellStyle name="Comma 2 5 2 2 2" xfId="3017"/>
    <cellStyle name="Comma 2 5 2 3" xfId="3018"/>
    <cellStyle name="Comma 2 5 3" xfId="3019"/>
    <cellStyle name="Comma 2 6" xfId="3020"/>
    <cellStyle name="Comma 2 6 2" xfId="3021"/>
    <cellStyle name="Comma 2 6 2 2" xfId="3022"/>
    <cellStyle name="Comma 2 6 2 2 2" xfId="3023"/>
    <cellStyle name="Comma 2 6 2 3" xfId="3024"/>
    <cellStyle name="Comma 2 6 3" xfId="3025"/>
    <cellStyle name="Comma 2 7" xfId="3026"/>
    <cellStyle name="Comma 2 7 2" xfId="3027"/>
    <cellStyle name="Comma 2 7 2 2" xfId="3028"/>
    <cellStyle name="Comma 2 7 2 2 2" xfId="3029"/>
    <cellStyle name="Comma 2 7 2 3" xfId="3030"/>
    <cellStyle name="Comma 2 7 3" xfId="3031"/>
    <cellStyle name="Comma 2 8" xfId="3032"/>
    <cellStyle name="Comma 2 8 2" xfId="3033"/>
    <cellStyle name="Comma 2 8 2 2" xfId="3034"/>
    <cellStyle name="Comma 2 8 2 2 2" xfId="3035"/>
    <cellStyle name="Comma 2 8 2 3" xfId="3036"/>
    <cellStyle name="Comma 2 8 3" xfId="3037"/>
    <cellStyle name="Comma 2 9" xfId="3038"/>
    <cellStyle name="Comma 2 9 2" xfId="3039"/>
    <cellStyle name="Comma 2 9 2 2" xfId="3040"/>
    <cellStyle name="Comma 2 9 2 2 2" xfId="3041"/>
    <cellStyle name="Comma 2 9 2 3" xfId="3042"/>
    <cellStyle name="Comma 2 9 3" xfId="3043"/>
    <cellStyle name="Comma 20" xfId="3044"/>
    <cellStyle name="Comma 20 2" xfId="3045"/>
    <cellStyle name="Comma 20 2 2" xfId="3046"/>
    <cellStyle name="Comma 20 3" xfId="3047"/>
    <cellStyle name="Comma 21" xfId="3048"/>
    <cellStyle name="Comma 21 2" xfId="3049"/>
    <cellStyle name="Comma 21 2 2" xfId="3050"/>
    <cellStyle name="Comma 21 3" xfId="3051"/>
    <cellStyle name="Comma 22" xfId="3052"/>
    <cellStyle name="Comma 23" xfId="3053"/>
    <cellStyle name="Comma 24" xfId="3054"/>
    <cellStyle name="Comma 24 2" xfId="3055"/>
    <cellStyle name="Comma 24 3" xfId="3056"/>
    <cellStyle name="Comma 25" xfId="3057"/>
    <cellStyle name="Comma 25 2" xfId="3058"/>
    <cellStyle name="Comma 26" xfId="3059"/>
    <cellStyle name="Comma 26 2" xfId="3060"/>
    <cellStyle name="Comma 26 3" xfId="3061"/>
    <cellStyle name="Comma 27" xfId="3062"/>
    <cellStyle name="Comma 27 2" xfId="3063"/>
    <cellStyle name="Comma 28" xfId="3064"/>
    <cellStyle name="Comma 28 2" xfId="3065"/>
    <cellStyle name="Comma 29" xfId="3066"/>
    <cellStyle name="Comma 29 2" xfId="3067"/>
    <cellStyle name="Comma 3" xfId="3068"/>
    <cellStyle name="Comma 3 2" xfId="3069"/>
    <cellStyle name="Comma 3 2 2" xfId="3070"/>
    <cellStyle name="Comma 3 2 2 2" xfId="3071"/>
    <cellStyle name="Comma 3 2 2 3" xfId="3072"/>
    <cellStyle name="Comma 3 2 3" xfId="3073"/>
    <cellStyle name="Comma 3 2 3 2" xfId="3074"/>
    <cellStyle name="Comma 3 2 4" xfId="3075"/>
    <cellStyle name="Comma 3 2 5" xfId="3076"/>
    <cellStyle name="Comma 3 2 6" xfId="3077"/>
    <cellStyle name="Comma 3 2 7" xfId="3078"/>
    <cellStyle name="Comma 3 3" xfId="3079"/>
    <cellStyle name="Comma 3 3 2" xfId="3080"/>
    <cellStyle name="Comma 3 3 2 2" xfId="3081"/>
    <cellStyle name="Comma 3 3 3" xfId="3082"/>
    <cellStyle name="Comma 3 3 4" xfId="3083"/>
    <cellStyle name="Comma 3 4" xfId="3084"/>
    <cellStyle name="Comma 3 4 2" xfId="3085"/>
    <cellStyle name="Comma 3 4 2 2" xfId="3086"/>
    <cellStyle name="Comma 3 4 3" xfId="3087"/>
    <cellStyle name="Comma 3 4 4" xfId="3088"/>
    <cellStyle name="Comma 3 5" xfId="3089"/>
    <cellStyle name="Comma 3 5 2" xfId="3090"/>
    <cellStyle name="Comma 3 6" xfId="3091"/>
    <cellStyle name="Comma 3 7" xfId="3092"/>
    <cellStyle name="Comma 30" xfId="3093"/>
    <cellStyle name="Comma 31" xfId="3094"/>
    <cellStyle name="Comma 32" xfId="3095"/>
    <cellStyle name="Comma 33" xfId="3096"/>
    <cellStyle name="Comma 34" xfId="3097"/>
    <cellStyle name="Comma 35" xfId="3098"/>
    <cellStyle name="Comma 36" xfId="3099"/>
    <cellStyle name="Comma 37" xfId="3100"/>
    <cellStyle name="Comma 37 2" xfId="3101"/>
    <cellStyle name="Comma 37 3" xfId="3102"/>
    <cellStyle name="Comma 38" xfId="3103"/>
    <cellStyle name="Comma 38 2" xfId="3104"/>
    <cellStyle name="Comma 38 3" xfId="3105"/>
    <cellStyle name="Comma 39" xfId="3106"/>
    <cellStyle name="Comma 39 2" xfId="3107"/>
    <cellStyle name="Comma 39 3" xfId="3108"/>
    <cellStyle name="Comma 4" xfId="3109"/>
    <cellStyle name="Comma 4 2" xfId="3110"/>
    <cellStyle name="Comma 4 3" xfId="3111"/>
    <cellStyle name="Comma 4 4" xfId="3112"/>
    <cellStyle name="Comma 4 5" xfId="3113"/>
    <cellStyle name="Comma 40" xfId="3114"/>
    <cellStyle name="Comma 40 2" xfId="3115"/>
    <cellStyle name="Comma 40 3" xfId="3116"/>
    <cellStyle name="Comma 41" xfId="3117"/>
    <cellStyle name="Comma 41 2" xfId="3118"/>
    <cellStyle name="Comma 41 3" xfId="3119"/>
    <cellStyle name="Comma 42" xfId="3120"/>
    <cellStyle name="Comma 42 2" xfId="3121"/>
    <cellStyle name="Comma 42 2 2" xfId="3122"/>
    <cellStyle name="Comma 42 3" xfId="3123"/>
    <cellStyle name="Comma 43" xfId="3124"/>
    <cellStyle name="Comma 43 2" xfId="3125"/>
    <cellStyle name="Comma 44" xfId="3126"/>
    <cellStyle name="Comma 44 2" xfId="3127"/>
    <cellStyle name="Comma 45" xfId="3128"/>
    <cellStyle name="Comma 46" xfId="3129"/>
    <cellStyle name="Comma 47" xfId="3130"/>
    <cellStyle name="Comma 48" xfId="3131"/>
    <cellStyle name="Comma 49" xfId="3132"/>
    <cellStyle name="Comma 5" xfId="3133"/>
    <cellStyle name="Comma 5 2" xfId="3134"/>
    <cellStyle name="Comma 5 2 2" xfId="3135"/>
    <cellStyle name="Comma 5 3" xfId="3136"/>
    <cellStyle name="Comma 5 3 2" xfId="3137"/>
    <cellStyle name="Comma 5 4" xfId="3138"/>
    <cellStyle name="Comma 5 5" xfId="3139"/>
    <cellStyle name="Comma 50" xfId="3140"/>
    <cellStyle name="Comma 51" xfId="3141"/>
    <cellStyle name="Comma 52" xfId="3142"/>
    <cellStyle name="Comma 6" xfId="3143"/>
    <cellStyle name="Comma 6 2" xfId="3144"/>
    <cellStyle name="Comma 6 2 2" xfId="3145"/>
    <cellStyle name="Comma 6 2 2 2" xfId="3146"/>
    <cellStyle name="Comma 6 2 3" xfId="3147"/>
    <cellStyle name="Comma 6 2 4" xfId="3148"/>
    <cellStyle name="Comma 6 3" xfId="3149"/>
    <cellStyle name="Comma 6 3 2" xfId="3150"/>
    <cellStyle name="Comma 6 3 2 2" xfId="3151"/>
    <cellStyle name="Comma 6 3 3" xfId="3152"/>
    <cellStyle name="Comma 6 3 4" xfId="3153"/>
    <cellStyle name="Comma 6 4" xfId="3154"/>
    <cellStyle name="Comma 6 4 2" xfId="3155"/>
    <cellStyle name="Comma 6 5" xfId="3156"/>
    <cellStyle name="Comma 6 6" xfId="3157"/>
    <cellStyle name="Comma 7" xfId="3158"/>
    <cellStyle name="Comma 7 2" xfId="3159"/>
    <cellStyle name="Comma 7 2 2" xfId="3160"/>
    <cellStyle name="Comma 7 2 2 2" xfId="3161"/>
    <cellStyle name="Comma 7 2 3" xfId="3162"/>
    <cellStyle name="Comma 7 2 4" xfId="3163"/>
    <cellStyle name="Comma 7 3" xfId="3164"/>
    <cellStyle name="Comma 7 3 2" xfId="3165"/>
    <cellStyle name="Comma 7 3 2 2" xfId="3166"/>
    <cellStyle name="Comma 7 3 3" xfId="3167"/>
    <cellStyle name="Comma 7 3 4" xfId="3168"/>
    <cellStyle name="Comma 7 4" xfId="3169"/>
    <cellStyle name="Comma 7 4 2" xfId="3170"/>
    <cellStyle name="Comma 7 5" xfId="3171"/>
    <cellStyle name="Comma 7 6" xfId="3172"/>
    <cellStyle name="Comma 8" xfId="3173"/>
    <cellStyle name="Comma 8 2" xfId="3174"/>
    <cellStyle name="Comma 8 2 2" xfId="3175"/>
    <cellStyle name="Comma 8 2 2 2" xfId="3176"/>
    <cellStyle name="Comma 8 2 3" xfId="3177"/>
    <cellStyle name="Comma 8 2 4" xfId="3178"/>
    <cellStyle name="Comma 8 3" xfId="3179"/>
    <cellStyle name="Comma 8 3 2" xfId="3180"/>
    <cellStyle name="Comma 8 3 2 2" xfId="3181"/>
    <cellStyle name="Comma 8 3 3" xfId="3182"/>
    <cellStyle name="Comma 8 3 4" xfId="3183"/>
    <cellStyle name="Comma 8 4" xfId="3184"/>
    <cellStyle name="Comma 8 4 2" xfId="3185"/>
    <cellStyle name="Comma 8 5" xfId="3186"/>
    <cellStyle name="Comma 8 6" xfId="3187"/>
    <cellStyle name="Comma 9" xfId="3188"/>
    <cellStyle name="Comma 9 2" xfId="3189"/>
    <cellStyle name="Comma 9 2 2" xfId="3190"/>
    <cellStyle name="Comma 9 2 2 2" xfId="3191"/>
    <cellStyle name="Comma 9 2 3" xfId="3192"/>
    <cellStyle name="Comma 9 2 4" xfId="3193"/>
    <cellStyle name="Comma 9 3" xfId="3194"/>
    <cellStyle name="Comma 9 3 2" xfId="3195"/>
    <cellStyle name="Comma 9 3 2 2" xfId="3196"/>
    <cellStyle name="Comma 9 3 3" xfId="3197"/>
    <cellStyle name="Comma 9 3 4" xfId="3198"/>
    <cellStyle name="Comma 9 4" xfId="3199"/>
    <cellStyle name="Comma 9 4 2" xfId="3200"/>
    <cellStyle name="Comma 9 5" xfId="3201"/>
    <cellStyle name="Comma 9 6" xfId="3202"/>
    <cellStyle name="Comma(0)" xfId="3203"/>
    <cellStyle name="Comma(1)" xfId="3204"/>
    <cellStyle name="Comma(2)" xfId="3205"/>
    <cellStyle name="Comma0" xfId="3206"/>
    <cellStyle name="Comma0 - Style1" xfId="3207"/>
    <cellStyle name="Comma0 - Style1 2" xfId="3208"/>
    <cellStyle name="Comma0 - Style1 2 2" xfId="3209"/>
    <cellStyle name="Comma0 - Style1 2 3" xfId="3210"/>
    <cellStyle name="Comma0 - Style1 3" xfId="3211"/>
    <cellStyle name="Comma0 - Style1 4" xfId="3212"/>
    <cellStyle name="Comma0 - Style4" xfId="3213"/>
    <cellStyle name="Comma0 - Style4 2" xfId="3214"/>
    <cellStyle name="Comma0 - Style4 2 2" xfId="3215"/>
    <cellStyle name="Comma0 - Style4 2 3" xfId="3216"/>
    <cellStyle name="Comma0 - Style4 3" xfId="3217"/>
    <cellStyle name="Comma0 - Style4 4" xfId="3218"/>
    <cellStyle name="Comma0 10" xfId="3219"/>
    <cellStyle name="Comma0 10 2" xfId="3220"/>
    <cellStyle name="Comma0 10 2 2" xfId="3221"/>
    <cellStyle name="Comma0 10 3" xfId="3222"/>
    <cellStyle name="Comma0 100" xfId="3223"/>
    <cellStyle name="Comma0 100 2" xfId="3224"/>
    <cellStyle name="Comma0 101" xfId="3225"/>
    <cellStyle name="Comma0 101 2" xfId="3226"/>
    <cellStyle name="Comma0 102" xfId="3227"/>
    <cellStyle name="Comma0 102 2" xfId="3228"/>
    <cellStyle name="Comma0 103" xfId="3229"/>
    <cellStyle name="Comma0 103 2" xfId="3230"/>
    <cellStyle name="Comma0 104" xfId="3231"/>
    <cellStyle name="Comma0 104 2" xfId="3232"/>
    <cellStyle name="Comma0 105" xfId="3233"/>
    <cellStyle name="Comma0 105 2" xfId="3234"/>
    <cellStyle name="Comma0 106" xfId="3235"/>
    <cellStyle name="Comma0 106 2" xfId="3236"/>
    <cellStyle name="Comma0 107" xfId="3237"/>
    <cellStyle name="Comma0 107 2" xfId="3238"/>
    <cellStyle name="Comma0 108" xfId="3239"/>
    <cellStyle name="Comma0 108 2" xfId="3240"/>
    <cellStyle name="Comma0 109" xfId="3241"/>
    <cellStyle name="Comma0 109 2" xfId="3242"/>
    <cellStyle name="Comma0 11" xfId="3243"/>
    <cellStyle name="Comma0 11 2" xfId="3244"/>
    <cellStyle name="Comma0 11 2 2" xfId="3245"/>
    <cellStyle name="Comma0 11 3" xfId="3246"/>
    <cellStyle name="Comma0 110" xfId="3247"/>
    <cellStyle name="Comma0 110 2" xfId="3248"/>
    <cellStyle name="Comma0 111" xfId="3249"/>
    <cellStyle name="Comma0 111 2" xfId="3250"/>
    <cellStyle name="Comma0 112" xfId="3251"/>
    <cellStyle name="Comma0 112 2" xfId="3252"/>
    <cellStyle name="Comma0 113" xfId="3253"/>
    <cellStyle name="Comma0 113 2" xfId="3254"/>
    <cellStyle name="Comma0 114" xfId="3255"/>
    <cellStyle name="Comma0 114 2" xfId="3256"/>
    <cellStyle name="Comma0 115" xfId="3257"/>
    <cellStyle name="Comma0 115 2" xfId="3258"/>
    <cellStyle name="Comma0 116" xfId="3259"/>
    <cellStyle name="Comma0 116 2" xfId="3260"/>
    <cellStyle name="Comma0 117" xfId="3261"/>
    <cellStyle name="Comma0 117 2" xfId="3262"/>
    <cellStyle name="Comma0 118" xfId="3263"/>
    <cellStyle name="Comma0 118 2" xfId="3264"/>
    <cellStyle name="Comma0 119" xfId="3265"/>
    <cellStyle name="Comma0 119 2" xfId="3266"/>
    <cellStyle name="Comma0 12" xfId="3267"/>
    <cellStyle name="Comma0 12 2" xfId="3268"/>
    <cellStyle name="Comma0 12 2 2" xfId="3269"/>
    <cellStyle name="Comma0 12 3" xfId="3270"/>
    <cellStyle name="Comma0 120" xfId="3271"/>
    <cellStyle name="Comma0 120 2" xfId="3272"/>
    <cellStyle name="Comma0 121" xfId="3273"/>
    <cellStyle name="Comma0 121 2" xfId="3274"/>
    <cellStyle name="Comma0 121 2 2" xfId="3275"/>
    <cellStyle name="Comma0 121 3" xfId="3276"/>
    <cellStyle name="Comma0 122" xfId="3277"/>
    <cellStyle name="Comma0 122 2" xfId="3278"/>
    <cellStyle name="Comma0 122 2 2" xfId="3279"/>
    <cellStyle name="Comma0 122 3" xfId="3280"/>
    <cellStyle name="Comma0 123" xfId="3281"/>
    <cellStyle name="Comma0 123 2" xfId="3282"/>
    <cellStyle name="Comma0 123 2 2" xfId="3283"/>
    <cellStyle name="Comma0 123 3" xfId="3284"/>
    <cellStyle name="Comma0 124" xfId="3285"/>
    <cellStyle name="Comma0 124 2" xfId="3286"/>
    <cellStyle name="Comma0 124 2 2" xfId="3287"/>
    <cellStyle name="Comma0 124 3" xfId="3288"/>
    <cellStyle name="Comma0 125" xfId="3289"/>
    <cellStyle name="Comma0 125 2" xfId="3290"/>
    <cellStyle name="Comma0 125 2 2" xfId="3291"/>
    <cellStyle name="Comma0 125 3" xfId="3292"/>
    <cellStyle name="Comma0 126" xfId="3293"/>
    <cellStyle name="Comma0 126 2" xfId="3294"/>
    <cellStyle name="Comma0 126 2 2" xfId="3295"/>
    <cellStyle name="Comma0 126 3" xfId="3296"/>
    <cellStyle name="Comma0 127" xfId="3297"/>
    <cellStyle name="Comma0 127 2" xfId="3298"/>
    <cellStyle name="Comma0 127 2 2" xfId="3299"/>
    <cellStyle name="Comma0 127 3" xfId="3300"/>
    <cellStyle name="Comma0 128" xfId="3301"/>
    <cellStyle name="Comma0 128 2" xfId="3302"/>
    <cellStyle name="Comma0 128 2 2" xfId="3303"/>
    <cellStyle name="Comma0 128 3" xfId="3304"/>
    <cellStyle name="Comma0 129" xfId="3305"/>
    <cellStyle name="Comma0 129 2" xfId="3306"/>
    <cellStyle name="Comma0 129 2 2" xfId="3307"/>
    <cellStyle name="Comma0 129 3" xfId="3308"/>
    <cellStyle name="Comma0 13" xfId="3309"/>
    <cellStyle name="Comma0 13 2" xfId="3310"/>
    <cellStyle name="Comma0 13 2 2" xfId="3311"/>
    <cellStyle name="Comma0 13 3" xfId="3312"/>
    <cellStyle name="Comma0 130" xfId="3313"/>
    <cellStyle name="Comma0 130 2" xfId="3314"/>
    <cellStyle name="Comma0 130 2 2" xfId="3315"/>
    <cellStyle name="Comma0 130 3" xfId="3316"/>
    <cellStyle name="Comma0 131" xfId="3317"/>
    <cellStyle name="Comma0 131 2" xfId="3318"/>
    <cellStyle name="Comma0 131 2 2" xfId="3319"/>
    <cellStyle name="Comma0 131 3" xfId="3320"/>
    <cellStyle name="Comma0 132" xfId="3321"/>
    <cellStyle name="Comma0 132 2" xfId="3322"/>
    <cellStyle name="Comma0 132 2 2" xfId="3323"/>
    <cellStyle name="Comma0 132 3" xfId="3324"/>
    <cellStyle name="Comma0 133" xfId="3325"/>
    <cellStyle name="Comma0 133 2" xfId="3326"/>
    <cellStyle name="Comma0 133 2 2" xfId="3327"/>
    <cellStyle name="Comma0 133 3" xfId="3328"/>
    <cellStyle name="Comma0 134" xfId="3329"/>
    <cellStyle name="Comma0 134 2" xfId="3330"/>
    <cellStyle name="Comma0 134 2 2" xfId="3331"/>
    <cellStyle name="Comma0 134 3" xfId="3332"/>
    <cellStyle name="Comma0 135" xfId="3333"/>
    <cellStyle name="Comma0 135 2" xfId="3334"/>
    <cellStyle name="Comma0 135 2 2" xfId="3335"/>
    <cellStyle name="Comma0 135 3" xfId="3336"/>
    <cellStyle name="Comma0 136" xfId="3337"/>
    <cellStyle name="Comma0 136 2" xfId="3338"/>
    <cellStyle name="Comma0 136 2 2" xfId="3339"/>
    <cellStyle name="Comma0 136 3" xfId="3340"/>
    <cellStyle name="Comma0 137" xfId="3341"/>
    <cellStyle name="Comma0 137 2" xfId="3342"/>
    <cellStyle name="Comma0 137 2 2" xfId="3343"/>
    <cellStyle name="Comma0 137 3" xfId="3344"/>
    <cellStyle name="Comma0 138" xfId="3345"/>
    <cellStyle name="Comma0 138 2" xfId="3346"/>
    <cellStyle name="Comma0 138 2 2" xfId="3347"/>
    <cellStyle name="Comma0 138 3" xfId="3348"/>
    <cellStyle name="Comma0 139" xfId="3349"/>
    <cellStyle name="Comma0 139 2" xfId="3350"/>
    <cellStyle name="Comma0 139 2 2" xfId="3351"/>
    <cellStyle name="Comma0 139 3" xfId="3352"/>
    <cellStyle name="Comma0 14" xfId="3353"/>
    <cellStyle name="Comma0 14 2" xfId="3354"/>
    <cellStyle name="Comma0 14 2 2" xfId="3355"/>
    <cellStyle name="Comma0 14 3" xfId="3356"/>
    <cellStyle name="Comma0 140" xfId="3357"/>
    <cellStyle name="Comma0 140 2" xfId="3358"/>
    <cellStyle name="Comma0 140 2 2" xfId="3359"/>
    <cellStyle name="Comma0 140 3" xfId="3360"/>
    <cellStyle name="Comma0 141" xfId="3361"/>
    <cellStyle name="Comma0 141 2" xfId="3362"/>
    <cellStyle name="Comma0 141 2 2" xfId="3363"/>
    <cellStyle name="Comma0 141 3" xfId="3364"/>
    <cellStyle name="Comma0 142" xfId="3365"/>
    <cellStyle name="Comma0 142 2" xfId="3366"/>
    <cellStyle name="Comma0 142 2 2" xfId="3367"/>
    <cellStyle name="Comma0 142 3" xfId="3368"/>
    <cellStyle name="Comma0 143" xfId="3369"/>
    <cellStyle name="Comma0 143 2" xfId="3370"/>
    <cellStyle name="Comma0 143 2 2" xfId="3371"/>
    <cellStyle name="Comma0 143 3" xfId="3372"/>
    <cellStyle name="Comma0 144" xfId="3373"/>
    <cellStyle name="Comma0 144 2" xfId="3374"/>
    <cellStyle name="Comma0 144 2 2" xfId="3375"/>
    <cellStyle name="Comma0 144 3" xfId="3376"/>
    <cellStyle name="Comma0 145" xfId="3377"/>
    <cellStyle name="Comma0 145 2" xfId="3378"/>
    <cellStyle name="Comma0 145 2 2" xfId="3379"/>
    <cellStyle name="Comma0 145 3" xfId="3380"/>
    <cellStyle name="Comma0 146" xfId="3381"/>
    <cellStyle name="Comma0 146 2" xfId="3382"/>
    <cellStyle name="Comma0 146 2 2" xfId="3383"/>
    <cellStyle name="Comma0 146 3" xfId="3384"/>
    <cellStyle name="Comma0 147" xfId="3385"/>
    <cellStyle name="Comma0 147 2" xfId="3386"/>
    <cellStyle name="Comma0 147 2 2" xfId="3387"/>
    <cellStyle name="Comma0 147 3" xfId="3388"/>
    <cellStyle name="Comma0 148" xfId="3389"/>
    <cellStyle name="Comma0 148 2" xfId="3390"/>
    <cellStyle name="Comma0 148 2 2" xfId="3391"/>
    <cellStyle name="Comma0 148 3" xfId="3392"/>
    <cellStyle name="Comma0 149" xfId="3393"/>
    <cellStyle name="Comma0 149 2" xfId="3394"/>
    <cellStyle name="Comma0 149 2 2" xfId="3395"/>
    <cellStyle name="Comma0 149 3" xfId="3396"/>
    <cellStyle name="Comma0 15" xfId="3397"/>
    <cellStyle name="Comma0 15 2" xfId="3398"/>
    <cellStyle name="Comma0 150" xfId="3399"/>
    <cellStyle name="Comma0 150 2" xfId="3400"/>
    <cellStyle name="Comma0 150 2 2" xfId="3401"/>
    <cellStyle name="Comma0 150 3" xfId="3402"/>
    <cellStyle name="Comma0 151" xfId="3403"/>
    <cellStyle name="Comma0 151 2" xfId="3404"/>
    <cellStyle name="Comma0 151 2 2" xfId="3405"/>
    <cellStyle name="Comma0 151 3" xfId="3406"/>
    <cellStyle name="Comma0 152" xfId="3407"/>
    <cellStyle name="Comma0 152 2" xfId="3408"/>
    <cellStyle name="Comma0 152 2 2" xfId="3409"/>
    <cellStyle name="Comma0 152 3" xfId="3410"/>
    <cellStyle name="Comma0 153" xfId="3411"/>
    <cellStyle name="Comma0 153 2" xfId="3412"/>
    <cellStyle name="Comma0 153 2 2" xfId="3413"/>
    <cellStyle name="Comma0 153 3" xfId="3414"/>
    <cellStyle name="Comma0 154" xfId="3415"/>
    <cellStyle name="Comma0 154 2" xfId="3416"/>
    <cellStyle name="Comma0 154 2 2" xfId="3417"/>
    <cellStyle name="Comma0 154 3" xfId="3418"/>
    <cellStyle name="Comma0 155" xfId="3419"/>
    <cellStyle name="Comma0 155 2" xfId="3420"/>
    <cellStyle name="Comma0 155 2 2" xfId="3421"/>
    <cellStyle name="Comma0 155 3" xfId="3422"/>
    <cellStyle name="Comma0 156" xfId="3423"/>
    <cellStyle name="Comma0 156 2" xfId="3424"/>
    <cellStyle name="Comma0 157" xfId="3425"/>
    <cellStyle name="Comma0 157 2" xfId="3426"/>
    <cellStyle name="Comma0 158" xfId="3427"/>
    <cellStyle name="Comma0 158 2" xfId="3428"/>
    <cellStyle name="Comma0 159" xfId="3429"/>
    <cellStyle name="Comma0 159 2" xfId="3430"/>
    <cellStyle name="Comma0 16" xfId="3431"/>
    <cellStyle name="Comma0 16 2" xfId="3432"/>
    <cellStyle name="Comma0 160" xfId="3433"/>
    <cellStyle name="Comma0 160 2" xfId="3434"/>
    <cellStyle name="Comma0 161" xfId="3435"/>
    <cellStyle name="Comma0 161 2" xfId="3436"/>
    <cellStyle name="Comma0 162" xfId="3437"/>
    <cellStyle name="Comma0 162 2" xfId="3438"/>
    <cellStyle name="Comma0 163" xfId="3439"/>
    <cellStyle name="Comma0 163 2" xfId="3440"/>
    <cellStyle name="Comma0 164" xfId="3441"/>
    <cellStyle name="Comma0 164 2" xfId="3442"/>
    <cellStyle name="Comma0 165" xfId="3443"/>
    <cellStyle name="Comma0 165 2" xfId="3444"/>
    <cellStyle name="Comma0 166" xfId="3445"/>
    <cellStyle name="Comma0 166 2" xfId="3446"/>
    <cellStyle name="Comma0 167" xfId="3447"/>
    <cellStyle name="Comma0 167 2" xfId="3448"/>
    <cellStyle name="Comma0 168" xfId="3449"/>
    <cellStyle name="Comma0 168 2" xfId="3450"/>
    <cellStyle name="Comma0 169" xfId="3451"/>
    <cellStyle name="Comma0 169 2" xfId="3452"/>
    <cellStyle name="Comma0 17" xfId="3453"/>
    <cellStyle name="Comma0 17 2" xfId="3454"/>
    <cellStyle name="Comma0 170" xfId="3455"/>
    <cellStyle name="Comma0 170 2" xfId="3456"/>
    <cellStyle name="Comma0 171" xfId="3457"/>
    <cellStyle name="Comma0 171 2" xfId="3458"/>
    <cellStyle name="Comma0 172" xfId="3459"/>
    <cellStyle name="Comma0 172 2" xfId="3460"/>
    <cellStyle name="Comma0 173" xfId="3461"/>
    <cellStyle name="Comma0 173 2" xfId="3462"/>
    <cellStyle name="Comma0 174" xfId="3463"/>
    <cellStyle name="Comma0 174 2" xfId="3464"/>
    <cellStyle name="Comma0 175" xfId="3465"/>
    <cellStyle name="Comma0 175 2" xfId="3466"/>
    <cellStyle name="Comma0 176" xfId="3467"/>
    <cellStyle name="Comma0 176 2" xfId="3468"/>
    <cellStyle name="Comma0 177" xfId="3469"/>
    <cellStyle name="Comma0 177 2" xfId="3470"/>
    <cellStyle name="Comma0 178" xfId="3471"/>
    <cellStyle name="Comma0 178 2" xfId="3472"/>
    <cellStyle name="Comma0 179" xfId="3473"/>
    <cellStyle name="Comma0 179 2" xfId="3474"/>
    <cellStyle name="Comma0 18" xfId="3475"/>
    <cellStyle name="Comma0 18 2" xfId="3476"/>
    <cellStyle name="Comma0 180" xfId="3477"/>
    <cellStyle name="Comma0 180 2" xfId="3478"/>
    <cellStyle name="Comma0 181" xfId="3479"/>
    <cellStyle name="Comma0 181 2" xfId="3480"/>
    <cellStyle name="Comma0 182" xfId="3481"/>
    <cellStyle name="Comma0 182 2" xfId="3482"/>
    <cellStyle name="Comma0 183" xfId="3483"/>
    <cellStyle name="Comma0 183 2" xfId="3484"/>
    <cellStyle name="Comma0 184" xfId="3485"/>
    <cellStyle name="Comma0 184 2" xfId="3486"/>
    <cellStyle name="Comma0 185" xfId="3487"/>
    <cellStyle name="Comma0 185 2" xfId="3488"/>
    <cellStyle name="Comma0 186" xfId="3489"/>
    <cellStyle name="Comma0 186 2" xfId="3490"/>
    <cellStyle name="Comma0 187" xfId="3491"/>
    <cellStyle name="Comma0 187 2" xfId="3492"/>
    <cellStyle name="Comma0 188" xfId="3493"/>
    <cellStyle name="Comma0 188 2" xfId="3494"/>
    <cellStyle name="Comma0 189" xfId="3495"/>
    <cellStyle name="Comma0 19" xfId="3496"/>
    <cellStyle name="Comma0 19 2" xfId="3497"/>
    <cellStyle name="Comma0 190" xfId="3498"/>
    <cellStyle name="Comma0 191" xfId="3499"/>
    <cellStyle name="Comma0 192" xfId="3500"/>
    <cellStyle name="Comma0 193" xfId="3501"/>
    <cellStyle name="Comma0 194" xfId="3502"/>
    <cellStyle name="Comma0 2" xfId="3503"/>
    <cellStyle name="Comma0 2 2" xfId="3504"/>
    <cellStyle name="Comma0 2 2 2" xfId="3505"/>
    <cellStyle name="Comma0 2 3" xfId="3506"/>
    <cellStyle name="Comma0 20" xfId="3507"/>
    <cellStyle name="Comma0 20 2" xfId="3508"/>
    <cellStyle name="Comma0 21" xfId="3509"/>
    <cellStyle name="Comma0 21 2" xfId="3510"/>
    <cellStyle name="Comma0 22" xfId="3511"/>
    <cellStyle name="Comma0 22 2" xfId="3512"/>
    <cellStyle name="Comma0 23" xfId="3513"/>
    <cellStyle name="Comma0 23 2" xfId="3514"/>
    <cellStyle name="Comma0 24" xfId="3515"/>
    <cellStyle name="Comma0 24 2" xfId="3516"/>
    <cellStyle name="Comma0 25" xfId="3517"/>
    <cellStyle name="Comma0 25 2" xfId="3518"/>
    <cellStyle name="Comma0 26" xfId="3519"/>
    <cellStyle name="Comma0 26 2" xfId="3520"/>
    <cellStyle name="Comma0 27" xfId="3521"/>
    <cellStyle name="Comma0 27 2" xfId="3522"/>
    <cellStyle name="Comma0 28" xfId="3523"/>
    <cellStyle name="Comma0 28 2" xfId="3524"/>
    <cellStyle name="Comma0 29" xfId="3525"/>
    <cellStyle name="Comma0 29 2" xfId="3526"/>
    <cellStyle name="Comma0 3" xfId="3527"/>
    <cellStyle name="Comma0 3 2" xfId="3528"/>
    <cellStyle name="Comma0 30" xfId="3529"/>
    <cellStyle name="Comma0 30 2" xfId="3530"/>
    <cellStyle name="Comma0 31" xfId="3531"/>
    <cellStyle name="Comma0 31 2" xfId="3532"/>
    <cellStyle name="Comma0 32" xfId="3533"/>
    <cellStyle name="Comma0 32 2" xfId="3534"/>
    <cellStyle name="Comma0 33" xfId="3535"/>
    <cellStyle name="Comma0 33 2" xfId="3536"/>
    <cellStyle name="Comma0 34" xfId="3537"/>
    <cellStyle name="Comma0 34 2" xfId="3538"/>
    <cellStyle name="Comma0 35" xfId="3539"/>
    <cellStyle name="Comma0 35 2" xfId="3540"/>
    <cellStyle name="Comma0 36" xfId="3541"/>
    <cellStyle name="Comma0 36 2" xfId="3542"/>
    <cellStyle name="Comma0 37" xfId="3543"/>
    <cellStyle name="Comma0 37 2" xfId="3544"/>
    <cellStyle name="Comma0 38" xfId="3545"/>
    <cellStyle name="Comma0 38 2" xfId="3546"/>
    <cellStyle name="Comma0 39" xfId="3547"/>
    <cellStyle name="Comma0 39 2" xfId="3548"/>
    <cellStyle name="Comma0 4" xfId="3549"/>
    <cellStyle name="Comma0 4 2" xfId="3550"/>
    <cellStyle name="Comma0 4 2 2" xfId="3551"/>
    <cellStyle name="Comma0 4 3" xfId="3552"/>
    <cellStyle name="Comma0 40" xfId="3553"/>
    <cellStyle name="Comma0 40 2" xfId="3554"/>
    <cellStyle name="Comma0 41" xfId="3555"/>
    <cellStyle name="Comma0 41 2" xfId="3556"/>
    <cellStyle name="Comma0 42" xfId="3557"/>
    <cellStyle name="Comma0 42 2" xfId="3558"/>
    <cellStyle name="Comma0 43" xfId="3559"/>
    <cellStyle name="Comma0 43 2" xfId="3560"/>
    <cellStyle name="Comma0 44" xfId="3561"/>
    <cellStyle name="Comma0 44 2" xfId="3562"/>
    <cellStyle name="Comma0 45" xfId="3563"/>
    <cellStyle name="Comma0 45 2" xfId="3564"/>
    <cellStyle name="Comma0 46" xfId="3565"/>
    <cellStyle name="Comma0 46 2" xfId="3566"/>
    <cellStyle name="Comma0 47" xfId="3567"/>
    <cellStyle name="Comma0 47 2" xfId="3568"/>
    <cellStyle name="Comma0 48" xfId="3569"/>
    <cellStyle name="Comma0 48 2" xfId="3570"/>
    <cellStyle name="Comma0 49" xfId="3571"/>
    <cellStyle name="Comma0 49 2" xfId="3572"/>
    <cellStyle name="Comma0 5" xfId="3573"/>
    <cellStyle name="Comma0 5 2" xfId="3574"/>
    <cellStyle name="Comma0 5 2 2" xfId="3575"/>
    <cellStyle name="Comma0 5 3" xfId="3576"/>
    <cellStyle name="Comma0 50" xfId="3577"/>
    <cellStyle name="Comma0 50 2" xfId="3578"/>
    <cellStyle name="Comma0 51" xfId="3579"/>
    <cellStyle name="Comma0 51 2" xfId="3580"/>
    <cellStyle name="Comma0 52" xfId="3581"/>
    <cellStyle name="Comma0 52 2" xfId="3582"/>
    <cellStyle name="Comma0 53" xfId="3583"/>
    <cellStyle name="Comma0 53 2" xfId="3584"/>
    <cellStyle name="Comma0 54" xfId="3585"/>
    <cellStyle name="Comma0 54 2" xfId="3586"/>
    <cellStyle name="Comma0 55" xfId="3587"/>
    <cellStyle name="Comma0 55 2" xfId="3588"/>
    <cellStyle name="Comma0 56" xfId="3589"/>
    <cellStyle name="Comma0 56 2" xfId="3590"/>
    <cellStyle name="Comma0 57" xfId="3591"/>
    <cellStyle name="Comma0 57 2" xfId="3592"/>
    <cellStyle name="Comma0 58" xfId="3593"/>
    <cellStyle name="Comma0 58 2" xfId="3594"/>
    <cellStyle name="Comma0 59" xfId="3595"/>
    <cellStyle name="Comma0 59 2" xfId="3596"/>
    <cellStyle name="Comma0 6" xfId="3597"/>
    <cellStyle name="Comma0 6 2" xfId="3598"/>
    <cellStyle name="Comma0 6 2 2" xfId="3599"/>
    <cellStyle name="Comma0 6 3" xfId="3600"/>
    <cellStyle name="Comma0 60" xfId="3601"/>
    <cellStyle name="Comma0 60 2" xfId="3602"/>
    <cellStyle name="Comma0 61" xfId="3603"/>
    <cellStyle name="Comma0 61 2" xfId="3604"/>
    <cellStyle name="Comma0 62" xfId="3605"/>
    <cellStyle name="Comma0 62 2" xfId="3606"/>
    <cellStyle name="Comma0 63" xfId="3607"/>
    <cellStyle name="Comma0 63 2" xfId="3608"/>
    <cellStyle name="Comma0 64" xfId="3609"/>
    <cellStyle name="Comma0 64 2" xfId="3610"/>
    <cellStyle name="Comma0 65" xfId="3611"/>
    <cellStyle name="Comma0 65 2" xfId="3612"/>
    <cellStyle name="Comma0 66" xfId="3613"/>
    <cellStyle name="Comma0 66 2" xfId="3614"/>
    <cellStyle name="Comma0 67" xfId="3615"/>
    <cellStyle name="Comma0 67 2" xfId="3616"/>
    <cellStyle name="Comma0 68" xfId="3617"/>
    <cellStyle name="Comma0 68 2" xfId="3618"/>
    <cellStyle name="Comma0 69" xfId="3619"/>
    <cellStyle name="Comma0 69 2" xfId="3620"/>
    <cellStyle name="Comma0 7" xfId="3621"/>
    <cellStyle name="Comma0 7 2" xfId="3622"/>
    <cellStyle name="Comma0 7 2 2" xfId="3623"/>
    <cellStyle name="Comma0 7 3" xfId="3624"/>
    <cellStyle name="Comma0 70" xfId="3625"/>
    <cellStyle name="Comma0 70 2" xfId="3626"/>
    <cellStyle name="Comma0 71" xfId="3627"/>
    <cellStyle name="Comma0 71 2" xfId="3628"/>
    <cellStyle name="Comma0 72" xfId="3629"/>
    <cellStyle name="Comma0 72 2" xfId="3630"/>
    <cellStyle name="Comma0 73" xfId="3631"/>
    <cellStyle name="Comma0 73 2" xfId="3632"/>
    <cellStyle name="Comma0 74" xfId="3633"/>
    <cellStyle name="Comma0 74 2" xfId="3634"/>
    <cellStyle name="Comma0 75" xfId="3635"/>
    <cellStyle name="Comma0 75 2" xfId="3636"/>
    <cellStyle name="Comma0 76" xfId="3637"/>
    <cellStyle name="Comma0 76 2" xfId="3638"/>
    <cellStyle name="Comma0 77" xfId="3639"/>
    <cellStyle name="Comma0 77 2" xfId="3640"/>
    <cellStyle name="Comma0 78" xfId="3641"/>
    <cellStyle name="Comma0 78 2" xfId="3642"/>
    <cellStyle name="Comma0 79" xfId="3643"/>
    <cellStyle name="Comma0 79 2" xfId="3644"/>
    <cellStyle name="Comma0 8" xfId="3645"/>
    <cellStyle name="Comma0 8 2" xfId="3646"/>
    <cellStyle name="Comma0 8 2 2" xfId="3647"/>
    <cellStyle name="Comma0 8 3" xfId="3648"/>
    <cellStyle name="Comma0 80" xfId="3649"/>
    <cellStyle name="Comma0 80 2" xfId="3650"/>
    <cellStyle name="Comma0 81" xfId="3651"/>
    <cellStyle name="Comma0 81 2" xfId="3652"/>
    <cellStyle name="Comma0 82" xfId="3653"/>
    <cellStyle name="Comma0 82 2" xfId="3654"/>
    <cellStyle name="Comma0 83" xfId="3655"/>
    <cellStyle name="Comma0 83 2" xfId="3656"/>
    <cellStyle name="Comma0 84" xfId="3657"/>
    <cellStyle name="Comma0 84 2" xfId="3658"/>
    <cellStyle name="Comma0 85" xfId="3659"/>
    <cellStyle name="Comma0 85 2" xfId="3660"/>
    <cellStyle name="Comma0 86" xfId="3661"/>
    <cellStyle name="Comma0 86 2" xfId="3662"/>
    <cellStyle name="Comma0 87" xfId="3663"/>
    <cellStyle name="Comma0 87 2" xfId="3664"/>
    <cellStyle name="Comma0 88" xfId="3665"/>
    <cellStyle name="Comma0 88 2" xfId="3666"/>
    <cellStyle name="Comma0 89" xfId="3667"/>
    <cellStyle name="Comma0 89 2" xfId="3668"/>
    <cellStyle name="Comma0 9" xfId="3669"/>
    <cellStyle name="Comma0 9 2" xfId="3670"/>
    <cellStyle name="Comma0 9 2 2" xfId="3671"/>
    <cellStyle name="Comma0 9 3" xfId="3672"/>
    <cellStyle name="Comma0 90" xfId="3673"/>
    <cellStyle name="Comma0 90 2" xfId="3674"/>
    <cellStyle name="Comma0 91" xfId="3675"/>
    <cellStyle name="Comma0 91 2" xfId="3676"/>
    <cellStyle name="Comma0 92" xfId="3677"/>
    <cellStyle name="Comma0 92 2" xfId="3678"/>
    <cellStyle name="Comma0 93" xfId="3679"/>
    <cellStyle name="Comma0 93 2" xfId="3680"/>
    <cellStyle name="Comma0 94" xfId="3681"/>
    <cellStyle name="Comma0 94 2" xfId="3682"/>
    <cellStyle name="Comma0 95" xfId="3683"/>
    <cellStyle name="Comma0 95 2" xfId="3684"/>
    <cellStyle name="Comma0 96" xfId="3685"/>
    <cellStyle name="Comma0 96 2" xfId="3686"/>
    <cellStyle name="Comma0 97" xfId="3687"/>
    <cellStyle name="Comma0 97 2" xfId="3688"/>
    <cellStyle name="Comma0 98" xfId="3689"/>
    <cellStyle name="Comma0 98 2" xfId="3690"/>
    <cellStyle name="Comma0 99" xfId="3691"/>
    <cellStyle name="Comma0 99 2" xfId="3692"/>
    <cellStyle name="Comma0_08-1322-LCOE Navy Firescout UAE Support ROM SANITIZED Abbreviated (3)" xfId="3693"/>
    <cellStyle name="Comma1 - Style2" xfId="3694"/>
    <cellStyle name="Comma1 - Style2 2" xfId="3695"/>
    <cellStyle name="Comma1 - Style2 2 2" xfId="3696"/>
    <cellStyle name="Comma1 - Style2 2 3" xfId="3697"/>
    <cellStyle name="Comma1 - Style2 3" xfId="3698"/>
    <cellStyle name="Comma1 - Style2 4" xfId="3699"/>
    <cellStyle name="Curren - Style1" xfId="3700"/>
    <cellStyle name="Curren - Style1 2" xfId="3701"/>
    <cellStyle name="Curren - Style1 2 2" xfId="3702"/>
    <cellStyle name="Curren - Style1 2 3" xfId="3703"/>
    <cellStyle name="Curren - Style1 3" xfId="3704"/>
    <cellStyle name="Curren - Style1 4" xfId="3705"/>
    <cellStyle name="Curren - Style3" xfId="3706"/>
    <cellStyle name="Curren - Style3 2" xfId="3707"/>
    <cellStyle name="Curren - Style3 2 2" xfId="3708"/>
    <cellStyle name="Curren - Style3 2 3" xfId="3709"/>
    <cellStyle name="Curren - Style3 3" xfId="3710"/>
    <cellStyle name="Curren - Style3 4" xfId="3711"/>
    <cellStyle name="Curren - Style5" xfId="3712"/>
    <cellStyle name="Curren - Style5 2" xfId="3713"/>
    <cellStyle name="Curren - Style5 2 2" xfId="3714"/>
    <cellStyle name="Curren - Style5 2 3" xfId="3715"/>
    <cellStyle name="Curren - Style5 3" xfId="3716"/>
    <cellStyle name="Curren - Style5 4" xfId="3717"/>
    <cellStyle name="Currency" xfId="2" builtinId="4"/>
    <cellStyle name="Currency [0] 2" xfId="3718"/>
    <cellStyle name="Currency [00]" xfId="3719"/>
    <cellStyle name="Currency [3]" xfId="3720"/>
    <cellStyle name="Currency 10" xfId="3721"/>
    <cellStyle name="Currency 10 10" xfId="3722"/>
    <cellStyle name="Currency 10 2" xfId="3723"/>
    <cellStyle name="Currency 10 2 2" xfId="3724"/>
    <cellStyle name="Currency 10 2 2 2" xfId="3725"/>
    <cellStyle name="Currency 10 2 2 2 2" xfId="3726"/>
    <cellStyle name="Currency 10 2 2 2 2 2" xfId="3727"/>
    <cellStyle name="Currency 10 2 2 2 3" xfId="3728"/>
    <cellStyle name="Currency 10 2 2 3" xfId="3729"/>
    <cellStyle name="Currency 10 2 2 3 2" xfId="3730"/>
    <cellStyle name="Currency 10 2 2 3 2 2" xfId="3731"/>
    <cellStyle name="Currency 10 2 2 3 3" xfId="3732"/>
    <cellStyle name="Currency 10 2 2 4" xfId="3733"/>
    <cellStyle name="Currency 10 2 2 4 2" xfId="3734"/>
    <cellStyle name="Currency 10 2 2 5" xfId="3735"/>
    <cellStyle name="Currency 10 2 2 6" xfId="3736"/>
    <cellStyle name="Currency 10 2 3" xfId="3737"/>
    <cellStyle name="Currency 10 2 3 2" xfId="3738"/>
    <cellStyle name="Currency 10 2 3 2 2" xfId="3739"/>
    <cellStyle name="Currency 10 2 3 3" xfId="3740"/>
    <cellStyle name="Currency 10 2 3 4" xfId="3741"/>
    <cellStyle name="Currency 10 2 4" xfId="3742"/>
    <cellStyle name="Currency 10 2 4 2" xfId="3743"/>
    <cellStyle name="Currency 10 2 4 2 2" xfId="3744"/>
    <cellStyle name="Currency 10 2 4 3" xfId="3745"/>
    <cellStyle name="Currency 10 2 5" xfId="3746"/>
    <cellStyle name="Currency 10 2 5 2" xfId="3747"/>
    <cellStyle name="Currency 10 2 6" xfId="3748"/>
    <cellStyle name="Currency 10 2 7" xfId="3749"/>
    <cellStyle name="Currency 10 3" xfId="3750"/>
    <cellStyle name="Currency 10 3 2" xfId="3751"/>
    <cellStyle name="Currency 10 3 2 2" xfId="3752"/>
    <cellStyle name="Currency 10 3 2 3" xfId="3753"/>
    <cellStyle name="Currency 10 3 3" xfId="3754"/>
    <cellStyle name="Currency 10 3 4" xfId="3755"/>
    <cellStyle name="Currency 10 4" xfId="3756"/>
    <cellStyle name="Currency 10 4 2" xfId="3757"/>
    <cellStyle name="Currency 10 4 2 2" xfId="3758"/>
    <cellStyle name="Currency 10 4 3" xfId="3759"/>
    <cellStyle name="Currency 10 4 4" xfId="3760"/>
    <cellStyle name="Currency 10 5" xfId="3761"/>
    <cellStyle name="Currency 10 5 2" xfId="3762"/>
    <cellStyle name="Currency 10 5 3" xfId="3763"/>
    <cellStyle name="Currency 10 6" xfId="3764"/>
    <cellStyle name="Currency 10 6 2" xfId="3765"/>
    <cellStyle name="Currency 10 7" xfId="3766"/>
    <cellStyle name="Currency 10 8" xfId="3767"/>
    <cellStyle name="Currency 10 8 2" xfId="3768"/>
    <cellStyle name="Currency 10 8 3" xfId="3769"/>
    <cellStyle name="Currency 10 9" xfId="3770"/>
    <cellStyle name="Currency 100" xfId="3771"/>
    <cellStyle name="Currency 108" xfId="3772"/>
    <cellStyle name="Currency 11" xfId="3773"/>
    <cellStyle name="Currency 11 10" xfId="3774"/>
    <cellStyle name="Currency 11 2" xfId="3775"/>
    <cellStyle name="Currency 11 2 2" xfId="3776"/>
    <cellStyle name="Currency 11 2 2 2" xfId="3777"/>
    <cellStyle name="Currency 11 2 2 2 2" xfId="3778"/>
    <cellStyle name="Currency 11 2 2 3" xfId="3779"/>
    <cellStyle name="Currency 11 2 2 4" xfId="3780"/>
    <cellStyle name="Currency 11 2 3" xfId="3781"/>
    <cellStyle name="Currency 11 2 3 2" xfId="3782"/>
    <cellStyle name="Currency 11 2 3 2 2" xfId="3783"/>
    <cellStyle name="Currency 11 2 3 3" xfId="3784"/>
    <cellStyle name="Currency 11 2 3 4" xfId="3785"/>
    <cellStyle name="Currency 11 2 4" xfId="3786"/>
    <cellStyle name="Currency 11 2 4 2" xfId="3787"/>
    <cellStyle name="Currency 11 2 5" xfId="3788"/>
    <cellStyle name="Currency 11 2 6" xfId="3789"/>
    <cellStyle name="Currency 11 3" xfId="3790"/>
    <cellStyle name="Currency 11 3 2" xfId="3791"/>
    <cellStyle name="Currency 11 3 2 2" xfId="3792"/>
    <cellStyle name="Currency 11 3 2 3" xfId="3793"/>
    <cellStyle name="Currency 11 3 3" xfId="3794"/>
    <cellStyle name="Currency 11 3 4" xfId="3795"/>
    <cellStyle name="Currency 11 4" xfId="3796"/>
    <cellStyle name="Currency 11 4 2" xfId="3797"/>
    <cellStyle name="Currency 11 4 2 2" xfId="3798"/>
    <cellStyle name="Currency 11 4 3" xfId="3799"/>
    <cellStyle name="Currency 11 4 4" xfId="3800"/>
    <cellStyle name="Currency 11 5" xfId="3801"/>
    <cellStyle name="Currency 11 5 2" xfId="3802"/>
    <cellStyle name="Currency 11 5 3" xfId="3803"/>
    <cellStyle name="Currency 11 6" xfId="3804"/>
    <cellStyle name="Currency 11 6 2" xfId="3805"/>
    <cellStyle name="Currency 11 7" xfId="3806"/>
    <cellStyle name="Currency 11 8" xfId="3807"/>
    <cellStyle name="Currency 11 8 2" xfId="3808"/>
    <cellStyle name="Currency 11 8 3" xfId="3809"/>
    <cellStyle name="Currency 11 9" xfId="3810"/>
    <cellStyle name="Currency 12" xfId="3811"/>
    <cellStyle name="Currency 12 10" xfId="3812"/>
    <cellStyle name="Currency 12 2" xfId="3813"/>
    <cellStyle name="Currency 12 2 2" xfId="3814"/>
    <cellStyle name="Currency 12 2 3" xfId="3815"/>
    <cellStyle name="Currency 12 2 4" xfId="3816"/>
    <cellStyle name="Currency 12 3" xfId="3817"/>
    <cellStyle name="Currency 12 3 2" xfId="3818"/>
    <cellStyle name="Currency 12 4" xfId="3819"/>
    <cellStyle name="Currency 12 5" xfId="3820"/>
    <cellStyle name="Currency 12 6" xfId="3821"/>
    <cellStyle name="Currency 12 7" xfId="3822"/>
    <cellStyle name="Currency 12 8" xfId="3823"/>
    <cellStyle name="Currency 12 8 2" xfId="3824"/>
    <cellStyle name="Currency 12 8 3" xfId="3825"/>
    <cellStyle name="Currency 12 9" xfId="3826"/>
    <cellStyle name="Currency 13" xfId="3827"/>
    <cellStyle name="Currency 13 2" xfId="3828"/>
    <cellStyle name="Currency 13 2 2" xfId="3829"/>
    <cellStyle name="Currency 13 2 3" xfId="3830"/>
    <cellStyle name="Currency 13 3" xfId="3831"/>
    <cellStyle name="Currency 13 3 2" xfId="3832"/>
    <cellStyle name="Currency 13 4" xfId="3833"/>
    <cellStyle name="Currency 13 5" xfId="3834"/>
    <cellStyle name="Currency 13 6" xfId="3835"/>
    <cellStyle name="Currency 13 7" xfId="3836"/>
    <cellStyle name="Currency 13 8" xfId="3837"/>
    <cellStyle name="Currency 13 8 2" xfId="3838"/>
    <cellStyle name="Currency 13 8 3" xfId="3839"/>
    <cellStyle name="Currency 13 9" xfId="3840"/>
    <cellStyle name="Currency 14" xfId="3841"/>
    <cellStyle name="Currency 14 10" xfId="3842"/>
    <cellStyle name="Currency 14 2" xfId="3843"/>
    <cellStyle name="Currency 14 2 2" xfId="3844"/>
    <cellStyle name="Currency 14 2 3" xfId="3845"/>
    <cellStyle name="Currency 14 3" xfId="3846"/>
    <cellStyle name="Currency 14 3 2" xfId="3847"/>
    <cellStyle name="Currency 14 4" xfId="3848"/>
    <cellStyle name="Currency 14 5" xfId="3849"/>
    <cellStyle name="Currency 14 6" xfId="3850"/>
    <cellStyle name="Currency 14 7" xfId="3851"/>
    <cellStyle name="Currency 14 8" xfId="3852"/>
    <cellStyle name="Currency 14 8 2" xfId="3853"/>
    <cellStyle name="Currency 14 8 3" xfId="3854"/>
    <cellStyle name="Currency 14 9" xfId="3855"/>
    <cellStyle name="Currency 15" xfId="3856"/>
    <cellStyle name="Currency 15 2" xfId="3857"/>
    <cellStyle name="Currency 15 2 2" xfId="3858"/>
    <cellStyle name="Currency 15 2 3" xfId="3859"/>
    <cellStyle name="Currency 15 3" xfId="3860"/>
    <cellStyle name="Currency 15 3 2" xfId="3861"/>
    <cellStyle name="Currency 15 4" xfId="3862"/>
    <cellStyle name="Currency 15 5" xfId="3863"/>
    <cellStyle name="Currency 15 6" xfId="3864"/>
    <cellStyle name="Currency 15 7" xfId="3865"/>
    <cellStyle name="Currency 15 8" xfId="3866"/>
    <cellStyle name="Currency 15 8 2" xfId="3867"/>
    <cellStyle name="Currency 15 8 3" xfId="3868"/>
    <cellStyle name="Currency 15 9" xfId="3869"/>
    <cellStyle name="Currency 16" xfId="3870"/>
    <cellStyle name="Currency 16 2" xfId="3871"/>
    <cellStyle name="Currency 17" xfId="3872"/>
    <cellStyle name="Currency 17 2" xfId="3873"/>
    <cellStyle name="Currency 18" xfId="3874"/>
    <cellStyle name="Currency 18 2" xfId="3875"/>
    <cellStyle name="Currency 19" xfId="3876"/>
    <cellStyle name="Currency 19 2" xfId="3877"/>
    <cellStyle name="Currency 2" xfId="3878"/>
    <cellStyle name="Currency 2 10" xfId="3879"/>
    <cellStyle name="Currency 2 10 2" xfId="3880"/>
    <cellStyle name="Currency 2 11" xfId="3881"/>
    <cellStyle name="Currency 2 11 2" xfId="3882"/>
    <cellStyle name="Currency 2 12" xfId="3883"/>
    <cellStyle name="Currency 2 12 2" xfId="3884"/>
    <cellStyle name="Currency 2 13" xfId="3885"/>
    <cellStyle name="Currency 2 13 2" xfId="3886"/>
    <cellStyle name="Currency 2 14" xfId="3887"/>
    <cellStyle name="Currency 2 14 2" xfId="3888"/>
    <cellStyle name="Currency 2 15" xfId="3889"/>
    <cellStyle name="Currency 2 15 2" xfId="3890"/>
    <cellStyle name="Currency 2 16" xfId="3891"/>
    <cellStyle name="Currency 2 16 2" xfId="3892"/>
    <cellStyle name="Currency 2 17" xfId="3893"/>
    <cellStyle name="Currency 2 17 2" xfId="3894"/>
    <cellStyle name="Currency 2 18" xfId="3895"/>
    <cellStyle name="Currency 2 19" xfId="3896"/>
    <cellStyle name="Currency 2 2" xfId="3897"/>
    <cellStyle name="Currency 2 2 2" xfId="3898"/>
    <cellStyle name="Currency 2 2 2 2" xfId="3899"/>
    <cellStyle name="Currency 2 2 3" xfId="3900"/>
    <cellStyle name="Currency 2 2 3 2" xfId="3901"/>
    <cellStyle name="Currency 2 2 3 3" xfId="3902"/>
    <cellStyle name="Currency 2 20" xfId="3903"/>
    <cellStyle name="Currency 2 3" xfId="3904"/>
    <cellStyle name="Currency 2 3 2" xfId="3905"/>
    <cellStyle name="Currency 2 3 2 2" xfId="3906"/>
    <cellStyle name="Currency 2 3 3" xfId="3907"/>
    <cellStyle name="Currency 2 4" xfId="3908"/>
    <cellStyle name="Currency 2 4 2" xfId="3909"/>
    <cellStyle name="Currency 2 5" xfId="3910"/>
    <cellStyle name="Currency 2 5 2" xfId="3911"/>
    <cellStyle name="Currency 2 6" xfId="3912"/>
    <cellStyle name="Currency 2 6 2" xfId="3913"/>
    <cellStyle name="Currency 2 7" xfId="3914"/>
    <cellStyle name="Currency 2 7 2" xfId="3915"/>
    <cellStyle name="Currency 2 8" xfId="3916"/>
    <cellStyle name="Currency 2 8 2" xfId="3917"/>
    <cellStyle name="Currency 2 9" xfId="3918"/>
    <cellStyle name="Currency 2 9 2" xfId="3919"/>
    <cellStyle name="Currency 20" xfId="3920"/>
    <cellStyle name="Currency 20 2" xfId="3921"/>
    <cellStyle name="Currency 20 3" xfId="3922"/>
    <cellStyle name="Currency 21" xfId="3923"/>
    <cellStyle name="Currency 21 2" xfId="3924"/>
    <cellStyle name="Currency 22" xfId="3925"/>
    <cellStyle name="Currency 22 2" xfId="3926"/>
    <cellStyle name="Currency 23" xfId="3927"/>
    <cellStyle name="Currency 23 2" xfId="3928"/>
    <cellStyle name="Currency 24" xfId="3929"/>
    <cellStyle name="Currency 25" xfId="3930"/>
    <cellStyle name="Currency 25 2" xfId="3931"/>
    <cellStyle name="Currency 25 2 2" xfId="3932"/>
    <cellStyle name="Currency 25 2 2 2" xfId="3933"/>
    <cellStyle name="Currency 25 2 3" xfId="3934"/>
    <cellStyle name="Currency 25 2 4" xfId="3935"/>
    <cellStyle name="Currency 25 3" xfId="3936"/>
    <cellStyle name="Currency 25 3 2" xfId="3937"/>
    <cellStyle name="Currency 25 3 2 2" xfId="3938"/>
    <cellStyle name="Currency 25 3 3" xfId="3939"/>
    <cellStyle name="Currency 25 3 4" xfId="3940"/>
    <cellStyle name="Currency 25 4" xfId="3941"/>
    <cellStyle name="Currency 25 4 2" xfId="3942"/>
    <cellStyle name="Currency 25 5" xfId="3943"/>
    <cellStyle name="Currency 25 6" xfId="3944"/>
    <cellStyle name="Currency 26" xfId="3945"/>
    <cellStyle name="Currency 26 2" xfId="3946"/>
    <cellStyle name="Currency 26 2 2" xfId="3947"/>
    <cellStyle name="Currency 26 2 2 2" xfId="3948"/>
    <cellStyle name="Currency 26 2 3" xfId="3949"/>
    <cellStyle name="Currency 26 2 4" xfId="3950"/>
    <cellStyle name="Currency 26 3" xfId="3951"/>
    <cellStyle name="Currency 26 3 2" xfId="3952"/>
    <cellStyle name="Currency 26 3 2 2" xfId="3953"/>
    <cellStyle name="Currency 26 3 3" xfId="3954"/>
    <cellStyle name="Currency 26 3 4" xfId="3955"/>
    <cellStyle name="Currency 26 4" xfId="3956"/>
    <cellStyle name="Currency 26 4 2" xfId="3957"/>
    <cellStyle name="Currency 26 5" xfId="3958"/>
    <cellStyle name="Currency 26 6" xfId="3959"/>
    <cellStyle name="Currency 27" xfId="3960"/>
    <cellStyle name="Currency 27 2" xfId="3961"/>
    <cellStyle name="Currency 27 2 2" xfId="3962"/>
    <cellStyle name="Currency 27 2 2 2" xfId="3963"/>
    <cellStyle name="Currency 27 2 3" xfId="3964"/>
    <cellStyle name="Currency 27 2 4" xfId="3965"/>
    <cellStyle name="Currency 27 3" xfId="3966"/>
    <cellStyle name="Currency 27 3 2" xfId="3967"/>
    <cellStyle name="Currency 27 3 2 2" xfId="3968"/>
    <cellStyle name="Currency 27 3 3" xfId="3969"/>
    <cellStyle name="Currency 27 3 4" xfId="3970"/>
    <cellStyle name="Currency 27 4" xfId="3971"/>
    <cellStyle name="Currency 27 4 2" xfId="3972"/>
    <cellStyle name="Currency 27 5" xfId="3973"/>
    <cellStyle name="Currency 27 6" xfId="3974"/>
    <cellStyle name="Currency 28" xfId="3975"/>
    <cellStyle name="Currency 29" xfId="3976"/>
    <cellStyle name="Currency 3" xfId="3977"/>
    <cellStyle name="Currency 3 2" xfId="3978"/>
    <cellStyle name="Currency 3 2 2" xfId="3979"/>
    <cellStyle name="Currency 3 2 3" xfId="3980"/>
    <cellStyle name="Currency 3 2 4" xfId="3981"/>
    <cellStyle name="Currency 3 2 5" xfId="3982"/>
    <cellStyle name="Currency 3 3" xfId="3983"/>
    <cellStyle name="Currency 3 3 2" xfId="3984"/>
    <cellStyle name="Currency 3 3 3" xfId="3985"/>
    <cellStyle name="Currency 3 4" xfId="3986"/>
    <cellStyle name="Currency 3 5" xfId="3987"/>
    <cellStyle name="Currency 3 6" xfId="3988"/>
    <cellStyle name="Currency 3 7" xfId="3989"/>
    <cellStyle name="Currency 3 8" xfId="3990"/>
    <cellStyle name="Currency 3 9" xfId="3991"/>
    <cellStyle name="Currency 30" xfId="3992"/>
    <cellStyle name="Currency 30 2" xfId="3993"/>
    <cellStyle name="Currency 30 2 2" xfId="3994"/>
    <cellStyle name="Currency 30 2 2 2" xfId="3995"/>
    <cellStyle name="Currency 30 2 2 2 2" xfId="3996"/>
    <cellStyle name="Currency 30 2 2 3" xfId="3997"/>
    <cellStyle name="Currency 30 2 2 4" xfId="3998"/>
    <cellStyle name="Currency 30 2 3" xfId="3999"/>
    <cellStyle name="Currency 30 2 3 2" xfId="4000"/>
    <cellStyle name="Currency 30 2 3 2 2" xfId="4001"/>
    <cellStyle name="Currency 30 2 3 3" xfId="4002"/>
    <cellStyle name="Currency 30 2 3 4" xfId="4003"/>
    <cellStyle name="Currency 30 2 4" xfId="4004"/>
    <cellStyle name="Currency 30 2 4 2" xfId="4005"/>
    <cellStyle name="Currency 30 2 5" xfId="4006"/>
    <cellStyle name="Currency 30 2 6" xfId="4007"/>
    <cellStyle name="Currency 30 3" xfId="4008"/>
    <cellStyle name="Currency 30 3 2" xfId="4009"/>
    <cellStyle name="Currency 30 3 2 2" xfId="4010"/>
    <cellStyle name="Currency 30 3 2 2 2" xfId="4011"/>
    <cellStyle name="Currency 30 3 2 2 2 2" xfId="4012"/>
    <cellStyle name="Currency 30 3 2 2 3" xfId="4013"/>
    <cellStyle name="Currency 30 3 2 2 4" xfId="4014"/>
    <cellStyle name="Currency 30 3 2 3" xfId="4015"/>
    <cellStyle name="Currency 30 3 2 3 2" xfId="4016"/>
    <cellStyle name="Currency 30 3 2 3 2 2" xfId="4017"/>
    <cellStyle name="Currency 30 3 2 3 3" xfId="4018"/>
    <cellStyle name="Currency 30 3 2 3 4" xfId="4019"/>
    <cellStyle name="Currency 30 3 2 4" xfId="4020"/>
    <cellStyle name="Currency 30 3 2 4 2" xfId="4021"/>
    <cellStyle name="Currency 30 3 2 5" xfId="4022"/>
    <cellStyle name="Currency 30 3 2 6" xfId="4023"/>
    <cellStyle name="Currency 30 3 3" xfId="4024"/>
    <cellStyle name="Currency 30 3 3 2" xfId="4025"/>
    <cellStyle name="Currency 30 3 3 2 2" xfId="4026"/>
    <cellStyle name="Currency 30 3 3 2 2 2" xfId="4027"/>
    <cellStyle name="Currency 30 3 3 2 3" xfId="4028"/>
    <cellStyle name="Currency 30 3 3 2 4" xfId="4029"/>
    <cellStyle name="Currency 30 3 3 3" xfId="4030"/>
    <cellStyle name="Currency 30 3 3 3 2" xfId="4031"/>
    <cellStyle name="Currency 30 3 3 3 2 2" xfId="4032"/>
    <cellStyle name="Currency 30 3 3 3 3" xfId="4033"/>
    <cellStyle name="Currency 30 3 3 3 4" xfId="4034"/>
    <cellStyle name="Currency 30 3 3 4" xfId="4035"/>
    <cellStyle name="Currency 30 3 3 4 2" xfId="4036"/>
    <cellStyle name="Currency 30 3 3 5" xfId="4037"/>
    <cellStyle name="Currency 30 3 3 6" xfId="4038"/>
    <cellStyle name="Currency 30 3 4" xfId="4039"/>
    <cellStyle name="Currency 30 3 4 2" xfId="4040"/>
    <cellStyle name="Currency 30 3 4 2 2" xfId="4041"/>
    <cellStyle name="Currency 30 3 4 3" xfId="4042"/>
    <cellStyle name="Currency 30 3 4 4" xfId="4043"/>
    <cellStyle name="Currency 30 3 5" xfId="4044"/>
    <cellStyle name="Currency 30 3 5 2" xfId="4045"/>
    <cellStyle name="Currency 30 3 5 2 2" xfId="4046"/>
    <cellStyle name="Currency 30 3 5 3" xfId="4047"/>
    <cellStyle name="Currency 30 3 5 4" xfId="4048"/>
    <cellStyle name="Currency 30 3 6" xfId="4049"/>
    <cellStyle name="Currency 30 3 6 2" xfId="4050"/>
    <cellStyle name="Currency 30 3 7" xfId="4051"/>
    <cellStyle name="Currency 30 3 8" xfId="4052"/>
    <cellStyle name="Currency 30 4" xfId="4053"/>
    <cellStyle name="Currency 30 4 2" xfId="4054"/>
    <cellStyle name="Currency 30 4 2 2" xfId="4055"/>
    <cellStyle name="Currency 30 4 3" xfId="4056"/>
    <cellStyle name="Currency 30 4 4" xfId="4057"/>
    <cellStyle name="Currency 30 5" xfId="4058"/>
    <cellStyle name="Currency 30 5 2" xfId="4059"/>
    <cellStyle name="Currency 30 5 2 2" xfId="4060"/>
    <cellStyle name="Currency 30 5 3" xfId="4061"/>
    <cellStyle name="Currency 30 5 4" xfId="4062"/>
    <cellStyle name="Currency 30 6" xfId="4063"/>
    <cellStyle name="Currency 30 6 2" xfId="4064"/>
    <cellStyle name="Currency 30 7" xfId="4065"/>
    <cellStyle name="Currency 30 8" xfId="4066"/>
    <cellStyle name="Currency 31" xfId="4067"/>
    <cellStyle name="Currency 31 2" xfId="4068"/>
    <cellStyle name="Currency 32" xfId="4069"/>
    <cellStyle name="Currency 33" xfId="4070"/>
    <cellStyle name="Currency 33 2" xfId="4071"/>
    <cellStyle name="Currency 34" xfId="4072"/>
    <cellStyle name="Currency 34 2" xfId="4073"/>
    <cellStyle name="Currency 34 2 2" xfId="4074"/>
    <cellStyle name="Currency 34 2 2 2" xfId="4075"/>
    <cellStyle name="Currency 34 2 2 2 2" xfId="4076"/>
    <cellStyle name="Currency 34 2 2 3" xfId="4077"/>
    <cellStyle name="Currency 34 2 2 4" xfId="4078"/>
    <cellStyle name="Currency 34 2 3" xfId="4079"/>
    <cellStyle name="Currency 34 2 3 2" xfId="4080"/>
    <cellStyle name="Currency 34 2 3 2 2" xfId="4081"/>
    <cellStyle name="Currency 34 2 3 3" xfId="4082"/>
    <cellStyle name="Currency 34 2 3 4" xfId="4083"/>
    <cellStyle name="Currency 34 2 4" xfId="4084"/>
    <cellStyle name="Currency 34 2 4 2" xfId="4085"/>
    <cellStyle name="Currency 34 2 5" xfId="4086"/>
    <cellStyle name="Currency 34 2 6" xfId="4087"/>
    <cellStyle name="Currency 34 3" xfId="4088"/>
    <cellStyle name="Currency 34 3 2" xfId="4089"/>
    <cellStyle name="Currency 34 3 2 2" xfId="4090"/>
    <cellStyle name="Currency 34 3 3" xfId="4091"/>
    <cellStyle name="Currency 34 3 4" xfId="4092"/>
    <cellStyle name="Currency 34 4" xfId="4093"/>
    <cellStyle name="Currency 34 4 2" xfId="4094"/>
    <cellStyle name="Currency 34 4 2 2" xfId="4095"/>
    <cellStyle name="Currency 34 4 3" xfId="4096"/>
    <cellStyle name="Currency 34 4 4" xfId="4097"/>
    <cellStyle name="Currency 34 5" xfId="4098"/>
    <cellStyle name="Currency 34 5 2" xfId="4099"/>
    <cellStyle name="Currency 34 6" xfId="4100"/>
    <cellStyle name="Currency 34 7" xfId="4101"/>
    <cellStyle name="Currency 35" xfId="4102"/>
    <cellStyle name="Currency 35 2" xfId="4103"/>
    <cellStyle name="Currency 35 2 2" xfId="4104"/>
    <cellStyle name="Currency 35 2 2 2" xfId="4105"/>
    <cellStyle name="Currency 35 2 3" xfId="4106"/>
    <cellStyle name="Currency 35 2 4" xfId="4107"/>
    <cellStyle name="Currency 35 3" xfId="4108"/>
    <cellStyle name="Currency 35 3 2" xfId="4109"/>
    <cellStyle name="Currency 35 3 2 2" xfId="4110"/>
    <cellStyle name="Currency 35 3 3" xfId="4111"/>
    <cellStyle name="Currency 35 3 4" xfId="4112"/>
    <cellStyle name="Currency 35 4" xfId="4113"/>
    <cellStyle name="Currency 35 4 2" xfId="4114"/>
    <cellStyle name="Currency 35 5" xfId="4115"/>
    <cellStyle name="Currency 35 6" xfId="4116"/>
    <cellStyle name="Currency 36" xfId="4117"/>
    <cellStyle name="Currency 37" xfId="4118"/>
    <cellStyle name="Currency 38" xfId="4119"/>
    <cellStyle name="Currency 39" xfId="4120"/>
    <cellStyle name="Currency 4" xfId="4121"/>
    <cellStyle name="Currency 4 10" xfId="4122"/>
    <cellStyle name="Currency 4 2" xfId="4123"/>
    <cellStyle name="Currency 4 2 2" xfId="4124"/>
    <cellStyle name="Currency 4 2 2 2" xfId="4125"/>
    <cellStyle name="Currency 4 2 3" xfId="4126"/>
    <cellStyle name="Currency 4 3" xfId="4127"/>
    <cellStyle name="Currency 4 3 2" xfId="4128"/>
    <cellStyle name="Currency 4 3 2 2" xfId="4129"/>
    <cellStyle name="Currency 4 3 2 2 2" xfId="4130"/>
    <cellStyle name="Currency 4 3 2 2 3" xfId="4131"/>
    <cellStyle name="Currency 4 3 2 3" xfId="4132"/>
    <cellStyle name="Currency 4 3 2 4" xfId="4133"/>
    <cellStyle name="Currency 4 3 3" xfId="4134"/>
    <cellStyle name="Currency 4 3 3 2" xfId="4135"/>
    <cellStyle name="Currency 4 3 3 2 2" xfId="4136"/>
    <cellStyle name="Currency 4 3 3 3" xfId="4137"/>
    <cellStyle name="Currency 4 3 4" xfId="4138"/>
    <cellStyle name="Currency 4 3 5" xfId="4139"/>
    <cellStyle name="Currency 4 3 6" xfId="4140"/>
    <cellStyle name="Currency 4 4" xfId="4141"/>
    <cellStyle name="Currency 4 5" xfId="4142"/>
    <cellStyle name="Currency 4 6" xfId="4143"/>
    <cellStyle name="Currency 4 7" xfId="4144"/>
    <cellStyle name="Currency 4 8" xfId="4145"/>
    <cellStyle name="Currency 4 8 2" xfId="4146"/>
    <cellStyle name="Currency 4 8 3" xfId="4147"/>
    <cellStyle name="Currency 4 9" xfId="4148"/>
    <cellStyle name="Currency 40" xfId="4149"/>
    <cellStyle name="Currency 41" xfId="4150"/>
    <cellStyle name="Currency 42" xfId="4151"/>
    <cellStyle name="Currency 42 2" xfId="4152"/>
    <cellStyle name="Currency 42 2 2" xfId="4153"/>
    <cellStyle name="Currency 42 3" xfId="4154"/>
    <cellStyle name="Currency 42 4" xfId="4155"/>
    <cellStyle name="Currency 42 5" xfId="4156"/>
    <cellStyle name="Currency 43" xfId="4157"/>
    <cellStyle name="Currency 43 2" xfId="4158"/>
    <cellStyle name="Currency 43 2 2" xfId="4159"/>
    <cellStyle name="Currency 43 2 3" xfId="4160"/>
    <cellStyle name="Currency 43 3" xfId="4161"/>
    <cellStyle name="Currency 43 4" xfId="4162"/>
    <cellStyle name="Currency 43 5" xfId="4163"/>
    <cellStyle name="Currency 44" xfId="4164"/>
    <cellStyle name="Currency 44 2" xfId="4165"/>
    <cellStyle name="Currency 45" xfId="4166"/>
    <cellStyle name="Currency 45 2" xfId="4167"/>
    <cellStyle name="Currency 46" xfId="4168"/>
    <cellStyle name="Currency 46 2" xfId="4169"/>
    <cellStyle name="Currency 46 3" xfId="4170"/>
    <cellStyle name="Currency 47" xfId="4171"/>
    <cellStyle name="Currency 48" xfId="4172"/>
    <cellStyle name="Currency 48 2" xfId="4173"/>
    <cellStyle name="Currency 48 3" xfId="4174"/>
    <cellStyle name="Currency 48 4" xfId="4175"/>
    <cellStyle name="Currency 49" xfId="4176"/>
    <cellStyle name="Currency 49 2" xfId="4177"/>
    <cellStyle name="Currency 49 3" xfId="4178"/>
    <cellStyle name="Currency 49 4" xfId="4179"/>
    <cellStyle name="Currency 5" xfId="4180"/>
    <cellStyle name="Currency 5 10" xfId="4181"/>
    <cellStyle name="Currency 5 2" xfId="4182"/>
    <cellStyle name="Currency 5 2 2" xfId="4183"/>
    <cellStyle name="Currency 5 2 3" xfId="4184"/>
    <cellStyle name="Currency 5 2 4" xfId="4185"/>
    <cellStyle name="Currency 5 3" xfId="4186"/>
    <cellStyle name="Currency 5 3 2" xfId="4187"/>
    <cellStyle name="Currency 5 3 2 2" xfId="4188"/>
    <cellStyle name="Currency 5 3 2 2 2" xfId="4189"/>
    <cellStyle name="Currency 5 3 2 3" xfId="4190"/>
    <cellStyle name="Currency 5 3 2 4" xfId="4191"/>
    <cellStyle name="Currency 5 3 3" xfId="4192"/>
    <cellStyle name="Currency 5 3 3 2" xfId="4193"/>
    <cellStyle name="Currency 5 3 3 2 2" xfId="4194"/>
    <cellStyle name="Currency 5 3 3 3" xfId="4195"/>
    <cellStyle name="Currency 5 3 3 4" xfId="4196"/>
    <cellStyle name="Currency 5 3 4" xfId="4197"/>
    <cellStyle name="Currency 5 3 4 2" xfId="4198"/>
    <cellStyle name="Currency 5 3 5" xfId="4199"/>
    <cellStyle name="Currency 5 3 6" xfId="4200"/>
    <cellStyle name="Currency 5 4" xfId="4201"/>
    <cellStyle name="Currency 5 4 2" xfId="4202"/>
    <cellStyle name="Currency 5 4 2 2" xfId="4203"/>
    <cellStyle name="Currency 5 4 3" xfId="4204"/>
    <cellStyle name="Currency 5 4 4" xfId="4205"/>
    <cellStyle name="Currency 5 5" xfId="4206"/>
    <cellStyle name="Currency 5 5 2" xfId="4207"/>
    <cellStyle name="Currency 5 5 2 2" xfId="4208"/>
    <cellStyle name="Currency 5 5 3" xfId="4209"/>
    <cellStyle name="Currency 5 5 4" xfId="4210"/>
    <cellStyle name="Currency 5 6" xfId="4211"/>
    <cellStyle name="Currency 5 6 2" xfId="4212"/>
    <cellStyle name="Currency 5 6 3" xfId="4213"/>
    <cellStyle name="Currency 5 7" xfId="4214"/>
    <cellStyle name="Currency 5 7 2" xfId="4215"/>
    <cellStyle name="Currency 5 8" xfId="4216"/>
    <cellStyle name="Currency 5 8 2" xfId="4217"/>
    <cellStyle name="Currency 5 8 3" xfId="4218"/>
    <cellStyle name="Currency 5 9" xfId="4219"/>
    <cellStyle name="Currency 50" xfId="4220"/>
    <cellStyle name="Currency 50 2" xfId="4221"/>
    <cellStyle name="Currency 50 3" xfId="4222"/>
    <cellStyle name="Currency 50 4" xfId="4223"/>
    <cellStyle name="Currency 51" xfId="4224"/>
    <cellStyle name="Currency 51 2" xfId="4225"/>
    <cellStyle name="Currency 51 3" xfId="4226"/>
    <cellStyle name="Currency 51 4" xfId="4227"/>
    <cellStyle name="Currency 52" xfId="4228"/>
    <cellStyle name="Currency 52 2" xfId="4229"/>
    <cellStyle name="Currency 52 3" xfId="4230"/>
    <cellStyle name="Currency 52 4" xfId="4231"/>
    <cellStyle name="Currency 53" xfId="4232"/>
    <cellStyle name="Currency 53 2" xfId="4233"/>
    <cellStyle name="Currency 53 3" xfId="4234"/>
    <cellStyle name="Currency 53 4" xfId="4235"/>
    <cellStyle name="Currency 54" xfId="4236"/>
    <cellStyle name="Currency 54 2" xfId="4237"/>
    <cellStyle name="Currency 54 3" xfId="4238"/>
    <cellStyle name="Currency 54 4" xfId="4239"/>
    <cellStyle name="Currency 55" xfId="4240"/>
    <cellStyle name="Currency 55 2" xfId="4241"/>
    <cellStyle name="Currency 55 3" xfId="4242"/>
    <cellStyle name="Currency 55 4" xfId="4243"/>
    <cellStyle name="Currency 56" xfId="4244"/>
    <cellStyle name="Currency 57" xfId="4245"/>
    <cellStyle name="Currency 57 2" xfId="4246"/>
    <cellStyle name="Currency 58" xfId="4247"/>
    <cellStyle name="Currency 59" xfId="4248"/>
    <cellStyle name="Currency 6" xfId="4249"/>
    <cellStyle name="Currency 6 10" xfId="4250"/>
    <cellStyle name="Currency 6 2" xfId="4251"/>
    <cellStyle name="Currency 6 2 2" xfId="4252"/>
    <cellStyle name="Currency 6 2 2 2" xfId="4253"/>
    <cellStyle name="Currency 6 2 2 2 2" xfId="4254"/>
    <cellStyle name="Currency 6 2 2 2 2 2" xfId="4255"/>
    <cellStyle name="Currency 6 2 2 2 2 2 2" xfId="4256"/>
    <cellStyle name="Currency 6 2 2 2 2 2 2 2" xfId="4257"/>
    <cellStyle name="Currency 6 2 2 2 2 2 2 2 2" xfId="4258"/>
    <cellStyle name="Currency 6 2 2 2 2 2 2 2 2 2" xfId="4259"/>
    <cellStyle name="Currency 6 2 2 2 2 2 2 2 2 2 2" xfId="4260"/>
    <cellStyle name="Currency 6 2 2 2 2 2 2 2 2 2 2 2" xfId="4261"/>
    <cellStyle name="Currency 6 2 2 2 2 2 2 2 2 2 3" xfId="4262"/>
    <cellStyle name="Currency 6 2 2 2 2 2 2 2 2 3" xfId="4263"/>
    <cellStyle name="Currency 6 2 2 2 2 2 2 2 2 3 2" xfId="4264"/>
    <cellStyle name="Currency 6 2 2 2 2 2 2 2 2 3 2 2" xfId="4265"/>
    <cellStyle name="Currency 6 2 2 2 2 2 2 2 2 3 3" xfId="4266"/>
    <cellStyle name="Currency 6 2 2 2 2 2 2 2 2 4" xfId="4267"/>
    <cellStyle name="Currency 6 2 2 2 2 2 2 2 2 4 2" xfId="4268"/>
    <cellStyle name="Currency 6 2 2 2 2 2 2 2 2 5" xfId="4269"/>
    <cellStyle name="Currency 6 2 2 2 2 2 2 2 3" xfId="4270"/>
    <cellStyle name="Currency 6 2 2 2 2 2 2 2 3 2" xfId="4271"/>
    <cellStyle name="Currency 6 2 2 2 2 2 2 2 3 2 2" xfId="4272"/>
    <cellStyle name="Currency 6 2 2 2 2 2 2 2 3 3" xfId="4273"/>
    <cellStyle name="Currency 6 2 2 2 2 2 2 2 4" xfId="4274"/>
    <cellStyle name="Currency 6 2 2 2 2 2 2 2 4 2" xfId="4275"/>
    <cellStyle name="Currency 6 2 2 2 2 2 2 2 4 2 2" xfId="4276"/>
    <cellStyle name="Currency 6 2 2 2 2 2 2 2 4 3" xfId="4277"/>
    <cellStyle name="Currency 6 2 2 2 2 2 2 2 5" xfId="4278"/>
    <cellStyle name="Currency 6 2 2 2 2 2 2 2 5 2" xfId="4279"/>
    <cellStyle name="Currency 6 2 2 2 2 2 2 2 6" xfId="4280"/>
    <cellStyle name="Currency 6 2 2 2 2 2 2 3" xfId="4281"/>
    <cellStyle name="Currency 6 2 2 2 2 2 2 3 2" xfId="4282"/>
    <cellStyle name="Currency 6 2 2 2 2 2 2 3 2 2" xfId="4283"/>
    <cellStyle name="Currency 6 2 2 2 2 2 2 3 3" xfId="4284"/>
    <cellStyle name="Currency 6 2 2 2 2 2 2 4" xfId="4285"/>
    <cellStyle name="Currency 6 2 2 2 2 2 2 4 2" xfId="4286"/>
    <cellStyle name="Currency 6 2 2 2 2 2 2 4 2 2" xfId="4287"/>
    <cellStyle name="Currency 6 2 2 2 2 2 2 4 3" xfId="4288"/>
    <cellStyle name="Currency 6 2 2 2 2 2 2 5" xfId="4289"/>
    <cellStyle name="Currency 6 2 2 2 2 2 2 5 2" xfId="4290"/>
    <cellStyle name="Currency 6 2 2 2 2 2 2 6" xfId="4291"/>
    <cellStyle name="Currency 6 2 2 2 2 2 3" xfId="4292"/>
    <cellStyle name="Currency 6 2 2 2 2 2 3 2" xfId="4293"/>
    <cellStyle name="Currency 6 2 2 2 2 2 3 2 2" xfId="4294"/>
    <cellStyle name="Currency 6 2 2 2 2 2 3 2 2 2" xfId="4295"/>
    <cellStyle name="Currency 6 2 2 2 2 2 3 2 2 2 2" xfId="4296"/>
    <cellStyle name="Currency 6 2 2 2 2 2 3 2 2 3" xfId="4297"/>
    <cellStyle name="Currency 6 2 2 2 2 2 3 2 3" xfId="4298"/>
    <cellStyle name="Currency 6 2 2 2 2 2 3 2 3 2" xfId="4299"/>
    <cellStyle name="Currency 6 2 2 2 2 2 3 2 3 2 2" xfId="4300"/>
    <cellStyle name="Currency 6 2 2 2 2 2 3 2 3 3" xfId="4301"/>
    <cellStyle name="Currency 6 2 2 2 2 2 3 2 4" xfId="4302"/>
    <cellStyle name="Currency 6 2 2 2 2 2 3 2 4 2" xfId="4303"/>
    <cellStyle name="Currency 6 2 2 2 2 2 3 2 5" xfId="4304"/>
    <cellStyle name="Currency 6 2 2 2 2 2 3 3" xfId="4305"/>
    <cellStyle name="Currency 6 2 2 2 2 2 3 3 2" xfId="4306"/>
    <cellStyle name="Currency 6 2 2 2 2 2 3 3 2 2" xfId="4307"/>
    <cellStyle name="Currency 6 2 2 2 2 2 3 3 3" xfId="4308"/>
    <cellStyle name="Currency 6 2 2 2 2 2 3 4" xfId="4309"/>
    <cellStyle name="Currency 6 2 2 2 2 2 3 4 2" xfId="4310"/>
    <cellStyle name="Currency 6 2 2 2 2 2 3 4 2 2" xfId="4311"/>
    <cellStyle name="Currency 6 2 2 2 2 2 3 4 3" xfId="4312"/>
    <cellStyle name="Currency 6 2 2 2 2 2 3 5" xfId="4313"/>
    <cellStyle name="Currency 6 2 2 2 2 2 3 5 2" xfId="4314"/>
    <cellStyle name="Currency 6 2 2 2 2 2 3 6" xfId="4315"/>
    <cellStyle name="Currency 6 2 2 2 2 2 4" xfId="4316"/>
    <cellStyle name="Currency 6 2 2 2 2 2 4 2" xfId="4317"/>
    <cellStyle name="Currency 6 2 2 2 2 2 4 2 2" xfId="4318"/>
    <cellStyle name="Currency 6 2 2 2 2 2 4 3" xfId="4319"/>
    <cellStyle name="Currency 6 2 2 2 2 2 5" xfId="4320"/>
    <cellStyle name="Currency 6 2 2 2 2 2 5 2" xfId="4321"/>
    <cellStyle name="Currency 6 2 2 2 2 2 5 2 2" xfId="4322"/>
    <cellStyle name="Currency 6 2 2 2 2 2 5 3" xfId="4323"/>
    <cellStyle name="Currency 6 2 2 2 2 2 6" xfId="4324"/>
    <cellStyle name="Currency 6 2 2 2 2 2 6 2" xfId="4325"/>
    <cellStyle name="Currency 6 2 2 2 2 2 7" xfId="4326"/>
    <cellStyle name="Currency 6 2 2 2 2 3" xfId="4327"/>
    <cellStyle name="Currency 6 2 2 2 2 3 2" xfId="4328"/>
    <cellStyle name="Currency 6 2 2 2 2 3 2 2" xfId="4329"/>
    <cellStyle name="Currency 6 2 2 2 2 3 3" xfId="4330"/>
    <cellStyle name="Currency 6 2 2 2 2 4" xfId="4331"/>
    <cellStyle name="Currency 6 2 2 2 2 4 2" xfId="4332"/>
    <cellStyle name="Currency 6 2 2 2 2 4 2 2" xfId="4333"/>
    <cellStyle name="Currency 6 2 2 2 2 4 3" xfId="4334"/>
    <cellStyle name="Currency 6 2 2 2 2 5" xfId="4335"/>
    <cellStyle name="Currency 6 2 2 2 2 5 2" xfId="4336"/>
    <cellStyle name="Currency 6 2 2 2 2 6" xfId="4337"/>
    <cellStyle name="Currency 6 2 2 2 3" xfId="4338"/>
    <cellStyle name="Currency 6 2 2 2 3 2" xfId="4339"/>
    <cellStyle name="Currency 6 2 2 2 3 2 2" xfId="4340"/>
    <cellStyle name="Currency 6 2 2 2 3 3" xfId="4341"/>
    <cellStyle name="Currency 6 2 2 2 4" xfId="4342"/>
    <cellStyle name="Currency 6 2 2 2 4 2" xfId="4343"/>
    <cellStyle name="Currency 6 2 2 2 4 2 2" xfId="4344"/>
    <cellStyle name="Currency 6 2 2 2 4 3" xfId="4345"/>
    <cellStyle name="Currency 6 2 2 2 5" xfId="4346"/>
    <cellStyle name="Currency 6 2 2 2 5 2" xfId="4347"/>
    <cellStyle name="Currency 6 2 2 2 6" xfId="4348"/>
    <cellStyle name="Currency 6 2 2 3" xfId="4349"/>
    <cellStyle name="Currency 6 2 2 3 2" xfId="4350"/>
    <cellStyle name="Currency 6 2 2 3 2 2" xfId="4351"/>
    <cellStyle name="Currency 6 2 2 3 3" xfId="4352"/>
    <cellStyle name="Currency 6 2 2 4" xfId="4353"/>
    <cellStyle name="Currency 6 2 2 4 2" xfId="4354"/>
    <cellStyle name="Currency 6 2 2 4 2 2" xfId="4355"/>
    <cellStyle name="Currency 6 2 2 4 3" xfId="4356"/>
    <cellStyle name="Currency 6 2 2 5" xfId="4357"/>
    <cellStyle name="Currency 6 2 2 5 2" xfId="4358"/>
    <cellStyle name="Currency 6 2 2 6" xfId="4359"/>
    <cellStyle name="Currency 6 2 2 7" xfId="4360"/>
    <cellStyle name="Currency 6 2 3" xfId="4361"/>
    <cellStyle name="Currency 6 2 3 2" xfId="4362"/>
    <cellStyle name="Currency 6 2 3 2 2" xfId="4363"/>
    <cellStyle name="Currency 6 2 3 3" xfId="4364"/>
    <cellStyle name="Currency 6 2 3 4" xfId="4365"/>
    <cellStyle name="Currency 6 2 4" xfId="4366"/>
    <cellStyle name="Currency 6 2 4 2" xfId="4367"/>
    <cellStyle name="Currency 6 2 4 2 2" xfId="4368"/>
    <cellStyle name="Currency 6 2 4 3" xfId="4369"/>
    <cellStyle name="Currency 6 2 5" xfId="4370"/>
    <cellStyle name="Currency 6 2 5 2" xfId="4371"/>
    <cellStyle name="Currency 6 2 6" xfId="4372"/>
    <cellStyle name="Currency 6 2 7" xfId="4373"/>
    <cellStyle name="Currency 6 3" xfId="4374"/>
    <cellStyle name="Currency 6 3 2" xfId="4375"/>
    <cellStyle name="Currency 6 3 2 2" xfId="4376"/>
    <cellStyle name="Currency 6 3 2 3" xfId="4377"/>
    <cellStyle name="Currency 6 3 3" xfId="4378"/>
    <cellStyle name="Currency 6 3 4" xfId="4379"/>
    <cellStyle name="Currency 6 4" xfId="4380"/>
    <cellStyle name="Currency 6 4 2" xfId="4381"/>
    <cellStyle name="Currency 6 4 2 2" xfId="4382"/>
    <cellStyle name="Currency 6 4 3" xfId="4383"/>
    <cellStyle name="Currency 6 4 4" xfId="4384"/>
    <cellStyle name="Currency 6 5" xfId="4385"/>
    <cellStyle name="Currency 6 5 2" xfId="4386"/>
    <cellStyle name="Currency 6 5 3" xfId="4387"/>
    <cellStyle name="Currency 6 6" xfId="4388"/>
    <cellStyle name="Currency 6 6 2" xfId="4389"/>
    <cellStyle name="Currency 6 7" xfId="4390"/>
    <cellStyle name="Currency 6 8" xfId="4391"/>
    <cellStyle name="Currency 6 8 2" xfId="4392"/>
    <cellStyle name="Currency 6 8 3" xfId="4393"/>
    <cellStyle name="Currency 6 9" xfId="4394"/>
    <cellStyle name="Currency 60" xfId="4395"/>
    <cellStyle name="Currency 61" xfId="4396"/>
    <cellStyle name="Currency 62" xfId="4397"/>
    <cellStyle name="Currency 63" xfId="4398"/>
    <cellStyle name="Currency 64" xfId="4399"/>
    <cellStyle name="Currency 65" xfId="4400"/>
    <cellStyle name="Currency 66" xfId="4401"/>
    <cellStyle name="Currency 67" xfId="4402"/>
    <cellStyle name="Currency 68" xfId="4403"/>
    <cellStyle name="Currency 69" xfId="4404"/>
    <cellStyle name="Currency 69 2" xfId="4405"/>
    <cellStyle name="Currency 69 3" xfId="4406"/>
    <cellStyle name="Currency 7" xfId="4407"/>
    <cellStyle name="Currency 7 10" xfId="4408"/>
    <cellStyle name="Currency 7 11" xfId="4409"/>
    <cellStyle name="Currency 7 2" xfId="4410"/>
    <cellStyle name="Currency 7 2 2" xfId="4411"/>
    <cellStyle name="Currency 7 2 2 2" xfId="4412"/>
    <cellStyle name="Currency 7 2 2 3" xfId="4413"/>
    <cellStyle name="Currency 7 2 3" xfId="4414"/>
    <cellStyle name="Currency 7 2 3 2" xfId="4415"/>
    <cellStyle name="Currency 7 2 4" xfId="4416"/>
    <cellStyle name="Currency 7 3" xfId="4417"/>
    <cellStyle name="Currency 7 3 2" xfId="4418"/>
    <cellStyle name="Currency 7 3 2 2" xfId="4419"/>
    <cellStyle name="Currency 7 3 2 3" xfId="4420"/>
    <cellStyle name="Currency 7 3 3" xfId="4421"/>
    <cellStyle name="Currency 7 3 4" xfId="4422"/>
    <cellStyle name="Currency 7 4" xfId="4423"/>
    <cellStyle name="Currency 7 4 2" xfId="4424"/>
    <cellStyle name="Currency 7 4 3" xfId="4425"/>
    <cellStyle name="Currency 7 5" xfId="4426"/>
    <cellStyle name="Currency 7 5 2" xfId="4427"/>
    <cellStyle name="Currency 7 6" xfId="4428"/>
    <cellStyle name="Currency 7 7" xfId="4429"/>
    <cellStyle name="Currency 7 8" xfId="4430"/>
    <cellStyle name="Currency 7 8 2" xfId="4431"/>
    <cellStyle name="Currency 7 8 3" xfId="4432"/>
    <cellStyle name="Currency 7 9" xfId="4433"/>
    <cellStyle name="Currency 70" xfId="4434"/>
    <cellStyle name="Currency 70 2" xfId="4435"/>
    <cellStyle name="Currency 70 3" xfId="4436"/>
    <cellStyle name="Currency 71" xfId="4437"/>
    <cellStyle name="Currency 72" xfId="4438"/>
    <cellStyle name="Currency 73" xfId="4439"/>
    <cellStyle name="Currency 74" xfId="4440"/>
    <cellStyle name="Currency 75" xfId="4441"/>
    <cellStyle name="Currency 76" xfId="4442"/>
    <cellStyle name="Currency 77" xfId="4443"/>
    <cellStyle name="Currency 78" xfId="4444"/>
    <cellStyle name="Currency 8" xfId="4445"/>
    <cellStyle name="Currency 8 10" xfId="4446"/>
    <cellStyle name="Currency 8 2" xfId="4447"/>
    <cellStyle name="Currency 8 2 2" xfId="4448"/>
    <cellStyle name="Currency 8 2 2 2" xfId="4449"/>
    <cellStyle name="Currency 8 2 2 2 2" xfId="4450"/>
    <cellStyle name="Currency 8 2 2 3" xfId="4451"/>
    <cellStyle name="Currency 8 2 2 4" xfId="4452"/>
    <cellStyle name="Currency 8 2 3" xfId="4453"/>
    <cellStyle name="Currency 8 2 3 2" xfId="4454"/>
    <cellStyle name="Currency 8 2 3 2 2" xfId="4455"/>
    <cellStyle name="Currency 8 2 3 3" xfId="4456"/>
    <cellStyle name="Currency 8 2 3 4" xfId="4457"/>
    <cellStyle name="Currency 8 2 4" xfId="4458"/>
    <cellStyle name="Currency 8 2 4 2" xfId="4459"/>
    <cellStyle name="Currency 8 2 5" xfId="4460"/>
    <cellStyle name="Currency 8 2 6" xfId="4461"/>
    <cellStyle name="Currency 8 3" xfId="4462"/>
    <cellStyle name="Currency 8 3 2" xfId="4463"/>
    <cellStyle name="Currency 8 3 2 2" xfId="4464"/>
    <cellStyle name="Currency 8 3 2 2 2" xfId="4465"/>
    <cellStyle name="Currency 8 3 2 3" xfId="4466"/>
    <cellStyle name="Currency 8 3 2 4" xfId="4467"/>
    <cellStyle name="Currency 8 3 3" xfId="4468"/>
    <cellStyle name="Currency 8 3 3 2" xfId="4469"/>
    <cellStyle name="Currency 8 3 3 2 2" xfId="4470"/>
    <cellStyle name="Currency 8 3 3 3" xfId="4471"/>
    <cellStyle name="Currency 8 3 4" xfId="4472"/>
    <cellStyle name="Currency 8 3 4 2" xfId="4473"/>
    <cellStyle name="Currency 8 3 5" xfId="4474"/>
    <cellStyle name="Currency 8 3 6" xfId="4475"/>
    <cellStyle name="Currency 8 4" xfId="4476"/>
    <cellStyle name="Currency 8 4 2" xfId="4477"/>
    <cellStyle name="Currency 8 4 2 2" xfId="4478"/>
    <cellStyle name="Currency 8 4 2 2 2" xfId="4479"/>
    <cellStyle name="Currency 8 4 2 3" xfId="4480"/>
    <cellStyle name="Currency 8 4 3" xfId="4481"/>
    <cellStyle name="Currency 8 4 3 2" xfId="4482"/>
    <cellStyle name="Currency 8 4 3 2 2" xfId="4483"/>
    <cellStyle name="Currency 8 4 3 3" xfId="4484"/>
    <cellStyle name="Currency 8 4 4" xfId="4485"/>
    <cellStyle name="Currency 8 4 4 2" xfId="4486"/>
    <cellStyle name="Currency 8 4 5" xfId="4487"/>
    <cellStyle name="Currency 8 4 6" xfId="4488"/>
    <cellStyle name="Currency 8 5" xfId="4489"/>
    <cellStyle name="Currency 8 5 2" xfId="4490"/>
    <cellStyle name="Currency 8 5 2 2" xfId="4491"/>
    <cellStyle name="Currency 8 5 2 2 2" xfId="4492"/>
    <cellStyle name="Currency 8 5 2 3" xfId="4493"/>
    <cellStyle name="Currency 8 5 3" xfId="4494"/>
    <cellStyle name="Currency 8 5 3 2" xfId="4495"/>
    <cellStyle name="Currency 8 5 3 2 2" xfId="4496"/>
    <cellStyle name="Currency 8 5 3 3" xfId="4497"/>
    <cellStyle name="Currency 8 5 4" xfId="4498"/>
    <cellStyle name="Currency 8 5 4 2" xfId="4499"/>
    <cellStyle name="Currency 8 5 5" xfId="4500"/>
    <cellStyle name="Currency 8 5 6" xfId="4501"/>
    <cellStyle name="Currency 8 6" xfId="4502"/>
    <cellStyle name="Currency 8 6 2" xfId="4503"/>
    <cellStyle name="Currency 8 6 2 2" xfId="4504"/>
    <cellStyle name="Currency 8 6 3" xfId="4505"/>
    <cellStyle name="Currency 8 6 4" xfId="4506"/>
    <cellStyle name="Currency 8 7" xfId="4507"/>
    <cellStyle name="Currency 8 7 2" xfId="4508"/>
    <cellStyle name="Currency 8 7 2 2" xfId="4509"/>
    <cellStyle name="Currency 8 7 3" xfId="4510"/>
    <cellStyle name="Currency 8 7 4" xfId="4511"/>
    <cellStyle name="Currency 8 8" xfId="4512"/>
    <cellStyle name="Currency 8 8 2" xfId="4513"/>
    <cellStyle name="Currency 8 8 2 2" xfId="4514"/>
    <cellStyle name="Currency 8 8 3" xfId="4515"/>
    <cellStyle name="Currency 8 8 4" xfId="4516"/>
    <cellStyle name="Currency 8 9" xfId="4517"/>
    <cellStyle name="Currency 8 9 2" xfId="4518"/>
    <cellStyle name="Currency 9" xfId="4519"/>
    <cellStyle name="Currency 9 10" xfId="4520"/>
    <cellStyle name="Currency 9 2" xfId="4521"/>
    <cellStyle name="Currency 9 2 2" xfId="4522"/>
    <cellStyle name="Currency 9 2 2 2" xfId="4523"/>
    <cellStyle name="Currency 9 2 2 3" xfId="4524"/>
    <cellStyle name="Currency 9 2 3" xfId="4525"/>
    <cellStyle name="Currency 9 2 3 2" xfId="4526"/>
    <cellStyle name="Currency 9 2 4" xfId="4527"/>
    <cellStyle name="Currency 9 3" xfId="4528"/>
    <cellStyle name="Currency 9 3 2" xfId="4529"/>
    <cellStyle name="Currency 9 3 2 2" xfId="4530"/>
    <cellStyle name="Currency 9 3 2 3" xfId="4531"/>
    <cellStyle name="Currency 9 3 3" xfId="4532"/>
    <cellStyle name="Currency 9 3 4" xfId="4533"/>
    <cellStyle name="Currency 9 4" xfId="4534"/>
    <cellStyle name="Currency 9 4 2" xfId="4535"/>
    <cellStyle name="Currency 9 4 3" xfId="4536"/>
    <cellStyle name="Currency 9 5" xfId="4537"/>
    <cellStyle name="Currency 9 5 2" xfId="4538"/>
    <cellStyle name="Currency 9 6" xfId="4539"/>
    <cellStyle name="Currency 9 7" xfId="4540"/>
    <cellStyle name="Currency 9 8" xfId="4541"/>
    <cellStyle name="Currency 9 8 2" xfId="4542"/>
    <cellStyle name="Currency 9 8 3" xfId="4543"/>
    <cellStyle name="Currency 9 9" xfId="4544"/>
    <cellStyle name="Currency0" xfId="4545"/>
    <cellStyle name="Currency0 2" xfId="4546"/>
    <cellStyle name="Currency0 2 2" xfId="4547"/>
    <cellStyle name="Currency0 2 2 2" xfId="4548"/>
    <cellStyle name="Currency0 2 3" xfId="4549"/>
    <cellStyle name="Currency0 3" xfId="4550"/>
    <cellStyle name="Currency0 3 2" xfId="4551"/>
    <cellStyle name="Currency0 4" xfId="4552"/>
    <cellStyle name="Currency0 4 2" xfId="4553"/>
    <cellStyle name="Currency0 4 2 2" xfId="4554"/>
    <cellStyle name="Currency0 4 3" xfId="4555"/>
    <cellStyle name="Currency0 5" xfId="4556"/>
    <cellStyle name="Date" xfId="4557"/>
    <cellStyle name="Date - Style3" xfId="4558"/>
    <cellStyle name="Date - Style3 2" xfId="4559"/>
    <cellStyle name="Date - Style3 2 2" xfId="4560"/>
    <cellStyle name="Date - Style3 2 3" xfId="4561"/>
    <cellStyle name="Date - Style3 3" xfId="4562"/>
    <cellStyle name="Date - Style3 4" xfId="4563"/>
    <cellStyle name="Date 10" xfId="4564"/>
    <cellStyle name="Date 10 2" xfId="4565"/>
    <cellStyle name="Date 10 2 2" xfId="4566"/>
    <cellStyle name="Date 10 2 2 2" xfId="4567"/>
    <cellStyle name="Date 10 2 2 3" xfId="4568"/>
    <cellStyle name="Date 10 2 3" xfId="4569"/>
    <cellStyle name="Date 10 2 3 2" xfId="4570"/>
    <cellStyle name="Date 10 2 3 3" xfId="4571"/>
    <cellStyle name="Date 10 2 4" xfId="4572"/>
    <cellStyle name="Date 10 2 5" xfId="4573"/>
    <cellStyle name="Date 10 3" xfId="4574"/>
    <cellStyle name="Date 10 3 2" xfId="4575"/>
    <cellStyle name="Date 10 3 3" xfId="4576"/>
    <cellStyle name="Date 10 4" xfId="4577"/>
    <cellStyle name="Date 10 4 2" xfId="4578"/>
    <cellStyle name="Date 10 4 3" xfId="4579"/>
    <cellStyle name="Date 10 5" xfId="4580"/>
    <cellStyle name="Date 10 6" xfId="4581"/>
    <cellStyle name="Date 100" xfId="4582"/>
    <cellStyle name="Date 100 2" xfId="4583"/>
    <cellStyle name="Date 100 2 2" xfId="4584"/>
    <cellStyle name="Date 100 2 3" xfId="4585"/>
    <cellStyle name="Date 100 3" xfId="4586"/>
    <cellStyle name="Date 100 3 2" xfId="4587"/>
    <cellStyle name="Date 100 3 3" xfId="4588"/>
    <cellStyle name="Date 100 4" xfId="4589"/>
    <cellStyle name="Date 100 5" xfId="4590"/>
    <cellStyle name="Date 101" xfId="4591"/>
    <cellStyle name="Date 101 2" xfId="4592"/>
    <cellStyle name="Date 101 2 2" xfId="4593"/>
    <cellStyle name="Date 101 2 3" xfId="4594"/>
    <cellStyle name="Date 101 3" xfId="4595"/>
    <cellStyle name="Date 101 3 2" xfId="4596"/>
    <cellStyle name="Date 101 3 3" xfId="4597"/>
    <cellStyle name="Date 101 4" xfId="4598"/>
    <cellStyle name="Date 101 5" xfId="4599"/>
    <cellStyle name="Date 102" xfId="4600"/>
    <cellStyle name="Date 102 2" xfId="4601"/>
    <cellStyle name="Date 102 2 2" xfId="4602"/>
    <cellStyle name="Date 102 2 3" xfId="4603"/>
    <cellStyle name="Date 102 3" xfId="4604"/>
    <cellStyle name="Date 102 3 2" xfId="4605"/>
    <cellStyle name="Date 102 3 3" xfId="4606"/>
    <cellStyle name="Date 102 4" xfId="4607"/>
    <cellStyle name="Date 102 5" xfId="4608"/>
    <cellStyle name="Date 103" xfId="4609"/>
    <cellStyle name="Date 103 2" xfId="4610"/>
    <cellStyle name="Date 103 2 2" xfId="4611"/>
    <cellStyle name="Date 103 2 3" xfId="4612"/>
    <cellStyle name="Date 103 3" xfId="4613"/>
    <cellStyle name="Date 103 3 2" xfId="4614"/>
    <cellStyle name="Date 103 3 3" xfId="4615"/>
    <cellStyle name="Date 103 4" xfId="4616"/>
    <cellStyle name="Date 103 5" xfId="4617"/>
    <cellStyle name="Date 104" xfId="4618"/>
    <cellStyle name="Date 104 2" xfId="4619"/>
    <cellStyle name="Date 104 2 2" xfId="4620"/>
    <cellStyle name="Date 104 2 3" xfId="4621"/>
    <cellStyle name="Date 104 3" xfId="4622"/>
    <cellStyle name="Date 104 3 2" xfId="4623"/>
    <cellStyle name="Date 104 3 3" xfId="4624"/>
    <cellStyle name="Date 104 4" xfId="4625"/>
    <cellStyle name="Date 104 5" xfId="4626"/>
    <cellStyle name="Date 105" xfId="4627"/>
    <cellStyle name="Date 105 2" xfId="4628"/>
    <cellStyle name="Date 105 2 2" xfId="4629"/>
    <cellStyle name="Date 105 2 3" xfId="4630"/>
    <cellStyle name="Date 105 3" xfId="4631"/>
    <cellStyle name="Date 105 3 2" xfId="4632"/>
    <cellStyle name="Date 105 3 3" xfId="4633"/>
    <cellStyle name="Date 105 4" xfId="4634"/>
    <cellStyle name="Date 105 5" xfId="4635"/>
    <cellStyle name="Date 106" xfId="4636"/>
    <cellStyle name="Date 106 2" xfId="4637"/>
    <cellStyle name="Date 106 2 2" xfId="4638"/>
    <cellStyle name="Date 106 2 3" xfId="4639"/>
    <cellStyle name="Date 106 3" xfId="4640"/>
    <cellStyle name="Date 106 3 2" xfId="4641"/>
    <cellStyle name="Date 106 3 3" xfId="4642"/>
    <cellStyle name="Date 106 4" xfId="4643"/>
    <cellStyle name="Date 106 5" xfId="4644"/>
    <cellStyle name="Date 107" xfId="4645"/>
    <cellStyle name="Date 107 2" xfId="4646"/>
    <cellStyle name="Date 107 2 2" xfId="4647"/>
    <cellStyle name="Date 107 2 3" xfId="4648"/>
    <cellStyle name="Date 107 3" xfId="4649"/>
    <cellStyle name="Date 107 3 2" xfId="4650"/>
    <cellStyle name="Date 107 3 3" xfId="4651"/>
    <cellStyle name="Date 107 4" xfId="4652"/>
    <cellStyle name="Date 107 5" xfId="4653"/>
    <cellStyle name="Date 108" xfId="4654"/>
    <cellStyle name="Date 108 2" xfId="4655"/>
    <cellStyle name="Date 108 2 2" xfId="4656"/>
    <cellStyle name="Date 108 2 3" xfId="4657"/>
    <cellStyle name="Date 108 3" xfId="4658"/>
    <cellStyle name="Date 108 3 2" xfId="4659"/>
    <cellStyle name="Date 108 3 3" xfId="4660"/>
    <cellStyle name="Date 108 4" xfId="4661"/>
    <cellStyle name="Date 108 5" xfId="4662"/>
    <cellStyle name="Date 109" xfId="4663"/>
    <cellStyle name="Date 109 2" xfId="4664"/>
    <cellStyle name="Date 109 2 2" xfId="4665"/>
    <cellStyle name="Date 109 2 3" xfId="4666"/>
    <cellStyle name="Date 109 3" xfId="4667"/>
    <cellStyle name="Date 109 3 2" xfId="4668"/>
    <cellStyle name="Date 109 3 3" xfId="4669"/>
    <cellStyle name="Date 109 4" xfId="4670"/>
    <cellStyle name="Date 109 5" xfId="4671"/>
    <cellStyle name="Date 11" xfId="4672"/>
    <cellStyle name="Date 11 2" xfId="4673"/>
    <cellStyle name="Date 11 2 2" xfId="4674"/>
    <cellStyle name="Date 11 2 2 2" xfId="4675"/>
    <cellStyle name="Date 11 2 2 3" xfId="4676"/>
    <cellStyle name="Date 11 2 3" xfId="4677"/>
    <cellStyle name="Date 11 2 3 2" xfId="4678"/>
    <cellStyle name="Date 11 2 3 3" xfId="4679"/>
    <cellStyle name="Date 11 2 4" xfId="4680"/>
    <cellStyle name="Date 11 2 5" xfId="4681"/>
    <cellStyle name="Date 11 3" xfId="4682"/>
    <cellStyle name="Date 11 3 2" xfId="4683"/>
    <cellStyle name="Date 11 3 3" xfId="4684"/>
    <cellStyle name="Date 11 4" xfId="4685"/>
    <cellStyle name="Date 11 4 2" xfId="4686"/>
    <cellStyle name="Date 11 4 3" xfId="4687"/>
    <cellStyle name="Date 11 5" xfId="4688"/>
    <cellStyle name="Date 11 6" xfId="4689"/>
    <cellStyle name="Date 110" xfId="4690"/>
    <cellStyle name="Date 110 2" xfId="4691"/>
    <cellStyle name="Date 110 2 2" xfId="4692"/>
    <cellStyle name="Date 110 2 3" xfId="4693"/>
    <cellStyle name="Date 110 3" xfId="4694"/>
    <cellStyle name="Date 110 3 2" xfId="4695"/>
    <cellStyle name="Date 110 3 3" xfId="4696"/>
    <cellStyle name="Date 110 4" xfId="4697"/>
    <cellStyle name="Date 110 5" xfId="4698"/>
    <cellStyle name="Date 111" xfId="4699"/>
    <cellStyle name="Date 111 2" xfId="4700"/>
    <cellStyle name="Date 111 2 2" xfId="4701"/>
    <cellStyle name="Date 111 2 3" xfId="4702"/>
    <cellStyle name="Date 111 3" xfId="4703"/>
    <cellStyle name="Date 111 3 2" xfId="4704"/>
    <cellStyle name="Date 111 3 3" xfId="4705"/>
    <cellStyle name="Date 111 4" xfId="4706"/>
    <cellStyle name="Date 111 5" xfId="4707"/>
    <cellStyle name="Date 112" xfId="4708"/>
    <cellStyle name="Date 112 2" xfId="4709"/>
    <cellStyle name="Date 112 2 2" xfId="4710"/>
    <cellStyle name="Date 112 2 3" xfId="4711"/>
    <cellStyle name="Date 112 3" xfId="4712"/>
    <cellStyle name="Date 112 3 2" xfId="4713"/>
    <cellStyle name="Date 112 3 3" xfId="4714"/>
    <cellStyle name="Date 112 4" xfId="4715"/>
    <cellStyle name="Date 112 5" xfId="4716"/>
    <cellStyle name="Date 113" xfId="4717"/>
    <cellStyle name="Date 113 2" xfId="4718"/>
    <cellStyle name="Date 113 2 2" xfId="4719"/>
    <cellStyle name="Date 113 2 3" xfId="4720"/>
    <cellStyle name="Date 113 3" xfId="4721"/>
    <cellStyle name="Date 113 3 2" xfId="4722"/>
    <cellStyle name="Date 113 3 3" xfId="4723"/>
    <cellStyle name="Date 113 4" xfId="4724"/>
    <cellStyle name="Date 113 5" xfId="4725"/>
    <cellStyle name="Date 114" xfId="4726"/>
    <cellStyle name="Date 114 2" xfId="4727"/>
    <cellStyle name="Date 114 2 2" xfId="4728"/>
    <cellStyle name="Date 114 2 3" xfId="4729"/>
    <cellStyle name="Date 114 3" xfId="4730"/>
    <cellStyle name="Date 114 3 2" xfId="4731"/>
    <cellStyle name="Date 114 3 3" xfId="4732"/>
    <cellStyle name="Date 114 4" xfId="4733"/>
    <cellStyle name="Date 114 5" xfId="4734"/>
    <cellStyle name="Date 115" xfId="4735"/>
    <cellStyle name="Date 115 2" xfId="4736"/>
    <cellStyle name="Date 115 2 2" xfId="4737"/>
    <cellStyle name="Date 115 2 3" xfId="4738"/>
    <cellStyle name="Date 115 3" xfId="4739"/>
    <cellStyle name="Date 115 3 2" xfId="4740"/>
    <cellStyle name="Date 115 3 3" xfId="4741"/>
    <cellStyle name="Date 115 4" xfId="4742"/>
    <cellStyle name="Date 115 5" xfId="4743"/>
    <cellStyle name="Date 116" xfId="4744"/>
    <cellStyle name="Date 116 2" xfId="4745"/>
    <cellStyle name="Date 116 2 2" xfId="4746"/>
    <cellStyle name="Date 116 2 3" xfId="4747"/>
    <cellStyle name="Date 116 3" xfId="4748"/>
    <cellStyle name="Date 116 3 2" xfId="4749"/>
    <cellStyle name="Date 116 3 3" xfId="4750"/>
    <cellStyle name="Date 116 4" xfId="4751"/>
    <cellStyle name="Date 116 5" xfId="4752"/>
    <cellStyle name="Date 117" xfId="4753"/>
    <cellStyle name="Date 117 2" xfId="4754"/>
    <cellStyle name="Date 117 2 2" xfId="4755"/>
    <cellStyle name="Date 117 2 3" xfId="4756"/>
    <cellStyle name="Date 117 3" xfId="4757"/>
    <cellStyle name="Date 117 3 2" xfId="4758"/>
    <cellStyle name="Date 117 3 3" xfId="4759"/>
    <cellStyle name="Date 117 4" xfId="4760"/>
    <cellStyle name="Date 117 5" xfId="4761"/>
    <cellStyle name="Date 118" xfId="4762"/>
    <cellStyle name="Date 118 2" xfId="4763"/>
    <cellStyle name="Date 118 2 2" xfId="4764"/>
    <cellStyle name="Date 118 2 3" xfId="4765"/>
    <cellStyle name="Date 118 3" xfId="4766"/>
    <cellStyle name="Date 118 3 2" xfId="4767"/>
    <cellStyle name="Date 118 3 3" xfId="4768"/>
    <cellStyle name="Date 118 4" xfId="4769"/>
    <cellStyle name="Date 118 5" xfId="4770"/>
    <cellStyle name="Date 119" xfId="4771"/>
    <cellStyle name="Date 119 2" xfId="4772"/>
    <cellStyle name="Date 119 2 2" xfId="4773"/>
    <cellStyle name="Date 119 2 3" xfId="4774"/>
    <cellStyle name="Date 119 3" xfId="4775"/>
    <cellStyle name="Date 119 3 2" xfId="4776"/>
    <cellStyle name="Date 119 3 3" xfId="4777"/>
    <cellStyle name="Date 119 4" xfId="4778"/>
    <cellStyle name="Date 119 5" xfId="4779"/>
    <cellStyle name="Date 12" xfId="4780"/>
    <cellStyle name="Date 12 2" xfId="4781"/>
    <cellStyle name="Date 12 2 2" xfId="4782"/>
    <cellStyle name="Date 12 2 2 2" xfId="4783"/>
    <cellStyle name="Date 12 2 2 3" xfId="4784"/>
    <cellStyle name="Date 12 2 3" xfId="4785"/>
    <cellStyle name="Date 12 2 3 2" xfId="4786"/>
    <cellStyle name="Date 12 2 3 3" xfId="4787"/>
    <cellStyle name="Date 12 2 4" xfId="4788"/>
    <cellStyle name="Date 12 2 5" xfId="4789"/>
    <cellStyle name="Date 12 3" xfId="4790"/>
    <cellStyle name="Date 12 3 2" xfId="4791"/>
    <cellStyle name="Date 12 3 3" xfId="4792"/>
    <cellStyle name="Date 12 4" xfId="4793"/>
    <cellStyle name="Date 12 4 2" xfId="4794"/>
    <cellStyle name="Date 12 4 3" xfId="4795"/>
    <cellStyle name="Date 12 5" xfId="4796"/>
    <cellStyle name="Date 12 6" xfId="4797"/>
    <cellStyle name="Date 120" xfId="4798"/>
    <cellStyle name="Date 120 2" xfId="4799"/>
    <cellStyle name="Date 120 2 2" xfId="4800"/>
    <cellStyle name="Date 120 2 3" xfId="4801"/>
    <cellStyle name="Date 120 3" xfId="4802"/>
    <cellStyle name="Date 120 3 2" xfId="4803"/>
    <cellStyle name="Date 120 3 3" xfId="4804"/>
    <cellStyle name="Date 120 4" xfId="4805"/>
    <cellStyle name="Date 120 5" xfId="4806"/>
    <cellStyle name="Date 121" xfId="4807"/>
    <cellStyle name="Date 121 2" xfId="4808"/>
    <cellStyle name="Date 121 2 2" xfId="4809"/>
    <cellStyle name="Date 121 2 2 2" xfId="4810"/>
    <cellStyle name="Date 121 2 2 3" xfId="4811"/>
    <cellStyle name="Date 121 2 3" xfId="4812"/>
    <cellStyle name="Date 121 2 3 2" xfId="4813"/>
    <cellStyle name="Date 121 2 3 3" xfId="4814"/>
    <cellStyle name="Date 121 2 4" xfId="4815"/>
    <cellStyle name="Date 121 2 5" xfId="4816"/>
    <cellStyle name="Date 121 3" xfId="4817"/>
    <cellStyle name="Date 121 3 2" xfId="4818"/>
    <cellStyle name="Date 121 3 3" xfId="4819"/>
    <cellStyle name="Date 121 4" xfId="4820"/>
    <cellStyle name="Date 121 4 2" xfId="4821"/>
    <cellStyle name="Date 121 4 3" xfId="4822"/>
    <cellStyle name="Date 121 5" xfId="4823"/>
    <cellStyle name="Date 121 6" xfId="4824"/>
    <cellStyle name="Date 122" xfId="4825"/>
    <cellStyle name="Date 122 2" xfId="4826"/>
    <cellStyle name="Date 122 2 2" xfId="4827"/>
    <cellStyle name="Date 122 2 2 2" xfId="4828"/>
    <cellStyle name="Date 122 2 2 3" xfId="4829"/>
    <cellStyle name="Date 122 2 3" xfId="4830"/>
    <cellStyle name="Date 122 2 3 2" xfId="4831"/>
    <cellStyle name="Date 122 2 3 3" xfId="4832"/>
    <cellStyle name="Date 122 2 4" xfId="4833"/>
    <cellStyle name="Date 122 2 5" xfId="4834"/>
    <cellStyle name="Date 122 3" xfId="4835"/>
    <cellStyle name="Date 122 3 2" xfId="4836"/>
    <cellStyle name="Date 122 3 3" xfId="4837"/>
    <cellStyle name="Date 122 4" xfId="4838"/>
    <cellStyle name="Date 122 4 2" xfId="4839"/>
    <cellStyle name="Date 122 4 3" xfId="4840"/>
    <cellStyle name="Date 122 5" xfId="4841"/>
    <cellStyle name="Date 122 6" xfId="4842"/>
    <cellStyle name="Date 123" xfId="4843"/>
    <cellStyle name="Date 123 2" xfId="4844"/>
    <cellStyle name="Date 123 2 2" xfId="4845"/>
    <cellStyle name="Date 123 2 2 2" xfId="4846"/>
    <cellStyle name="Date 123 2 2 3" xfId="4847"/>
    <cellStyle name="Date 123 2 3" xfId="4848"/>
    <cellStyle name="Date 123 2 3 2" xfId="4849"/>
    <cellStyle name="Date 123 2 3 3" xfId="4850"/>
    <cellStyle name="Date 123 2 4" xfId="4851"/>
    <cellStyle name="Date 123 2 5" xfId="4852"/>
    <cellStyle name="Date 123 3" xfId="4853"/>
    <cellStyle name="Date 123 3 2" xfId="4854"/>
    <cellStyle name="Date 123 3 3" xfId="4855"/>
    <cellStyle name="Date 123 4" xfId="4856"/>
    <cellStyle name="Date 123 4 2" xfId="4857"/>
    <cellStyle name="Date 123 4 3" xfId="4858"/>
    <cellStyle name="Date 123 5" xfId="4859"/>
    <cellStyle name="Date 123 6" xfId="4860"/>
    <cellStyle name="Date 124" xfId="4861"/>
    <cellStyle name="Date 124 2" xfId="4862"/>
    <cellStyle name="Date 124 2 2" xfId="4863"/>
    <cellStyle name="Date 124 2 2 2" xfId="4864"/>
    <cellStyle name="Date 124 2 2 3" xfId="4865"/>
    <cellStyle name="Date 124 2 3" xfId="4866"/>
    <cellStyle name="Date 124 2 3 2" xfId="4867"/>
    <cellStyle name="Date 124 2 3 3" xfId="4868"/>
    <cellStyle name="Date 124 2 4" xfId="4869"/>
    <cellStyle name="Date 124 2 5" xfId="4870"/>
    <cellStyle name="Date 124 3" xfId="4871"/>
    <cellStyle name="Date 124 3 2" xfId="4872"/>
    <cellStyle name="Date 124 3 3" xfId="4873"/>
    <cellStyle name="Date 124 4" xfId="4874"/>
    <cellStyle name="Date 124 4 2" xfId="4875"/>
    <cellStyle name="Date 124 4 3" xfId="4876"/>
    <cellStyle name="Date 124 5" xfId="4877"/>
    <cellStyle name="Date 124 6" xfId="4878"/>
    <cellStyle name="Date 125" xfId="4879"/>
    <cellStyle name="Date 125 2" xfId="4880"/>
    <cellStyle name="Date 125 2 2" xfId="4881"/>
    <cellStyle name="Date 125 2 2 2" xfId="4882"/>
    <cellStyle name="Date 125 2 2 3" xfId="4883"/>
    <cellStyle name="Date 125 2 3" xfId="4884"/>
    <cellStyle name="Date 125 2 3 2" xfId="4885"/>
    <cellStyle name="Date 125 2 3 3" xfId="4886"/>
    <cellStyle name="Date 125 2 4" xfId="4887"/>
    <cellStyle name="Date 125 2 5" xfId="4888"/>
    <cellStyle name="Date 125 3" xfId="4889"/>
    <cellStyle name="Date 125 3 2" xfId="4890"/>
    <cellStyle name="Date 125 3 3" xfId="4891"/>
    <cellStyle name="Date 125 4" xfId="4892"/>
    <cellStyle name="Date 125 4 2" xfId="4893"/>
    <cellStyle name="Date 125 4 3" xfId="4894"/>
    <cellStyle name="Date 125 5" xfId="4895"/>
    <cellStyle name="Date 125 6" xfId="4896"/>
    <cellStyle name="Date 126" xfId="4897"/>
    <cellStyle name="Date 126 2" xfId="4898"/>
    <cellStyle name="Date 126 2 2" xfId="4899"/>
    <cellStyle name="Date 126 2 2 2" xfId="4900"/>
    <cellStyle name="Date 126 2 2 3" xfId="4901"/>
    <cellStyle name="Date 126 2 3" xfId="4902"/>
    <cellStyle name="Date 126 2 3 2" xfId="4903"/>
    <cellStyle name="Date 126 2 3 3" xfId="4904"/>
    <cellStyle name="Date 126 2 4" xfId="4905"/>
    <cellStyle name="Date 126 2 5" xfId="4906"/>
    <cellStyle name="Date 126 3" xfId="4907"/>
    <cellStyle name="Date 126 3 2" xfId="4908"/>
    <cellStyle name="Date 126 3 3" xfId="4909"/>
    <cellStyle name="Date 126 4" xfId="4910"/>
    <cellStyle name="Date 126 4 2" xfId="4911"/>
    <cellStyle name="Date 126 4 3" xfId="4912"/>
    <cellStyle name="Date 126 5" xfId="4913"/>
    <cellStyle name="Date 126 6" xfId="4914"/>
    <cellStyle name="Date 127" xfId="4915"/>
    <cellStyle name="Date 127 2" xfId="4916"/>
    <cellStyle name="Date 127 2 2" xfId="4917"/>
    <cellStyle name="Date 127 2 2 2" xfId="4918"/>
    <cellStyle name="Date 127 2 2 3" xfId="4919"/>
    <cellStyle name="Date 127 2 3" xfId="4920"/>
    <cellStyle name="Date 127 2 3 2" xfId="4921"/>
    <cellStyle name="Date 127 2 3 3" xfId="4922"/>
    <cellStyle name="Date 127 2 4" xfId="4923"/>
    <cellStyle name="Date 127 2 5" xfId="4924"/>
    <cellStyle name="Date 127 3" xfId="4925"/>
    <cellStyle name="Date 127 3 2" xfId="4926"/>
    <cellStyle name="Date 127 3 3" xfId="4927"/>
    <cellStyle name="Date 127 4" xfId="4928"/>
    <cellStyle name="Date 127 4 2" xfId="4929"/>
    <cellStyle name="Date 127 4 3" xfId="4930"/>
    <cellStyle name="Date 127 5" xfId="4931"/>
    <cellStyle name="Date 127 6" xfId="4932"/>
    <cellStyle name="Date 128" xfId="4933"/>
    <cellStyle name="Date 128 2" xfId="4934"/>
    <cellStyle name="Date 128 2 2" xfId="4935"/>
    <cellStyle name="Date 128 2 2 2" xfId="4936"/>
    <cellStyle name="Date 128 2 2 3" xfId="4937"/>
    <cellStyle name="Date 128 2 3" xfId="4938"/>
    <cellStyle name="Date 128 2 3 2" xfId="4939"/>
    <cellStyle name="Date 128 2 3 3" xfId="4940"/>
    <cellStyle name="Date 128 2 4" xfId="4941"/>
    <cellStyle name="Date 128 2 5" xfId="4942"/>
    <cellStyle name="Date 128 3" xfId="4943"/>
    <cellStyle name="Date 128 3 2" xfId="4944"/>
    <cellStyle name="Date 128 3 3" xfId="4945"/>
    <cellStyle name="Date 128 4" xfId="4946"/>
    <cellStyle name="Date 128 4 2" xfId="4947"/>
    <cellStyle name="Date 128 4 3" xfId="4948"/>
    <cellStyle name="Date 128 5" xfId="4949"/>
    <cellStyle name="Date 128 6" xfId="4950"/>
    <cellStyle name="Date 129" xfId="4951"/>
    <cellStyle name="Date 129 2" xfId="4952"/>
    <cellStyle name="Date 129 2 2" xfId="4953"/>
    <cellStyle name="Date 129 2 2 2" xfId="4954"/>
    <cellStyle name="Date 129 2 2 3" xfId="4955"/>
    <cellStyle name="Date 129 2 3" xfId="4956"/>
    <cellStyle name="Date 129 2 3 2" xfId="4957"/>
    <cellStyle name="Date 129 2 3 3" xfId="4958"/>
    <cellStyle name="Date 129 2 4" xfId="4959"/>
    <cellStyle name="Date 129 2 5" xfId="4960"/>
    <cellStyle name="Date 129 3" xfId="4961"/>
    <cellStyle name="Date 129 3 2" xfId="4962"/>
    <cellStyle name="Date 129 3 3" xfId="4963"/>
    <cellStyle name="Date 129 4" xfId="4964"/>
    <cellStyle name="Date 129 4 2" xfId="4965"/>
    <cellStyle name="Date 129 4 3" xfId="4966"/>
    <cellStyle name="Date 129 5" xfId="4967"/>
    <cellStyle name="Date 129 6" xfId="4968"/>
    <cellStyle name="Date 13" xfId="4969"/>
    <cellStyle name="Date 13 2" xfId="4970"/>
    <cellStyle name="Date 13 2 2" xfId="4971"/>
    <cellStyle name="Date 13 2 2 2" xfId="4972"/>
    <cellStyle name="Date 13 2 2 3" xfId="4973"/>
    <cellStyle name="Date 13 2 3" xfId="4974"/>
    <cellStyle name="Date 13 2 3 2" xfId="4975"/>
    <cellStyle name="Date 13 2 3 3" xfId="4976"/>
    <cellStyle name="Date 13 2 4" xfId="4977"/>
    <cellStyle name="Date 13 2 5" xfId="4978"/>
    <cellStyle name="Date 13 3" xfId="4979"/>
    <cellStyle name="Date 13 3 2" xfId="4980"/>
    <cellStyle name="Date 13 3 3" xfId="4981"/>
    <cellStyle name="Date 13 4" xfId="4982"/>
    <cellStyle name="Date 13 4 2" xfId="4983"/>
    <cellStyle name="Date 13 4 3" xfId="4984"/>
    <cellStyle name="Date 13 5" xfId="4985"/>
    <cellStyle name="Date 13 6" xfId="4986"/>
    <cellStyle name="Date 130" xfId="4987"/>
    <cellStyle name="Date 130 2" xfId="4988"/>
    <cellStyle name="Date 130 2 2" xfId="4989"/>
    <cellStyle name="Date 130 2 2 2" xfId="4990"/>
    <cellStyle name="Date 130 2 2 3" xfId="4991"/>
    <cellStyle name="Date 130 2 3" xfId="4992"/>
    <cellStyle name="Date 130 2 3 2" xfId="4993"/>
    <cellStyle name="Date 130 2 3 3" xfId="4994"/>
    <cellStyle name="Date 130 2 4" xfId="4995"/>
    <cellStyle name="Date 130 2 5" xfId="4996"/>
    <cellStyle name="Date 130 3" xfId="4997"/>
    <cellStyle name="Date 130 3 2" xfId="4998"/>
    <cellStyle name="Date 130 3 3" xfId="4999"/>
    <cellStyle name="Date 130 4" xfId="5000"/>
    <cellStyle name="Date 130 4 2" xfId="5001"/>
    <cellStyle name="Date 130 4 3" xfId="5002"/>
    <cellStyle name="Date 130 5" xfId="5003"/>
    <cellStyle name="Date 130 6" xfId="5004"/>
    <cellStyle name="Date 131" xfId="5005"/>
    <cellStyle name="Date 131 2" xfId="5006"/>
    <cellStyle name="Date 131 2 2" xfId="5007"/>
    <cellStyle name="Date 131 2 2 2" xfId="5008"/>
    <cellStyle name="Date 131 2 2 3" xfId="5009"/>
    <cellStyle name="Date 131 2 3" xfId="5010"/>
    <cellStyle name="Date 131 2 3 2" xfId="5011"/>
    <cellStyle name="Date 131 2 3 3" xfId="5012"/>
    <cellStyle name="Date 131 2 4" xfId="5013"/>
    <cellStyle name="Date 131 2 5" xfId="5014"/>
    <cellStyle name="Date 131 3" xfId="5015"/>
    <cellStyle name="Date 131 3 2" xfId="5016"/>
    <cellStyle name="Date 131 3 3" xfId="5017"/>
    <cellStyle name="Date 131 4" xfId="5018"/>
    <cellStyle name="Date 131 4 2" xfId="5019"/>
    <cellStyle name="Date 131 4 3" xfId="5020"/>
    <cellStyle name="Date 131 5" xfId="5021"/>
    <cellStyle name="Date 131 6" xfId="5022"/>
    <cellStyle name="Date 132" xfId="5023"/>
    <cellStyle name="Date 132 2" xfId="5024"/>
    <cellStyle name="Date 132 2 2" xfId="5025"/>
    <cellStyle name="Date 132 2 2 2" xfId="5026"/>
    <cellStyle name="Date 132 2 2 3" xfId="5027"/>
    <cellStyle name="Date 132 2 3" xfId="5028"/>
    <cellStyle name="Date 132 2 3 2" xfId="5029"/>
    <cellStyle name="Date 132 2 3 3" xfId="5030"/>
    <cellStyle name="Date 132 2 4" xfId="5031"/>
    <cellStyle name="Date 132 2 5" xfId="5032"/>
    <cellStyle name="Date 132 3" xfId="5033"/>
    <cellStyle name="Date 132 3 2" xfId="5034"/>
    <cellStyle name="Date 132 3 3" xfId="5035"/>
    <cellStyle name="Date 132 4" xfId="5036"/>
    <cellStyle name="Date 132 4 2" xfId="5037"/>
    <cellStyle name="Date 132 4 3" xfId="5038"/>
    <cellStyle name="Date 132 5" xfId="5039"/>
    <cellStyle name="Date 132 6" xfId="5040"/>
    <cellStyle name="Date 133" xfId="5041"/>
    <cellStyle name="Date 133 2" xfId="5042"/>
    <cellStyle name="Date 133 2 2" xfId="5043"/>
    <cellStyle name="Date 133 2 2 2" xfId="5044"/>
    <cellStyle name="Date 133 2 2 3" xfId="5045"/>
    <cellStyle name="Date 133 2 3" xfId="5046"/>
    <cellStyle name="Date 133 2 3 2" xfId="5047"/>
    <cellStyle name="Date 133 2 3 3" xfId="5048"/>
    <cellStyle name="Date 133 2 4" xfId="5049"/>
    <cellStyle name="Date 133 2 5" xfId="5050"/>
    <cellStyle name="Date 133 3" xfId="5051"/>
    <cellStyle name="Date 133 3 2" xfId="5052"/>
    <cellStyle name="Date 133 3 3" xfId="5053"/>
    <cellStyle name="Date 133 4" xfId="5054"/>
    <cellStyle name="Date 133 4 2" xfId="5055"/>
    <cellStyle name="Date 133 4 3" xfId="5056"/>
    <cellStyle name="Date 133 5" xfId="5057"/>
    <cellStyle name="Date 133 6" xfId="5058"/>
    <cellStyle name="Date 134" xfId="5059"/>
    <cellStyle name="Date 134 2" xfId="5060"/>
    <cellStyle name="Date 134 2 2" xfId="5061"/>
    <cellStyle name="Date 134 2 2 2" xfId="5062"/>
    <cellStyle name="Date 134 2 2 3" xfId="5063"/>
    <cellStyle name="Date 134 2 3" xfId="5064"/>
    <cellStyle name="Date 134 2 3 2" xfId="5065"/>
    <cellStyle name="Date 134 2 3 3" xfId="5066"/>
    <cellStyle name="Date 134 2 4" xfId="5067"/>
    <cellStyle name="Date 134 2 5" xfId="5068"/>
    <cellStyle name="Date 134 3" xfId="5069"/>
    <cellStyle name="Date 134 3 2" xfId="5070"/>
    <cellStyle name="Date 134 3 3" xfId="5071"/>
    <cellStyle name="Date 134 4" xfId="5072"/>
    <cellStyle name="Date 134 4 2" xfId="5073"/>
    <cellStyle name="Date 134 4 3" xfId="5074"/>
    <cellStyle name="Date 134 5" xfId="5075"/>
    <cellStyle name="Date 134 6" xfId="5076"/>
    <cellStyle name="Date 135" xfId="5077"/>
    <cellStyle name="Date 135 2" xfId="5078"/>
    <cellStyle name="Date 135 2 2" xfId="5079"/>
    <cellStyle name="Date 135 2 2 2" xfId="5080"/>
    <cellStyle name="Date 135 2 2 3" xfId="5081"/>
    <cellStyle name="Date 135 2 3" xfId="5082"/>
    <cellStyle name="Date 135 2 3 2" xfId="5083"/>
    <cellStyle name="Date 135 2 3 3" xfId="5084"/>
    <cellStyle name="Date 135 2 4" xfId="5085"/>
    <cellStyle name="Date 135 2 5" xfId="5086"/>
    <cellStyle name="Date 135 3" xfId="5087"/>
    <cellStyle name="Date 135 3 2" xfId="5088"/>
    <cellStyle name="Date 135 3 3" xfId="5089"/>
    <cellStyle name="Date 135 4" xfId="5090"/>
    <cellStyle name="Date 135 4 2" xfId="5091"/>
    <cellStyle name="Date 135 4 3" xfId="5092"/>
    <cellStyle name="Date 135 5" xfId="5093"/>
    <cellStyle name="Date 135 6" xfId="5094"/>
    <cellStyle name="Date 136" xfId="5095"/>
    <cellStyle name="Date 136 2" xfId="5096"/>
    <cellStyle name="Date 136 2 2" xfId="5097"/>
    <cellStyle name="Date 136 2 2 2" xfId="5098"/>
    <cellStyle name="Date 136 2 2 3" xfId="5099"/>
    <cellStyle name="Date 136 2 3" xfId="5100"/>
    <cellStyle name="Date 136 2 3 2" xfId="5101"/>
    <cellStyle name="Date 136 2 3 3" xfId="5102"/>
    <cellStyle name="Date 136 2 4" xfId="5103"/>
    <cellStyle name="Date 136 2 5" xfId="5104"/>
    <cellStyle name="Date 136 3" xfId="5105"/>
    <cellStyle name="Date 136 3 2" xfId="5106"/>
    <cellStyle name="Date 136 3 3" xfId="5107"/>
    <cellStyle name="Date 136 4" xfId="5108"/>
    <cellStyle name="Date 136 4 2" xfId="5109"/>
    <cellStyle name="Date 136 4 3" xfId="5110"/>
    <cellStyle name="Date 136 5" xfId="5111"/>
    <cellStyle name="Date 136 6" xfId="5112"/>
    <cellStyle name="Date 137" xfId="5113"/>
    <cellStyle name="Date 137 2" xfId="5114"/>
    <cellStyle name="Date 137 2 2" xfId="5115"/>
    <cellStyle name="Date 137 2 2 2" xfId="5116"/>
    <cellStyle name="Date 137 2 2 3" xfId="5117"/>
    <cellStyle name="Date 137 2 3" xfId="5118"/>
    <cellStyle name="Date 137 2 3 2" xfId="5119"/>
    <cellStyle name="Date 137 2 3 3" xfId="5120"/>
    <cellStyle name="Date 137 2 4" xfId="5121"/>
    <cellStyle name="Date 137 2 5" xfId="5122"/>
    <cellStyle name="Date 137 3" xfId="5123"/>
    <cellStyle name="Date 137 3 2" xfId="5124"/>
    <cellStyle name="Date 137 3 3" xfId="5125"/>
    <cellStyle name="Date 137 4" xfId="5126"/>
    <cellStyle name="Date 137 4 2" xfId="5127"/>
    <cellStyle name="Date 137 4 3" xfId="5128"/>
    <cellStyle name="Date 137 5" xfId="5129"/>
    <cellStyle name="Date 137 6" xfId="5130"/>
    <cellStyle name="Date 138" xfId="5131"/>
    <cellStyle name="Date 138 2" xfId="5132"/>
    <cellStyle name="Date 138 2 2" xfId="5133"/>
    <cellStyle name="Date 138 2 2 2" xfId="5134"/>
    <cellStyle name="Date 138 2 2 3" xfId="5135"/>
    <cellStyle name="Date 138 2 3" xfId="5136"/>
    <cellStyle name="Date 138 2 3 2" xfId="5137"/>
    <cellStyle name="Date 138 2 3 3" xfId="5138"/>
    <cellStyle name="Date 138 2 4" xfId="5139"/>
    <cellStyle name="Date 138 2 5" xfId="5140"/>
    <cellStyle name="Date 138 3" xfId="5141"/>
    <cellStyle name="Date 138 3 2" xfId="5142"/>
    <cellStyle name="Date 138 3 3" xfId="5143"/>
    <cellStyle name="Date 138 4" xfId="5144"/>
    <cellStyle name="Date 138 4 2" xfId="5145"/>
    <cellStyle name="Date 138 4 3" xfId="5146"/>
    <cellStyle name="Date 138 5" xfId="5147"/>
    <cellStyle name="Date 138 6" xfId="5148"/>
    <cellStyle name="Date 139" xfId="5149"/>
    <cellStyle name="Date 139 2" xfId="5150"/>
    <cellStyle name="Date 139 2 2" xfId="5151"/>
    <cellStyle name="Date 139 2 2 2" xfId="5152"/>
    <cellStyle name="Date 139 2 2 3" xfId="5153"/>
    <cellStyle name="Date 139 2 3" xfId="5154"/>
    <cellStyle name="Date 139 2 3 2" xfId="5155"/>
    <cellStyle name="Date 139 2 3 3" xfId="5156"/>
    <cellStyle name="Date 139 2 4" xfId="5157"/>
    <cellStyle name="Date 139 2 5" xfId="5158"/>
    <cellStyle name="Date 139 3" xfId="5159"/>
    <cellStyle name="Date 139 3 2" xfId="5160"/>
    <cellStyle name="Date 139 3 3" xfId="5161"/>
    <cellStyle name="Date 139 4" xfId="5162"/>
    <cellStyle name="Date 139 4 2" xfId="5163"/>
    <cellStyle name="Date 139 4 3" xfId="5164"/>
    <cellStyle name="Date 139 5" xfId="5165"/>
    <cellStyle name="Date 139 6" xfId="5166"/>
    <cellStyle name="Date 14" xfId="5167"/>
    <cellStyle name="Date 14 2" xfId="5168"/>
    <cellStyle name="Date 14 2 2" xfId="5169"/>
    <cellStyle name="Date 14 2 2 2" xfId="5170"/>
    <cellStyle name="Date 14 2 2 3" xfId="5171"/>
    <cellStyle name="Date 14 2 3" xfId="5172"/>
    <cellStyle name="Date 14 2 3 2" xfId="5173"/>
    <cellStyle name="Date 14 2 3 3" xfId="5174"/>
    <cellStyle name="Date 14 2 4" xfId="5175"/>
    <cellStyle name="Date 14 2 5" xfId="5176"/>
    <cellStyle name="Date 14 3" xfId="5177"/>
    <cellStyle name="Date 14 3 2" xfId="5178"/>
    <cellStyle name="Date 14 3 3" xfId="5179"/>
    <cellStyle name="Date 14 4" xfId="5180"/>
    <cellStyle name="Date 14 4 2" xfId="5181"/>
    <cellStyle name="Date 14 4 3" xfId="5182"/>
    <cellStyle name="Date 14 5" xfId="5183"/>
    <cellStyle name="Date 14 6" xfId="5184"/>
    <cellStyle name="Date 140" xfId="5185"/>
    <cellStyle name="Date 140 2" xfId="5186"/>
    <cellStyle name="Date 140 2 2" xfId="5187"/>
    <cellStyle name="Date 140 2 2 2" xfId="5188"/>
    <cellStyle name="Date 140 2 2 3" xfId="5189"/>
    <cellStyle name="Date 140 2 3" xfId="5190"/>
    <cellStyle name="Date 140 2 3 2" xfId="5191"/>
    <cellStyle name="Date 140 2 3 3" xfId="5192"/>
    <cellStyle name="Date 140 2 4" xfId="5193"/>
    <cellStyle name="Date 140 2 5" xfId="5194"/>
    <cellStyle name="Date 140 3" xfId="5195"/>
    <cellStyle name="Date 140 3 2" xfId="5196"/>
    <cellStyle name="Date 140 3 3" xfId="5197"/>
    <cellStyle name="Date 140 4" xfId="5198"/>
    <cellStyle name="Date 140 4 2" xfId="5199"/>
    <cellStyle name="Date 140 4 3" xfId="5200"/>
    <cellStyle name="Date 140 5" xfId="5201"/>
    <cellStyle name="Date 140 6" xfId="5202"/>
    <cellStyle name="Date 141" xfId="5203"/>
    <cellStyle name="Date 141 2" xfId="5204"/>
    <cellStyle name="Date 141 2 2" xfId="5205"/>
    <cellStyle name="Date 141 2 2 2" xfId="5206"/>
    <cellStyle name="Date 141 2 2 3" xfId="5207"/>
    <cellStyle name="Date 141 2 3" xfId="5208"/>
    <cellStyle name="Date 141 2 3 2" xfId="5209"/>
    <cellStyle name="Date 141 2 3 3" xfId="5210"/>
    <cellStyle name="Date 141 2 4" xfId="5211"/>
    <cellStyle name="Date 141 2 5" xfId="5212"/>
    <cellStyle name="Date 141 3" xfId="5213"/>
    <cellStyle name="Date 141 3 2" xfId="5214"/>
    <cellStyle name="Date 141 3 3" xfId="5215"/>
    <cellStyle name="Date 141 4" xfId="5216"/>
    <cellStyle name="Date 141 4 2" xfId="5217"/>
    <cellStyle name="Date 141 4 3" xfId="5218"/>
    <cellStyle name="Date 141 5" xfId="5219"/>
    <cellStyle name="Date 141 6" xfId="5220"/>
    <cellStyle name="Date 142" xfId="5221"/>
    <cellStyle name="Date 142 2" xfId="5222"/>
    <cellStyle name="Date 142 2 2" xfId="5223"/>
    <cellStyle name="Date 142 2 2 2" xfId="5224"/>
    <cellStyle name="Date 142 2 2 3" xfId="5225"/>
    <cellStyle name="Date 142 2 3" xfId="5226"/>
    <cellStyle name="Date 142 2 3 2" xfId="5227"/>
    <cellStyle name="Date 142 2 3 3" xfId="5228"/>
    <cellStyle name="Date 142 2 4" xfId="5229"/>
    <cellStyle name="Date 142 2 5" xfId="5230"/>
    <cellStyle name="Date 142 3" xfId="5231"/>
    <cellStyle name="Date 142 3 2" xfId="5232"/>
    <cellStyle name="Date 142 3 3" xfId="5233"/>
    <cellStyle name="Date 142 4" xfId="5234"/>
    <cellStyle name="Date 142 4 2" xfId="5235"/>
    <cellStyle name="Date 142 4 3" xfId="5236"/>
    <cellStyle name="Date 142 5" xfId="5237"/>
    <cellStyle name="Date 142 6" xfId="5238"/>
    <cellStyle name="Date 143" xfId="5239"/>
    <cellStyle name="Date 143 2" xfId="5240"/>
    <cellStyle name="Date 143 2 2" xfId="5241"/>
    <cellStyle name="Date 143 2 2 2" xfId="5242"/>
    <cellStyle name="Date 143 2 2 3" xfId="5243"/>
    <cellStyle name="Date 143 2 3" xfId="5244"/>
    <cellStyle name="Date 143 2 3 2" xfId="5245"/>
    <cellStyle name="Date 143 2 3 3" xfId="5246"/>
    <cellStyle name="Date 143 2 4" xfId="5247"/>
    <cellStyle name="Date 143 2 5" xfId="5248"/>
    <cellStyle name="Date 143 3" xfId="5249"/>
    <cellStyle name="Date 143 3 2" xfId="5250"/>
    <cellStyle name="Date 143 3 3" xfId="5251"/>
    <cellStyle name="Date 143 4" xfId="5252"/>
    <cellStyle name="Date 143 4 2" xfId="5253"/>
    <cellStyle name="Date 143 4 3" xfId="5254"/>
    <cellStyle name="Date 143 5" xfId="5255"/>
    <cellStyle name="Date 143 6" xfId="5256"/>
    <cellStyle name="Date 144" xfId="5257"/>
    <cellStyle name="Date 144 2" xfId="5258"/>
    <cellStyle name="Date 144 2 2" xfId="5259"/>
    <cellStyle name="Date 144 2 2 2" xfId="5260"/>
    <cellStyle name="Date 144 2 2 3" xfId="5261"/>
    <cellStyle name="Date 144 2 3" xfId="5262"/>
    <cellStyle name="Date 144 2 3 2" xfId="5263"/>
    <cellStyle name="Date 144 2 3 3" xfId="5264"/>
    <cellStyle name="Date 144 2 4" xfId="5265"/>
    <cellStyle name="Date 144 2 5" xfId="5266"/>
    <cellStyle name="Date 144 3" xfId="5267"/>
    <cellStyle name="Date 144 3 2" xfId="5268"/>
    <cellStyle name="Date 144 3 3" xfId="5269"/>
    <cellStyle name="Date 144 4" xfId="5270"/>
    <cellStyle name="Date 144 4 2" xfId="5271"/>
    <cellStyle name="Date 144 4 3" xfId="5272"/>
    <cellStyle name="Date 144 5" xfId="5273"/>
    <cellStyle name="Date 144 6" xfId="5274"/>
    <cellStyle name="Date 145" xfId="5275"/>
    <cellStyle name="Date 145 2" xfId="5276"/>
    <cellStyle name="Date 145 2 2" xfId="5277"/>
    <cellStyle name="Date 145 2 2 2" xfId="5278"/>
    <cellStyle name="Date 145 2 2 3" xfId="5279"/>
    <cellStyle name="Date 145 2 3" xfId="5280"/>
    <cellStyle name="Date 145 2 3 2" xfId="5281"/>
    <cellStyle name="Date 145 2 3 3" xfId="5282"/>
    <cellStyle name="Date 145 2 4" xfId="5283"/>
    <cellStyle name="Date 145 2 5" xfId="5284"/>
    <cellStyle name="Date 145 3" xfId="5285"/>
    <cellStyle name="Date 145 3 2" xfId="5286"/>
    <cellStyle name="Date 145 3 3" xfId="5287"/>
    <cellStyle name="Date 145 4" xfId="5288"/>
    <cellStyle name="Date 145 4 2" xfId="5289"/>
    <cellStyle name="Date 145 4 3" xfId="5290"/>
    <cellStyle name="Date 145 5" xfId="5291"/>
    <cellStyle name="Date 145 6" xfId="5292"/>
    <cellStyle name="Date 146" xfId="5293"/>
    <cellStyle name="Date 146 2" xfId="5294"/>
    <cellStyle name="Date 146 2 2" xfId="5295"/>
    <cellStyle name="Date 146 2 2 2" xfId="5296"/>
    <cellStyle name="Date 146 2 2 3" xfId="5297"/>
    <cellStyle name="Date 146 2 3" xfId="5298"/>
    <cellStyle name="Date 146 2 3 2" xfId="5299"/>
    <cellStyle name="Date 146 2 3 3" xfId="5300"/>
    <cellStyle name="Date 146 2 4" xfId="5301"/>
    <cellStyle name="Date 146 2 5" xfId="5302"/>
    <cellStyle name="Date 146 3" xfId="5303"/>
    <cellStyle name="Date 146 3 2" xfId="5304"/>
    <cellStyle name="Date 146 3 3" xfId="5305"/>
    <cellStyle name="Date 146 4" xfId="5306"/>
    <cellStyle name="Date 146 4 2" xfId="5307"/>
    <cellStyle name="Date 146 4 3" xfId="5308"/>
    <cellStyle name="Date 146 5" xfId="5309"/>
    <cellStyle name="Date 146 6" xfId="5310"/>
    <cellStyle name="Date 147" xfId="5311"/>
    <cellStyle name="Date 147 2" xfId="5312"/>
    <cellStyle name="Date 147 2 2" xfId="5313"/>
    <cellStyle name="Date 147 2 2 2" xfId="5314"/>
    <cellStyle name="Date 147 2 2 3" xfId="5315"/>
    <cellStyle name="Date 147 2 3" xfId="5316"/>
    <cellStyle name="Date 147 2 3 2" xfId="5317"/>
    <cellStyle name="Date 147 2 3 3" xfId="5318"/>
    <cellStyle name="Date 147 2 4" xfId="5319"/>
    <cellStyle name="Date 147 2 5" xfId="5320"/>
    <cellStyle name="Date 147 3" xfId="5321"/>
    <cellStyle name="Date 147 3 2" xfId="5322"/>
    <cellStyle name="Date 147 3 3" xfId="5323"/>
    <cellStyle name="Date 147 4" xfId="5324"/>
    <cellStyle name="Date 147 4 2" xfId="5325"/>
    <cellStyle name="Date 147 4 3" xfId="5326"/>
    <cellStyle name="Date 147 5" xfId="5327"/>
    <cellStyle name="Date 147 6" xfId="5328"/>
    <cellStyle name="Date 148" xfId="5329"/>
    <cellStyle name="Date 148 2" xfId="5330"/>
    <cellStyle name="Date 148 2 2" xfId="5331"/>
    <cellStyle name="Date 148 2 2 2" xfId="5332"/>
    <cellStyle name="Date 148 2 2 3" xfId="5333"/>
    <cellStyle name="Date 148 2 3" xfId="5334"/>
    <cellStyle name="Date 148 2 3 2" xfId="5335"/>
    <cellStyle name="Date 148 2 3 3" xfId="5336"/>
    <cellStyle name="Date 148 2 4" xfId="5337"/>
    <cellStyle name="Date 148 2 5" xfId="5338"/>
    <cellStyle name="Date 148 3" xfId="5339"/>
    <cellStyle name="Date 148 3 2" xfId="5340"/>
    <cellStyle name="Date 148 3 3" xfId="5341"/>
    <cellStyle name="Date 148 4" xfId="5342"/>
    <cellStyle name="Date 148 4 2" xfId="5343"/>
    <cellStyle name="Date 148 4 3" xfId="5344"/>
    <cellStyle name="Date 148 5" xfId="5345"/>
    <cellStyle name="Date 148 6" xfId="5346"/>
    <cellStyle name="Date 149" xfId="5347"/>
    <cellStyle name="Date 149 2" xfId="5348"/>
    <cellStyle name="Date 149 2 2" xfId="5349"/>
    <cellStyle name="Date 149 2 2 2" xfId="5350"/>
    <cellStyle name="Date 149 2 2 3" xfId="5351"/>
    <cellStyle name="Date 149 2 3" xfId="5352"/>
    <cellStyle name="Date 149 2 3 2" xfId="5353"/>
    <cellStyle name="Date 149 2 3 3" xfId="5354"/>
    <cellStyle name="Date 149 2 4" xfId="5355"/>
    <cellStyle name="Date 149 2 5" xfId="5356"/>
    <cellStyle name="Date 149 3" xfId="5357"/>
    <cellStyle name="Date 149 3 2" xfId="5358"/>
    <cellStyle name="Date 149 3 3" xfId="5359"/>
    <cellStyle name="Date 149 4" xfId="5360"/>
    <cellStyle name="Date 149 4 2" xfId="5361"/>
    <cellStyle name="Date 149 4 3" xfId="5362"/>
    <cellStyle name="Date 149 5" xfId="5363"/>
    <cellStyle name="Date 149 6" xfId="5364"/>
    <cellStyle name="Date 15" xfId="5365"/>
    <cellStyle name="Date 15 2" xfId="5366"/>
    <cellStyle name="Date 15 2 2" xfId="5367"/>
    <cellStyle name="Date 15 2 3" xfId="5368"/>
    <cellStyle name="Date 15 3" xfId="5369"/>
    <cellStyle name="Date 15 3 2" xfId="5370"/>
    <cellStyle name="Date 15 3 3" xfId="5371"/>
    <cellStyle name="Date 15 4" xfId="5372"/>
    <cellStyle name="Date 15 5" xfId="5373"/>
    <cellStyle name="Date 150" xfId="5374"/>
    <cellStyle name="Date 150 2" xfId="5375"/>
    <cellStyle name="Date 150 2 2" xfId="5376"/>
    <cellStyle name="Date 150 2 2 2" xfId="5377"/>
    <cellStyle name="Date 150 2 2 3" xfId="5378"/>
    <cellStyle name="Date 150 2 3" xfId="5379"/>
    <cellStyle name="Date 150 2 3 2" xfId="5380"/>
    <cellStyle name="Date 150 2 3 3" xfId="5381"/>
    <cellStyle name="Date 150 2 4" xfId="5382"/>
    <cellStyle name="Date 150 2 5" xfId="5383"/>
    <cellStyle name="Date 150 3" xfId="5384"/>
    <cellStyle name="Date 150 3 2" xfId="5385"/>
    <cellStyle name="Date 150 3 3" xfId="5386"/>
    <cellStyle name="Date 150 4" xfId="5387"/>
    <cellStyle name="Date 150 4 2" xfId="5388"/>
    <cellStyle name="Date 150 4 3" xfId="5389"/>
    <cellStyle name="Date 150 5" xfId="5390"/>
    <cellStyle name="Date 150 6" xfId="5391"/>
    <cellStyle name="Date 151" xfId="5392"/>
    <cellStyle name="Date 151 2" xfId="5393"/>
    <cellStyle name="Date 151 2 2" xfId="5394"/>
    <cellStyle name="Date 151 2 2 2" xfId="5395"/>
    <cellStyle name="Date 151 2 2 3" xfId="5396"/>
    <cellStyle name="Date 151 2 3" xfId="5397"/>
    <cellStyle name="Date 151 2 3 2" xfId="5398"/>
    <cellStyle name="Date 151 2 3 3" xfId="5399"/>
    <cellStyle name="Date 151 2 4" xfId="5400"/>
    <cellStyle name="Date 151 2 5" xfId="5401"/>
    <cellStyle name="Date 151 3" xfId="5402"/>
    <cellStyle name="Date 151 3 2" xfId="5403"/>
    <cellStyle name="Date 151 3 3" xfId="5404"/>
    <cellStyle name="Date 151 4" xfId="5405"/>
    <cellStyle name="Date 151 4 2" xfId="5406"/>
    <cellStyle name="Date 151 4 3" xfId="5407"/>
    <cellStyle name="Date 151 5" xfId="5408"/>
    <cellStyle name="Date 151 6" xfId="5409"/>
    <cellStyle name="Date 152" xfId="5410"/>
    <cellStyle name="Date 152 2" xfId="5411"/>
    <cellStyle name="Date 152 2 2" xfId="5412"/>
    <cellStyle name="Date 152 2 2 2" xfId="5413"/>
    <cellStyle name="Date 152 2 2 3" xfId="5414"/>
    <cellStyle name="Date 152 2 3" xfId="5415"/>
    <cellStyle name="Date 152 2 3 2" xfId="5416"/>
    <cellStyle name="Date 152 2 3 3" xfId="5417"/>
    <cellStyle name="Date 152 2 4" xfId="5418"/>
    <cellStyle name="Date 152 2 5" xfId="5419"/>
    <cellStyle name="Date 152 3" xfId="5420"/>
    <cellStyle name="Date 152 3 2" xfId="5421"/>
    <cellStyle name="Date 152 3 3" xfId="5422"/>
    <cellStyle name="Date 152 4" xfId="5423"/>
    <cellStyle name="Date 152 4 2" xfId="5424"/>
    <cellStyle name="Date 152 4 3" xfId="5425"/>
    <cellStyle name="Date 152 5" xfId="5426"/>
    <cellStyle name="Date 152 6" xfId="5427"/>
    <cellStyle name="Date 153" xfId="5428"/>
    <cellStyle name="Date 153 2" xfId="5429"/>
    <cellStyle name="Date 153 2 2" xfId="5430"/>
    <cellStyle name="Date 153 2 2 2" xfId="5431"/>
    <cellStyle name="Date 153 2 2 3" xfId="5432"/>
    <cellStyle name="Date 153 2 3" xfId="5433"/>
    <cellStyle name="Date 153 2 3 2" xfId="5434"/>
    <cellStyle name="Date 153 2 3 3" xfId="5435"/>
    <cellStyle name="Date 153 2 4" xfId="5436"/>
    <cellStyle name="Date 153 2 5" xfId="5437"/>
    <cellStyle name="Date 153 3" xfId="5438"/>
    <cellStyle name="Date 153 3 2" xfId="5439"/>
    <cellStyle name="Date 153 3 3" xfId="5440"/>
    <cellStyle name="Date 153 4" xfId="5441"/>
    <cellStyle name="Date 153 4 2" xfId="5442"/>
    <cellStyle name="Date 153 4 3" xfId="5443"/>
    <cellStyle name="Date 153 5" xfId="5444"/>
    <cellStyle name="Date 153 6" xfId="5445"/>
    <cellStyle name="Date 154" xfId="5446"/>
    <cellStyle name="Date 154 2" xfId="5447"/>
    <cellStyle name="Date 154 2 2" xfId="5448"/>
    <cellStyle name="Date 154 2 2 2" xfId="5449"/>
    <cellStyle name="Date 154 2 2 3" xfId="5450"/>
    <cellStyle name="Date 154 2 3" xfId="5451"/>
    <cellStyle name="Date 154 2 3 2" xfId="5452"/>
    <cellStyle name="Date 154 2 3 3" xfId="5453"/>
    <cellStyle name="Date 154 2 4" xfId="5454"/>
    <cellStyle name="Date 154 2 5" xfId="5455"/>
    <cellStyle name="Date 154 3" xfId="5456"/>
    <cellStyle name="Date 154 3 2" xfId="5457"/>
    <cellStyle name="Date 154 3 3" xfId="5458"/>
    <cellStyle name="Date 154 4" xfId="5459"/>
    <cellStyle name="Date 154 4 2" xfId="5460"/>
    <cellStyle name="Date 154 4 3" xfId="5461"/>
    <cellStyle name="Date 154 5" xfId="5462"/>
    <cellStyle name="Date 154 6" xfId="5463"/>
    <cellStyle name="Date 155" xfId="5464"/>
    <cellStyle name="Date 155 2" xfId="5465"/>
    <cellStyle name="Date 155 2 2" xfId="5466"/>
    <cellStyle name="Date 155 2 2 2" xfId="5467"/>
    <cellStyle name="Date 155 2 2 3" xfId="5468"/>
    <cellStyle name="Date 155 2 3" xfId="5469"/>
    <cellStyle name="Date 155 2 3 2" xfId="5470"/>
    <cellStyle name="Date 155 2 3 3" xfId="5471"/>
    <cellStyle name="Date 155 2 4" xfId="5472"/>
    <cellStyle name="Date 155 2 5" xfId="5473"/>
    <cellStyle name="Date 155 3" xfId="5474"/>
    <cellStyle name="Date 155 3 2" xfId="5475"/>
    <cellStyle name="Date 155 3 3" xfId="5476"/>
    <cellStyle name="Date 155 4" xfId="5477"/>
    <cellStyle name="Date 155 4 2" xfId="5478"/>
    <cellStyle name="Date 155 4 3" xfId="5479"/>
    <cellStyle name="Date 155 5" xfId="5480"/>
    <cellStyle name="Date 155 6" xfId="5481"/>
    <cellStyle name="Date 156" xfId="5482"/>
    <cellStyle name="Date 156 2" xfId="5483"/>
    <cellStyle name="Date 156 2 2" xfId="5484"/>
    <cellStyle name="Date 156 2 3" xfId="5485"/>
    <cellStyle name="Date 156 3" xfId="5486"/>
    <cellStyle name="Date 156 3 2" xfId="5487"/>
    <cellStyle name="Date 156 3 3" xfId="5488"/>
    <cellStyle name="Date 156 4" xfId="5489"/>
    <cellStyle name="Date 156 5" xfId="5490"/>
    <cellStyle name="Date 157" xfId="5491"/>
    <cellStyle name="Date 157 2" xfId="5492"/>
    <cellStyle name="Date 157 2 2" xfId="5493"/>
    <cellStyle name="Date 157 2 3" xfId="5494"/>
    <cellStyle name="Date 157 3" xfId="5495"/>
    <cellStyle name="Date 157 3 2" xfId="5496"/>
    <cellStyle name="Date 157 3 3" xfId="5497"/>
    <cellStyle name="Date 157 4" xfId="5498"/>
    <cellStyle name="Date 157 5" xfId="5499"/>
    <cellStyle name="Date 158" xfId="5500"/>
    <cellStyle name="Date 158 2" xfId="5501"/>
    <cellStyle name="Date 158 2 2" xfId="5502"/>
    <cellStyle name="Date 158 2 3" xfId="5503"/>
    <cellStyle name="Date 158 3" xfId="5504"/>
    <cellStyle name="Date 158 3 2" xfId="5505"/>
    <cellStyle name="Date 158 3 3" xfId="5506"/>
    <cellStyle name="Date 158 4" xfId="5507"/>
    <cellStyle name="Date 158 5" xfId="5508"/>
    <cellStyle name="Date 159" xfId="5509"/>
    <cellStyle name="Date 159 2" xfId="5510"/>
    <cellStyle name="Date 159 2 2" xfId="5511"/>
    <cellStyle name="Date 159 2 3" xfId="5512"/>
    <cellStyle name="Date 159 3" xfId="5513"/>
    <cellStyle name="Date 159 3 2" xfId="5514"/>
    <cellStyle name="Date 159 3 3" xfId="5515"/>
    <cellStyle name="Date 159 4" xfId="5516"/>
    <cellStyle name="Date 159 5" xfId="5517"/>
    <cellStyle name="Date 16" xfId="5518"/>
    <cellStyle name="Date 16 2" xfId="5519"/>
    <cellStyle name="Date 16 2 2" xfId="5520"/>
    <cellStyle name="Date 16 2 3" xfId="5521"/>
    <cellStyle name="Date 16 3" xfId="5522"/>
    <cellStyle name="Date 16 3 2" xfId="5523"/>
    <cellStyle name="Date 16 3 3" xfId="5524"/>
    <cellStyle name="Date 16 4" xfId="5525"/>
    <cellStyle name="Date 16 5" xfId="5526"/>
    <cellStyle name="Date 160" xfId="5527"/>
    <cellStyle name="Date 160 2" xfId="5528"/>
    <cellStyle name="Date 160 2 2" xfId="5529"/>
    <cellStyle name="Date 160 2 3" xfId="5530"/>
    <cellStyle name="Date 160 3" xfId="5531"/>
    <cellStyle name="Date 160 3 2" xfId="5532"/>
    <cellStyle name="Date 160 3 3" xfId="5533"/>
    <cellStyle name="Date 160 4" xfId="5534"/>
    <cellStyle name="Date 160 5" xfId="5535"/>
    <cellStyle name="Date 161" xfId="5536"/>
    <cellStyle name="Date 161 2" xfId="5537"/>
    <cellStyle name="Date 161 2 2" xfId="5538"/>
    <cellStyle name="Date 161 2 3" xfId="5539"/>
    <cellStyle name="Date 161 3" xfId="5540"/>
    <cellStyle name="Date 161 3 2" xfId="5541"/>
    <cellStyle name="Date 161 3 3" xfId="5542"/>
    <cellStyle name="Date 161 4" xfId="5543"/>
    <cellStyle name="Date 161 5" xfId="5544"/>
    <cellStyle name="Date 162" xfId="5545"/>
    <cellStyle name="Date 162 2" xfId="5546"/>
    <cellStyle name="Date 162 2 2" xfId="5547"/>
    <cellStyle name="Date 162 2 3" xfId="5548"/>
    <cellStyle name="Date 162 3" xfId="5549"/>
    <cellStyle name="Date 162 3 2" xfId="5550"/>
    <cellStyle name="Date 162 3 3" xfId="5551"/>
    <cellStyle name="Date 162 4" xfId="5552"/>
    <cellStyle name="Date 162 5" xfId="5553"/>
    <cellStyle name="Date 163" xfId="5554"/>
    <cellStyle name="Date 163 2" xfId="5555"/>
    <cellStyle name="Date 163 2 2" xfId="5556"/>
    <cellStyle name="Date 163 2 3" xfId="5557"/>
    <cellStyle name="Date 163 3" xfId="5558"/>
    <cellStyle name="Date 163 3 2" xfId="5559"/>
    <cellStyle name="Date 163 3 3" xfId="5560"/>
    <cellStyle name="Date 163 4" xfId="5561"/>
    <cellStyle name="Date 163 5" xfId="5562"/>
    <cellStyle name="Date 164" xfId="5563"/>
    <cellStyle name="Date 164 2" xfId="5564"/>
    <cellStyle name="Date 164 2 2" xfId="5565"/>
    <cellStyle name="Date 164 2 3" xfId="5566"/>
    <cellStyle name="Date 164 3" xfId="5567"/>
    <cellStyle name="Date 164 3 2" xfId="5568"/>
    <cellStyle name="Date 164 3 3" xfId="5569"/>
    <cellStyle name="Date 164 4" xfId="5570"/>
    <cellStyle name="Date 164 5" xfId="5571"/>
    <cellStyle name="Date 165" xfId="5572"/>
    <cellStyle name="Date 165 2" xfId="5573"/>
    <cellStyle name="Date 165 2 2" xfId="5574"/>
    <cellStyle name="Date 165 2 3" xfId="5575"/>
    <cellStyle name="Date 165 3" xfId="5576"/>
    <cellStyle name="Date 165 3 2" xfId="5577"/>
    <cellStyle name="Date 165 3 3" xfId="5578"/>
    <cellStyle name="Date 165 4" xfId="5579"/>
    <cellStyle name="Date 165 5" xfId="5580"/>
    <cellStyle name="Date 166" xfId="5581"/>
    <cellStyle name="Date 166 2" xfId="5582"/>
    <cellStyle name="Date 166 2 2" xfId="5583"/>
    <cellStyle name="Date 166 2 3" xfId="5584"/>
    <cellStyle name="Date 166 3" xfId="5585"/>
    <cellStyle name="Date 166 3 2" xfId="5586"/>
    <cellStyle name="Date 166 3 3" xfId="5587"/>
    <cellStyle name="Date 166 4" xfId="5588"/>
    <cellStyle name="Date 166 5" xfId="5589"/>
    <cellStyle name="Date 167" xfId="5590"/>
    <cellStyle name="Date 167 2" xfId="5591"/>
    <cellStyle name="Date 167 2 2" xfId="5592"/>
    <cellStyle name="Date 167 2 3" xfId="5593"/>
    <cellStyle name="Date 167 3" xfId="5594"/>
    <cellStyle name="Date 167 3 2" xfId="5595"/>
    <cellStyle name="Date 167 3 3" xfId="5596"/>
    <cellStyle name="Date 167 4" xfId="5597"/>
    <cellStyle name="Date 167 5" xfId="5598"/>
    <cellStyle name="Date 168" xfId="5599"/>
    <cellStyle name="Date 168 2" xfId="5600"/>
    <cellStyle name="Date 168 2 2" xfId="5601"/>
    <cellStyle name="Date 168 2 3" xfId="5602"/>
    <cellStyle name="Date 168 3" xfId="5603"/>
    <cellStyle name="Date 168 3 2" xfId="5604"/>
    <cellStyle name="Date 168 3 3" xfId="5605"/>
    <cellStyle name="Date 168 4" xfId="5606"/>
    <cellStyle name="Date 168 5" xfId="5607"/>
    <cellStyle name="Date 169" xfId="5608"/>
    <cellStyle name="Date 169 2" xfId="5609"/>
    <cellStyle name="Date 169 2 2" xfId="5610"/>
    <cellStyle name="Date 169 2 3" xfId="5611"/>
    <cellStyle name="Date 169 3" xfId="5612"/>
    <cellStyle name="Date 169 3 2" xfId="5613"/>
    <cellStyle name="Date 169 3 3" xfId="5614"/>
    <cellStyle name="Date 169 4" xfId="5615"/>
    <cellStyle name="Date 169 5" xfId="5616"/>
    <cellStyle name="Date 17" xfId="5617"/>
    <cellStyle name="Date 17 2" xfId="5618"/>
    <cellStyle name="Date 17 2 2" xfId="5619"/>
    <cellStyle name="Date 17 2 3" xfId="5620"/>
    <cellStyle name="Date 17 3" xfId="5621"/>
    <cellStyle name="Date 17 3 2" xfId="5622"/>
    <cellStyle name="Date 17 3 3" xfId="5623"/>
    <cellStyle name="Date 17 4" xfId="5624"/>
    <cellStyle name="Date 17 5" xfId="5625"/>
    <cellStyle name="Date 170" xfId="5626"/>
    <cellStyle name="Date 170 2" xfId="5627"/>
    <cellStyle name="Date 170 2 2" xfId="5628"/>
    <cellStyle name="Date 170 2 3" xfId="5629"/>
    <cellStyle name="Date 170 3" xfId="5630"/>
    <cellStyle name="Date 170 3 2" xfId="5631"/>
    <cellStyle name="Date 170 3 3" xfId="5632"/>
    <cellStyle name="Date 170 4" xfId="5633"/>
    <cellStyle name="Date 170 5" xfId="5634"/>
    <cellStyle name="Date 171" xfId="5635"/>
    <cellStyle name="Date 171 2" xfId="5636"/>
    <cellStyle name="Date 171 2 2" xfId="5637"/>
    <cellStyle name="Date 171 2 3" xfId="5638"/>
    <cellStyle name="Date 171 3" xfId="5639"/>
    <cellStyle name="Date 171 3 2" xfId="5640"/>
    <cellStyle name="Date 171 3 3" xfId="5641"/>
    <cellStyle name="Date 171 4" xfId="5642"/>
    <cellStyle name="Date 171 5" xfId="5643"/>
    <cellStyle name="Date 172" xfId="5644"/>
    <cellStyle name="Date 172 2" xfId="5645"/>
    <cellStyle name="Date 172 2 2" xfId="5646"/>
    <cellStyle name="Date 172 2 3" xfId="5647"/>
    <cellStyle name="Date 172 3" xfId="5648"/>
    <cellStyle name="Date 172 3 2" xfId="5649"/>
    <cellStyle name="Date 172 3 3" xfId="5650"/>
    <cellStyle name="Date 172 4" xfId="5651"/>
    <cellStyle name="Date 172 5" xfId="5652"/>
    <cellStyle name="Date 173" xfId="5653"/>
    <cellStyle name="Date 173 2" xfId="5654"/>
    <cellStyle name="Date 173 2 2" xfId="5655"/>
    <cellStyle name="Date 173 2 3" xfId="5656"/>
    <cellStyle name="Date 173 3" xfId="5657"/>
    <cellStyle name="Date 173 3 2" xfId="5658"/>
    <cellStyle name="Date 173 3 3" xfId="5659"/>
    <cellStyle name="Date 173 4" xfId="5660"/>
    <cellStyle name="Date 173 5" xfId="5661"/>
    <cellStyle name="Date 174" xfId="5662"/>
    <cellStyle name="Date 174 2" xfId="5663"/>
    <cellStyle name="Date 174 2 2" xfId="5664"/>
    <cellStyle name="Date 174 2 3" xfId="5665"/>
    <cellStyle name="Date 174 3" xfId="5666"/>
    <cellStyle name="Date 174 3 2" xfId="5667"/>
    <cellStyle name="Date 174 3 3" xfId="5668"/>
    <cellStyle name="Date 174 4" xfId="5669"/>
    <cellStyle name="Date 174 5" xfId="5670"/>
    <cellStyle name="Date 175" xfId="5671"/>
    <cellStyle name="Date 175 2" xfId="5672"/>
    <cellStyle name="Date 175 2 2" xfId="5673"/>
    <cellStyle name="Date 175 2 3" xfId="5674"/>
    <cellStyle name="Date 175 3" xfId="5675"/>
    <cellStyle name="Date 175 3 2" xfId="5676"/>
    <cellStyle name="Date 175 3 3" xfId="5677"/>
    <cellStyle name="Date 175 4" xfId="5678"/>
    <cellStyle name="Date 175 5" xfId="5679"/>
    <cellStyle name="Date 176" xfId="5680"/>
    <cellStyle name="Date 176 2" xfId="5681"/>
    <cellStyle name="Date 176 2 2" xfId="5682"/>
    <cellStyle name="Date 176 2 3" xfId="5683"/>
    <cellStyle name="Date 176 3" xfId="5684"/>
    <cellStyle name="Date 176 3 2" xfId="5685"/>
    <cellStyle name="Date 176 3 3" xfId="5686"/>
    <cellStyle name="Date 176 4" xfId="5687"/>
    <cellStyle name="Date 176 5" xfId="5688"/>
    <cellStyle name="Date 177" xfId="5689"/>
    <cellStyle name="Date 177 2" xfId="5690"/>
    <cellStyle name="Date 177 2 2" xfId="5691"/>
    <cellStyle name="Date 177 2 3" xfId="5692"/>
    <cellStyle name="Date 177 3" xfId="5693"/>
    <cellStyle name="Date 177 3 2" xfId="5694"/>
    <cellStyle name="Date 177 3 3" xfId="5695"/>
    <cellStyle name="Date 177 4" xfId="5696"/>
    <cellStyle name="Date 177 5" xfId="5697"/>
    <cellStyle name="Date 178" xfId="5698"/>
    <cellStyle name="Date 178 2" xfId="5699"/>
    <cellStyle name="Date 178 2 2" xfId="5700"/>
    <cellStyle name="Date 178 2 3" xfId="5701"/>
    <cellStyle name="Date 178 3" xfId="5702"/>
    <cellStyle name="Date 178 3 2" xfId="5703"/>
    <cellStyle name="Date 178 3 3" xfId="5704"/>
    <cellStyle name="Date 178 4" xfId="5705"/>
    <cellStyle name="Date 178 5" xfId="5706"/>
    <cellStyle name="Date 179" xfId="5707"/>
    <cellStyle name="Date 179 2" xfId="5708"/>
    <cellStyle name="Date 179 2 2" xfId="5709"/>
    <cellStyle name="Date 179 2 3" xfId="5710"/>
    <cellStyle name="Date 179 3" xfId="5711"/>
    <cellStyle name="Date 179 3 2" xfId="5712"/>
    <cellStyle name="Date 179 3 3" xfId="5713"/>
    <cellStyle name="Date 179 4" xfId="5714"/>
    <cellStyle name="Date 179 5" xfId="5715"/>
    <cellStyle name="Date 18" xfId="5716"/>
    <cellStyle name="Date 18 2" xfId="5717"/>
    <cellStyle name="Date 18 2 2" xfId="5718"/>
    <cellStyle name="Date 18 2 3" xfId="5719"/>
    <cellStyle name="Date 18 3" xfId="5720"/>
    <cellStyle name="Date 18 3 2" xfId="5721"/>
    <cellStyle name="Date 18 3 3" xfId="5722"/>
    <cellStyle name="Date 18 4" xfId="5723"/>
    <cellStyle name="Date 18 5" xfId="5724"/>
    <cellStyle name="Date 180" xfId="5725"/>
    <cellStyle name="Date 180 2" xfId="5726"/>
    <cellStyle name="Date 180 2 2" xfId="5727"/>
    <cellStyle name="Date 180 2 3" xfId="5728"/>
    <cellStyle name="Date 180 3" xfId="5729"/>
    <cellStyle name="Date 180 3 2" xfId="5730"/>
    <cellStyle name="Date 180 3 3" xfId="5731"/>
    <cellStyle name="Date 180 4" xfId="5732"/>
    <cellStyle name="Date 180 5" xfId="5733"/>
    <cellStyle name="Date 181" xfId="5734"/>
    <cellStyle name="Date 181 2" xfId="5735"/>
    <cellStyle name="Date 181 2 2" xfId="5736"/>
    <cellStyle name="Date 181 2 3" xfId="5737"/>
    <cellStyle name="Date 181 3" xfId="5738"/>
    <cellStyle name="Date 181 3 2" xfId="5739"/>
    <cellStyle name="Date 181 3 3" xfId="5740"/>
    <cellStyle name="Date 181 4" xfId="5741"/>
    <cellStyle name="Date 181 5" xfId="5742"/>
    <cellStyle name="Date 182" xfId="5743"/>
    <cellStyle name="Date 182 2" xfId="5744"/>
    <cellStyle name="Date 182 2 2" xfId="5745"/>
    <cellStyle name="Date 182 2 3" xfId="5746"/>
    <cellStyle name="Date 182 3" xfId="5747"/>
    <cellStyle name="Date 182 3 2" xfId="5748"/>
    <cellStyle name="Date 182 3 3" xfId="5749"/>
    <cellStyle name="Date 182 4" xfId="5750"/>
    <cellStyle name="Date 182 5" xfId="5751"/>
    <cellStyle name="Date 183" xfId="5752"/>
    <cellStyle name="Date 183 2" xfId="5753"/>
    <cellStyle name="Date 183 2 2" xfId="5754"/>
    <cellStyle name="Date 183 2 3" xfId="5755"/>
    <cellStyle name="Date 183 3" xfId="5756"/>
    <cellStyle name="Date 183 3 2" xfId="5757"/>
    <cellStyle name="Date 183 3 3" xfId="5758"/>
    <cellStyle name="Date 183 4" xfId="5759"/>
    <cellStyle name="Date 183 5" xfId="5760"/>
    <cellStyle name="Date 184" xfId="5761"/>
    <cellStyle name="Date 184 2" xfId="5762"/>
    <cellStyle name="Date 184 2 2" xfId="5763"/>
    <cellStyle name="Date 184 2 3" xfId="5764"/>
    <cellStyle name="Date 184 3" xfId="5765"/>
    <cellStyle name="Date 184 3 2" xfId="5766"/>
    <cellStyle name="Date 184 3 3" xfId="5767"/>
    <cellStyle name="Date 184 4" xfId="5768"/>
    <cellStyle name="Date 184 5" xfId="5769"/>
    <cellStyle name="Date 185" xfId="5770"/>
    <cellStyle name="Date 185 2" xfId="5771"/>
    <cellStyle name="Date 185 2 2" xfId="5772"/>
    <cellStyle name="Date 185 2 3" xfId="5773"/>
    <cellStyle name="Date 185 3" xfId="5774"/>
    <cellStyle name="Date 185 3 2" xfId="5775"/>
    <cellStyle name="Date 185 3 3" xfId="5776"/>
    <cellStyle name="Date 185 4" xfId="5777"/>
    <cellStyle name="Date 185 5" xfId="5778"/>
    <cellStyle name="Date 186" xfId="5779"/>
    <cellStyle name="Date 186 2" xfId="5780"/>
    <cellStyle name="Date 186 2 2" xfId="5781"/>
    <cellStyle name="Date 186 2 3" xfId="5782"/>
    <cellStyle name="Date 186 3" xfId="5783"/>
    <cellStyle name="Date 186 3 2" xfId="5784"/>
    <cellStyle name="Date 186 3 3" xfId="5785"/>
    <cellStyle name="Date 186 4" xfId="5786"/>
    <cellStyle name="Date 186 5" xfId="5787"/>
    <cellStyle name="Date 187" xfId="5788"/>
    <cellStyle name="Date 187 2" xfId="5789"/>
    <cellStyle name="Date 187 2 2" xfId="5790"/>
    <cellStyle name="Date 187 2 3" xfId="5791"/>
    <cellStyle name="Date 187 3" xfId="5792"/>
    <cellStyle name="Date 187 3 2" xfId="5793"/>
    <cellStyle name="Date 187 3 3" xfId="5794"/>
    <cellStyle name="Date 187 4" xfId="5795"/>
    <cellStyle name="Date 187 5" xfId="5796"/>
    <cellStyle name="Date 188" xfId="5797"/>
    <cellStyle name="Date 188 2" xfId="5798"/>
    <cellStyle name="Date 188 2 2" xfId="5799"/>
    <cellStyle name="Date 188 2 3" xfId="5800"/>
    <cellStyle name="Date 188 3" xfId="5801"/>
    <cellStyle name="Date 188 3 2" xfId="5802"/>
    <cellStyle name="Date 188 3 3" xfId="5803"/>
    <cellStyle name="Date 188 4" xfId="5804"/>
    <cellStyle name="Date 188 5" xfId="5805"/>
    <cellStyle name="Date 189" xfId="5806"/>
    <cellStyle name="Date 189 2" xfId="5807"/>
    <cellStyle name="Date 189 3" xfId="5808"/>
    <cellStyle name="Date 19" xfId="5809"/>
    <cellStyle name="Date 19 2" xfId="5810"/>
    <cellStyle name="Date 19 2 2" xfId="5811"/>
    <cellStyle name="Date 19 2 3" xfId="5812"/>
    <cellStyle name="Date 19 3" xfId="5813"/>
    <cellStyle name="Date 19 3 2" xfId="5814"/>
    <cellStyle name="Date 19 3 3" xfId="5815"/>
    <cellStyle name="Date 19 4" xfId="5816"/>
    <cellStyle name="Date 19 5" xfId="5817"/>
    <cellStyle name="Date 190" xfId="5818"/>
    <cellStyle name="Date 190 2" xfId="5819"/>
    <cellStyle name="Date 190 3" xfId="5820"/>
    <cellStyle name="Date 191" xfId="5821"/>
    <cellStyle name="Date 191 2" xfId="5822"/>
    <cellStyle name="Date 191 3" xfId="5823"/>
    <cellStyle name="Date 192" xfId="5824"/>
    <cellStyle name="Date 192 2" xfId="5825"/>
    <cellStyle name="Date 192 3" xfId="5826"/>
    <cellStyle name="Date 193" xfId="5827"/>
    <cellStyle name="Date 193 2" xfId="5828"/>
    <cellStyle name="Date 193 3" xfId="5829"/>
    <cellStyle name="Date 194" xfId="5830"/>
    <cellStyle name="Date 194 2" xfId="5831"/>
    <cellStyle name="Date 194 3" xfId="5832"/>
    <cellStyle name="Date 195" xfId="5833"/>
    <cellStyle name="Date 195 2" xfId="5834"/>
    <cellStyle name="Date 195 3" xfId="5835"/>
    <cellStyle name="Date 196" xfId="5836"/>
    <cellStyle name="Date 196 2" xfId="5837"/>
    <cellStyle name="Date 196 3" xfId="5838"/>
    <cellStyle name="Date 197" xfId="5839"/>
    <cellStyle name="Date 197 2" xfId="5840"/>
    <cellStyle name="Date 197 3" xfId="5841"/>
    <cellStyle name="Date 198" xfId="5842"/>
    <cellStyle name="Date 198 2" xfId="5843"/>
    <cellStyle name="Date 198 3" xfId="5844"/>
    <cellStyle name="Date 199" xfId="5845"/>
    <cellStyle name="Date 199 2" xfId="5846"/>
    <cellStyle name="Date 199 3" xfId="5847"/>
    <cellStyle name="Date 2" xfId="5848"/>
    <cellStyle name="Date 2 2" xfId="5849"/>
    <cellStyle name="Date 2 2 2" xfId="5850"/>
    <cellStyle name="Date 2 2 2 2" xfId="5851"/>
    <cellStyle name="Date 2 2 2 3" xfId="5852"/>
    <cellStyle name="Date 2 2 3" xfId="5853"/>
    <cellStyle name="Date 2 2 3 2" xfId="5854"/>
    <cellStyle name="Date 2 2 3 3" xfId="5855"/>
    <cellStyle name="Date 2 2 4" xfId="5856"/>
    <cellStyle name="Date 2 2 5" xfId="5857"/>
    <cellStyle name="Date 2 3" xfId="5858"/>
    <cellStyle name="Date 2 3 2" xfId="5859"/>
    <cellStyle name="Date 2 3 3" xfId="5860"/>
    <cellStyle name="Date 2 4" xfId="5861"/>
    <cellStyle name="Date 2 4 2" xfId="5862"/>
    <cellStyle name="Date 2 4 3" xfId="5863"/>
    <cellStyle name="Date 2 5" xfId="5864"/>
    <cellStyle name="Date 2 6" xfId="5865"/>
    <cellStyle name="Date 20" xfId="5866"/>
    <cellStyle name="Date 20 2" xfId="5867"/>
    <cellStyle name="Date 20 2 2" xfId="5868"/>
    <cellStyle name="Date 20 2 3" xfId="5869"/>
    <cellStyle name="Date 20 3" xfId="5870"/>
    <cellStyle name="Date 20 3 2" xfId="5871"/>
    <cellStyle name="Date 20 3 3" xfId="5872"/>
    <cellStyle name="Date 20 4" xfId="5873"/>
    <cellStyle name="Date 20 5" xfId="5874"/>
    <cellStyle name="Date 200" xfId="5875"/>
    <cellStyle name="Date 200 2" xfId="5876"/>
    <cellStyle name="Date 200 3" xfId="5877"/>
    <cellStyle name="Date 201" xfId="5878"/>
    <cellStyle name="Date 201 2" xfId="5879"/>
    <cellStyle name="Date 201 3" xfId="5880"/>
    <cellStyle name="Date 202" xfId="5881"/>
    <cellStyle name="Date 202 2" xfId="5882"/>
    <cellStyle name="Date 202 3" xfId="5883"/>
    <cellStyle name="Date 203" xfId="5884"/>
    <cellStyle name="Date 203 2" xfId="5885"/>
    <cellStyle name="Date 203 3" xfId="5886"/>
    <cellStyle name="Date 204" xfId="5887"/>
    <cellStyle name="Date 204 2" xfId="5888"/>
    <cellStyle name="Date 204 3" xfId="5889"/>
    <cellStyle name="Date 205" xfId="5890"/>
    <cellStyle name="Date 205 2" xfId="5891"/>
    <cellStyle name="Date 205 3" xfId="5892"/>
    <cellStyle name="Date 206" xfId="5893"/>
    <cellStyle name="Date 206 2" xfId="5894"/>
    <cellStyle name="Date 206 3" xfId="5895"/>
    <cellStyle name="Date 207" xfId="5896"/>
    <cellStyle name="Date 207 2" xfId="5897"/>
    <cellStyle name="Date 207 3" xfId="5898"/>
    <cellStyle name="Date 208" xfId="5899"/>
    <cellStyle name="Date 208 2" xfId="5900"/>
    <cellStyle name="Date 208 3" xfId="5901"/>
    <cellStyle name="Date 209" xfId="5902"/>
    <cellStyle name="Date 209 2" xfId="5903"/>
    <cellStyle name="Date 209 3" xfId="5904"/>
    <cellStyle name="Date 21" xfId="5905"/>
    <cellStyle name="Date 21 2" xfId="5906"/>
    <cellStyle name="Date 21 2 2" xfId="5907"/>
    <cellStyle name="Date 21 2 3" xfId="5908"/>
    <cellStyle name="Date 21 3" xfId="5909"/>
    <cellStyle name="Date 21 3 2" xfId="5910"/>
    <cellStyle name="Date 21 3 3" xfId="5911"/>
    <cellStyle name="Date 21 4" xfId="5912"/>
    <cellStyle name="Date 21 5" xfId="5913"/>
    <cellStyle name="Date 210" xfId="5914"/>
    <cellStyle name="Date 210 2" xfId="5915"/>
    <cellStyle name="Date 210 3" xfId="5916"/>
    <cellStyle name="Date 211" xfId="5917"/>
    <cellStyle name="Date 211 2" xfId="5918"/>
    <cellStyle name="Date 211 3" xfId="5919"/>
    <cellStyle name="Date 212" xfId="5920"/>
    <cellStyle name="Date 213" xfId="5921"/>
    <cellStyle name="Date 214" xfId="5922"/>
    <cellStyle name="Date 215" xfId="5923"/>
    <cellStyle name="Date 216" xfId="5924"/>
    <cellStyle name="Date 22" xfId="5925"/>
    <cellStyle name="Date 22 2" xfId="5926"/>
    <cellStyle name="Date 22 2 2" xfId="5927"/>
    <cellStyle name="Date 22 2 3" xfId="5928"/>
    <cellStyle name="Date 22 3" xfId="5929"/>
    <cellStyle name="Date 22 3 2" xfId="5930"/>
    <cellStyle name="Date 22 3 3" xfId="5931"/>
    <cellStyle name="Date 22 4" xfId="5932"/>
    <cellStyle name="Date 22 5" xfId="5933"/>
    <cellStyle name="Date 23" xfId="5934"/>
    <cellStyle name="Date 23 2" xfId="5935"/>
    <cellStyle name="Date 23 2 2" xfId="5936"/>
    <cellStyle name="Date 23 2 3" xfId="5937"/>
    <cellStyle name="Date 23 3" xfId="5938"/>
    <cellStyle name="Date 23 3 2" xfId="5939"/>
    <cellStyle name="Date 23 3 3" xfId="5940"/>
    <cellStyle name="Date 23 4" xfId="5941"/>
    <cellStyle name="Date 23 5" xfId="5942"/>
    <cellStyle name="Date 24" xfId="5943"/>
    <cellStyle name="Date 24 2" xfId="5944"/>
    <cellStyle name="Date 24 2 2" xfId="5945"/>
    <cellStyle name="Date 24 2 3" xfId="5946"/>
    <cellStyle name="Date 24 3" xfId="5947"/>
    <cellStyle name="Date 24 3 2" xfId="5948"/>
    <cellStyle name="Date 24 3 3" xfId="5949"/>
    <cellStyle name="Date 24 4" xfId="5950"/>
    <cellStyle name="Date 24 5" xfId="5951"/>
    <cellStyle name="Date 25" xfId="5952"/>
    <cellStyle name="Date 25 2" xfId="5953"/>
    <cellStyle name="Date 25 2 2" xfId="5954"/>
    <cellStyle name="Date 25 2 3" xfId="5955"/>
    <cellStyle name="Date 25 3" xfId="5956"/>
    <cellStyle name="Date 25 3 2" xfId="5957"/>
    <cellStyle name="Date 25 3 3" xfId="5958"/>
    <cellStyle name="Date 25 4" xfId="5959"/>
    <cellStyle name="Date 25 5" xfId="5960"/>
    <cellStyle name="Date 26" xfId="5961"/>
    <cellStyle name="Date 26 2" xfId="5962"/>
    <cellStyle name="Date 26 2 2" xfId="5963"/>
    <cellStyle name="Date 26 2 3" xfId="5964"/>
    <cellStyle name="Date 26 3" xfId="5965"/>
    <cellStyle name="Date 26 3 2" xfId="5966"/>
    <cellStyle name="Date 26 3 3" xfId="5967"/>
    <cellStyle name="Date 26 4" xfId="5968"/>
    <cellStyle name="Date 26 5" xfId="5969"/>
    <cellStyle name="Date 27" xfId="5970"/>
    <cellStyle name="Date 27 2" xfId="5971"/>
    <cellStyle name="Date 27 2 2" xfId="5972"/>
    <cellStyle name="Date 27 2 3" xfId="5973"/>
    <cellStyle name="Date 27 3" xfId="5974"/>
    <cellStyle name="Date 27 3 2" xfId="5975"/>
    <cellStyle name="Date 27 3 3" xfId="5976"/>
    <cellStyle name="Date 27 4" xfId="5977"/>
    <cellStyle name="Date 27 5" xfId="5978"/>
    <cellStyle name="Date 28" xfId="5979"/>
    <cellStyle name="Date 28 2" xfId="5980"/>
    <cellStyle name="Date 28 2 2" xfId="5981"/>
    <cellStyle name="Date 28 2 3" xfId="5982"/>
    <cellStyle name="Date 28 3" xfId="5983"/>
    <cellStyle name="Date 28 3 2" xfId="5984"/>
    <cellStyle name="Date 28 3 3" xfId="5985"/>
    <cellStyle name="Date 28 4" xfId="5986"/>
    <cellStyle name="Date 28 5" xfId="5987"/>
    <cellStyle name="Date 29" xfId="5988"/>
    <cellStyle name="Date 29 2" xfId="5989"/>
    <cellStyle name="Date 29 2 2" xfId="5990"/>
    <cellStyle name="Date 29 2 3" xfId="5991"/>
    <cellStyle name="Date 29 3" xfId="5992"/>
    <cellStyle name="Date 29 3 2" xfId="5993"/>
    <cellStyle name="Date 29 3 3" xfId="5994"/>
    <cellStyle name="Date 29 4" xfId="5995"/>
    <cellStyle name="Date 29 5" xfId="5996"/>
    <cellStyle name="Date 3" xfId="5997"/>
    <cellStyle name="Date 3 2" xfId="5998"/>
    <cellStyle name="Date 3 2 2" xfId="5999"/>
    <cellStyle name="Date 3 2 3" xfId="6000"/>
    <cellStyle name="Date 3 3" xfId="6001"/>
    <cellStyle name="Date 3 3 2" xfId="6002"/>
    <cellStyle name="Date 3 3 3" xfId="6003"/>
    <cellStyle name="Date 3 4" xfId="6004"/>
    <cellStyle name="Date 3 5" xfId="6005"/>
    <cellStyle name="Date 30" xfId="6006"/>
    <cellStyle name="Date 30 2" xfId="6007"/>
    <cellStyle name="Date 30 2 2" xfId="6008"/>
    <cellStyle name="Date 30 2 3" xfId="6009"/>
    <cellStyle name="Date 30 3" xfId="6010"/>
    <cellStyle name="Date 30 3 2" xfId="6011"/>
    <cellStyle name="Date 30 3 3" xfId="6012"/>
    <cellStyle name="Date 30 4" xfId="6013"/>
    <cellStyle name="Date 30 5" xfId="6014"/>
    <cellStyle name="Date 31" xfId="6015"/>
    <cellStyle name="Date 31 2" xfId="6016"/>
    <cellStyle name="Date 31 2 2" xfId="6017"/>
    <cellStyle name="Date 31 2 3" xfId="6018"/>
    <cellStyle name="Date 31 3" xfId="6019"/>
    <cellStyle name="Date 31 3 2" xfId="6020"/>
    <cellStyle name="Date 31 3 3" xfId="6021"/>
    <cellStyle name="Date 31 4" xfId="6022"/>
    <cellStyle name="Date 31 5" xfId="6023"/>
    <cellStyle name="Date 32" xfId="6024"/>
    <cellStyle name="Date 32 2" xfId="6025"/>
    <cellStyle name="Date 32 2 2" xfId="6026"/>
    <cellStyle name="Date 32 2 3" xfId="6027"/>
    <cellStyle name="Date 32 3" xfId="6028"/>
    <cellStyle name="Date 32 3 2" xfId="6029"/>
    <cellStyle name="Date 32 3 3" xfId="6030"/>
    <cellStyle name="Date 32 4" xfId="6031"/>
    <cellStyle name="Date 32 5" xfId="6032"/>
    <cellStyle name="Date 33" xfId="6033"/>
    <cellStyle name="Date 33 2" xfId="6034"/>
    <cellStyle name="Date 33 2 2" xfId="6035"/>
    <cellStyle name="Date 33 2 3" xfId="6036"/>
    <cellStyle name="Date 33 3" xfId="6037"/>
    <cellStyle name="Date 33 3 2" xfId="6038"/>
    <cellStyle name="Date 33 3 3" xfId="6039"/>
    <cellStyle name="Date 33 4" xfId="6040"/>
    <cellStyle name="Date 33 5" xfId="6041"/>
    <cellStyle name="Date 34" xfId="6042"/>
    <cellStyle name="Date 34 2" xfId="6043"/>
    <cellStyle name="Date 34 2 2" xfId="6044"/>
    <cellStyle name="Date 34 2 3" xfId="6045"/>
    <cellStyle name="Date 34 3" xfId="6046"/>
    <cellStyle name="Date 34 3 2" xfId="6047"/>
    <cellStyle name="Date 34 3 3" xfId="6048"/>
    <cellStyle name="Date 34 4" xfId="6049"/>
    <cellStyle name="Date 34 5" xfId="6050"/>
    <cellStyle name="Date 35" xfId="6051"/>
    <cellStyle name="Date 35 2" xfId="6052"/>
    <cellStyle name="Date 35 2 2" xfId="6053"/>
    <cellStyle name="Date 35 2 3" xfId="6054"/>
    <cellStyle name="Date 35 3" xfId="6055"/>
    <cellStyle name="Date 35 3 2" xfId="6056"/>
    <cellStyle name="Date 35 3 3" xfId="6057"/>
    <cellStyle name="Date 35 4" xfId="6058"/>
    <cellStyle name="Date 35 5" xfId="6059"/>
    <cellStyle name="Date 36" xfId="6060"/>
    <cellStyle name="Date 36 2" xfId="6061"/>
    <cellStyle name="Date 36 2 2" xfId="6062"/>
    <cellStyle name="Date 36 2 3" xfId="6063"/>
    <cellStyle name="Date 36 3" xfId="6064"/>
    <cellStyle name="Date 36 3 2" xfId="6065"/>
    <cellStyle name="Date 36 3 3" xfId="6066"/>
    <cellStyle name="Date 36 4" xfId="6067"/>
    <cellStyle name="Date 36 5" xfId="6068"/>
    <cellStyle name="Date 37" xfId="6069"/>
    <cellStyle name="Date 37 2" xfId="6070"/>
    <cellStyle name="Date 37 2 2" xfId="6071"/>
    <cellStyle name="Date 37 2 3" xfId="6072"/>
    <cellStyle name="Date 37 3" xfId="6073"/>
    <cellStyle name="Date 37 3 2" xfId="6074"/>
    <cellStyle name="Date 37 3 3" xfId="6075"/>
    <cellStyle name="Date 37 4" xfId="6076"/>
    <cellStyle name="Date 37 5" xfId="6077"/>
    <cellStyle name="Date 38" xfId="6078"/>
    <cellStyle name="Date 38 2" xfId="6079"/>
    <cellStyle name="Date 38 2 2" xfId="6080"/>
    <cellStyle name="Date 38 2 3" xfId="6081"/>
    <cellStyle name="Date 38 3" xfId="6082"/>
    <cellStyle name="Date 38 3 2" xfId="6083"/>
    <cellStyle name="Date 38 3 3" xfId="6084"/>
    <cellStyle name="Date 38 4" xfId="6085"/>
    <cellStyle name="Date 38 5" xfId="6086"/>
    <cellStyle name="Date 39" xfId="6087"/>
    <cellStyle name="Date 39 2" xfId="6088"/>
    <cellStyle name="Date 39 2 2" xfId="6089"/>
    <cellStyle name="Date 39 2 3" xfId="6090"/>
    <cellStyle name="Date 39 3" xfId="6091"/>
    <cellStyle name="Date 39 3 2" xfId="6092"/>
    <cellStyle name="Date 39 3 3" xfId="6093"/>
    <cellStyle name="Date 39 4" xfId="6094"/>
    <cellStyle name="Date 39 5" xfId="6095"/>
    <cellStyle name="Date 4" xfId="6096"/>
    <cellStyle name="Date 4 2" xfId="6097"/>
    <cellStyle name="Date 4 2 2" xfId="6098"/>
    <cellStyle name="Date 4 2 2 2" xfId="6099"/>
    <cellStyle name="Date 4 2 2 3" xfId="6100"/>
    <cellStyle name="Date 4 2 3" xfId="6101"/>
    <cellStyle name="Date 4 2 3 2" xfId="6102"/>
    <cellStyle name="Date 4 2 3 3" xfId="6103"/>
    <cellStyle name="Date 4 2 4" xfId="6104"/>
    <cellStyle name="Date 4 2 5" xfId="6105"/>
    <cellStyle name="Date 4 3" xfId="6106"/>
    <cellStyle name="Date 4 3 2" xfId="6107"/>
    <cellStyle name="Date 4 3 3" xfId="6108"/>
    <cellStyle name="Date 4 4" xfId="6109"/>
    <cellStyle name="Date 4 4 2" xfId="6110"/>
    <cellStyle name="Date 4 4 3" xfId="6111"/>
    <cellStyle name="Date 4 5" xfId="6112"/>
    <cellStyle name="Date 4 6" xfId="6113"/>
    <cellStyle name="Date 40" xfId="6114"/>
    <cellStyle name="Date 40 2" xfId="6115"/>
    <cellStyle name="Date 40 2 2" xfId="6116"/>
    <cellStyle name="Date 40 2 3" xfId="6117"/>
    <cellStyle name="Date 40 3" xfId="6118"/>
    <cellStyle name="Date 40 3 2" xfId="6119"/>
    <cellStyle name="Date 40 3 3" xfId="6120"/>
    <cellStyle name="Date 40 4" xfId="6121"/>
    <cellStyle name="Date 40 5" xfId="6122"/>
    <cellStyle name="Date 41" xfId="6123"/>
    <cellStyle name="Date 41 2" xfId="6124"/>
    <cellStyle name="Date 41 2 2" xfId="6125"/>
    <cellStyle name="Date 41 2 3" xfId="6126"/>
    <cellStyle name="Date 41 3" xfId="6127"/>
    <cellStyle name="Date 41 3 2" xfId="6128"/>
    <cellStyle name="Date 41 3 3" xfId="6129"/>
    <cellStyle name="Date 41 4" xfId="6130"/>
    <cellStyle name="Date 41 5" xfId="6131"/>
    <cellStyle name="Date 42" xfId="6132"/>
    <cellStyle name="Date 42 2" xfId="6133"/>
    <cellStyle name="Date 42 2 2" xfId="6134"/>
    <cellStyle name="Date 42 2 3" xfId="6135"/>
    <cellStyle name="Date 42 3" xfId="6136"/>
    <cellStyle name="Date 42 3 2" xfId="6137"/>
    <cellStyle name="Date 42 3 3" xfId="6138"/>
    <cellStyle name="Date 42 4" xfId="6139"/>
    <cellStyle name="Date 42 5" xfId="6140"/>
    <cellStyle name="Date 43" xfId="6141"/>
    <cellStyle name="Date 43 2" xfId="6142"/>
    <cellStyle name="Date 43 2 2" xfId="6143"/>
    <cellStyle name="Date 43 2 3" xfId="6144"/>
    <cellStyle name="Date 43 3" xfId="6145"/>
    <cellStyle name="Date 43 3 2" xfId="6146"/>
    <cellStyle name="Date 43 3 3" xfId="6147"/>
    <cellStyle name="Date 43 4" xfId="6148"/>
    <cellStyle name="Date 43 5" xfId="6149"/>
    <cellStyle name="Date 44" xfId="6150"/>
    <cellStyle name="Date 44 2" xfId="6151"/>
    <cellStyle name="Date 44 2 2" xfId="6152"/>
    <cellStyle name="Date 44 2 3" xfId="6153"/>
    <cellStyle name="Date 44 3" xfId="6154"/>
    <cellStyle name="Date 44 3 2" xfId="6155"/>
    <cellStyle name="Date 44 3 3" xfId="6156"/>
    <cellStyle name="Date 44 4" xfId="6157"/>
    <cellStyle name="Date 44 5" xfId="6158"/>
    <cellStyle name="Date 45" xfId="6159"/>
    <cellStyle name="Date 45 2" xfId="6160"/>
    <cellStyle name="Date 45 2 2" xfId="6161"/>
    <cellStyle name="Date 45 2 3" xfId="6162"/>
    <cellStyle name="Date 45 3" xfId="6163"/>
    <cellStyle name="Date 45 3 2" xfId="6164"/>
    <cellStyle name="Date 45 3 3" xfId="6165"/>
    <cellStyle name="Date 45 4" xfId="6166"/>
    <cellStyle name="Date 45 5" xfId="6167"/>
    <cellStyle name="Date 46" xfId="6168"/>
    <cellStyle name="Date 46 2" xfId="6169"/>
    <cellStyle name="Date 46 2 2" xfId="6170"/>
    <cellStyle name="Date 46 2 3" xfId="6171"/>
    <cellStyle name="Date 46 3" xfId="6172"/>
    <cellStyle name="Date 46 3 2" xfId="6173"/>
    <cellStyle name="Date 46 3 3" xfId="6174"/>
    <cellStyle name="Date 46 4" xfId="6175"/>
    <cellStyle name="Date 46 5" xfId="6176"/>
    <cellStyle name="Date 47" xfId="6177"/>
    <cellStyle name="Date 47 2" xfId="6178"/>
    <cellStyle name="Date 47 2 2" xfId="6179"/>
    <cellStyle name="Date 47 2 3" xfId="6180"/>
    <cellStyle name="Date 47 3" xfId="6181"/>
    <cellStyle name="Date 47 3 2" xfId="6182"/>
    <cellStyle name="Date 47 3 3" xfId="6183"/>
    <cellStyle name="Date 47 4" xfId="6184"/>
    <cellStyle name="Date 47 5" xfId="6185"/>
    <cellStyle name="Date 48" xfId="6186"/>
    <cellStyle name="Date 48 2" xfId="6187"/>
    <cellStyle name="Date 48 2 2" xfId="6188"/>
    <cellStyle name="Date 48 2 3" xfId="6189"/>
    <cellStyle name="Date 48 3" xfId="6190"/>
    <cellStyle name="Date 48 3 2" xfId="6191"/>
    <cellStyle name="Date 48 3 3" xfId="6192"/>
    <cellStyle name="Date 48 4" xfId="6193"/>
    <cellStyle name="Date 48 5" xfId="6194"/>
    <cellStyle name="Date 49" xfId="6195"/>
    <cellStyle name="Date 49 2" xfId="6196"/>
    <cellStyle name="Date 49 2 2" xfId="6197"/>
    <cellStyle name="Date 49 2 3" xfId="6198"/>
    <cellStyle name="Date 49 3" xfId="6199"/>
    <cellStyle name="Date 49 3 2" xfId="6200"/>
    <cellStyle name="Date 49 3 3" xfId="6201"/>
    <cellStyle name="Date 49 4" xfId="6202"/>
    <cellStyle name="Date 49 5" xfId="6203"/>
    <cellStyle name="Date 5" xfId="6204"/>
    <cellStyle name="Date 5 2" xfId="6205"/>
    <cellStyle name="Date 5 2 2" xfId="6206"/>
    <cellStyle name="Date 5 2 2 2" xfId="6207"/>
    <cellStyle name="Date 5 2 2 3" xfId="6208"/>
    <cellStyle name="Date 5 2 3" xfId="6209"/>
    <cellStyle name="Date 5 2 3 2" xfId="6210"/>
    <cellStyle name="Date 5 2 3 3" xfId="6211"/>
    <cellStyle name="Date 5 2 4" xfId="6212"/>
    <cellStyle name="Date 5 2 5" xfId="6213"/>
    <cellStyle name="Date 5 3" xfId="6214"/>
    <cellStyle name="Date 5 3 2" xfId="6215"/>
    <cellStyle name="Date 5 3 3" xfId="6216"/>
    <cellStyle name="Date 5 4" xfId="6217"/>
    <cellStyle name="Date 5 4 2" xfId="6218"/>
    <cellStyle name="Date 5 4 3" xfId="6219"/>
    <cellStyle name="Date 5 5" xfId="6220"/>
    <cellStyle name="Date 5 6" xfId="6221"/>
    <cellStyle name="Date 50" xfId="6222"/>
    <cellStyle name="Date 50 2" xfId="6223"/>
    <cellStyle name="Date 50 2 2" xfId="6224"/>
    <cellStyle name="Date 50 2 3" xfId="6225"/>
    <cellStyle name="Date 50 3" xfId="6226"/>
    <cellStyle name="Date 50 3 2" xfId="6227"/>
    <cellStyle name="Date 50 3 3" xfId="6228"/>
    <cellStyle name="Date 50 4" xfId="6229"/>
    <cellStyle name="Date 50 5" xfId="6230"/>
    <cellStyle name="Date 51" xfId="6231"/>
    <cellStyle name="Date 51 2" xfId="6232"/>
    <cellStyle name="Date 51 2 2" xfId="6233"/>
    <cellStyle name="Date 51 2 3" xfId="6234"/>
    <cellStyle name="Date 51 3" xfId="6235"/>
    <cellStyle name="Date 51 3 2" xfId="6236"/>
    <cellStyle name="Date 51 3 3" xfId="6237"/>
    <cellStyle name="Date 51 4" xfId="6238"/>
    <cellStyle name="Date 51 5" xfId="6239"/>
    <cellStyle name="Date 52" xfId="6240"/>
    <cellStyle name="Date 52 2" xfId="6241"/>
    <cellStyle name="Date 52 2 2" xfId="6242"/>
    <cellStyle name="Date 52 2 3" xfId="6243"/>
    <cellStyle name="Date 52 3" xfId="6244"/>
    <cellStyle name="Date 52 3 2" xfId="6245"/>
    <cellStyle name="Date 52 3 3" xfId="6246"/>
    <cellStyle name="Date 52 4" xfId="6247"/>
    <cellStyle name="Date 52 5" xfId="6248"/>
    <cellStyle name="Date 53" xfId="6249"/>
    <cellStyle name="Date 53 2" xfId="6250"/>
    <cellStyle name="Date 53 2 2" xfId="6251"/>
    <cellStyle name="Date 53 2 3" xfId="6252"/>
    <cellStyle name="Date 53 3" xfId="6253"/>
    <cellStyle name="Date 53 3 2" xfId="6254"/>
    <cellStyle name="Date 53 3 3" xfId="6255"/>
    <cellStyle name="Date 53 4" xfId="6256"/>
    <cellStyle name="Date 53 5" xfId="6257"/>
    <cellStyle name="Date 54" xfId="6258"/>
    <cellStyle name="Date 54 2" xfId="6259"/>
    <cellStyle name="Date 54 2 2" xfId="6260"/>
    <cellStyle name="Date 54 2 3" xfId="6261"/>
    <cellStyle name="Date 54 3" xfId="6262"/>
    <cellStyle name="Date 54 3 2" xfId="6263"/>
    <cellStyle name="Date 54 3 3" xfId="6264"/>
    <cellStyle name="Date 54 4" xfId="6265"/>
    <cellStyle name="Date 54 5" xfId="6266"/>
    <cellStyle name="Date 55" xfId="6267"/>
    <cellStyle name="Date 55 2" xfId="6268"/>
    <cellStyle name="Date 55 2 2" xfId="6269"/>
    <cellStyle name="Date 55 2 3" xfId="6270"/>
    <cellStyle name="Date 55 3" xfId="6271"/>
    <cellStyle name="Date 55 3 2" xfId="6272"/>
    <cellStyle name="Date 55 3 3" xfId="6273"/>
    <cellStyle name="Date 55 4" xfId="6274"/>
    <cellStyle name="Date 55 5" xfId="6275"/>
    <cellStyle name="Date 56" xfId="6276"/>
    <cellStyle name="Date 56 2" xfId="6277"/>
    <cellStyle name="Date 56 2 2" xfId="6278"/>
    <cellStyle name="Date 56 2 3" xfId="6279"/>
    <cellStyle name="Date 56 3" xfId="6280"/>
    <cellStyle name="Date 56 3 2" xfId="6281"/>
    <cellStyle name="Date 56 3 3" xfId="6282"/>
    <cellStyle name="Date 56 4" xfId="6283"/>
    <cellStyle name="Date 56 5" xfId="6284"/>
    <cellStyle name="Date 57" xfId="6285"/>
    <cellStyle name="Date 57 2" xfId="6286"/>
    <cellStyle name="Date 57 2 2" xfId="6287"/>
    <cellStyle name="Date 57 2 3" xfId="6288"/>
    <cellStyle name="Date 57 3" xfId="6289"/>
    <cellStyle name="Date 57 3 2" xfId="6290"/>
    <cellStyle name="Date 57 3 3" xfId="6291"/>
    <cellStyle name="Date 57 4" xfId="6292"/>
    <cellStyle name="Date 57 5" xfId="6293"/>
    <cellStyle name="Date 58" xfId="6294"/>
    <cellStyle name="Date 58 2" xfId="6295"/>
    <cellStyle name="Date 58 2 2" xfId="6296"/>
    <cellStyle name="Date 58 2 3" xfId="6297"/>
    <cellStyle name="Date 58 3" xfId="6298"/>
    <cellStyle name="Date 58 3 2" xfId="6299"/>
    <cellStyle name="Date 58 3 3" xfId="6300"/>
    <cellStyle name="Date 58 4" xfId="6301"/>
    <cellStyle name="Date 58 5" xfId="6302"/>
    <cellStyle name="Date 59" xfId="6303"/>
    <cellStyle name="Date 59 2" xfId="6304"/>
    <cellStyle name="Date 59 2 2" xfId="6305"/>
    <cellStyle name="Date 59 2 3" xfId="6306"/>
    <cellStyle name="Date 59 3" xfId="6307"/>
    <cellStyle name="Date 59 3 2" xfId="6308"/>
    <cellStyle name="Date 59 3 3" xfId="6309"/>
    <cellStyle name="Date 59 4" xfId="6310"/>
    <cellStyle name="Date 59 5" xfId="6311"/>
    <cellStyle name="Date 6" xfId="6312"/>
    <cellStyle name="Date 6 2" xfId="6313"/>
    <cellStyle name="Date 6 2 2" xfId="6314"/>
    <cellStyle name="Date 6 2 2 2" xfId="6315"/>
    <cellStyle name="Date 6 2 2 3" xfId="6316"/>
    <cellStyle name="Date 6 2 3" xfId="6317"/>
    <cellStyle name="Date 6 2 3 2" xfId="6318"/>
    <cellStyle name="Date 6 2 3 3" xfId="6319"/>
    <cellStyle name="Date 6 2 4" xfId="6320"/>
    <cellStyle name="Date 6 2 5" xfId="6321"/>
    <cellStyle name="Date 6 3" xfId="6322"/>
    <cellStyle name="Date 6 3 2" xfId="6323"/>
    <cellStyle name="Date 6 3 3" xfId="6324"/>
    <cellStyle name="Date 6 4" xfId="6325"/>
    <cellStyle name="Date 6 4 2" xfId="6326"/>
    <cellStyle name="Date 6 4 3" xfId="6327"/>
    <cellStyle name="Date 6 5" xfId="6328"/>
    <cellStyle name="Date 6 6" xfId="6329"/>
    <cellStyle name="Date 60" xfId="6330"/>
    <cellStyle name="Date 60 2" xfId="6331"/>
    <cellStyle name="Date 60 2 2" xfId="6332"/>
    <cellStyle name="Date 60 2 3" xfId="6333"/>
    <cellStyle name="Date 60 3" xfId="6334"/>
    <cellStyle name="Date 60 3 2" xfId="6335"/>
    <cellStyle name="Date 60 3 3" xfId="6336"/>
    <cellStyle name="Date 60 4" xfId="6337"/>
    <cellStyle name="Date 60 5" xfId="6338"/>
    <cellStyle name="Date 61" xfId="6339"/>
    <cellStyle name="Date 61 2" xfId="6340"/>
    <cellStyle name="Date 61 2 2" xfId="6341"/>
    <cellStyle name="Date 61 2 3" xfId="6342"/>
    <cellStyle name="Date 61 3" xfId="6343"/>
    <cellStyle name="Date 61 3 2" xfId="6344"/>
    <cellStyle name="Date 61 3 3" xfId="6345"/>
    <cellStyle name="Date 61 4" xfId="6346"/>
    <cellStyle name="Date 61 5" xfId="6347"/>
    <cellStyle name="Date 62" xfId="6348"/>
    <cellStyle name="Date 62 2" xfId="6349"/>
    <cellStyle name="Date 62 2 2" xfId="6350"/>
    <cellStyle name="Date 62 2 3" xfId="6351"/>
    <cellStyle name="Date 62 3" xfId="6352"/>
    <cellStyle name="Date 62 3 2" xfId="6353"/>
    <cellStyle name="Date 62 3 3" xfId="6354"/>
    <cellStyle name="Date 62 4" xfId="6355"/>
    <cellStyle name="Date 62 5" xfId="6356"/>
    <cellStyle name="Date 63" xfId="6357"/>
    <cellStyle name="Date 63 2" xfId="6358"/>
    <cellStyle name="Date 63 2 2" xfId="6359"/>
    <cellStyle name="Date 63 2 3" xfId="6360"/>
    <cellStyle name="Date 63 3" xfId="6361"/>
    <cellStyle name="Date 63 3 2" xfId="6362"/>
    <cellStyle name="Date 63 3 3" xfId="6363"/>
    <cellStyle name="Date 63 4" xfId="6364"/>
    <cellStyle name="Date 63 5" xfId="6365"/>
    <cellStyle name="Date 64" xfId="6366"/>
    <cellStyle name="Date 64 2" xfId="6367"/>
    <cellStyle name="Date 64 2 2" xfId="6368"/>
    <cellStyle name="Date 64 2 3" xfId="6369"/>
    <cellStyle name="Date 64 3" xfId="6370"/>
    <cellStyle name="Date 64 3 2" xfId="6371"/>
    <cellStyle name="Date 64 3 3" xfId="6372"/>
    <cellStyle name="Date 64 4" xfId="6373"/>
    <cellStyle name="Date 64 5" xfId="6374"/>
    <cellStyle name="Date 65" xfId="6375"/>
    <cellStyle name="Date 65 2" xfId="6376"/>
    <cellStyle name="Date 65 2 2" xfId="6377"/>
    <cellStyle name="Date 65 2 3" xfId="6378"/>
    <cellStyle name="Date 65 3" xfId="6379"/>
    <cellStyle name="Date 65 3 2" xfId="6380"/>
    <cellStyle name="Date 65 3 3" xfId="6381"/>
    <cellStyle name="Date 65 4" xfId="6382"/>
    <cellStyle name="Date 65 5" xfId="6383"/>
    <cellStyle name="Date 66" xfId="6384"/>
    <cellStyle name="Date 66 2" xfId="6385"/>
    <cellStyle name="Date 66 2 2" xfId="6386"/>
    <cellStyle name="Date 66 2 3" xfId="6387"/>
    <cellStyle name="Date 66 3" xfId="6388"/>
    <cellStyle name="Date 66 3 2" xfId="6389"/>
    <cellStyle name="Date 66 3 3" xfId="6390"/>
    <cellStyle name="Date 66 4" xfId="6391"/>
    <cellStyle name="Date 66 5" xfId="6392"/>
    <cellStyle name="Date 67" xfId="6393"/>
    <cellStyle name="Date 67 2" xfId="6394"/>
    <cellStyle name="Date 67 2 2" xfId="6395"/>
    <cellStyle name="Date 67 2 3" xfId="6396"/>
    <cellStyle name="Date 67 3" xfId="6397"/>
    <cellStyle name="Date 67 3 2" xfId="6398"/>
    <cellStyle name="Date 67 3 3" xfId="6399"/>
    <cellStyle name="Date 67 4" xfId="6400"/>
    <cellStyle name="Date 67 5" xfId="6401"/>
    <cellStyle name="Date 68" xfId="6402"/>
    <cellStyle name="Date 68 2" xfId="6403"/>
    <cellStyle name="Date 68 2 2" xfId="6404"/>
    <cellStyle name="Date 68 2 3" xfId="6405"/>
    <cellStyle name="Date 68 3" xfId="6406"/>
    <cellStyle name="Date 68 3 2" xfId="6407"/>
    <cellStyle name="Date 68 3 3" xfId="6408"/>
    <cellStyle name="Date 68 4" xfId="6409"/>
    <cellStyle name="Date 68 5" xfId="6410"/>
    <cellStyle name="Date 69" xfId="6411"/>
    <cellStyle name="Date 69 2" xfId="6412"/>
    <cellStyle name="Date 69 2 2" xfId="6413"/>
    <cellStyle name="Date 69 2 3" xfId="6414"/>
    <cellStyle name="Date 69 3" xfId="6415"/>
    <cellStyle name="Date 69 3 2" xfId="6416"/>
    <cellStyle name="Date 69 3 3" xfId="6417"/>
    <cellStyle name="Date 69 4" xfId="6418"/>
    <cellStyle name="Date 69 5" xfId="6419"/>
    <cellStyle name="Date 7" xfId="6420"/>
    <cellStyle name="Date 7 2" xfId="6421"/>
    <cellStyle name="Date 7 2 2" xfId="6422"/>
    <cellStyle name="Date 7 2 2 2" xfId="6423"/>
    <cellStyle name="Date 7 2 2 3" xfId="6424"/>
    <cellStyle name="Date 7 2 3" xfId="6425"/>
    <cellStyle name="Date 7 2 3 2" xfId="6426"/>
    <cellStyle name="Date 7 2 3 3" xfId="6427"/>
    <cellStyle name="Date 7 2 4" xfId="6428"/>
    <cellStyle name="Date 7 2 5" xfId="6429"/>
    <cellStyle name="Date 7 3" xfId="6430"/>
    <cellStyle name="Date 7 3 2" xfId="6431"/>
    <cellStyle name="Date 7 3 3" xfId="6432"/>
    <cellStyle name="Date 7 4" xfId="6433"/>
    <cellStyle name="Date 7 4 2" xfId="6434"/>
    <cellStyle name="Date 7 4 3" xfId="6435"/>
    <cellStyle name="Date 7 5" xfId="6436"/>
    <cellStyle name="Date 7 6" xfId="6437"/>
    <cellStyle name="Date 70" xfId="6438"/>
    <cellStyle name="Date 70 2" xfId="6439"/>
    <cellStyle name="Date 70 2 2" xfId="6440"/>
    <cellStyle name="Date 70 2 3" xfId="6441"/>
    <cellStyle name="Date 70 3" xfId="6442"/>
    <cellStyle name="Date 70 3 2" xfId="6443"/>
    <cellStyle name="Date 70 3 3" xfId="6444"/>
    <cellStyle name="Date 70 4" xfId="6445"/>
    <cellStyle name="Date 70 5" xfId="6446"/>
    <cellStyle name="Date 71" xfId="6447"/>
    <cellStyle name="Date 71 2" xfId="6448"/>
    <cellStyle name="Date 71 2 2" xfId="6449"/>
    <cellStyle name="Date 71 2 3" xfId="6450"/>
    <cellStyle name="Date 71 3" xfId="6451"/>
    <cellStyle name="Date 71 3 2" xfId="6452"/>
    <cellStyle name="Date 71 3 3" xfId="6453"/>
    <cellStyle name="Date 71 4" xfId="6454"/>
    <cellStyle name="Date 71 5" xfId="6455"/>
    <cellStyle name="Date 72" xfId="6456"/>
    <cellStyle name="Date 72 2" xfId="6457"/>
    <cellStyle name="Date 72 2 2" xfId="6458"/>
    <cellStyle name="Date 72 2 3" xfId="6459"/>
    <cellStyle name="Date 72 3" xfId="6460"/>
    <cellStyle name="Date 72 3 2" xfId="6461"/>
    <cellStyle name="Date 72 3 3" xfId="6462"/>
    <cellStyle name="Date 72 4" xfId="6463"/>
    <cellStyle name="Date 72 5" xfId="6464"/>
    <cellStyle name="Date 73" xfId="6465"/>
    <cellStyle name="Date 73 2" xfId="6466"/>
    <cellStyle name="Date 73 2 2" xfId="6467"/>
    <cellStyle name="Date 73 2 3" xfId="6468"/>
    <cellStyle name="Date 73 3" xfId="6469"/>
    <cellStyle name="Date 73 3 2" xfId="6470"/>
    <cellStyle name="Date 73 3 3" xfId="6471"/>
    <cellStyle name="Date 73 4" xfId="6472"/>
    <cellStyle name="Date 73 5" xfId="6473"/>
    <cellStyle name="Date 74" xfId="6474"/>
    <cellStyle name="Date 74 2" xfId="6475"/>
    <cellStyle name="Date 74 2 2" xfId="6476"/>
    <cellStyle name="Date 74 2 3" xfId="6477"/>
    <cellStyle name="Date 74 3" xfId="6478"/>
    <cellStyle name="Date 74 3 2" xfId="6479"/>
    <cellStyle name="Date 74 3 3" xfId="6480"/>
    <cellStyle name="Date 74 4" xfId="6481"/>
    <cellStyle name="Date 74 5" xfId="6482"/>
    <cellStyle name="Date 75" xfId="6483"/>
    <cellStyle name="Date 75 2" xfId="6484"/>
    <cellStyle name="Date 75 2 2" xfId="6485"/>
    <cellStyle name="Date 75 2 3" xfId="6486"/>
    <cellStyle name="Date 75 3" xfId="6487"/>
    <cellStyle name="Date 75 3 2" xfId="6488"/>
    <cellStyle name="Date 75 3 3" xfId="6489"/>
    <cellStyle name="Date 75 4" xfId="6490"/>
    <cellStyle name="Date 75 5" xfId="6491"/>
    <cellStyle name="Date 76" xfId="6492"/>
    <cellStyle name="Date 76 2" xfId="6493"/>
    <cellStyle name="Date 76 2 2" xfId="6494"/>
    <cellStyle name="Date 76 2 3" xfId="6495"/>
    <cellStyle name="Date 76 3" xfId="6496"/>
    <cellStyle name="Date 76 3 2" xfId="6497"/>
    <cellStyle name="Date 76 3 3" xfId="6498"/>
    <cellStyle name="Date 76 4" xfId="6499"/>
    <cellStyle name="Date 76 5" xfId="6500"/>
    <cellStyle name="Date 77" xfId="6501"/>
    <cellStyle name="Date 77 2" xfId="6502"/>
    <cellStyle name="Date 77 2 2" xfId="6503"/>
    <cellStyle name="Date 77 2 3" xfId="6504"/>
    <cellStyle name="Date 77 3" xfId="6505"/>
    <cellStyle name="Date 77 3 2" xfId="6506"/>
    <cellStyle name="Date 77 3 3" xfId="6507"/>
    <cellStyle name="Date 77 4" xfId="6508"/>
    <cellStyle name="Date 77 5" xfId="6509"/>
    <cellStyle name="Date 78" xfId="6510"/>
    <cellStyle name="Date 78 2" xfId="6511"/>
    <cellStyle name="Date 78 2 2" xfId="6512"/>
    <cellStyle name="Date 78 2 3" xfId="6513"/>
    <cellStyle name="Date 78 3" xfId="6514"/>
    <cellStyle name="Date 78 3 2" xfId="6515"/>
    <cellStyle name="Date 78 3 3" xfId="6516"/>
    <cellStyle name="Date 78 4" xfId="6517"/>
    <cellStyle name="Date 78 5" xfId="6518"/>
    <cellStyle name="Date 79" xfId="6519"/>
    <cellStyle name="Date 79 2" xfId="6520"/>
    <cellStyle name="Date 79 2 2" xfId="6521"/>
    <cellStyle name="Date 79 2 3" xfId="6522"/>
    <cellStyle name="Date 79 3" xfId="6523"/>
    <cellStyle name="Date 79 3 2" xfId="6524"/>
    <cellStyle name="Date 79 3 3" xfId="6525"/>
    <cellStyle name="Date 79 4" xfId="6526"/>
    <cellStyle name="Date 79 5" xfId="6527"/>
    <cellStyle name="Date 8" xfId="6528"/>
    <cellStyle name="Date 8 2" xfId="6529"/>
    <cellStyle name="Date 8 2 2" xfId="6530"/>
    <cellStyle name="Date 8 2 2 2" xfId="6531"/>
    <cellStyle name="Date 8 2 2 3" xfId="6532"/>
    <cellStyle name="Date 8 2 3" xfId="6533"/>
    <cellStyle name="Date 8 2 3 2" xfId="6534"/>
    <cellStyle name="Date 8 2 3 3" xfId="6535"/>
    <cellStyle name="Date 8 2 4" xfId="6536"/>
    <cellStyle name="Date 8 2 5" xfId="6537"/>
    <cellStyle name="Date 8 3" xfId="6538"/>
    <cellStyle name="Date 8 3 2" xfId="6539"/>
    <cellStyle name="Date 8 3 3" xfId="6540"/>
    <cellStyle name="Date 8 4" xfId="6541"/>
    <cellStyle name="Date 8 4 2" xfId="6542"/>
    <cellStyle name="Date 8 4 3" xfId="6543"/>
    <cellStyle name="Date 8 5" xfId="6544"/>
    <cellStyle name="Date 8 6" xfId="6545"/>
    <cellStyle name="Date 80" xfId="6546"/>
    <cellStyle name="Date 80 2" xfId="6547"/>
    <cellStyle name="Date 80 2 2" xfId="6548"/>
    <cellStyle name="Date 80 2 3" xfId="6549"/>
    <cellStyle name="Date 80 3" xfId="6550"/>
    <cellStyle name="Date 80 3 2" xfId="6551"/>
    <cellStyle name="Date 80 3 3" xfId="6552"/>
    <cellStyle name="Date 80 4" xfId="6553"/>
    <cellStyle name="Date 80 5" xfId="6554"/>
    <cellStyle name="Date 81" xfId="6555"/>
    <cellStyle name="Date 81 2" xfId="6556"/>
    <cellStyle name="Date 81 2 2" xfId="6557"/>
    <cellStyle name="Date 81 2 3" xfId="6558"/>
    <cellStyle name="Date 81 3" xfId="6559"/>
    <cellStyle name="Date 81 3 2" xfId="6560"/>
    <cellStyle name="Date 81 3 3" xfId="6561"/>
    <cellStyle name="Date 81 4" xfId="6562"/>
    <cellStyle name="Date 81 5" xfId="6563"/>
    <cellStyle name="Date 82" xfId="6564"/>
    <cellStyle name="Date 82 2" xfId="6565"/>
    <cellStyle name="Date 82 2 2" xfId="6566"/>
    <cellStyle name="Date 82 2 3" xfId="6567"/>
    <cellStyle name="Date 82 3" xfId="6568"/>
    <cellStyle name="Date 82 3 2" xfId="6569"/>
    <cellStyle name="Date 82 3 3" xfId="6570"/>
    <cellStyle name="Date 82 4" xfId="6571"/>
    <cellStyle name="Date 82 5" xfId="6572"/>
    <cellStyle name="Date 83" xfId="6573"/>
    <cellStyle name="Date 83 2" xfId="6574"/>
    <cellStyle name="Date 83 2 2" xfId="6575"/>
    <cellStyle name="Date 83 2 3" xfId="6576"/>
    <cellStyle name="Date 83 3" xfId="6577"/>
    <cellStyle name="Date 83 3 2" xfId="6578"/>
    <cellStyle name="Date 83 3 3" xfId="6579"/>
    <cellStyle name="Date 83 4" xfId="6580"/>
    <cellStyle name="Date 83 5" xfId="6581"/>
    <cellStyle name="Date 84" xfId="6582"/>
    <cellStyle name="Date 84 2" xfId="6583"/>
    <cellStyle name="Date 84 2 2" xfId="6584"/>
    <cellStyle name="Date 84 2 3" xfId="6585"/>
    <cellStyle name="Date 84 3" xfId="6586"/>
    <cellStyle name="Date 84 3 2" xfId="6587"/>
    <cellStyle name="Date 84 3 3" xfId="6588"/>
    <cellStyle name="Date 84 4" xfId="6589"/>
    <cellStyle name="Date 84 5" xfId="6590"/>
    <cellStyle name="Date 85" xfId="6591"/>
    <cellStyle name="Date 85 2" xfId="6592"/>
    <cellStyle name="Date 85 2 2" xfId="6593"/>
    <cellStyle name="Date 85 2 3" xfId="6594"/>
    <cellStyle name="Date 85 3" xfId="6595"/>
    <cellStyle name="Date 85 3 2" xfId="6596"/>
    <cellStyle name="Date 85 3 3" xfId="6597"/>
    <cellStyle name="Date 85 4" xfId="6598"/>
    <cellStyle name="Date 85 5" xfId="6599"/>
    <cellStyle name="Date 86" xfId="6600"/>
    <cellStyle name="Date 86 2" xfId="6601"/>
    <cellStyle name="Date 86 2 2" xfId="6602"/>
    <cellStyle name="Date 86 2 3" xfId="6603"/>
    <cellStyle name="Date 86 3" xfId="6604"/>
    <cellStyle name="Date 86 3 2" xfId="6605"/>
    <cellStyle name="Date 86 3 3" xfId="6606"/>
    <cellStyle name="Date 86 4" xfId="6607"/>
    <cellStyle name="Date 86 5" xfId="6608"/>
    <cellStyle name="Date 87" xfId="6609"/>
    <cellStyle name="Date 87 2" xfId="6610"/>
    <cellStyle name="Date 87 2 2" xfId="6611"/>
    <cellStyle name="Date 87 2 3" xfId="6612"/>
    <cellStyle name="Date 87 3" xfId="6613"/>
    <cellStyle name="Date 87 3 2" xfId="6614"/>
    <cellStyle name="Date 87 3 3" xfId="6615"/>
    <cellStyle name="Date 87 4" xfId="6616"/>
    <cellStyle name="Date 87 5" xfId="6617"/>
    <cellStyle name="Date 88" xfId="6618"/>
    <cellStyle name="Date 88 2" xfId="6619"/>
    <cellStyle name="Date 88 2 2" xfId="6620"/>
    <cellStyle name="Date 88 2 3" xfId="6621"/>
    <cellStyle name="Date 88 3" xfId="6622"/>
    <cellStyle name="Date 88 3 2" xfId="6623"/>
    <cellStyle name="Date 88 3 3" xfId="6624"/>
    <cellStyle name="Date 88 4" xfId="6625"/>
    <cellStyle name="Date 88 5" xfId="6626"/>
    <cellStyle name="Date 89" xfId="6627"/>
    <cellStyle name="Date 89 2" xfId="6628"/>
    <cellStyle name="Date 89 2 2" xfId="6629"/>
    <cellStyle name="Date 89 2 3" xfId="6630"/>
    <cellStyle name="Date 89 3" xfId="6631"/>
    <cellStyle name="Date 89 3 2" xfId="6632"/>
    <cellStyle name="Date 89 3 3" xfId="6633"/>
    <cellStyle name="Date 89 4" xfId="6634"/>
    <cellStyle name="Date 89 5" xfId="6635"/>
    <cellStyle name="Date 9" xfId="6636"/>
    <cellStyle name="Date 9 2" xfId="6637"/>
    <cellStyle name="Date 9 2 2" xfId="6638"/>
    <cellStyle name="Date 9 2 2 2" xfId="6639"/>
    <cellStyle name="Date 9 2 2 3" xfId="6640"/>
    <cellStyle name="Date 9 2 3" xfId="6641"/>
    <cellStyle name="Date 9 2 3 2" xfId="6642"/>
    <cellStyle name="Date 9 2 3 3" xfId="6643"/>
    <cellStyle name="Date 9 2 4" xfId="6644"/>
    <cellStyle name="Date 9 2 5" xfId="6645"/>
    <cellStyle name="Date 9 3" xfId="6646"/>
    <cellStyle name="Date 9 3 2" xfId="6647"/>
    <cellStyle name="Date 9 3 3" xfId="6648"/>
    <cellStyle name="Date 9 4" xfId="6649"/>
    <cellStyle name="Date 9 4 2" xfId="6650"/>
    <cellStyle name="Date 9 4 3" xfId="6651"/>
    <cellStyle name="Date 9 5" xfId="6652"/>
    <cellStyle name="Date 9 6" xfId="6653"/>
    <cellStyle name="Date 90" xfId="6654"/>
    <cellStyle name="Date 90 2" xfId="6655"/>
    <cellStyle name="Date 90 2 2" xfId="6656"/>
    <cellStyle name="Date 90 2 3" xfId="6657"/>
    <cellStyle name="Date 90 3" xfId="6658"/>
    <cellStyle name="Date 90 3 2" xfId="6659"/>
    <cellStyle name="Date 90 3 3" xfId="6660"/>
    <cellStyle name="Date 90 4" xfId="6661"/>
    <cellStyle name="Date 90 5" xfId="6662"/>
    <cellStyle name="Date 91" xfId="6663"/>
    <cellStyle name="Date 91 2" xfId="6664"/>
    <cellStyle name="Date 91 2 2" xfId="6665"/>
    <cellStyle name="Date 91 2 3" xfId="6666"/>
    <cellStyle name="Date 91 3" xfId="6667"/>
    <cellStyle name="Date 91 3 2" xfId="6668"/>
    <cellStyle name="Date 91 3 3" xfId="6669"/>
    <cellStyle name="Date 91 4" xfId="6670"/>
    <cellStyle name="Date 91 5" xfId="6671"/>
    <cellStyle name="Date 92" xfId="6672"/>
    <cellStyle name="Date 92 2" xfId="6673"/>
    <cellStyle name="Date 92 2 2" xfId="6674"/>
    <cellStyle name="Date 92 2 3" xfId="6675"/>
    <cellStyle name="Date 92 3" xfId="6676"/>
    <cellStyle name="Date 92 3 2" xfId="6677"/>
    <cellStyle name="Date 92 3 3" xfId="6678"/>
    <cellStyle name="Date 92 4" xfId="6679"/>
    <cellStyle name="Date 92 5" xfId="6680"/>
    <cellStyle name="Date 93" xfId="6681"/>
    <cellStyle name="Date 93 2" xfId="6682"/>
    <cellStyle name="Date 93 2 2" xfId="6683"/>
    <cellStyle name="Date 93 2 3" xfId="6684"/>
    <cellStyle name="Date 93 3" xfId="6685"/>
    <cellStyle name="Date 93 3 2" xfId="6686"/>
    <cellStyle name="Date 93 3 3" xfId="6687"/>
    <cellStyle name="Date 93 4" xfId="6688"/>
    <cellStyle name="Date 93 5" xfId="6689"/>
    <cellStyle name="Date 94" xfId="6690"/>
    <cellStyle name="Date 94 2" xfId="6691"/>
    <cellStyle name="Date 94 2 2" xfId="6692"/>
    <cellStyle name="Date 94 2 3" xfId="6693"/>
    <cellStyle name="Date 94 3" xfId="6694"/>
    <cellStyle name="Date 94 3 2" xfId="6695"/>
    <cellStyle name="Date 94 3 3" xfId="6696"/>
    <cellStyle name="Date 94 4" xfId="6697"/>
    <cellStyle name="Date 94 5" xfId="6698"/>
    <cellStyle name="Date 95" xfId="6699"/>
    <cellStyle name="Date 95 2" xfId="6700"/>
    <cellStyle name="Date 95 2 2" xfId="6701"/>
    <cellStyle name="Date 95 2 3" xfId="6702"/>
    <cellStyle name="Date 95 3" xfId="6703"/>
    <cellStyle name="Date 95 3 2" xfId="6704"/>
    <cellStyle name="Date 95 3 3" xfId="6705"/>
    <cellStyle name="Date 95 4" xfId="6706"/>
    <cellStyle name="Date 95 5" xfId="6707"/>
    <cellStyle name="Date 96" xfId="6708"/>
    <cellStyle name="Date 96 2" xfId="6709"/>
    <cellStyle name="Date 96 2 2" xfId="6710"/>
    <cellStyle name="Date 96 2 3" xfId="6711"/>
    <cellStyle name="Date 96 3" xfId="6712"/>
    <cellStyle name="Date 96 3 2" xfId="6713"/>
    <cellStyle name="Date 96 3 3" xfId="6714"/>
    <cellStyle name="Date 96 4" xfId="6715"/>
    <cellStyle name="Date 96 5" xfId="6716"/>
    <cellStyle name="Date 97" xfId="6717"/>
    <cellStyle name="Date 97 2" xfId="6718"/>
    <cellStyle name="Date 97 2 2" xfId="6719"/>
    <cellStyle name="Date 97 2 3" xfId="6720"/>
    <cellStyle name="Date 97 3" xfId="6721"/>
    <cellStyle name="Date 97 3 2" xfId="6722"/>
    <cellStyle name="Date 97 3 3" xfId="6723"/>
    <cellStyle name="Date 97 4" xfId="6724"/>
    <cellStyle name="Date 97 5" xfId="6725"/>
    <cellStyle name="Date 98" xfId="6726"/>
    <cellStyle name="Date 98 2" xfId="6727"/>
    <cellStyle name="Date 98 2 2" xfId="6728"/>
    <cellStyle name="Date 98 2 3" xfId="6729"/>
    <cellStyle name="Date 98 3" xfId="6730"/>
    <cellStyle name="Date 98 3 2" xfId="6731"/>
    <cellStyle name="Date 98 3 3" xfId="6732"/>
    <cellStyle name="Date 98 4" xfId="6733"/>
    <cellStyle name="Date 98 5" xfId="6734"/>
    <cellStyle name="Date 99" xfId="6735"/>
    <cellStyle name="Date 99 2" xfId="6736"/>
    <cellStyle name="Date 99 2 2" xfId="6737"/>
    <cellStyle name="Date 99 2 3" xfId="6738"/>
    <cellStyle name="Date 99 3" xfId="6739"/>
    <cellStyle name="Date 99 3 2" xfId="6740"/>
    <cellStyle name="Date 99 3 3" xfId="6741"/>
    <cellStyle name="Date 99 4" xfId="6742"/>
    <cellStyle name="Date 99 5" xfId="6743"/>
    <cellStyle name="Date Short" xfId="6744"/>
    <cellStyle name="Date_08-1322-LCOE Navy Firescout UAE Support ROM SANITIZED Abbreviated (3)" xfId="6745"/>
    <cellStyle name="Decimal (0)" xfId="6746"/>
    <cellStyle name="DELTA" xfId="6747"/>
    <cellStyle name="Emphasis 1" xfId="6748"/>
    <cellStyle name="Emphasis 2" xfId="6749"/>
    <cellStyle name="Emphasis 3" xfId="6750"/>
    <cellStyle name="Enter Currency (0)" xfId="6751"/>
    <cellStyle name="Enter Currency (2)" xfId="6752"/>
    <cellStyle name="Enter Units (0)" xfId="6753"/>
    <cellStyle name="Enter Units (1)" xfId="6754"/>
    <cellStyle name="Enter Units (2)" xfId="6755"/>
    <cellStyle name="Euro" xfId="6756"/>
    <cellStyle name="Euro 2" xfId="6757"/>
    <cellStyle name="Euro 3" xfId="6758"/>
    <cellStyle name="Explanatory Text 2" xfId="6759"/>
    <cellStyle name="Explanatory Text 2 2" xfId="6760"/>
    <cellStyle name="Explanatory Text 2 2 2" xfId="6761"/>
    <cellStyle name="Explanatory Text 2 2 3" xfId="6762"/>
    <cellStyle name="Explanatory Text 2 3" xfId="6763"/>
    <cellStyle name="Explanatory Text 2 4" xfId="6764"/>
    <cellStyle name="Explanatory Text 3" xfId="6765"/>
    <cellStyle name="Explanatory Text 3 2" xfId="6766"/>
    <cellStyle name="Explanatory Text 3 3" xfId="6767"/>
    <cellStyle name="Explanatory Text 4" xfId="6768"/>
    <cellStyle name="Explanatory Text 4 2" xfId="6769"/>
    <cellStyle name="Explanatory Text 5" xfId="6770"/>
    <cellStyle name="Explanatory Text 6" xfId="6771"/>
    <cellStyle name="Explanatory Text 6 2" xfId="6772"/>
    <cellStyle name="Explanatory Text 7" xfId="6773"/>
    <cellStyle name="Explanatory Text 8" xfId="6774"/>
    <cellStyle name="Explanatory Text 9" xfId="6775"/>
    <cellStyle name="First - Style1" xfId="6776"/>
    <cellStyle name="First - Style1 2" xfId="6777"/>
    <cellStyle name="First - Style1 2 2" xfId="6778"/>
    <cellStyle name="First - Style1 2 3" xfId="6779"/>
    <cellStyle name="First - Style1 3" xfId="6780"/>
    <cellStyle name="First Titles" xfId="6781"/>
    <cellStyle name="Fixed" xfId="6782"/>
    <cellStyle name="Fixed 2" xfId="6783"/>
    <cellStyle name="Fixed 2 2" xfId="6784"/>
    <cellStyle name="Fixed 2 2 2" xfId="6785"/>
    <cellStyle name="Fixed 2 3" xfId="6786"/>
    <cellStyle name="Fixed 3" xfId="6787"/>
    <cellStyle name="Fixed 3 2" xfId="6788"/>
    <cellStyle name="Fixed 4" xfId="6789"/>
    <cellStyle name="Fixed 4 2" xfId="6790"/>
    <cellStyle name="Fixed 4 2 2" xfId="6791"/>
    <cellStyle name="Fixed 4 3" xfId="6792"/>
    <cellStyle name="Fixed 5" xfId="6793"/>
    <cellStyle name="Fixed4 - Style4" xfId="6794"/>
    <cellStyle name="Fixed4 - Style4 2" xfId="6795"/>
    <cellStyle name="Fixed4 - Style4 2 2" xfId="6796"/>
    <cellStyle name="Fixed4 - Style4 2 3" xfId="6797"/>
    <cellStyle name="Fixed4 - Style4 3" xfId="6798"/>
    <cellStyle name="Fixed4 - Style4 4" xfId="6799"/>
    <cellStyle name="format" xfId="6800"/>
    <cellStyle name="format 2" xfId="6801"/>
    <cellStyle name="format 2 2" xfId="6802"/>
    <cellStyle name="format 2 3" xfId="6803"/>
    <cellStyle name="format 3" xfId="6804"/>
    <cellStyle name="Geneva 9" xfId="6805"/>
    <cellStyle name="Geneva 9 2" xfId="6806"/>
    <cellStyle name="Geneva 9, Bold" xfId="6807"/>
    <cellStyle name="Geneva 9, Bold 2" xfId="6808"/>
    <cellStyle name="Good 10" xfId="6809"/>
    <cellStyle name="Good 11" xfId="6810"/>
    <cellStyle name="Good 12" xfId="6811"/>
    <cellStyle name="Good 2" xfId="6812"/>
    <cellStyle name="Good 2 2" xfId="6813"/>
    <cellStyle name="Good 2 2 2" xfId="6814"/>
    <cellStyle name="Good 2 2 3" xfId="6815"/>
    <cellStyle name="Good 2 3" xfId="6816"/>
    <cellStyle name="Good 2 3 2" xfId="6817"/>
    <cellStyle name="Good 2 4" xfId="6818"/>
    <cellStyle name="Good 2 4 2" xfId="6819"/>
    <cellStyle name="Good 2 4 3" xfId="6820"/>
    <cellStyle name="Good 3" xfId="6821"/>
    <cellStyle name="Good 3 2" xfId="6822"/>
    <cellStyle name="Good 3 3" xfId="6823"/>
    <cellStyle name="Good 4" xfId="6824"/>
    <cellStyle name="Good 4 2" xfId="6825"/>
    <cellStyle name="Good 5" xfId="6826"/>
    <cellStyle name="Good 6" xfId="6827"/>
    <cellStyle name="Good 6 2" xfId="6828"/>
    <cellStyle name="Good 7" xfId="6829"/>
    <cellStyle name="Good 8" xfId="6830"/>
    <cellStyle name="Good 9" xfId="6831"/>
    <cellStyle name="Header" xfId="6832"/>
    <cellStyle name="Header1" xfId="6833"/>
    <cellStyle name="Header1 2" xfId="6834"/>
    <cellStyle name="Header1 2 2" xfId="6835"/>
    <cellStyle name="Header1 3" xfId="6836"/>
    <cellStyle name="Header1 3 2" xfId="6837"/>
    <cellStyle name="Header1 4" xfId="6838"/>
    <cellStyle name="Header2" xfId="6839"/>
    <cellStyle name="Header2 2" xfId="6840"/>
    <cellStyle name="Header2 2 2" xfId="6841"/>
    <cellStyle name="Header2 3" xfId="6842"/>
    <cellStyle name="Header2 3 2" xfId="6843"/>
    <cellStyle name="Header2 4" xfId="6844"/>
    <cellStyle name="Heading 1 10" xfId="6845"/>
    <cellStyle name="Heading 1 2" xfId="6846"/>
    <cellStyle name="Heading 1 2 10" xfId="6847"/>
    <cellStyle name="Heading 1 2 10 10" xfId="6848"/>
    <cellStyle name="Heading 1 2 10 10 2" xfId="6849"/>
    <cellStyle name="Heading 1 2 10 10 2 2" xfId="6850"/>
    <cellStyle name="Heading 1 2 10 10 3" xfId="6851"/>
    <cellStyle name="Heading 1 2 10 11" xfId="6852"/>
    <cellStyle name="Heading 1 2 10 11 2" xfId="6853"/>
    <cellStyle name="Heading 1 2 10 11 2 2" xfId="6854"/>
    <cellStyle name="Heading 1 2 10 11 3" xfId="6855"/>
    <cellStyle name="Heading 1 2 10 12" xfId="6856"/>
    <cellStyle name="Heading 1 2 10 12 2" xfId="6857"/>
    <cellStyle name="Heading 1 2 10 12 2 2" xfId="6858"/>
    <cellStyle name="Heading 1 2 10 12 3" xfId="6859"/>
    <cellStyle name="Heading 1 2 10 13" xfId="6860"/>
    <cellStyle name="Heading 1 2 10 13 2" xfId="6861"/>
    <cellStyle name="Heading 1 2 10 13 2 2" xfId="6862"/>
    <cellStyle name="Heading 1 2 10 13 3" xfId="6863"/>
    <cellStyle name="Heading 1 2 10 14" xfId="6864"/>
    <cellStyle name="Heading 1 2 10 14 2" xfId="6865"/>
    <cellStyle name="Heading 1 2 10 14 2 2" xfId="6866"/>
    <cellStyle name="Heading 1 2 10 14 3" xfId="6867"/>
    <cellStyle name="Heading 1 2 10 15" xfId="6868"/>
    <cellStyle name="Heading 1 2 10 15 2" xfId="6869"/>
    <cellStyle name="Heading 1 2 10 15 2 2" xfId="6870"/>
    <cellStyle name="Heading 1 2 10 15 3" xfId="6871"/>
    <cellStyle name="Heading 1 2 10 16" xfId="6872"/>
    <cellStyle name="Heading 1 2 10 16 2" xfId="6873"/>
    <cellStyle name="Heading 1 2 10 16 2 2" xfId="6874"/>
    <cellStyle name="Heading 1 2 10 16 3" xfId="6875"/>
    <cellStyle name="Heading 1 2 10 17" xfId="6876"/>
    <cellStyle name="Heading 1 2 10 17 2" xfId="6877"/>
    <cellStyle name="Heading 1 2 10 17 2 2" xfId="6878"/>
    <cellStyle name="Heading 1 2 10 17 3" xfId="6879"/>
    <cellStyle name="Heading 1 2 10 18" xfId="6880"/>
    <cellStyle name="Heading 1 2 10 18 2" xfId="6881"/>
    <cellStyle name="Heading 1 2 10 18 2 2" xfId="6882"/>
    <cellStyle name="Heading 1 2 10 18 3" xfId="6883"/>
    <cellStyle name="Heading 1 2 10 19" xfId="6884"/>
    <cellStyle name="Heading 1 2 10 19 2" xfId="6885"/>
    <cellStyle name="Heading 1 2 10 19 2 2" xfId="6886"/>
    <cellStyle name="Heading 1 2 10 19 3" xfId="6887"/>
    <cellStyle name="Heading 1 2 10 2" xfId="6888"/>
    <cellStyle name="Heading 1 2 10 2 10" xfId="6889"/>
    <cellStyle name="Heading 1 2 10 2 10 2" xfId="6890"/>
    <cellStyle name="Heading 1 2 10 2 10 2 2" xfId="6891"/>
    <cellStyle name="Heading 1 2 10 2 10 3" xfId="6892"/>
    <cellStyle name="Heading 1 2 10 2 11" xfId="6893"/>
    <cellStyle name="Heading 1 2 10 2 11 2" xfId="6894"/>
    <cellStyle name="Heading 1 2 10 2 11 2 2" xfId="6895"/>
    <cellStyle name="Heading 1 2 10 2 11 3" xfId="6896"/>
    <cellStyle name="Heading 1 2 10 2 12" xfId="6897"/>
    <cellStyle name="Heading 1 2 10 2 12 2" xfId="6898"/>
    <cellStyle name="Heading 1 2 10 2 12 2 2" xfId="6899"/>
    <cellStyle name="Heading 1 2 10 2 12 3" xfId="6900"/>
    <cellStyle name="Heading 1 2 10 2 13" xfId="6901"/>
    <cellStyle name="Heading 1 2 10 2 13 2" xfId="6902"/>
    <cellStyle name="Heading 1 2 10 2 13 2 2" xfId="6903"/>
    <cellStyle name="Heading 1 2 10 2 13 3" xfId="6904"/>
    <cellStyle name="Heading 1 2 10 2 14" xfId="6905"/>
    <cellStyle name="Heading 1 2 10 2 14 2" xfId="6906"/>
    <cellStyle name="Heading 1 2 10 2 14 2 2" xfId="6907"/>
    <cellStyle name="Heading 1 2 10 2 14 3" xfId="6908"/>
    <cellStyle name="Heading 1 2 10 2 15" xfId="6909"/>
    <cellStyle name="Heading 1 2 10 2 15 2" xfId="6910"/>
    <cellStyle name="Heading 1 2 10 2 15 2 2" xfId="6911"/>
    <cellStyle name="Heading 1 2 10 2 15 3" xfId="6912"/>
    <cellStyle name="Heading 1 2 10 2 16" xfId="6913"/>
    <cellStyle name="Heading 1 2 10 2 16 2" xfId="6914"/>
    <cellStyle name="Heading 1 2 10 2 16 2 2" xfId="6915"/>
    <cellStyle name="Heading 1 2 10 2 16 3" xfId="6916"/>
    <cellStyle name="Heading 1 2 10 2 17" xfId="6917"/>
    <cellStyle name="Heading 1 2 10 2 17 2" xfId="6918"/>
    <cellStyle name="Heading 1 2 10 2 17 2 2" xfId="6919"/>
    <cellStyle name="Heading 1 2 10 2 17 3" xfId="6920"/>
    <cellStyle name="Heading 1 2 10 2 18" xfId="6921"/>
    <cellStyle name="Heading 1 2 10 2 18 2" xfId="6922"/>
    <cellStyle name="Heading 1 2 10 2 18 2 2" xfId="6923"/>
    <cellStyle name="Heading 1 2 10 2 18 3" xfId="6924"/>
    <cellStyle name="Heading 1 2 10 2 19" xfId="6925"/>
    <cellStyle name="Heading 1 2 10 2 19 2" xfId="6926"/>
    <cellStyle name="Heading 1 2 10 2 2" xfId="6927"/>
    <cellStyle name="Heading 1 2 10 2 2 2" xfId="6928"/>
    <cellStyle name="Heading 1 2 10 2 2 2 2" xfId="6929"/>
    <cellStyle name="Heading 1 2 10 2 2 2 2 2" xfId="6930"/>
    <cellStyle name="Heading 1 2 10 2 2 2 3" xfId="6931"/>
    <cellStyle name="Heading 1 2 10 2 2 3" xfId="6932"/>
    <cellStyle name="Heading 1 2 10 2 2 3 2" xfId="6933"/>
    <cellStyle name="Heading 1 2 10 2 2 3 2 2" xfId="6934"/>
    <cellStyle name="Heading 1 2 10 2 2 3 3" xfId="6935"/>
    <cellStyle name="Heading 1 2 10 2 2 4" xfId="6936"/>
    <cellStyle name="Heading 1 2 10 2 2 4 2" xfId="6937"/>
    <cellStyle name="Heading 1 2 10 2 2 4 2 2" xfId="6938"/>
    <cellStyle name="Heading 1 2 10 2 2 4 3" xfId="6939"/>
    <cellStyle name="Heading 1 2 10 2 2 5" xfId="6940"/>
    <cellStyle name="Heading 1 2 10 2 2 5 2" xfId="6941"/>
    <cellStyle name="Heading 1 2 10 2 2 5 2 2" xfId="6942"/>
    <cellStyle name="Heading 1 2 10 2 2 5 3" xfId="6943"/>
    <cellStyle name="Heading 1 2 10 2 2 6" xfId="6944"/>
    <cellStyle name="Heading 1 2 10 2 2 6 2" xfId="6945"/>
    <cellStyle name="Heading 1 2 10 2 2 6 2 2" xfId="6946"/>
    <cellStyle name="Heading 1 2 10 2 2 6 3" xfId="6947"/>
    <cellStyle name="Heading 1 2 10 2 2 7" xfId="6948"/>
    <cellStyle name="Heading 1 2 10 2 2 7 2" xfId="6949"/>
    <cellStyle name="Heading 1 2 10 2 2 7 2 2" xfId="6950"/>
    <cellStyle name="Heading 1 2 10 2 2 7 3" xfId="6951"/>
    <cellStyle name="Heading 1 2 10 2 2 8" xfId="6952"/>
    <cellStyle name="Heading 1 2 10 2 2 8 2" xfId="6953"/>
    <cellStyle name="Heading 1 2 10 2 2 9" xfId="6954"/>
    <cellStyle name="Heading 1 2 10 2 20" xfId="6955"/>
    <cellStyle name="Heading 1 2 10 2 20 2" xfId="6956"/>
    <cellStyle name="Heading 1 2 10 2 21" xfId="6957"/>
    <cellStyle name="Heading 1 2 10 2 21 2" xfId="6958"/>
    <cellStyle name="Heading 1 2 10 2 22" xfId="6959"/>
    <cellStyle name="Heading 1 2 10 2 3" xfId="6960"/>
    <cellStyle name="Heading 1 2 10 2 3 2" xfId="6961"/>
    <cellStyle name="Heading 1 2 10 2 3 2 2" xfId="6962"/>
    <cellStyle name="Heading 1 2 10 2 3 2 2 2" xfId="6963"/>
    <cellStyle name="Heading 1 2 10 2 3 2 3" xfId="6964"/>
    <cellStyle name="Heading 1 2 10 2 3 3" xfId="6965"/>
    <cellStyle name="Heading 1 2 10 2 3 3 2" xfId="6966"/>
    <cellStyle name="Heading 1 2 10 2 3 3 2 2" xfId="6967"/>
    <cellStyle name="Heading 1 2 10 2 3 3 3" xfId="6968"/>
    <cellStyle name="Heading 1 2 10 2 3 4" xfId="6969"/>
    <cellStyle name="Heading 1 2 10 2 3 4 2" xfId="6970"/>
    <cellStyle name="Heading 1 2 10 2 3 4 2 2" xfId="6971"/>
    <cellStyle name="Heading 1 2 10 2 3 4 3" xfId="6972"/>
    <cellStyle name="Heading 1 2 10 2 3 5" xfId="6973"/>
    <cellStyle name="Heading 1 2 10 2 3 5 2" xfId="6974"/>
    <cellStyle name="Heading 1 2 10 2 3 5 2 2" xfId="6975"/>
    <cellStyle name="Heading 1 2 10 2 3 5 3" xfId="6976"/>
    <cellStyle name="Heading 1 2 10 2 3 6" xfId="6977"/>
    <cellStyle name="Heading 1 2 10 2 3 6 2" xfId="6978"/>
    <cellStyle name="Heading 1 2 10 2 3 6 2 2" xfId="6979"/>
    <cellStyle name="Heading 1 2 10 2 3 6 3" xfId="6980"/>
    <cellStyle name="Heading 1 2 10 2 3 7" xfId="6981"/>
    <cellStyle name="Heading 1 2 10 2 3 7 2" xfId="6982"/>
    <cellStyle name="Heading 1 2 10 2 3 7 2 2" xfId="6983"/>
    <cellStyle name="Heading 1 2 10 2 3 7 3" xfId="6984"/>
    <cellStyle name="Heading 1 2 10 2 3 8" xfId="6985"/>
    <cellStyle name="Heading 1 2 10 2 3 8 2" xfId="6986"/>
    <cellStyle name="Heading 1 2 10 2 3 9" xfId="6987"/>
    <cellStyle name="Heading 1 2 10 2 4" xfId="6988"/>
    <cellStyle name="Heading 1 2 10 2 4 2" xfId="6989"/>
    <cellStyle name="Heading 1 2 10 2 4 2 2" xfId="6990"/>
    <cellStyle name="Heading 1 2 10 2 4 2 2 2" xfId="6991"/>
    <cellStyle name="Heading 1 2 10 2 4 2 3" xfId="6992"/>
    <cellStyle name="Heading 1 2 10 2 4 3" xfId="6993"/>
    <cellStyle name="Heading 1 2 10 2 4 3 2" xfId="6994"/>
    <cellStyle name="Heading 1 2 10 2 4 3 2 2" xfId="6995"/>
    <cellStyle name="Heading 1 2 10 2 4 3 3" xfId="6996"/>
    <cellStyle name="Heading 1 2 10 2 4 4" xfId="6997"/>
    <cellStyle name="Heading 1 2 10 2 4 4 2" xfId="6998"/>
    <cellStyle name="Heading 1 2 10 2 4 4 2 2" xfId="6999"/>
    <cellStyle name="Heading 1 2 10 2 4 4 3" xfId="7000"/>
    <cellStyle name="Heading 1 2 10 2 4 5" xfId="7001"/>
    <cellStyle name="Heading 1 2 10 2 4 5 2" xfId="7002"/>
    <cellStyle name="Heading 1 2 10 2 4 5 2 2" xfId="7003"/>
    <cellStyle name="Heading 1 2 10 2 4 5 3" xfId="7004"/>
    <cellStyle name="Heading 1 2 10 2 4 6" xfId="7005"/>
    <cellStyle name="Heading 1 2 10 2 4 6 2" xfId="7006"/>
    <cellStyle name="Heading 1 2 10 2 4 6 2 2" xfId="7007"/>
    <cellStyle name="Heading 1 2 10 2 4 6 3" xfId="7008"/>
    <cellStyle name="Heading 1 2 10 2 4 7" xfId="7009"/>
    <cellStyle name="Heading 1 2 10 2 4 7 2" xfId="7010"/>
    <cellStyle name="Heading 1 2 10 2 4 7 2 2" xfId="7011"/>
    <cellStyle name="Heading 1 2 10 2 4 7 3" xfId="7012"/>
    <cellStyle name="Heading 1 2 10 2 4 8" xfId="7013"/>
    <cellStyle name="Heading 1 2 10 2 4 8 2" xfId="7014"/>
    <cellStyle name="Heading 1 2 10 2 4 9" xfId="7015"/>
    <cellStyle name="Heading 1 2 10 2 5" xfId="7016"/>
    <cellStyle name="Heading 1 2 10 2 5 2" xfId="7017"/>
    <cellStyle name="Heading 1 2 10 2 5 2 2" xfId="7018"/>
    <cellStyle name="Heading 1 2 10 2 5 2 2 2" xfId="7019"/>
    <cellStyle name="Heading 1 2 10 2 5 2 3" xfId="7020"/>
    <cellStyle name="Heading 1 2 10 2 5 3" xfId="7021"/>
    <cellStyle name="Heading 1 2 10 2 5 3 2" xfId="7022"/>
    <cellStyle name="Heading 1 2 10 2 5 3 2 2" xfId="7023"/>
    <cellStyle name="Heading 1 2 10 2 5 3 3" xfId="7024"/>
    <cellStyle name="Heading 1 2 10 2 5 4" xfId="7025"/>
    <cellStyle name="Heading 1 2 10 2 5 4 2" xfId="7026"/>
    <cellStyle name="Heading 1 2 10 2 5 4 2 2" xfId="7027"/>
    <cellStyle name="Heading 1 2 10 2 5 4 3" xfId="7028"/>
    <cellStyle name="Heading 1 2 10 2 5 5" xfId="7029"/>
    <cellStyle name="Heading 1 2 10 2 5 5 2" xfId="7030"/>
    <cellStyle name="Heading 1 2 10 2 5 5 2 2" xfId="7031"/>
    <cellStyle name="Heading 1 2 10 2 5 5 3" xfId="7032"/>
    <cellStyle name="Heading 1 2 10 2 5 6" xfId="7033"/>
    <cellStyle name="Heading 1 2 10 2 5 6 2" xfId="7034"/>
    <cellStyle name="Heading 1 2 10 2 5 6 2 2" xfId="7035"/>
    <cellStyle name="Heading 1 2 10 2 5 6 3" xfId="7036"/>
    <cellStyle name="Heading 1 2 10 2 5 7" xfId="7037"/>
    <cellStyle name="Heading 1 2 10 2 5 7 2" xfId="7038"/>
    <cellStyle name="Heading 1 2 10 2 5 7 2 2" xfId="7039"/>
    <cellStyle name="Heading 1 2 10 2 5 7 3" xfId="7040"/>
    <cellStyle name="Heading 1 2 10 2 5 8" xfId="7041"/>
    <cellStyle name="Heading 1 2 10 2 5 8 2" xfId="7042"/>
    <cellStyle name="Heading 1 2 10 2 5 9" xfId="7043"/>
    <cellStyle name="Heading 1 2 10 2 6" xfId="7044"/>
    <cellStyle name="Heading 1 2 10 2 6 2" xfId="7045"/>
    <cellStyle name="Heading 1 2 10 2 6 2 2" xfId="7046"/>
    <cellStyle name="Heading 1 2 10 2 6 2 2 2" xfId="7047"/>
    <cellStyle name="Heading 1 2 10 2 6 2 3" xfId="7048"/>
    <cellStyle name="Heading 1 2 10 2 6 3" xfId="7049"/>
    <cellStyle name="Heading 1 2 10 2 6 3 2" xfId="7050"/>
    <cellStyle name="Heading 1 2 10 2 6 3 2 2" xfId="7051"/>
    <cellStyle name="Heading 1 2 10 2 6 3 3" xfId="7052"/>
    <cellStyle name="Heading 1 2 10 2 6 4" xfId="7053"/>
    <cellStyle name="Heading 1 2 10 2 6 4 2" xfId="7054"/>
    <cellStyle name="Heading 1 2 10 2 6 4 2 2" xfId="7055"/>
    <cellStyle name="Heading 1 2 10 2 6 4 3" xfId="7056"/>
    <cellStyle name="Heading 1 2 10 2 6 5" xfId="7057"/>
    <cellStyle name="Heading 1 2 10 2 6 5 2" xfId="7058"/>
    <cellStyle name="Heading 1 2 10 2 6 5 2 2" xfId="7059"/>
    <cellStyle name="Heading 1 2 10 2 6 5 3" xfId="7060"/>
    <cellStyle name="Heading 1 2 10 2 6 6" xfId="7061"/>
    <cellStyle name="Heading 1 2 10 2 6 6 2" xfId="7062"/>
    <cellStyle name="Heading 1 2 10 2 6 6 2 2" xfId="7063"/>
    <cellStyle name="Heading 1 2 10 2 6 6 3" xfId="7064"/>
    <cellStyle name="Heading 1 2 10 2 6 7" xfId="7065"/>
    <cellStyle name="Heading 1 2 10 2 6 7 2" xfId="7066"/>
    <cellStyle name="Heading 1 2 10 2 6 7 2 2" xfId="7067"/>
    <cellStyle name="Heading 1 2 10 2 6 7 3" xfId="7068"/>
    <cellStyle name="Heading 1 2 10 2 6 8" xfId="7069"/>
    <cellStyle name="Heading 1 2 10 2 6 8 2" xfId="7070"/>
    <cellStyle name="Heading 1 2 10 2 6 9" xfId="7071"/>
    <cellStyle name="Heading 1 2 10 2 7" xfId="7072"/>
    <cellStyle name="Heading 1 2 10 2 7 2" xfId="7073"/>
    <cellStyle name="Heading 1 2 10 2 7 2 2" xfId="7074"/>
    <cellStyle name="Heading 1 2 10 2 7 2 2 2" xfId="7075"/>
    <cellStyle name="Heading 1 2 10 2 7 2 3" xfId="7076"/>
    <cellStyle name="Heading 1 2 10 2 7 3" xfId="7077"/>
    <cellStyle name="Heading 1 2 10 2 7 3 2" xfId="7078"/>
    <cellStyle name="Heading 1 2 10 2 7 3 2 2" xfId="7079"/>
    <cellStyle name="Heading 1 2 10 2 7 3 3" xfId="7080"/>
    <cellStyle name="Heading 1 2 10 2 7 4" xfId="7081"/>
    <cellStyle name="Heading 1 2 10 2 7 4 2" xfId="7082"/>
    <cellStyle name="Heading 1 2 10 2 7 4 2 2" xfId="7083"/>
    <cellStyle name="Heading 1 2 10 2 7 4 3" xfId="7084"/>
    <cellStyle name="Heading 1 2 10 2 7 5" xfId="7085"/>
    <cellStyle name="Heading 1 2 10 2 7 5 2" xfId="7086"/>
    <cellStyle name="Heading 1 2 10 2 7 5 2 2" xfId="7087"/>
    <cellStyle name="Heading 1 2 10 2 7 5 3" xfId="7088"/>
    <cellStyle name="Heading 1 2 10 2 7 6" xfId="7089"/>
    <cellStyle name="Heading 1 2 10 2 7 6 2" xfId="7090"/>
    <cellStyle name="Heading 1 2 10 2 7 6 2 2" xfId="7091"/>
    <cellStyle name="Heading 1 2 10 2 7 6 3" xfId="7092"/>
    <cellStyle name="Heading 1 2 10 2 7 7" xfId="7093"/>
    <cellStyle name="Heading 1 2 10 2 7 7 2" xfId="7094"/>
    <cellStyle name="Heading 1 2 10 2 7 7 2 2" xfId="7095"/>
    <cellStyle name="Heading 1 2 10 2 7 7 3" xfId="7096"/>
    <cellStyle name="Heading 1 2 10 2 7 8" xfId="7097"/>
    <cellStyle name="Heading 1 2 10 2 7 8 2" xfId="7098"/>
    <cellStyle name="Heading 1 2 10 2 7 9" xfId="7099"/>
    <cellStyle name="Heading 1 2 10 2 8" xfId="7100"/>
    <cellStyle name="Heading 1 2 10 2 8 2" xfId="7101"/>
    <cellStyle name="Heading 1 2 10 2 8 2 2" xfId="7102"/>
    <cellStyle name="Heading 1 2 10 2 8 2 2 2" xfId="7103"/>
    <cellStyle name="Heading 1 2 10 2 8 2 3" xfId="7104"/>
    <cellStyle name="Heading 1 2 10 2 8 3" xfId="7105"/>
    <cellStyle name="Heading 1 2 10 2 8 3 2" xfId="7106"/>
    <cellStyle name="Heading 1 2 10 2 8 3 2 2" xfId="7107"/>
    <cellStyle name="Heading 1 2 10 2 8 3 3" xfId="7108"/>
    <cellStyle name="Heading 1 2 10 2 8 4" xfId="7109"/>
    <cellStyle name="Heading 1 2 10 2 8 4 2" xfId="7110"/>
    <cellStyle name="Heading 1 2 10 2 8 4 2 2" xfId="7111"/>
    <cellStyle name="Heading 1 2 10 2 8 4 3" xfId="7112"/>
    <cellStyle name="Heading 1 2 10 2 8 5" xfId="7113"/>
    <cellStyle name="Heading 1 2 10 2 8 5 2" xfId="7114"/>
    <cellStyle name="Heading 1 2 10 2 8 5 2 2" xfId="7115"/>
    <cellStyle name="Heading 1 2 10 2 8 5 3" xfId="7116"/>
    <cellStyle name="Heading 1 2 10 2 8 6" xfId="7117"/>
    <cellStyle name="Heading 1 2 10 2 8 6 2" xfId="7118"/>
    <cellStyle name="Heading 1 2 10 2 8 6 2 2" xfId="7119"/>
    <cellStyle name="Heading 1 2 10 2 8 6 3" xfId="7120"/>
    <cellStyle name="Heading 1 2 10 2 8 7" xfId="7121"/>
    <cellStyle name="Heading 1 2 10 2 8 7 2" xfId="7122"/>
    <cellStyle name="Heading 1 2 10 2 8 7 2 2" xfId="7123"/>
    <cellStyle name="Heading 1 2 10 2 8 7 3" xfId="7124"/>
    <cellStyle name="Heading 1 2 10 2 8 8" xfId="7125"/>
    <cellStyle name="Heading 1 2 10 2 8 8 2" xfId="7126"/>
    <cellStyle name="Heading 1 2 10 2 8 9" xfId="7127"/>
    <cellStyle name="Heading 1 2 10 2 9" xfId="7128"/>
    <cellStyle name="Heading 1 2 10 2 9 2" xfId="7129"/>
    <cellStyle name="Heading 1 2 10 2 9 2 2" xfId="7130"/>
    <cellStyle name="Heading 1 2 10 2 9 3" xfId="7131"/>
    <cellStyle name="Heading 1 2 10 20" xfId="7132"/>
    <cellStyle name="Heading 1 2 10 20 2" xfId="7133"/>
    <cellStyle name="Heading 1 2 10 21" xfId="7134"/>
    <cellStyle name="Heading 1 2 10 21 2" xfId="7135"/>
    <cellStyle name="Heading 1 2 10 22" xfId="7136"/>
    <cellStyle name="Heading 1 2 10 22 2" xfId="7137"/>
    <cellStyle name="Heading 1 2 10 23" xfId="7138"/>
    <cellStyle name="Heading 1 2 10 3" xfId="7139"/>
    <cellStyle name="Heading 1 2 10 3 2" xfId="7140"/>
    <cellStyle name="Heading 1 2 10 3 2 2" xfId="7141"/>
    <cellStyle name="Heading 1 2 10 3 2 2 2" xfId="7142"/>
    <cellStyle name="Heading 1 2 10 3 2 3" xfId="7143"/>
    <cellStyle name="Heading 1 2 10 3 3" xfId="7144"/>
    <cellStyle name="Heading 1 2 10 3 3 2" xfId="7145"/>
    <cellStyle name="Heading 1 2 10 3 3 2 2" xfId="7146"/>
    <cellStyle name="Heading 1 2 10 3 3 3" xfId="7147"/>
    <cellStyle name="Heading 1 2 10 3 4" xfId="7148"/>
    <cellStyle name="Heading 1 2 10 3 4 2" xfId="7149"/>
    <cellStyle name="Heading 1 2 10 3 4 2 2" xfId="7150"/>
    <cellStyle name="Heading 1 2 10 3 4 3" xfId="7151"/>
    <cellStyle name="Heading 1 2 10 3 5" xfId="7152"/>
    <cellStyle name="Heading 1 2 10 3 5 2" xfId="7153"/>
    <cellStyle name="Heading 1 2 10 3 5 2 2" xfId="7154"/>
    <cellStyle name="Heading 1 2 10 3 5 3" xfId="7155"/>
    <cellStyle name="Heading 1 2 10 3 6" xfId="7156"/>
    <cellStyle name="Heading 1 2 10 3 6 2" xfId="7157"/>
    <cellStyle name="Heading 1 2 10 3 6 2 2" xfId="7158"/>
    <cellStyle name="Heading 1 2 10 3 6 3" xfId="7159"/>
    <cellStyle name="Heading 1 2 10 3 7" xfId="7160"/>
    <cellStyle name="Heading 1 2 10 3 7 2" xfId="7161"/>
    <cellStyle name="Heading 1 2 10 3 7 2 2" xfId="7162"/>
    <cellStyle name="Heading 1 2 10 3 7 3" xfId="7163"/>
    <cellStyle name="Heading 1 2 10 3 8" xfId="7164"/>
    <cellStyle name="Heading 1 2 10 3 8 2" xfId="7165"/>
    <cellStyle name="Heading 1 2 10 3 9" xfId="7166"/>
    <cellStyle name="Heading 1 2 10 4" xfId="7167"/>
    <cellStyle name="Heading 1 2 10 4 2" xfId="7168"/>
    <cellStyle name="Heading 1 2 10 4 2 2" xfId="7169"/>
    <cellStyle name="Heading 1 2 10 4 2 2 2" xfId="7170"/>
    <cellStyle name="Heading 1 2 10 4 2 3" xfId="7171"/>
    <cellStyle name="Heading 1 2 10 4 3" xfId="7172"/>
    <cellStyle name="Heading 1 2 10 4 3 2" xfId="7173"/>
    <cellStyle name="Heading 1 2 10 4 3 2 2" xfId="7174"/>
    <cellStyle name="Heading 1 2 10 4 3 3" xfId="7175"/>
    <cellStyle name="Heading 1 2 10 4 4" xfId="7176"/>
    <cellStyle name="Heading 1 2 10 4 4 2" xfId="7177"/>
    <cellStyle name="Heading 1 2 10 4 4 2 2" xfId="7178"/>
    <cellStyle name="Heading 1 2 10 4 4 3" xfId="7179"/>
    <cellStyle name="Heading 1 2 10 4 5" xfId="7180"/>
    <cellStyle name="Heading 1 2 10 4 5 2" xfId="7181"/>
    <cellStyle name="Heading 1 2 10 4 5 2 2" xfId="7182"/>
    <cellStyle name="Heading 1 2 10 4 5 3" xfId="7183"/>
    <cellStyle name="Heading 1 2 10 4 6" xfId="7184"/>
    <cellStyle name="Heading 1 2 10 4 6 2" xfId="7185"/>
    <cellStyle name="Heading 1 2 10 4 6 2 2" xfId="7186"/>
    <cellStyle name="Heading 1 2 10 4 6 3" xfId="7187"/>
    <cellStyle name="Heading 1 2 10 4 7" xfId="7188"/>
    <cellStyle name="Heading 1 2 10 4 7 2" xfId="7189"/>
    <cellStyle name="Heading 1 2 10 4 7 2 2" xfId="7190"/>
    <cellStyle name="Heading 1 2 10 4 7 3" xfId="7191"/>
    <cellStyle name="Heading 1 2 10 4 8" xfId="7192"/>
    <cellStyle name="Heading 1 2 10 4 8 2" xfId="7193"/>
    <cellStyle name="Heading 1 2 10 4 9" xfId="7194"/>
    <cellStyle name="Heading 1 2 10 5" xfId="7195"/>
    <cellStyle name="Heading 1 2 10 5 2" xfId="7196"/>
    <cellStyle name="Heading 1 2 10 5 2 2" xfId="7197"/>
    <cellStyle name="Heading 1 2 10 5 2 2 2" xfId="7198"/>
    <cellStyle name="Heading 1 2 10 5 2 3" xfId="7199"/>
    <cellStyle name="Heading 1 2 10 5 3" xfId="7200"/>
    <cellStyle name="Heading 1 2 10 5 3 2" xfId="7201"/>
    <cellStyle name="Heading 1 2 10 5 3 2 2" xfId="7202"/>
    <cellStyle name="Heading 1 2 10 5 3 3" xfId="7203"/>
    <cellStyle name="Heading 1 2 10 5 4" xfId="7204"/>
    <cellStyle name="Heading 1 2 10 5 4 2" xfId="7205"/>
    <cellStyle name="Heading 1 2 10 5 4 2 2" xfId="7206"/>
    <cellStyle name="Heading 1 2 10 5 4 3" xfId="7207"/>
    <cellStyle name="Heading 1 2 10 5 5" xfId="7208"/>
    <cellStyle name="Heading 1 2 10 5 5 2" xfId="7209"/>
    <cellStyle name="Heading 1 2 10 5 5 2 2" xfId="7210"/>
    <cellStyle name="Heading 1 2 10 5 5 3" xfId="7211"/>
    <cellStyle name="Heading 1 2 10 5 6" xfId="7212"/>
    <cellStyle name="Heading 1 2 10 5 6 2" xfId="7213"/>
    <cellStyle name="Heading 1 2 10 5 6 2 2" xfId="7214"/>
    <cellStyle name="Heading 1 2 10 5 6 3" xfId="7215"/>
    <cellStyle name="Heading 1 2 10 5 7" xfId="7216"/>
    <cellStyle name="Heading 1 2 10 5 7 2" xfId="7217"/>
    <cellStyle name="Heading 1 2 10 5 7 2 2" xfId="7218"/>
    <cellStyle name="Heading 1 2 10 5 7 3" xfId="7219"/>
    <cellStyle name="Heading 1 2 10 5 8" xfId="7220"/>
    <cellStyle name="Heading 1 2 10 5 8 2" xfId="7221"/>
    <cellStyle name="Heading 1 2 10 5 9" xfId="7222"/>
    <cellStyle name="Heading 1 2 10 6" xfId="7223"/>
    <cellStyle name="Heading 1 2 10 6 2" xfId="7224"/>
    <cellStyle name="Heading 1 2 10 6 2 2" xfId="7225"/>
    <cellStyle name="Heading 1 2 10 6 2 2 2" xfId="7226"/>
    <cellStyle name="Heading 1 2 10 6 2 3" xfId="7227"/>
    <cellStyle name="Heading 1 2 10 6 3" xfId="7228"/>
    <cellStyle name="Heading 1 2 10 6 3 2" xfId="7229"/>
    <cellStyle name="Heading 1 2 10 6 3 2 2" xfId="7230"/>
    <cellStyle name="Heading 1 2 10 6 3 3" xfId="7231"/>
    <cellStyle name="Heading 1 2 10 6 4" xfId="7232"/>
    <cellStyle name="Heading 1 2 10 6 4 2" xfId="7233"/>
    <cellStyle name="Heading 1 2 10 6 4 2 2" xfId="7234"/>
    <cellStyle name="Heading 1 2 10 6 4 3" xfId="7235"/>
    <cellStyle name="Heading 1 2 10 6 5" xfId="7236"/>
    <cellStyle name="Heading 1 2 10 6 5 2" xfId="7237"/>
    <cellStyle name="Heading 1 2 10 6 5 2 2" xfId="7238"/>
    <cellStyle name="Heading 1 2 10 6 5 3" xfId="7239"/>
    <cellStyle name="Heading 1 2 10 6 6" xfId="7240"/>
    <cellStyle name="Heading 1 2 10 6 6 2" xfId="7241"/>
    <cellStyle name="Heading 1 2 10 6 6 2 2" xfId="7242"/>
    <cellStyle name="Heading 1 2 10 6 6 3" xfId="7243"/>
    <cellStyle name="Heading 1 2 10 6 7" xfId="7244"/>
    <cellStyle name="Heading 1 2 10 6 7 2" xfId="7245"/>
    <cellStyle name="Heading 1 2 10 6 7 2 2" xfId="7246"/>
    <cellStyle name="Heading 1 2 10 6 7 3" xfId="7247"/>
    <cellStyle name="Heading 1 2 10 6 8" xfId="7248"/>
    <cellStyle name="Heading 1 2 10 6 8 2" xfId="7249"/>
    <cellStyle name="Heading 1 2 10 6 9" xfId="7250"/>
    <cellStyle name="Heading 1 2 10 7" xfId="7251"/>
    <cellStyle name="Heading 1 2 10 7 2" xfId="7252"/>
    <cellStyle name="Heading 1 2 10 7 2 2" xfId="7253"/>
    <cellStyle name="Heading 1 2 10 7 2 2 2" xfId="7254"/>
    <cellStyle name="Heading 1 2 10 7 2 3" xfId="7255"/>
    <cellStyle name="Heading 1 2 10 7 3" xfId="7256"/>
    <cellStyle name="Heading 1 2 10 7 3 2" xfId="7257"/>
    <cellStyle name="Heading 1 2 10 7 3 2 2" xfId="7258"/>
    <cellStyle name="Heading 1 2 10 7 3 3" xfId="7259"/>
    <cellStyle name="Heading 1 2 10 7 4" xfId="7260"/>
    <cellStyle name="Heading 1 2 10 7 4 2" xfId="7261"/>
    <cellStyle name="Heading 1 2 10 7 4 2 2" xfId="7262"/>
    <cellStyle name="Heading 1 2 10 7 4 3" xfId="7263"/>
    <cellStyle name="Heading 1 2 10 7 5" xfId="7264"/>
    <cellStyle name="Heading 1 2 10 7 5 2" xfId="7265"/>
    <cellStyle name="Heading 1 2 10 7 5 2 2" xfId="7266"/>
    <cellStyle name="Heading 1 2 10 7 5 3" xfId="7267"/>
    <cellStyle name="Heading 1 2 10 7 6" xfId="7268"/>
    <cellStyle name="Heading 1 2 10 7 6 2" xfId="7269"/>
    <cellStyle name="Heading 1 2 10 7 6 2 2" xfId="7270"/>
    <cellStyle name="Heading 1 2 10 7 6 3" xfId="7271"/>
    <cellStyle name="Heading 1 2 10 7 7" xfId="7272"/>
    <cellStyle name="Heading 1 2 10 7 7 2" xfId="7273"/>
    <cellStyle name="Heading 1 2 10 7 7 2 2" xfId="7274"/>
    <cellStyle name="Heading 1 2 10 7 7 3" xfId="7275"/>
    <cellStyle name="Heading 1 2 10 7 8" xfId="7276"/>
    <cellStyle name="Heading 1 2 10 7 8 2" xfId="7277"/>
    <cellStyle name="Heading 1 2 10 7 9" xfId="7278"/>
    <cellStyle name="Heading 1 2 10 8" xfId="7279"/>
    <cellStyle name="Heading 1 2 10 8 2" xfId="7280"/>
    <cellStyle name="Heading 1 2 10 8 2 2" xfId="7281"/>
    <cellStyle name="Heading 1 2 10 8 2 2 2" xfId="7282"/>
    <cellStyle name="Heading 1 2 10 8 2 3" xfId="7283"/>
    <cellStyle name="Heading 1 2 10 8 3" xfId="7284"/>
    <cellStyle name="Heading 1 2 10 8 3 2" xfId="7285"/>
    <cellStyle name="Heading 1 2 10 8 3 2 2" xfId="7286"/>
    <cellStyle name="Heading 1 2 10 8 3 3" xfId="7287"/>
    <cellStyle name="Heading 1 2 10 8 4" xfId="7288"/>
    <cellStyle name="Heading 1 2 10 8 4 2" xfId="7289"/>
    <cellStyle name="Heading 1 2 10 8 4 2 2" xfId="7290"/>
    <cellStyle name="Heading 1 2 10 8 4 3" xfId="7291"/>
    <cellStyle name="Heading 1 2 10 8 5" xfId="7292"/>
    <cellStyle name="Heading 1 2 10 8 5 2" xfId="7293"/>
    <cellStyle name="Heading 1 2 10 8 5 2 2" xfId="7294"/>
    <cellStyle name="Heading 1 2 10 8 5 3" xfId="7295"/>
    <cellStyle name="Heading 1 2 10 8 6" xfId="7296"/>
    <cellStyle name="Heading 1 2 10 8 6 2" xfId="7297"/>
    <cellStyle name="Heading 1 2 10 8 6 2 2" xfId="7298"/>
    <cellStyle name="Heading 1 2 10 8 6 3" xfId="7299"/>
    <cellStyle name="Heading 1 2 10 8 7" xfId="7300"/>
    <cellStyle name="Heading 1 2 10 8 7 2" xfId="7301"/>
    <cellStyle name="Heading 1 2 10 8 7 2 2" xfId="7302"/>
    <cellStyle name="Heading 1 2 10 8 7 3" xfId="7303"/>
    <cellStyle name="Heading 1 2 10 8 8" xfId="7304"/>
    <cellStyle name="Heading 1 2 10 8 8 2" xfId="7305"/>
    <cellStyle name="Heading 1 2 10 8 9" xfId="7306"/>
    <cellStyle name="Heading 1 2 10 9" xfId="7307"/>
    <cellStyle name="Heading 1 2 10 9 2" xfId="7308"/>
    <cellStyle name="Heading 1 2 10 9 2 2" xfId="7309"/>
    <cellStyle name="Heading 1 2 10 9 2 2 2" xfId="7310"/>
    <cellStyle name="Heading 1 2 10 9 2 3" xfId="7311"/>
    <cellStyle name="Heading 1 2 10 9 3" xfId="7312"/>
    <cellStyle name="Heading 1 2 10 9 3 2" xfId="7313"/>
    <cellStyle name="Heading 1 2 10 9 3 2 2" xfId="7314"/>
    <cellStyle name="Heading 1 2 10 9 3 3" xfId="7315"/>
    <cellStyle name="Heading 1 2 10 9 4" xfId="7316"/>
    <cellStyle name="Heading 1 2 10 9 4 2" xfId="7317"/>
    <cellStyle name="Heading 1 2 10 9 4 2 2" xfId="7318"/>
    <cellStyle name="Heading 1 2 10 9 4 3" xfId="7319"/>
    <cellStyle name="Heading 1 2 10 9 5" xfId="7320"/>
    <cellStyle name="Heading 1 2 10 9 5 2" xfId="7321"/>
    <cellStyle name="Heading 1 2 10 9 5 2 2" xfId="7322"/>
    <cellStyle name="Heading 1 2 10 9 5 3" xfId="7323"/>
    <cellStyle name="Heading 1 2 10 9 6" xfId="7324"/>
    <cellStyle name="Heading 1 2 10 9 6 2" xfId="7325"/>
    <cellStyle name="Heading 1 2 10 9 6 2 2" xfId="7326"/>
    <cellStyle name="Heading 1 2 10 9 6 3" xfId="7327"/>
    <cellStyle name="Heading 1 2 10 9 7" xfId="7328"/>
    <cellStyle name="Heading 1 2 10 9 7 2" xfId="7329"/>
    <cellStyle name="Heading 1 2 10 9 7 2 2" xfId="7330"/>
    <cellStyle name="Heading 1 2 10 9 7 3" xfId="7331"/>
    <cellStyle name="Heading 1 2 10 9 8" xfId="7332"/>
    <cellStyle name="Heading 1 2 10 9 8 2" xfId="7333"/>
    <cellStyle name="Heading 1 2 10 9 9" xfId="7334"/>
    <cellStyle name="Heading 1 2 11" xfId="7335"/>
    <cellStyle name="Heading 1 2 11 2" xfId="7336"/>
    <cellStyle name="Heading 1 2 11 2 2" xfId="7337"/>
    <cellStyle name="Heading 1 2 11 3" xfId="7338"/>
    <cellStyle name="Heading 1 2 11 3 2" xfId="7339"/>
    <cellStyle name="Heading 1 2 11 4" xfId="7340"/>
    <cellStyle name="Heading 1 2 12" xfId="7341"/>
    <cellStyle name="Heading 1 2 12 2" xfId="7342"/>
    <cellStyle name="Heading 1 2 2" xfId="7343"/>
    <cellStyle name="Heading 1 2 2 10" xfId="7344"/>
    <cellStyle name="Heading 1 2 2 10 2" xfId="7345"/>
    <cellStyle name="Heading 1 2 2 10 2 2" xfId="7346"/>
    <cellStyle name="Heading 1 2 2 10 3" xfId="7347"/>
    <cellStyle name="Heading 1 2 2 10 3 2" xfId="7348"/>
    <cellStyle name="Heading 1 2 2 10 4" xfId="7349"/>
    <cellStyle name="Heading 1 2 2 11" xfId="7350"/>
    <cellStyle name="Heading 1 2 2 11 2" xfId="7351"/>
    <cellStyle name="Heading 1 2 2 11 2 2" xfId="7352"/>
    <cellStyle name="Heading 1 2 2 11 3" xfId="7353"/>
    <cellStyle name="Heading 1 2 2 12" xfId="7354"/>
    <cellStyle name="Heading 1 2 2 12 2" xfId="7355"/>
    <cellStyle name="Heading 1 2 2 2" xfId="7356"/>
    <cellStyle name="Heading 1 2 2 2 10" xfId="7357"/>
    <cellStyle name="Heading 1 2 2 2 10 2" xfId="7358"/>
    <cellStyle name="Heading 1 2 2 2 10 2 2" xfId="7359"/>
    <cellStyle name="Heading 1 2 2 2 10 3" xfId="7360"/>
    <cellStyle name="Heading 1 2 2 2 10 3 2" xfId="7361"/>
    <cellStyle name="Heading 1 2 2 2 10 4" xfId="7362"/>
    <cellStyle name="Heading 1 2 2 2 11" xfId="7363"/>
    <cellStyle name="Heading 1 2 2 2 11 2" xfId="7364"/>
    <cellStyle name="Heading 1 2 2 2 11 2 2" xfId="7365"/>
    <cellStyle name="Heading 1 2 2 2 11 3" xfId="7366"/>
    <cellStyle name="Heading 1 2 2 2 11 3 2" xfId="7367"/>
    <cellStyle name="Heading 1 2 2 2 11 4" xfId="7368"/>
    <cellStyle name="Heading 1 2 2 2 12" xfId="7369"/>
    <cellStyle name="Heading 1 2 2 2 12 2" xfId="7370"/>
    <cellStyle name="Heading 1 2 2 2 12 2 2" xfId="7371"/>
    <cellStyle name="Heading 1 2 2 2 12 3" xfId="7372"/>
    <cellStyle name="Heading 1 2 2 2 12 3 2" xfId="7373"/>
    <cellStyle name="Heading 1 2 2 2 12 4" xfId="7374"/>
    <cellStyle name="Heading 1 2 2 2 13" xfId="7375"/>
    <cellStyle name="Heading 1 2 2 2 13 2" xfId="7376"/>
    <cellStyle name="Heading 1 2 2 2 13 2 2" xfId="7377"/>
    <cellStyle name="Heading 1 2 2 2 13 3" xfId="7378"/>
    <cellStyle name="Heading 1 2 2 2 13 3 2" xfId="7379"/>
    <cellStyle name="Heading 1 2 2 2 13 4" xfId="7380"/>
    <cellStyle name="Heading 1 2 2 2 14" xfId="7381"/>
    <cellStyle name="Heading 1 2 2 2 14 2" xfId="7382"/>
    <cellStyle name="Heading 1 2 2 2 14 2 2" xfId="7383"/>
    <cellStyle name="Heading 1 2 2 2 14 3" xfId="7384"/>
    <cellStyle name="Heading 1 2 2 2 14 3 2" xfId="7385"/>
    <cellStyle name="Heading 1 2 2 2 14 4" xfId="7386"/>
    <cellStyle name="Heading 1 2 2 2 15" xfId="7387"/>
    <cellStyle name="Heading 1 2 2 2 15 2" xfId="7388"/>
    <cellStyle name="Heading 1 2 2 2 15 2 2" xfId="7389"/>
    <cellStyle name="Heading 1 2 2 2 15 3" xfId="7390"/>
    <cellStyle name="Heading 1 2 2 2 15 3 2" xfId="7391"/>
    <cellStyle name="Heading 1 2 2 2 15 4" xfId="7392"/>
    <cellStyle name="Heading 1 2 2 2 16" xfId="7393"/>
    <cellStyle name="Heading 1 2 2 2 16 2" xfId="7394"/>
    <cellStyle name="Heading 1 2 2 2 16 2 2" xfId="7395"/>
    <cellStyle name="Heading 1 2 2 2 16 3" xfId="7396"/>
    <cellStyle name="Heading 1 2 2 2 16 3 2" xfId="7397"/>
    <cellStyle name="Heading 1 2 2 2 16 4" xfId="7398"/>
    <cellStyle name="Heading 1 2 2 2 17" xfId="7399"/>
    <cellStyle name="Heading 1 2 2 2 17 2" xfId="7400"/>
    <cellStyle name="Heading 1 2 2 2 17 2 2" xfId="7401"/>
    <cellStyle name="Heading 1 2 2 2 17 3" xfId="7402"/>
    <cellStyle name="Heading 1 2 2 2 17 3 2" xfId="7403"/>
    <cellStyle name="Heading 1 2 2 2 17 4" xfId="7404"/>
    <cellStyle name="Heading 1 2 2 2 18" xfId="7405"/>
    <cellStyle name="Heading 1 2 2 2 18 2" xfId="7406"/>
    <cellStyle name="Heading 1 2 2 2 18 2 2" xfId="7407"/>
    <cellStyle name="Heading 1 2 2 2 18 3" xfId="7408"/>
    <cellStyle name="Heading 1 2 2 2 18 3 2" xfId="7409"/>
    <cellStyle name="Heading 1 2 2 2 18 4" xfId="7410"/>
    <cellStyle name="Heading 1 2 2 2 19" xfId="7411"/>
    <cellStyle name="Heading 1 2 2 2 19 2" xfId="7412"/>
    <cellStyle name="Heading 1 2 2 2 2" xfId="7413"/>
    <cellStyle name="Heading 1 2 2 2 2 2" xfId="7414"/>
    <cellStyle name="Heading 1 2 2 2 2 2 10" xfId="7415"/>
    <cellStyle name="Heading 1 2 2 2 2 2 10 2" xfId="7416"/>
    <cellStyle name="Heading 1 2 2 2 2 2 10 2 2" xfId="7417"/>
    <cellStyle name="Heading 1 2 2 2 2 2 10 3" xfId="7418"/>
    <cellStyle name="Heading 1 2 2 2 2 2 11" xfId="7419"/>
    <cellStyle name="Heading 1 2 2 2 2 2 11 2" xfId="7420"/>
    <cellStyle name="Heading 1 2 2 2 2 2 11 2 2" xfId="7421"/>
    <cellStyle name="Heading 1 2 2 2 2 2 11 3" xfId="7422"/>
    <cellStyle name="Heading 1 2 2 2 2 2 12" xfId="7423"/>
    <cellStyle name="Heading 1 2 2 2 2 2 12 2" xfId="7424"/>
    <cellStyle name="Heading 1 2 2 2 2 2 12 2 2" xfId="7425"/>
    <cellStyle name="Heading 1 2 2 2 2 2 12 3" xfId="7426"/>
    <cellStyle name="Heading 1 2 2 2 2 2 13" xfId="7427"/>
    <cellStyle name="Heading 1 2 2 2 2 2 13 2" xfId="7428"/>
    <cellStyle name="Heading 1 2 2 2 2 2 13 2 2" xfId="7429"/>
    <cellStyle name="Heading 1 2 2 2 2 2 13 3" xfId="7430"/>
    <cellStyle name="Heading 1 2 2 2 2 2 14" xfId="7431"/>
    <cellStyle name="Heading 1 2 2 2 2 2 14 2" xfId="7432"/>
    <cellStyle name="Heading 1 2 2 2 2 2 14 2 2" xfId="7433"/>
    <cellStyle name="Heading 1 2 2 2 2 2 14 3" xfId="7434"/>
    <cellStyle name="Heading 1 2 2 2 2 2 15" xfId="7435"/>
    <cellStyle name="Heading 1 2 2 2 2 2 15 2" xfId="7436"/>
    <cellStyle name="Heading 1 2 2 2 2 2 15 2 2" xfId="7437"/>
    <cellStyle name="Heading 1 2 2 2 2 2 15 3" xfId="7438"/>
    <cellStyle name="Heading 1 2 2 2 2 2 16" xfId="7439"/>
    <cellStyle name="Heading 1 2 2 2 2 2 16 2" xfId="7440"/>
    <cellStyle name="Heading 1 2 2 2 2 2 16 2 2" xfId="7441"/>
    <cellStyle name="Heading 1 2 2 2 2 2 16 3" xfId="7442"/>
    <cellStyle name="Heading 1 2 2 2 2 2 17" xfId="7443"/>
    <cellStyle name="Heading 1 2 2 2 2 2 17 2" xfId="7444"/>
    <cellStyle name="Heading 1 2 2 2 2 2 17 2 2" xfId="7445"/>
    <cellStyle name="Heading 1 2 2 2 2 2 17 3" xfId="7446"/>
    <cellStyle name="Heading 1 2 2 2 2 2 18" xfId="7447"/>
    <cellStyle name="Heading 1 2 2 2 2 2 18 2" xfId="7448"/>
    <cellStyle name="Heading 1 2 2 2 2 2 18 2 2" xfId="7449"/>
    <cellStyle name="Heading 1 2 2 2 2 2 18 3" xfId="7450"/>
    <cellStyle name="Heading 1 2 2 2 2 2 19" xfId="7451"/>
    <cellStyle name="Heading 1 2 2 2 2 2 19 2" xfId="7452"/>
    <cellStyle name="Heading 1 2 2 2 2 2 19 2 2" xfId="7453"/>
    <cellStyle name="Heading 1 2 2 2 2 2 19 3" xfId="7454"/>
    <cellStyle name="Heading 1 2 2 2 2 2 2" xfId="7455"/>
    <cellStyle name="Heading 1 2 2 2 2 2 2 10" xfId="7456"/>
    <cellStyle name="Heading 1 2 2 2 2 2 2 10 2" xfId="7457"/>
    <cellStyle name="Heading 1 2 2 2 2 2 2 10 2 2" xfId="7458"/>
    <cellStyle name="Heading 1 2 2 2 2 2 2 10 3" xfId="7459"/>
    <cellStyle name="Heading 1 2 2 2 2 2 2 11" xfId="7460"/>
    <cellStyle name="Heading 1 2 2 2 2 2 2 11 2" xfId="7461"/>
    <cellStyle name="Heading 1 2 2 2 2 2 2 11 2 2" xfId="7462"/>
    <cellStyle name="Heading 1 2 2 2 2 2 2 11 3" xfId="7463"/>
    <cellStyle name="Heading 1 2 2 2 2 2 2 12" xfId="7464"/>
    <cellStyle name="Heading 1 2 2 2 2 2 2 12 2" xfId="7465"/>
    <cellStyle name="Heading 1 2 2 2 2 2 2 12 2 2" xfId="7466"/>
    <cellStyle name="Heading 1 2 2 2 2 2 2 12 3" xfId="7467"/>
    <cellStyle name="Heading 1 2 2 2 2 2 2 13" xfId="7468"/>
    <cellStyle name="Heading 1 2 2 2 2 2 2 13 2" xfId="7469"/>
    <cellStyle name="Heading 1 2 2 2 2 2 2 13 2 2" xfId="7470"/>
    <cellStyle name="Heading 1 2 2 2 2 2 2 13 3" xfId="7471"/>
    <cellStyle name="Heading 1 2 2 2 2 2 2 14" xfId="7472"/>
    <cellStyle name="Heading 1 2 2 2 2 2 2 14 2" xfId="7473"/>
    <cellStyle name="Heading 1 2 2 2 2 2 2 14 2 2" xfId="7474"/>
    <cellStyle name="Heading 1 2 2 2 2 2 2 14 3" xfId="7475"/>
    <cellStyle name="Heading 1 2 2 2 2 2 2 15" xfId="7476"/>
    <cellStyle name="Heading 1 2 2 2 2 2 2 15 2" xfId="7477"/>
    <cellStyle name="Heading 1 2 2 2 2 2 2 15 2 2" xfId="7478"/>
    <cellStyle name="Heading 1 2 2 2 2 2 2 15 3" xfId="7479"/>
    <cellStyle name="Heading 1 2 2 2 2 2 2 16" xfId="7480"/>
    <cellStyle name="Heading 1 2 2 2 2 2 2 16 2" xfId="7481"/>
    <cellStyle name="Heading 1 2 2 2 2 2 2 16 2 2" xfId="7482"/>
    <cellStyle name="Heading 1 2 2 2 2 2 2 16 3" xfId="7483"/>
    <cellStyle name="Heading 1 2 2 2 2 2 2 17" xfId="7484"/>
    <cellStyle name="Heading 1 2 2 2 2 2 2 17 2" xfId="7485"/>
    <cellStyle name="Heading 1 2 2 2 2 2 2 17 2 2" xfId="7486"/>
    <cellStyle name="Heading 1 2 2 2 2 2 2 17 3" xfId="7487"/>
    <cellStyle name="Heading 1 2 2 2 2 2 2 18" xfId="7488"/>
    <cellStyle name="Heading 1 2 2 2 2 2 2 18 2" xfId="7489"/>
    <cellStyle name="Heading 1 2 2 2 2 2 2 18 2 2" xfId="7490"/>
    <cellStyle name="Heading 1 2 2 2 2 2 2 18 3" xfId="7491"/>
    <cellStyle name="Heading 1 2 2 2 2 2 2 19" xfId="7492"/>
    <cellStyle name="Heading 1 2 2 2 2 2 2 19 2" xfId="7493"/>
    <cellStyle name="Heading 1 2 2 2 2 2 2 2" xfId="7494"/>
    <cellStyle name="Heading 1 2 2 2 2 2 2 2 2" xfId="7495"/>
    <cellStyle name="Heading 1 2 2 2 2 2 2 2 2 2" xfId="7496"/>
    <cellStyle name="Heading 1 2 2 2 2 2 2 2 2 2 2" xfId="7497"/>
    <cellStyle name="Heading 1 2 2 2 2 2 2 2 2 3" xfId="7498"/>
    <cellStyle name="Heading 1 2 2 2 2 2 2 2 3" xfId="7499"/>
    <cellStyle name="Heading 1 2 2 2 2 2 2 2 3 2" xfId="7500"/>
    <cellStyle name="Heading 1 2 2 2 2 2 2 2 3 2 2" xfId="7501"/>
    <cellStyle name="Heading 1 2 2 2 2 2 2 2 3 3" xfId="7502"/>
    <cellStyle name="Heading 1 2 2 2 2 2 2 2 4" xfId="7503"/>
    <cellStyle name="Heading 1 2 2 2 2 2 2 2 4 2" xfId="7504"/>
    <cellStyle name="Heading 1 2 2 2 2 2 2 2 4 2 2" xfId="7505"/>
    <cellStyle name="Heading 1 2 2 2 2 2 2 2 4 3" xfId="7506"/>
    <cellStyle name="Heading 1 2 2 2 2 2 2 2 5" xfId="7507"/>
    <cellStyle name="Heading 1 2 2 2 2 2 2 2 5 2" xfId="7508"/>
    <cellStyle name="Heading 1 2 2 2 2 2 2 2 5 2 2" xfId="7509"/>
    <cellStyle name="Heading 1 2 2 2 2 2 2 2 5 3" xfId="7510"/>
    <cellStyle name="Heading 1 2 2 2 2 2 2 2 6" xfId="7511"/>
    <cellStyle name="Heading 1 2 2 2 2 2 2 2 6 2" xfId="7512"/>
    <cellStyle name="Heading 1 2 2 2 2 2 2 2 6 2 2" xfId="7513"/>
    <cellStyle name="Heading 1 2 2 2 2 2 2 2 6 3" xfId="7514"/>
    <cellStyle name="Heading 1 2 2 2 2 2 2 2 7" xfId="7515"/>
    <cellStyle name="Heading 1 2 2 2 2 2 2 2 7 2" xfId="7516"/>
    <cellStyle name="Heading 1 2 2 2 2 2 2 2 7 2 2" xfId="7517"/>
    <cellStyle name="Heading 1 2 2 2 2 2 2 2 7 3" xfId="7518"/>
    <cellStyle name="Heading 1 2 2 2 2 2 2 2 8" xfId="7519"/>
    <cellStyle name="Heading 1 2 2 2 2 2 2 2 8 2" xfId="7520"/>
    <cellStyle name="Heading 1 2 2 2 2 2 2 2 9" xfId="7521"/>
    <cellStyle name="Heading 1 2 2 2 2 2 2 20" xfId="7522"/>
    <cellStyle name="Heading 1 2 2 2 2 2 2 20 2" xfId="7523"/>
    <cellStyle name="Heading 1 2 2 2 2 2 2 21" xfId="7524"/>
    <cellStyle name="Heading 1 2 2 2 2 2 2 21 2" xfId="7525"/>
    <cellStyle name="Heading 1 2 2 2 2 2 2 22" xfId="7526"/>
    <cellStyle name="Heading 1 2 2 2 2 2 2 3" xfId="7527"/>
    <cellStyle name="Heading 1 2 2 2 2 2 2 3 2" xfId="7528"/>
    <cellStyle name="Heading 1 2 2 2 2 2 2 3 2 2" xfId="7529"/>
    <cellStyle name="Heading 1 2 2 2 2 2 2 3 2 2 2" xfId="7530"/>
    <cellStyle name="Heading 1 2 2 2 2 2 2 3 2 3" xfId="7531"/>
    <cellStyle name="Heading 1 2 2 2 2 2 2 3 3" xfId="7532"/>
    <cellStyle name="Heading 1 2 2 2 2 2 2 3 3 2" xfId="7533"/>
    <cellStyle name="Heading 1 2 2 2 2 2 2 3 3 2 2" xfId="7534"/>
    <cellStyle name="Heading 1 2 2 2 2 2 2 3 3 3" xfId="7535"/>
    <cellStyle name="Heading 1 2 2 2 2 2 2 3 4" xfId="7536"/>
    <cellStyle name="Heading 1 2 2 2 2 2 2 3 4 2" xfId="7537"/>
    <cellStyle name="Heading 1 2 2 2 2 2 2 3 4 2 2" xfId="7538"/>
    <cellStyle name="Heading 1 2 2 2 2 2 2 3 4 3" xfId="7539"/>
    <cellStyle name="Heading 1 2 2 2 2 2 2 3 5" xfId="7540"/>
    <cellStyle name="Heading 1 2 2 2 2 2 2 3 5 2" xfId="7541"/>
    <cellStyle name="Heading 1 2 2 2 2 2 2 3 5 2 2" xfId="7542"/>
    <cellStyle name="Heading 1 2 2 2 2 2 2 3 5 3" xfId="7543"/>
    <cellStyle name="Heading 1 2 2 2 2 2 2 3 6" xfId="7544"/>
    <cellStyle name="Heading 1 2 2 2 2 2 2 3 6 2" xfId="7545"/>
    <cellStyle name="Heading 1 2 2 2 2 2 2 3 6 2 2" xfId="7546"/>
    <cellStyle name="Heading 1 2 2 2 2 2 2 3 6 3" xfId="7547"/>
    <cellStyle name="Heading 1 2 2 2 2 2 2 3 7" xfId="7548"/>
    <cellStyle name="Heading 1 2 2 2 2 2 2 3 7 2" xfId="7549"/>
    <cellStyle name="Heading 1 2 2 2 2 2 2 3 7 2 2" xfId="7550"/>
    <cellStyle name="Heading 1 2 2 2 2 2 2 3 7 3" xfId="7551"/>
    <cellStyle name="Heading 1 2 2 2 2 2 2 3 8" xfId="7552"/>
    <cellStyle name="Heading 1 2 2 2 2 2 2 3 8 2" xfId="7553"/>
    <cellStyle name="Heading 1 2 2 2 2 2 2 3 9" xfId="7554"/>
    <cellStyle name="Heading 1 2 2 2 2 2 2 4" xfId="7555"/>
    <cellStyle name="Heading 1 2 2 2 2 2 2 4 2" xfId="7556"/>
    <cellStyle name="Heading 1 2 2 2 2 2 2 4 2 2" xfId="7557"/>
    <cellStyle name="Heading 1 2 2 2 2 2 2 4 2 2 2" xfId="7558"/>
    <cellStyle name="Heading 1 2 2 2 2 2 2 4 2 3" xfId="7559"/>
    <cellStyle name="Heading 1 2 2 2 2 2 2 4 3" xfId="7560"/>
    <cellStyle name="Heading 1 2 2 2 2 2 2 4 3 2" xfId="7561"/>
    <cellStyle name="Heading 1 2 2 2 2 2 2 4 3 2 2" xfId="7562"/>
    <cellStyle name="Heading 1 2 2 2 2 2 2 4 3 3" xfId="7563"/>
    <cellStyle name="Heading 1 2 2 2 2 2 2 4 4" xfId="7564"/>
    <cellStyle name="Heading 1 2 2 2 2 2 2 4 4 2" xfId="7565"/>
    <cellStyle name="Heading 1 2 2 2 2 2 2 4 4 2 2" xfId="7566"/>
    <cellStyle name="Heading 1 2 2 2 2 2 2 4 4 3" xfId="7567"/>
    <cellStyle name="Heading 1 2 2 2 2 2 2 4 5" xfId="7568"/>
    <cellStyle name="Heading 1 2 2 2 2 2 2 4 5 2" xfId="7569"/>
    <cellStyle name="Heading 1 2 2 2 2 2 2 4 5 2 2" xfId="7570"/>
    <cellStyle name="Heading 1 2 2 2 2 2 2 4 5 3" xfId="7571"/>
    <cellStyle name="Heading 1 2 2 2 2 2 2 4 6" xfId="7572"/>
    <cellStyle name="Heading 1 2 2 2 2 2 2 4 6 2" xfId="7573"/>
    <cellStyle name="Heading 1 2 2 2 2 2 2 4 6 2 2" xfId="7574"/>
    <cellStyle name="Heading 1 2 2 2 2 2 2 4 6 3" xfId="7575"/>
    <cellStyle name="Heading 1 2 2 2 2 2 2 4 7" xfId="7576"/>
    <cellStyle name="Heading 1 2 2 2 2 2 2 4 7 2" xfId="7577"/>
    <cellStyle name="Heading 1 2 2 2 2 2 2 4 7 2 2" xfId="7578"/>
    <cellStyle name="Heading 1 2 2 2 2 2 2 4 7 3" xfId="7579"/>
    <cellStyle name="Heading 1 2 2 2 2 2 2 4 8" xfId="7580"/>
    <cellStyle name="Heading 1 2 2 2 2 2 2 4 8 2" xfId="7581"/>
    <cellStyle name="Heading 1 2 2 2 2 2 2 4 9" xfId="7582"/>
    <cellStyle name="Heading 1 2 2 2 2 2 2 5" xfId="7583"/>
    <cellStyle name="Heading 1 2 2 2 2 2 2 5 2" xfId="7584"/>
    <cellStyle name="Heading 1 2 2 2 2 2 2 5 2 2" xfId="7585"/>
    <cellStyle name="Heading 1 2 2 2 2 2 2 5 2 2 2" xfId="7586"/>
    <cellStyle name="Heading 1 2 2 2 2 2 2 5 2 3" xfId="7587"/>
    <cellStyle name="Heading 1 2 2 2 2 2 2 5 3" xfId="7588"/>
    <cellStyle name="Heading 1 2 2 2 2 2 2 5 3 2" xfId="7589"/>
    <cellStyle name="Heading 1 2 2 2 2 2 2 5 3 2 2" xfId="7590"/>
    <cellStyle name="Heading 1 2 2 2 2 2 2 5 3 3" xfId="7591"/>
    <cellStyle name="Heading 1 2 2 2 2 2 2 5 4" xfId="7592"/>
    <cellStyle name="Heading 1 2 2 2 2 2 2 5 4 2" xfId="7593"/>
    <cellStyle name="Heading 1 2 2 2 2 2 2 5 4 2 2" xfId="7594"/>
    <cellStyle name="Heading 1 2 2 2 2 2 2 5 4 3" xfId="7595"/>
    <cellStyle name="Heading 1 2 2 2 2 2 2 5 5" xfId="7596"/>
    <cellStyle name="Heading 1 2 2 2 2 2 2 5 5 2" xfId="7597"/>
    <cellStyle name="Heading 1 2 2 2 2 2 2 5 5 2 2" xfId="7598"/>
    <cellStyle name="Heading 1 2 2 2 2 2 2 5 5 3" xfId="7599"/>
    <cellStyle name="Heading 1 2 2 2 2 2 2 5 6" xfId="7600"/>
    <cellStyle name="Heading 1 2 2 2 2 2 2 5 6 2" xfId="7601"/>
    <cellStyle name="Heading 1 2 2 2 2 2 2 5 6 2 2" xfId="7602"/>
    <cellStyle name="Heading 1 2 2 2 2 2 2 5 6 3" xfId="7603"/>
    <cellStyle name="Heading 1 2 2 2 2 2 2 5 7" xfId="7604"/>
    <cellStyle name="Heading 1 2 2 2 2 2 2 5 7 2" xfId="7605"/>
    <cellStyle name="Heading 1 2 2 2 2 2 2 5 7 2 2" xfId="7606"/>
    <cellStyle name="Heading 1 2 2 2 2 2 2 5 7 3" xfId="7607"/>
    <cellStyle name="Heading 1 2 2 2 2 2 2 5 8" xfId="7608"/>
    <cellStyle name="Heading 1 2 2 2 2 2 2 5 8 2" xfId="7609"/>
    <cellStyle name="Heading 1 2 2 2 2 2 2 5 9" xfId="7610"/>
    <cellStyle name="Heading 1 2 2 2 2 2 2 6" xfId="7611"/>
    <cellStyle name="Heading 1 2 2 2 2 2 2 6 2" xfId="7612"/>
    <cellStyle name="Heading 1 2 2 2 2 2 2 6 2 2" xfId="7613"/>
    <cellStyle name="Heading 1 2 2 2 2 2 2 6 2 2 2" xfId="7614"/>
    <cellStyle name="Heading 1 2 2 2 2 2 2 6 2 3" xfId="7615"/>
    <cellStyle name="Heading 1 2 2 2 2 2 2 6 3" xfId="7616"/>
    <cellStyle name="Heading 1 2 2 2 2 2 2 6 3 2" xfId="7617"/>
    <cellStyle name="Heading 1 2 2 2 2 2 2 6 3 2 2" xfId="7618"/>
    <cellStyle name="Heading 1 2 2 2 2 2 2 6 3 3" xfId="7619"/>
    <cellStyle name="Heading 1 2 2 2 2 2 2 6 4" xfId="7620"/>
    <cellStyle name="Heading 1 2 2 2 2 2 2 6 4 2" xfId="7621"/>
    <cellStyle name="Heading 1 2 2 2 2 2 2 6 4 2 2" xfId="7622"/>
    <cellStyle name="Heading 1 2 2 2 2 2 2 6 4 3" xfId="7623"/>
    <cellStyle name="Heading 1 2 2 2 2 2 2 6 5" xfId="7624"/>
    <cellStyle name="Heading 1 2 2 2 2 2 2 6 5 2" xfId="7625"/>
    <cellStyle name="Heading 1 2 2 2 2 2 2 6 5 2 2" xfId="7626"/>
    <cellStyle name="Heading 1 2 2 2 2 2 2 6 5 3" xfId="7627"/>
    <cellStyle name="Heading 1 2 2 2 2 2 2 6 6" xfId="7628"/>
    <cellStyle name="Heading 1 2 2 2 2 2 2 6 6 2" xfId="7629"/>
    <cellStyle name="Heading 1 2 2 2 2 2 2 6 6 2 2" xfId="7630"/>
    <cellStyle name="Heading 1 2 2 2 2 2 2 6 6 3" xfId="7631"/>
    <cellStyle name="Heading 1 2 2 2 2 2 2 6 7" xfId="7632"/>
    <cellStyle name="Heading 1 2 2 2 2 2 2 6 7 2" xfId="7633"/>
    <cellStyle name="Heading 1 2 2 2 2 2 2 6 7 2 2" xfId="7634"/>
    <cellStyle name="Heading 1 2 2 2 2 2 2 6 7 3" xfId="7635"/>
    <cellStyle name="Heading 1 2 2 2 2 2 2 6 8" xfId="7636"/>
    <cellStyle name="Heading 1 2 2 2 2 2 2 6 8 2" xfId="7637"/>
    <cellStyle name="Heading 1 2 2 2 2 2 2 6 9" xfId="7638"/>
    <cellStyle name="Heading 1 2 2 2 2 2 2 7" xfId="7639"/>
    <cellStyle name="Heading 1 2 2 2 2 2 2 7 2" xfId="7640"/>
    <cellStyle name="Heading 1 2 2 2 2 2 2 7 2 2" xfId="7641"/>
    <cellStyle name="Heading 1 2 2 2 2 2 2 7 2 2 2" xfId="7642"/>
    <cellStyle name="Heading 1 2 2 2 2 2 2 7 2 3" xfId="7643"/>
    <cellStyle name="Heading 1 2 2 2 2 2 2 7 3" xfId="7644"/>
    <cellStyle name="Heading 1 2 2 2 2 2 2 7 3 2" xfId="7645"/>
    <cellStyle name="Heading 1 2 2 2 2 2 2 7 3 2 2" xfId="7646"/>
    <cellStyle name="Heading 1 2 2 2 2 2 2 7 3 3" xfId="7647"/>
    <cellStyle name="Heading 1 2 2 2 2 2 2 7 4" xfId="7648"/>
    <cellStyle name="Heading 1 2 2 2 2 2 2 7 4 2" xfId="7649"/>
    <cellStyle name="Heading 1 2 2 2 2 2 2 7 4 2 2" xfId="7650"/>
    <cellStyle name="Heading 1 2 2 2 2 2 2 7 4 3" xfId="7651"/>
    <cellStyle name="Heading 1 2 2 2 2 2 2 7 5" xfId="7652"/>
    <cellStyle name="Heading 1 2 2 2 2 2 2 7 5 2" xfId="7653"/>
    <cellStyle name="Heading 1 2 2 2 2 2 2 7 5 2 2" xfId="7654"/>
    <cellStyle name="Heading 1 2 2 2 2 2 2 7 5 3" xfId="7655"/>
    <cellStyle name="Heading 1 2 2 2 2 2 2 7 6" xfId="7656"/>
    <cellStyle name="Heading 1 2 2 2 2 2 2 7 6 2" xfId="7657"/>
    <cellStyle name="Heading 1 2 2 2 2 2 2 7 6 2 2" xfId="7658"/>
    <cellStyle name="Heading 1 2 2 2 2 2 2 7 6 3" xfId="7659"/>
    <cellStyle name="Heading 1 2 2 2 2 2 2 7 7" xfId="7660"/>
    <cellStyle name="Heading 1 2 2 2 2 2 2 7 7 2" xfId="7661"/>
    <cellStyle name="Heading 1 2 2 2 2 2 2 7 7 2 2" xfId="7662"/>
    <cellStyle name="Heading 1 2 2 2 2 2 2 7 7 3" xfId="7663"/>
    <cellStyle name="Heading 1 2 2 2 2 2 2 7 8" xfId="7664"/>
    <cellStyle name="Heading 1 2 2 2 2 2 2 7 8 2" xfId="7665"/>
    <cellStyle name="Heading 1 2 2 2 2 2 2 7 9" xfId="7666"/>
    <cellStyle name="Heading 1 2 2 2 2 2 2 8" xfId="7667"/>
    <cellStyle name="Heading 1 2 2 2 2 2 2 8 2" xfId="7668"/>
    <cellStyle name="Heading 1 2 2 2 2 2 2 8 2 2" xfId="7669"/>
    <cellStyle name="Heading 1 2 2 2 2 2 2 8 2 2 2" xfId="7670"/>
    <cellStyle name="Heading 1 2 2 2 2 2 2 8 2 3" xfId="7671"/>
    <cellStyle name="Heading 1 2 2 2 2 2 2 8 3" xfId="7672"/>
    <cellStyle name="Heading 1 2 2 2 2 2 2 8 3 2" xfId="7673"/>
    <cellStyle name="Heading 1 2 2 2 2 2 2 8 3 2 2" xfId="7674"/>
    <cellStyle name="Heading 1 2 2 2 2 2 2 8 3 3" xfId="7675"/>
    <cellStyle name="Heading 1 2 2 2 2 2 2 8 4" xfId="7676"/>
    <cellStyle name="Heading 1 2 2 2 2 2 2 8 4 2" xfId="7677"/>
    <cellStyle name="Heading 1 2 2 2 2 2 2 8 4 2 2" xfId="7678"/>
    <cellStyle name="Heading 1 2 2 2 2 2 2 8 4 3" xfId="7679"/>
    <cellStyle name="Heading 1 2 2 2 2 2 2 8 5" xfId="7680"/>
    <cellStyle name="Heading 1 2 2 2 2 2 2 8 5 2" xfId="7681"/>
    <cellStyle name="Heading 1 2 2 2 2 2 2 8 5 2 2" xfId="7682"/>
    <cellStyle name="Heading 1 2 2 2 2 2 2 8 5 3" xfId="7683"/>
    <cellStyle name="Heading 1 2 2 2 2 2 2 8 6" xfId="7684"/>
    <cellStyle name="Heading 1 2 2 2 2 2 2 8 6 2" xfId="7685"/>
    <cellStyle name="Heading 1 2 2 2 2 2 2 8 6 2 2" xfId="7686"/>
    <cellStyle name="Heading 1 2 2 2 2 2 2 8 6 3" xfId="7687"/>
    <cellStyle name="Heading 1 2 2 2 2 2 2 8 7" xfId="7688"/>
    <cellStyle name="Heading 1 2 2 2 2 2 2 8 7 2" xfId="7689"/>
    <cellStyle name="Heading 1 2 2 2 2 2 2 8 7 2 2" xfId="7690"/>
    <cellStyle name="Heading 1 2 2 2 2 2 2 8 7 3" xfId="7691"/>
    <cellStyle name="Heading 1 2 2 2 2 2 2 8 8" xfId="7692"/>
    <cellStyle name="Heading 1 2 2 2 2 2 2 8 8 2" xfId="7693"/>
    <cellStyle name="Heading 1 2 2 2 2 2 2 8 9" xfId="7694"/>
    <cellStyle name="Heading 1 2 2 2 2 2 2 9" xfId="7695"/>
    <cellStyle name="Heading 1 2 2 2 2 2 2 9 2" xfId="7696"/>
    <cellStyle name="Heading 1 2 2 2 2 2 2 9 2 2" xfId="7697"/>
    <cellStyle name="Heading 1 2 2 2 2 2 2 9 3" xfId="7698"/>
    <cellStyle name="Heading 1 2 2 2 2 2 20" xfId="7699"/>
    <cellStyle name="Heading 1 2 2 2 2 2 20 2" xfId="7700"/>
    <cellStyle name="Heading 1 2 2 2 2 2 21" xfId="7701"/>
    <cellStyle name="Heading 1 2 2 2 2 2 21 2" xfId="7702"/>
    <cellStyle name="Heading 1 2 2 2 2 2 22" xfId="7703"/>
    <cellStyle name="Heading 1 2 2 2 2 2 22 2" xfId="7704"/>
    <cellStyle name="Heading 1 2 2 2 2 2 23" xfId="7705"/>
    <cellStyle name="Heading 1 2 2 2 2 2 3" xfId="7706"/>
    <cellStyle name="Heading 1 2 2 2 2 2 3 2" xfId="7707"/>
    <cellStyle name="Heading 1 2 2 2 2 2 3 2 2" xfId="7708"/>
    <cellStyle name="Heading 1 2 2 2 2 2 3 2 2 2" xfId="7709"/>
    <cellStyle name="Heading 1 2 2 2 2 2 3 2 3" xfId="7710"/>
    <cellStyle name="Heading 1 2 2 2 2 2 3 3" xfId="7711"/>
    <cellStyle name="Heading 1 2 2 2 2 2 3 3 2" xfId="7712"/>
    <cellStyle name="Heading 1 2 2 2 2 2 3 3 2 2" xfId="7713"/>
    <cellStyle name="Heading 1 2 2 2 2 2 3 3 3" xfId="7714"/>
    <cellStyle name="Heading 1 2 2 2 2 2 3 4" xfId="7715"/>
    <cellStyle name="Heading 1 2 2 2 2 2 3 4 2" xfId="7716"/>
    <cellStyle name="Heading 1 2 2 2 2 2 3 4 2 2" xfId="7717"/>
    <cellStyle name="Heading 1 2 2 2 2 2 3 4 3" xfId="7718"/>
    <cellStyle name="Heading 1 2 2 2 2 2 3 5" xfId="7719"/>
    <cellStyle name="Heading 1 2 2 2 2 2 3 5 2" xfId="7720"/>
    <cellStyle name="Heading 1 2 2 2 2 2 3 5 2 2" xfId="7721"/>
    <cellStyle name="Heading 1 2 2 2 2 2 3 5 3" xfId="7722"/>
    <cellStyle name="Heading 1 2 2 2 2 2 3 6" xfId="7723"/>
    <cellStyle name="Heading 1 2 2 2 2 2 3 6 2" xfId="7724"/>
    <cellStyle name="Heading 1 2 2 2 2 2 3 6 2 2" xfId="7725"/>
    <cellStyle name="Heading 1 2 2 2 2 2 3 6 3" xfId="7726"/>
    <cellStyle name="Heading 1 2 2 2 2 2 3 7" xfId="7727"/>
    <cellStyle name="Heading 1 2 2 2 2 2 3 7 2" xfId="7728"/>
    <cellStyle name="Heading 1 2 2 2 2 2 3 7 2 2" xfId="7729"/>
    <cellStyle name="Heading 1 2 2 2 2 2 3 7 3" xfId="7730"/>
    <cellStyle name="Heading 1 2 2 2 2 2 3 8" xfId="7731"/>
    <cellStyle name="Heading 1 2 2 2 2 2 3 8 2" xfId="7732"/>
    <cellStyle name="Heading 1 2 2 2 2 2 3 9" xfId="7733"/>
    <cellStyle name="Heading 1 2 2 2 2 2 4" xfId="7734"/>
    <cellStyle name="Heading 1 2 2 2 2 2 4 2" xfId="7735"/>
    <cellStyle name="Heading 1 2 2 2 2 2 4 2 2" xfId="7736"/>
    <cellStyle name="Heading 1 2 2 2 2 2 4 2 2 2" xfId="7737"/>
    <cellStyle name="Heading 1 2 2 2 2 2 4 2 3" xfId="7738"/>
    <cellStyle name="Heading 1 2 2 2 2 2 4 3" xfId="7739"/>
    <cellStyle name="Heading 1 2 2 2 2 2 4 3 2" xfId="7740"/>
    <cellStyle name="Heading 1 2 2 2 2 2 4 3 2 2" xfId="7741"/>
    <cellStyle name="Heading 1 2 2 2 2 2 4 3 3" xfId="7742"/>
    <cellStyle name="Heading 1 2 2 2 2 2 4 4" xfId="7743"/>
    <cellStyle name="Heading 1 2 2 2 2 2 4 4 2" xfId="7744"/>
    <cellStyle name="Heading 1 2 2 2 2 2 4 4 2 2" xfId="7745"/>
    <cellStyle name="Heading 1 2 2 2 2 2 4 4 3" xfId="7746"/>
    <cellStyle name="Heading 1 2 2 2 2 2 4 5" xfId="7747"/>
    <cellStyle name="Heading 1 2 2 2 2 2 4 5 2" xfId="7748"/>
    <cellStyle name="Heading 1 2 2 2 2 2 4 5 2 2" xfId="7749"/>
    <cellStyle name="Heading 1 2 2 2 2 2 4 5 3" xfId="7750"/>
    <cellStyle name="Heading 1 2 2 2 2 2 4 6" xfId="7751"/>
    <cellStyle name="Heading 1 2 2 2 2 2 4 6 2" xfId="7752"/>
    <cellStyle name="Heading 1 2 2 2 2 2 4 6 2 2" xfId="7753"/>
    <cellStyle name="Heading 1 2 2 2 2 2 4 6 3" xfId="7754"/>
    <cellStyle name="Heading 1 2 2 2 2 2 4 7" xfId="7755"/>
    <cellStyle name="Heading 1 2 2 2 2 2 4 7 2" xfId="7756"/>
    <cellStyle name="Heading 1 2 2 2 2 2 4 7 2 2" xfId="7757"/>
    <cellStyle name="Heading 1 2 2 2 2 2 4 7 3" xfId="7758"/>
    <cellStyle name="Heading 1 2 2 2 2 2 4 8" xfId="7759"/>
    <cellStyle name="Heading 1 2 2 2 2 2 4 8 2" xfId="7760"/>
    <cellStyle name="Heading 1 2 2 2 2 2 4 9" xfId="7761"/>
    <cellStyle name="Heading 1 2 2 2 2 2 5" xfId="7762"/>
    <cellStyle name="Heading 1 2 2 2 2 2 5 2" xfId="7763"/>
    <cellStyle name="Heading 1 2 2 2 2 2 5 2 2" xfId="7764"/>
    <cellStyle name="Heading 1 2 2 2 2 2 5 2 2 2" xfId="7765"/>
    <cellStyle name="Heading 1 2 2 2 2 2 5 2 3" xfId="7766"/>
    <cellStyle name="Heading 1 2 2 2 2 2 5 3" xfId="7767"/>
    <cellStyle name="Heading 1 2 2 2 2 2 5 3 2" xfId="7768"/>
    <cellStyle name="Heading 1 2 2 2 2 2 5 3 2 2" xfId="7769"/>
    <cellStyle name="Heading 1 2 2 2 2 2 5 3 3" xfId="7770"/>
    <cellStyle name="Heading 1 2 2 2 2 2 5 4" xfId="7771"/>
    <cellStyle name="Heading 1 2 2 2 2 2 5 4 2" xfId="7772"/>
    <cellStyle name="Heading 1 2 2 2 2 2 5 4 2 2" xfId="7773"/>
    <cellStyle name="Heading 1 2 2 2 2 2 5 4 3" xfId="7774"/>
    <cellStyle name="Heading 1 2 2 2 2 2 5 5" xfId="7775"/>
    <cellStyle name="Heading 1 2 2 2 2 2 5 5 2" xfId="7776"/>
    <cellStyle name="Heading 1 2 2 2 2 2 5 5 2 2" xfId="7777"/>
    <cellStyle name="Heading 1 2 2 2 2 2 5 5 3" xfId="7778"/>
    <cellStyle name="Heading 1 2 2 2 2 2 5 6" xfId="7779"/>
    <cellStyle name="Heading 1 2 2 2 2 2 5 6 2" xfId="7780"/>
    <cellStyle name="Heading 1 2 2 2 2 2 5 6 2 2" xfId="7781"/>
    <cellStyle name="Heading 1 2 2 2 2 2 5 6 3" xfId="7782"/>
    <cellStyle name="Heading 1 2 2 2 2 2 5 7" xfId="7783"/>
    <cellStyle name="Heading 1 2 2 2 2 2 5 7 2" xfId="7784"/>
    <cellStyle name="Heading 1 2 2 2 2 2 5 7 2 2" xfId="7785"/>
    <cellStyle name="Heading 1 2 2 2 2 2 5 7 3" xfId="7786"/>
    <cellStyle name="Heading 1 2 2 2 2 2 5 8" xfId="7787"/>
    <cellStyle name="Heading 1 2 2 2 2 2 5 8 2" xfId="7788"/>
    <cellStyle name="Heading 1 2 2 2 2 2 5 9" xfId="7789"/>
    <cellStyle name="Heading 1 2 2 2 2 2 6" xfId="7790"/>
    <cellStyle name="Heading 1 2 2 2 2 2 6 2" xfId="7791"/>
    <cellStyle name="Heading 1 2 2 2 2 2 6 2 2" xfId="7792"/>
    <cellStyle name="Heading 1 2 2 2 2 2 6 2 2 2" xfId="7793"/>
    <cellStyle name="Heading 1 2 2 2 2 2 6 2 3" xfId="7794"/>
    <cellStyle name="Heading 1 2 2 2 2 2 6 3" xfId="7795"/>
    <cellStyle name="Heading 1 2 2 2 2 2 6 3 2" xfId="7796"/>
    <cellStyle name="Heading 1 2 2 2 2 2 6 3 2 2" xfId="7797"/>
    <cellStyle name="Heading 1 2 2 2 2 2 6 3 3" xfId="7798"/>
    <cellStyle name="Heading 1 2 2 2 2 2 6 4" xfId="7799"/>
    <cellStyle name="Heading 1 2 2 2 2 2 6 4 2" xfId="7800"/>
    <cellStyle name="Heading 1 2 2 2 2 2 6 4 2 2" xfId="7801"/>
    <cellStyle name="Heading 1 2 2 2 2 2 6 4 3" xfId="7802"/>
    <cellStyle name="Heading 1 2 2 2 2 2 6 5" xfId="7803"/>
    <cellStyle name="Heading 1 2 2 2 2 2 6 5 2" xfId="7804"/>
    <cellStyle name="Heading 1 2 2 2 2 2 6 5 2 2" xfId="7805"/>
    <cellStyle name="Heading 1 2 2 2 2 2 6 5 3" xfId="7806"/>
    <cellStyle name="Heading 1 2 2 2 2 2 6 6" xfId="7807"/>
    <cellStyle name="Heading 1 2 2 2 2 2 6 6 2" xfId="7808"/>
    <cellStyle name="Heading 1 2 2 2 2 2 6 6 2 2" xfId="7809"/>
    <cellStyle name="Heading 1 2 2 2 2 2 6 6 3" xfId="7810"/>
    <cellStyle name="Heading 1 2 2 2 2 2 6 7" xfId="7811"/>
    <cellStyle name="Heading 1 2 2 2 2 2 6 7 2" xfId="7812"/>
    <cellStyle name="Heading 1 2 2 2 2 2 6 7 2 2" xfId="7813"/>
    <cellStyle name="Heading 1 2 2 2 2 2 6 7 3" xfId="7814"/>
    <cellStyle name="Heading 1 2 2 2 2 2 6 8" xfId="7815"/>
    <cellStyle name="Heading 1 2 2 2 2 2 6 8 2" xfId="7816"/>
    <cellStyle name="Heading 1 2 2 2 2 2 6 9" xfId="7817"/>
    <cellStyle name="Heading 1 2 2 2 2 2 7" xfId="7818"/>
    <cellStyle name="Heading 1 2 2 2 2 2 7 2" xfId="7819"/>
    <cellStyle name="Heading 1 2 2 2 2 2 7 2 2" xfId="7820"/>
    <cellStyle name="Heading 1 2 2 2 2 2 7 2 2 2" xfId="7821"/>
    <cellStyle name="Heading 1 2 2 2 2 2 7 2 3" xfId="7822"/>
    <cellStyle name="Heading 1 2 2 2 2 2 7 3" xfId="7823"/>
    <cellStyle name="Heading 1 2 2 2 2 2 7 3 2" xfId="7824"/>
    <cellStyle name="Heading 1 2 2 2 2 2 7 3 2 2" xfId="7825"/>
    <cellStyle name="Heading 1 2 2 2 2 2 7 3 3" xfId="7826"/>
    <cellStyle name="Heading 1 2 2 2 2 2 7 4" xfId="7827"/>
    <cellStyle name="Heading 1 2 2 2 2 2 7 4 2" xfId="7828"/>
    <cellStyle name="Heading 1 2 2 2 2 2 7 4 2 2" xfId="7829"/>
    <cellStyle name="Heading 1 2 2 2 2 2 7 4 3" xfId="7830"/>
    <cellStyle name="Heading 1 2 2 2 2 2 7 5" xfId="7831"/>
    <cellStyle name="Heading 1 2 2 2 2 2 7 5 2" xfId="7832"/>
    <cellStyle name="Heading 1 2 2 2 2 2 7 5 2 2" xfId="7833"/>
    <cellStyle name="Heading 1 2 2 2 2 2 7 5 3" xfId="7834"/>
    <cellStyle name="Heading 1 2 2 2 2 2 7 6" xfId="7835"/>
    <cellStyle name="Heading 1 2 2 2 2 2 7 6 2" xfId="7836"/>
    <cellStyle name="Heading 1 2 2 2 2 2 7 6 2 2" xfId="7837"/>
    <cellStyle name="Heading 1 2 2 2 2 2 7 6 3" xfId="7838"/>
    <cellStyle name="Heading 1 2 2 2 2 2 7 7" xfId="7839"/>
    <cellStyle name="Heading 1 2 2 2 2 2 7 7 2" xfId="7840"/>
    <cellStyle name="Heading 1 2 2 2 2 2 7 7 2 2" xfId="7841"/>
    <cellStyle name="Heading 1 2 2 2 2 2 7 7 3" xfId="7842"/>
    <cellStyle name="Heading 1 2 2 2 2 2 7 8" xfId="7843"/>
    <cellStyle name="Heading 1 2 2 2 2 2 7 8 2" xfId="7844"/>
    <cellStyle name="Heading 1 2 2 2 2 2 7 9" xfId="7845"/>
    <cellStyle name="Heading 1 2 2 2 2 2 8" xfId="7846"/>
    <cellStyle name="Heading 1 2 2 2 2 2 8 2" xfId="7847"/>
    <cellStyle name="Heading 1 2 2 2 2 2 8 2 2" xfId="7848"/>
    <cellStyle name="Heading 1 2 2 2 2 2 8 2 2 2" xfId="7849"/>
    <cellStyle name="Heading 1 2 2 2 2 2 8 2 3" xfId="7850"/>
    <cellStyle name="Heading 1 2 2 2 2 2 8 3" xfId="7851"/>
    <cellStyle name="Heading 1 2 2 2 2 2 8 3 2" xfId="7852"/>
    <cellStyle name="Heading 1 2 2 2 2 2 8 3 2 2" xfId="7853"/>
    <cellStyle name="Heading 1 2 2 2 2 2 8 3 3" xfId="7854"/>
    <cellStyle name="Heading 1 2 2 2 2 2 8 4" xfId="7855"/>
    <cellStyle name="Heading 1 2 2 2 2 2 8 4 2" xfId="7856"/>
    <cellStyle name="Heading 1 2 2 2 2 2 8 4 2 2" xfId="7857"/>
    <cellStyle name="Heading 1 2 2 2 2 2 8 4 3" xfId="7858"/>
    <cellStyle name="Heading 1 2 2 2 2 2 8 5" xfId="7859"/>
    <cellStyle name="Heading 1 2 2 2 2 2 8 5 2" xfId="7860"/>
    <cellStyle name="Heading 1 2 2 2 2 2 8 5 2 2" xfId="7861"/>
    <cellStyle name="Heading 1 2 2 2 2 2 8 5 3" xfId="7862"/>
    <cellStyle name="Heading 1 2 2 2 2 2 8 6" xfId="7863"/>
    <cellStyle name="Heading 1 2 2 2 2 2 8 6 2" xfId="7864"/>
    <cellStyle name="Heading 1 2 2 2 2 2 8 6 2 2" xfId="7865"/>
    <cellStyle name="Heading 1 2 2 2 2 2 8 6 3" xfId="7866"/>
    <cellStyle name="Heading 1 2 2 2 2 2 8 7" xfId="7867"/>
    <cellStyle name="Heading 1 2 2 2 2 2 8 7 2" xfId="7868"/>
    <cellStyle name="Heading 1 2 2 2 2 2 8 7 2 2" xfId="7869"/>
    <cellStyle name="Heading 1 2 2 2 2 2 8 7 3" xfId="7870"/>
    <cellStyle name="Heading 1 2 2 2 2 2 8 8" xfId="7871"/>
    <cellStyle name="Heading 1 2 2 2 2 2 8 8 2" xfId="7872"/>
    <cellStyle name="Heading 1 2 2 2 2 2 8 9" xfId="7873"/>
    <cellStyle name="Heading 1 2 2 2 2 2 9" xfId="7874"/>
    <cellStyle name="Heading 1 2 2 2 2 2 9 2" xfId="7875"/>
    <cellStyle name="Heading 1 2 2 2 2 2 9 2 2" xfId="7876"/>
    <cellStyle name="Heading 1 2 2 2 2 2 9 2 2 2" xfId="7877"/>
    <cellStyle name="Heading 1 2 2 2 2 2 9 2 3" xfId="7878"/>
    <cellStyle name="Heading 1 2 2 2 2 2 9 3" xfId="7879"/>
    <cellStyle name="Heading 1 2 2 2 2 2 9 3 2" xfId="7880"/>
    <cellStyle name="Heading 1 2 2 2 2 2 9 3 2 2" xfId="7881"/>
    <cellStyle name="Heading 1 2 2 2 2 2 9 3 3" xfId="7882"/>
    <cellStyle name="Heading 1 2 2 2 2 2 9 4" xfId="7883"/>
    <cellStyle name="Heading 1 2 2 2 2 2 9 4 2" xfId="7884"/>
    <cellStyle name="Heading 1 2 2 2 2 2 9 4 2 2" xfId="7885"/>
    <cellStyle name="Heading 1 2 2 2 2 2 9 4 3" xfId="7886"/>
    <cellStyle name="Heading 1 2 2 2 2 2 9 5" xfId="7887"/>
    <cellStyle name="Heading 1 2 2 2 2 2 9 5 2" xfId="7888"/>
    <cellStyle name="Heading 1 2 2 2 2 2 9 5 2 2" xfId="7889"/>
    <cellStyle name="Heading 1 2 2 2 2 2 9 5 3" xfId="7890"/>
    <cellStyle name="Heading 1 2 2 2 2 2 9 6" xfId="7891"/>
    <cellStyle name="Heading 1 2 2 2 2 2 9 6 2" xfId="7892"/>
    <cellStyle name="Heading 1 2 2 2 2 2 9 6 2 2" xfId="7893"/>
    <cellStyle name="Heading 1 2 2 2 2 2 9 6 3" xfId="7894"/>
    <cellStyle name="Heading 1 2 2 2 2 2 9 7" xfId="7895"/>
    <cellStyle name="Heading 1 2 2 2 2 2 9 7 2" xfId="7896"/>
    <cellStyle name="Heading 1 2 2 2 2 2 9 7 2 2" xfId="7897"/>
    <cellStyle name="Heading 1 2 2 2 2 2 9 7 3" xfId="7898"/>
    <cellStyle name="Heading 1 2 2 2 2 2 9 8" xfId="7899"/>
    <cellStyle name="Heading 1 2 2 2 2 2 9 8 2" xfId="7900"/>
    <cellStyle name="Heading 1 2 2 2 2 2 9 9" xfId="7901"/>
    <cellStyle name="Heading 1 2 2 2 2 3" xfId="7902"/>
    <cellStyle name="Heading 1 2 2 2 2 3 10" xfId="7903"/>
    <cellStyle name="Heading 1 2 2 2 2 3 10 2" xfId="7904"/>
    <cellStyle name="Heading 1 2 2 2 2 3 10 2 2" xfId="7905"/>
    <cellStyle name="Heading 1 2 2 2 2 3 10 3" xfId="7906"/>
    <cellStyle name="Heading 1 2 2 2 2 3 11" xfId="7907"/>
    <cellStyle name="Heading 1 2 2 2 2 3 11 2" xfId="7908"/>
    <cellStyle name="Heading 1 2 2 2 2 3 11 2 2" xfId="7909"/>
    <cellStyle name="Heading 1 2 2 2 2 3 11 3" xfId="7910"/>
    <cellStyle name="Heading 1 2 2 2 2 3 12" xfId="7911"/>
    <cellStyle name="Heading 1 2 2 2 2 3 12 2" xfId="7912"/>
    <cellStyle name="Heading 1 2 2 2 2 3 12 2 2" xfId="7913"/>
    <cellStyle name="Heading 1 2 2 2 2 3 12 3" xfId="7914"/>
    <cellStyle name="Heading 1 2 2 2 2 3 13" xfId="7915"/>
    <cellStyle name="Heading 1 2 2 2 2 3 13 2" xfId="7916"/>
    <cellStyle name="Heading 1 2 2 2 2 3 13 2 2" xfId="7917"/>
    <cellStyle name="Heading 1 2 2 2 2 3 13 3" xfId="7918"/>
    <cellStyle name="Heading 1 2 2 2 2 3 14" xfId="7919"/>
    <cellStyle name="Heading 1 2 2 2 2 3 14 2" xfId="7920"/>
    <cellStyle name="Heading 1 2 2 2 2 3 14 2 2" xfId="7921"/>
    <cellStyle name="Heading 1 2 2 2 2 3 14 3" xfId="7922"/>
    <cellStyle name="Heading 1 2 2 2 2 3 15" xfId="7923"/>
    <cellStyle name="Heading 1 2 2 2 2 3 15 2" xfId="7924"/>
    <cellStyle name="Heading 1 2 2 2 2 3 15 2 2" xfId="7925"/>
    <cellStyle name="Heading 1 2 2 2 2 3 15 3" xfId="7926"/>
    <cellStyle name="Heading 1 2 2 2 2 3 16" xfId="7927"/>
    <cellStyle name="Heading 1 2 2 2 2 3 16 2" xfId="7928"/>
    <cellStyle name="Heading 1 2 2 2 2 3 16 2 2" xfId="7929"/>
    <cellStyle name="Heading 1 2 2 2 2 3 16 3" xfId="7930"/>
    <cellStyle name="Heading 1 2 2 2 2 3 17" xfId="7931"/>
    <cellStyle name="Heading 1 2 2 2 2 3 17 2" xfId="7932"/>
    <cellStyle name="Heading 1 2 2 2 2 3 17 2 2" xfId="7933"/>
    <cellStyle name="Heading 1 2 2 2 2 3 17 3" xfId="7934"/>
    <cellStyle name="Heading 1 2 2 2 2 3 18" xfId="7935"/>
    <cellStyle name="Heading 1 2 2 2 2 3 18 2" xfId="7936"/>
    <cellStyle name="Heading 1 2 2 2 2 3 18 2 2" xfId="7937"/>
    <cellStyle name="Heading 1 2 2 2 2 3 18 3" xfId="7938"/>
    <cellStyle name="Heading 1 2 2 2 2 3 19" xfId="7939"/>
    <cellStyle name="Heading 1 2 2 2 2 3 19 2" xfId="7940"/>
    <cellStyle name="Heading 1 2 2 2 2 3 2" xfId="7941"/>
    <cellStyle name="Heading 1 2 2 2 2 3 2 2" xfId="7942"/>
    <cellStyle name="Heading 1 2 2 2 2 3 2 2 2" xfId="7943"/>
    <cellStyle name="Heading 1 2 2 2 2 3 2 2 2 2" xfId="7944"/>
    <cellStyle name="Heading 1 2 2 2 2 3 2 2 3" xfId="7945"/>
    <cellStyle name="Heading 1 2 2 2 2 3 2 3" xfId="7946"/>
    <cellStyle name="Heading 1 2 2 2 2 3 2 3 2" xfId="7947"/>
    <cellStyle name="Heading 1 2 2 2 2 3 2 3 2 2" xfId="7948"/>
    <cellStyle name="Heading 1 2 2 2 2 3 2 3 3" xfId="7949"/>
    <cellStyle name="Heading 1 2 2 2 2 3 2 4" xfId="7950"/>
    <cellStyle name="Heading 1 2 2 2 2 3 2 4 2" xfId="7951"/>
    <cellStyle name="Heading 1 2 2 2 2 3 2 4 2 2" xfId="7952"/>
    <cellStyle name="Heading 1 2 2 2 2 3 2 4 3" xfId="7953"/>
    <cellStyle name="Heading 1 2 2 2 2 3 2 5" xfId="7954"/>
    <cellStyle name="Heading 1 2 2 2 2 3 2 5 2" xfId="7955"/>
    <cellStyle name="Heading 1 2 2 2 2 3 2 5 2 2" xfId="7956"/>
    <cellStyle name="Heading 1 2 2 2 2 3 2 5 3" xfId="7957"/>
    <cellStyle name="Heading 1 2 2 2 2 3 2 6" xfId="7958"/>
    <cellStyle name="Heading 1 2 2 2 2 3 2 6 2" xfId="7959"/>
    <cellStyle name="Heading 1 2 2 2 2 3 2 6 2 2" xfId="7960"/>
    <cellStyle name="Heading 1 2 2 2 2 3 2 6 3" xfId="7961"/>
    <cellStyle name="Heading 1 2 2 2 2 3 2 7" xfId="7962"/>
    <cellStyle name="Heading 1 2 2 2 2 3 2 7 2" xfId="7963"/>
    <cellStyle name="Heading 1 2 2 2 2 3 2 7 2 2" xfId="7964"/>
    <cellStyle name="Heading 1 2 2 2 2 3 2 7 3" xfId="7965"/>
    <cellStyle name="Heading 1 2 2 2 2 3 2 8" xfId="7966"/>
    <cellStyle name="Heading 1 2 2 2 2 3 2 8 2" xfId="7967"/>
    <cellStyle name="Heading 1 2 2 2 2 3 2 9" xfId="7968"/>
    <cellStyle name="Heading 1 2 2 2 2 3 20" xfId="7969"/>
    <cellStyle name="Heading 1 2 2 2 2 3 20 2" xfId="7970"/>
    <cellStyle name="Heading 1 2 2 2 2 3 21" xfId="7971"/>
    <cellStyle name="Heading 1 2 2 2 2 3 21 2" xfId="7972"/>
    <cellStyle name="Heading 1 2 2 2 2 3 22" xfId="7973"/>
    <cellStyle name="Heading 1 2 2 2 2 3 3" xfId="7974"/>
    <cellStyle name="Heading 1 2 2 2 2 3 3 2" xfId="7975"/>
    <cellStyle name="Heading 1 2 2 2 2 3 3 2 2" xfId="7976"/>
    <cellStyle name="Heading 1 2 2 2 2 3 3 2 2 2" xfId="7977"/>
    <cellStyle name="Heading 1 2 2 2 2 3 3 2 3" xfId="7978"/>
    <cellStyle name="Heading 1 2 2 2 2 3 3 3" xfId="7979"/>
    <cellStyle name="Heading 1 2 2 2 2 3 3 3 2" xfId="7980"/>
    <cellStyle name="Heading 1 2 2 2 2 3 3 3 2 2" xfId="7981"/>
    <cellStyle name="Heading 1 2 2 2 2 3 3 3 3" xfId="7982"/>
    <cellStyle name="Heading 1 2 2 2 2 3 3 4" xfId="7983"/>
    <cellStyle name="Heading 1 2 2 2 2 3 3 4 2" xfId="7984"/>
    <cellStyle name="Heading 1 2 2 2 2 3 3 4 2 2" xfId="7985"/>
    <cellStyle name="Heading 1 2 2 2 2 3 3 4 3" xfId="7986"/>
    <cellStyle name="Heading 1 2 2 2 2 3 3 5" xfId="7987"/>
    <cellStyle name="Heading 1 2 2 2 2 3 3 5 2" xfId="7988"/>
    <cellStyle name="Heading 1 2 2 2 2 3 3 5 2 2" xfId="7989"/>
    <cellStyle name="Heading 1 2 2 2 2 3 3 5 3" xfId="7990"/>
    <cellStyle name="Heading 1 2 2 2 2 3 3 6" xfId="7991"/>
    <cellStyle name="Heading 1 2 2 2 2 3 3 6 2" xfId="7992"/>
    <cellStyle name="Heading 1 2 2 2 2 3 3 6 2 2" xfId="7993"/>
    <cellStyle name="Heading 1 2 2 2 2 3 3 6 3" xfId="7994"/>
    <cellStyle name="Heading 1 2 2 2 2 3 3 7" xfId="7995"/>
    <cellStyle name="Heading 1 2 2 2 2 3 3 7 2" xfId="7996"/>
    <cellStyle name="Heading 1 2 2 2 2 3 3 7 2 2" xfId="7997"/>
    <cellStyle name="Heading 1 2 2 2 2 3 3 7 3" xfId="7998"/>
    <cellStyle name="Heading 1 2 2 2 2 3 3 8" xfId="7999"/>
    <cellStyle name="Heading 1 2 2 2 2 3 3 8 2" xfId="8000"/>
    <cellStyle name="Heading 1 2 2 2 2 3 3 9" xfId="8001"/>
    <cellStyle name="Heading 1 2 2 2 2 3 4" xfId="8002"/>
    <cellStyle name="Heading 1 2 2 2 2 3 4 2" xfId="8003"/>
    <cellStyle name="Heading 1 2 2 2 2 3 4 2 2" xfId="8004"/>
    <cellStyle name="Heading 1 2 2 2 2 3 4 2 2 2" xfId="8005"/>
    <cellStyle name="Heading 1 2 2 2 2 3 4 2 3" xfId="8006"/>
    <cellStyle name="Heading 1 2 2 2 2 3 4 3" xfId="8007"/>
    <cellStyle name="Heading 1 2 2 2 2 3 4 3 2" xfId="8008"/>
    <cellStyle name="Heading 1 2 2 2 2 3 4 3 2 2" xfId="8009"/>
    <cellStyle name="Heading 1 2 2 2 2 3 4 3 3" xfId="8010"/>
    <cellStyle name="Heading 1 2 2 2 2 3 4 4" xfId="8011"/>
    <cellStyle name="Heading 1 2 2 2 2 3 4 4 2" xfId="8012"/>
    <cellStyle name="Heading 1 2 2 2 2 3 4 4 2 2" xfId="8013"/>
    <cellStyle name="Heading 1 2 2 2 2 3 4 4 3" xfId="8014"/>
    <cellStyle name="Heading 1 2 2 2 2 3 4 5" xfId="8015"/>
    <cellStyle name="Heading 1 2 2 2 2 3 4 5 2" xfId="8016"/>
    <cellStyle name="Heading 1 2 2 2 2 3 4 5 2 2" xfId="8017"/>
    <cellStyle name="Heading 1 2 2 2 2 3 4 5 3" xfId="8018"/>
    <cellStyle name="Heading 1 2 2 2 2 3 4 6" xfId="8019"/>
    <cellStyle name="Heading 1 2 2 2 2 3 4 6 2" xfId="8020"/>
    <cellStyle name="Heading 1 2 2 2 2 3 4 6 2 2" xfId="8021"/>
    <cellStyle name="Heading 1 2 2 2 2 3 4 6 3" xfId="8022"/>
    <cellStyle name="Heading 1 2 2 2 2 3 4 7" xfId="8023"/>
    <cellStyle name="Heading 1 2 2 2 2 3 4 7 2" xfId="8024"/>
    <cellStyle name="Heading 1 2 2 2 2 3 4 7 2 2" xfId="8025"/>
    <cellStyle name="Heading 1 2 2 2 2 3 4 7 3" xfId="8026"/>
    <cellStyle name="Heading 1 2 2 2 2 3 4 8" xfId="8027"/>
    <cellStyle name="Heading 1 2 2 2 2 3 4 8 2" xfId="8028"/>
    <cellStyle name="Heading 1 2 2 2 2 3 4 9" xfId="8029"/>
    <cellStyle name="Heading 1 2 2 2 2 3 5" xfId="8030"/>
    <cellStyle name="Heading 1 2 2 2 2 3 5 2" xfId="8031"/>
    <cellStyle name="Heading 1 2 2 2 2 3 5 2 2" xfId="8032"/>
    <cellStyle name="Heading 1 2 2 2 2 3 5 2 2 2" xfId="8033"/>
    <cellStyle name="Heading 1 2 2 2 2 3 5 2 3" xfId="8034"/>
    <cellStyle name="Heading 1 2 2 2 2 3 5 3" xfId="8035"/>
    <cellStyle name="Heading 1 2 2 2 2 3 5 3 2" xfId="8036"/>
    <cellStyle name="Heading 1 2 2 2 2 3 5 3 2 2" xfId="8037"/>
    <cellStyle name="Heading 1 2 2 2 2 3 5 3 3" xfId="8038"/>
    <cellStyle name="Heading 1 2 2 2 2 3 5 4" xfId="8039"/>
    <cellStyle name="Heading 1 2 2 2 2 3 5 4 2" xfId="8040"/>
    <cellStyle name="Heading 1 2 2 2 2 3 5 4 2 2" xfId="8041"/>
    <cellStyle name="Heading 1 2 2 2 2 3 5 4 3" xfId="8042"/>
    <cellStyle name="Heading 1 2 2 2 2 3 5 5" xfId="8043"/>
    <cellStyle name="Heading 1 2 2 2 2 3 5 5 2" xfId="8044"/>
    <cellStyle name="Heading 1 2 2 2 2 3 5 5 2 2" xfId="8045"/>
    <cellStyle name="Heading 1 2 2 2 2 3 5 5 3" xfId="8046"/>
    <cellStyle name="Heading 1 2 2 2 2 3 5 6" xfId="8047"/>
    <cellStyle name="Heading 1 2 2 2 2 3 5 6 2" xfId="8048"/>
    <cellStyle name="Heading 1 2 2 2 2 3 5 6 2 2" xfId="8049"/>
    <cellStyle name="Heading 1 2 2 2 2 3 5 6 3" xfId="8050"/>
    <cellStyle name="Heading 1 2 2 2 2 3 5 7" xfId="8051"/>
    <cellStyle name="Heading 1 2 2 2 2 3 5 7 2" xfId="8052"/>
    <cellStyle name="Heading 1 2 2 2 2 3 5 7 2 2" xfId="8053"/>
    <cellStyle name="Heading 1 2 2 2 2 3 5 7 3" xfId="8054"/>
    <cellStyle name="Heading 1 2 2 2 2 3 5 8" xfId="8055"/>
    <cellStyle name="Heading 1 2 2 2 2 3 5 8 2" xfId="8056"/>
    <cellStyle name="Heading 1 2 2 2 2 3 5 9" xfId="8057"/>
    <cellStyle name="Heading 1 2 2 2 2 3 6" xfId="8058"/>
    <cellStyle name="Heading 1 2 2 2 2 3 6 2" xfId="8059"/>
    <cellStyle name="Heading 1 2 2 2 2 3 6 2 2" xfId="8060"/>
    <cellStyle name="Heading 1 2 2 2 2 3 6 2 2 2" xfId="8061"/>
    <cellStyle name="Heading 1 2 2 2 2 3 6 2 3" xfId="8062"/>
    <cellStyle name="Heading 1 2 2 2 2 3 6 3" xfId="8063"/>
    <cellStyle name="Heading 1 2 2 2 2 3 6 3 2" xfId="8064"/>
    <cellStyle name="Heading 1 2 2 2 2 3 6 3 2 2" xfId="8065"/>
    <cellStyle name="Heading 1 2 2 2 2 3 6 3 3" xfId="8066"/>
    <cellStyle name="Heading 1 2 2 2 2 3 6 4" xfId="8067"/>
    <cellStyle name="Heading 1 2 2 2 2 3 6 4 2" xfId="8068"/>
    <cellStyle name="Heading 1 2 2 2 2 3 6 4 2 2" xfId="8069"/>
    <cellStyle name="Heading 1 2 2 2 2 3 6 4 3" xfId="8070"/>
    <cellStyle name="Heading 1 2 2 2 2 3 6 5" xfId="8071"/>
    <cellStyle name="Heading 1 2 2 2 2 3 6 5 2" xfId="8072"/>
    <cellStyle name="Heading 1 2 2 2 2 3 6 5 2 2" xfId="8073"/>
    <cellStyle name="Heading 1 2 2 2 2 3 6 5 3" xfId="8074"/>
    <cellStyle name="Heading 1 2 2 2 2 3 6 6" xfId="8075"/>
    <cellStyle name="Heading 1 2 2 2 2 3 6 6 2" xfId="8076"/>
    <cellStyle name="Heading 1 2 2 2 2 3 6 6 2 2" xfId="8077"/>
    <cellStyle name="Heading 1 2 2 2 2 3 6 6 3" xfId="8078"/>
    <cellStyle name="Heading 1 2 2 2 2 3 6 7" xfId="8079"/>
    <cellStyle name="Heading 1 2 2 2 2 3 6 7 2" xfId="8080"/>
    <cellStyle name="Heading 1 2 2 2 2 3 6 7 2 2" xfId="8081"/>
    <cellStyle name="Heading 1 2 2 2 2 3 6 7 3" xfId="8082"/>
    <cellStyle name="Heading 1 2 2 2 2 3 6 8" xfId="8083"/>
    <cellStyle name="Heading 1 2 2 2 2 3 6 8 2" xfId="8084"/>
    <cellStyle name="Heading 1 2 2 2 2 3 6 9" xfId="8085"/>
    <cellStyle name="Heading 1 2 2 2 2 3 7" xfId="8086"/>
    <cellStyle name="Heading 1 2 2 2 2 3 7 2" xfId="8087"/>
    <cellStyle name="Heading 1 2 2 2 2 3 7 2 2" xfId="8088"/>
    <cellStyle name="Heading 1 2 2 2 2 3 7 2 2 2" xfId="8089"/>
    <cellStyle name="Heading 1 2 2 2 2 3 7 2 3" xfId="8090"/>
    <cellStyle name="Heading 1 2 2 2 2 3 7 3" xfId="8091"/>
    <cellStyle name="Heading 1 2 2 2 2 3 7 3 2" xfId="8092"/>
    <cellStyle name="Heading 1 2 2 2 2 3 7 3 2 2" xfId="8093"/>
    <cellStyle name="Heading 1 2 2 2 2 3 7 3 3" xfId="8094"/>
    <cellStyle name="Heading 1 2 2 2 2 3 7 4" xfId="8095"/>
    <cellStyle name="Heading 1 2 2 2 2 3 7 4 2" xfId="8096"/>
    <cellStyle name="Heading 1 2 2 2 2 3 7 4 2 2" xfId="8097"/>
    <cellStyle name="Heading 1 2 2 2 2 3 7 4 3" xfId="8098"/>
    <cellStyle name="Heading 1 2 2 2 2 3 7 5" xfId="8099"/>
    <cellStyle name="Heading 1 2 2 2 2 3 7 5 2" xfId="8100"/>
    <cellStyle name="Heading 1 2 2 2 2 3 7 5 2 2" xfId="8101"/>
    <cellStyle name="Heading 1 2 2 2 2 3 7 5 3" xfId="8102"/>
    <cellStyle name="Heading 1 2 2 2 2 3 7 6" xfId="8103"/>
    <cellStyle name="Heading 1 2 2 2 2 3 7 6 2" xfId="8104"/>
    <cellStyle name="Heading 1 2 2 2 2 3 7 6 2 2" xfId="8105"/>
    <cellStyle name="Heading 1 2 2 2 2 3 7 6 3" xfId="8106"/>
    <cellStyle name="Heading 1 2 2 2 2 3 7 7" xfId="8107"/>
    <cellStyle name="Heading 1 2 2 2 2 3 7 7 2" xfId="8108"/>
    <cellStyle name="Heading 1 2 2 2 2 3 7 7 2 2" xfId="8109"/>
    <cellStyle name="Heading 1 2 2 2 2 3 7 7 3" xfId="8110"/>
    <cellStyle name="Heading 1 2 2 2 2 3 7 8" xfId="8111"/>
    <cellStyle name="Heading 1 2 2 2 2 3 7 8 2" xfId="8112"/>
    <cellStyle name="Heading 1 2 2 2 2 3 7 9" xfId="8113"/>
    <cellStyle name="Heading 1 2 2 2 2 3 8" xfId="8114"/>
    <cellStyle name="Heading 1 2 2 2 2 3 8 2" xfId="8115"/>
    <cellStyle name="Heading 1 2 2 2 2 3 8 2 2" xfId="8116"/>
    <cellStyle name="Heading 1 2 2 2 2 3 8 2 2 2" xfId="8117"/>
    <cellStyle name="Heading 1 2 2 2 2 3 8 2 3" xfId="8118"/>
    <cellStyle name="Heading 1 2 2 2 2 3 8 3" xfId="8119"/>
    <cellStyle name="Heading 1 2 2 2 2 3 8 3 2" xfId="8120"/>
    <cellStyle name="Heading 1 2 2 2 2 3 8 3 2 2" xfId="8121"/>
    <cellStyle name="Heading 1 2 2 2 2 3 8 3 3" xfId="8122"/>
    <cellStyle name="Heading 1 2 2 2 2 3 8 4" xfId="8123"/>
    <cellStyle name="Heading 1 2 2 2 2 3 8 4 2" xfId="8124"/>
    <cellStyle name="Heading 1 2 2 2 2 3 8 4 2 2" xfId="8125"/>
    <cellStyle name="Heading 1 2 2 2 2 3 8 4 3" xfId="8126"/>
    <cellStyle name="Heading 1 2 2 2 2 3 8 5" xfId="8127"/>
    <cellStyle name="Heading 1 2 2 2 2 3 8 5 2" xfId="8128"/>
    <cellStyle name="Heading 1 2 2 2 2 3 8 5 2 2" xfId="8129"/>
    <cellStyle name="Heading 1 2 2 2 2 3 8 5 3" xfId="8130"/>
    <cellStyle name="Heading 1 2 2 2 2 3 8 6" xfId="8131"/>
    <cellStyle name="Heading 1 2 2 2 2 3 8 6 2" xfId="8132"/>
    <cellStyle name="Heading 1 2 2 2 2 3 8 6 2 2" xfId="8133"/>
    <cellStyle name="Heading 1 2 2 2 2 3 8 6 3" xfId="8134"/>
    <cellStyle name="Heading 1 2 2 2 2 3 8 7" xfId="8135"/>
    <cellStyle name="Heading 1 2 2 2 2 3 8 7 2" xfId="8136"/>
    <cellStyle name="Heading 1 2 2 2 2 3 8 7 2 2" xfId="8137"/>
    <cellStyle name="Heading 1 2 2 2 2 3 8 7 3" xfId="8138"/>
    <cellStyle name="Heading 1 2 2 2 2 3 8 8" xfId="8139"/>
    <cellStyle name="Heading 1 2 2 2 2 3 8 8 2" xfId="8140"/>
    <cellStyle name="Heading 1 2 2 2 2 3 8 9" xfId="8141"/>
    <cellStyle name="Heading 1 2 2 2 2 3 9" xfId="8142"/>
    <cellStyle name="Heading 1 2 2 2 2 3 9 2" xfId="8143"/>
    <cellStyle name="Heading 1 2 2 2 2 3 9 2 2" xfId="8144"/>
    <cellStyle name="Heading 1 2 2 2 2 3 9 3" xfId="8145"/>
    <cellStyle name="Heading 1 2 2 2 2 4" xfId="8146"/>
    <cellStyle name="Heading 1 2 2 2 2 4 2" xfId="8147"/>
    <cellStyle name="Heading 1 2 2 2 2 4 2 2" xfId="8148"/>
    <cellStyle name="Heading 1 2 2 2 2 4 3" xfId="8149"/>
    <cellStyle name="Heading 1 2 2 2 2 5" xfId="8150"/>
    <cellStyle name="Heading 1 2 2 2 2 5 2" xfId="8151"/>
    <cellStyle name="Heading 1 2 2 2 2 6" xfId="8152"/>
    <cellStyle name="Heading 1 2 2 2 20" xfId="8153"/>
    <cellStyle name="Heading 1 2 2 2 3" xfId="8154"/>
    <cellStyle name="Heading 1 2 2 2 3 2" xfId="8155"/>
    <cellStyle name="Heading 1 2 2 2 3 2 10" xfId="8156"/>
    <cellStyle name="Heading 1 2 2 2 3 2 10 2" xfId="8157"/>
    <cellStyle name="Heading 1 2 2 2 3 2 10 2 2" xfId="8158"/>
    <cellStyle name="Heading 1 2 2 2 3 2 10 3" xfId="8159"/>
    <cellStyle name="Heading 1 2 2 2 3 2 11" xfId="8160"/>
    <cellStyle name="Heading 1 2 2 2 3 2 11 2" xfId="8161"/>
    <cellStyle name="Heading 1 2 2 2 3 2 11 2 2" xfId="8162"/>
    <cellStyle name="Heading 1 2 2 2 3 2 11 3" xfId="8163"/>
    <cellStyle name="Heading 1 2 2 2 3 2 12" xfId="8164"/>
    <cellStyle name="Heading 1 2 2 2 3 2 12 2" xfId="8165"/>
    <cellStyle name="Heading 1 2 2 2 3 2 12 2 2" xfId="8166"/>
    <cellStyle name="Heading 1 2 2 2 3 2 12 3" xfId="8167"/>
    <cellStyle name="Heading 1 2 2 2 3 2 13" xfId="8168"/>
    <cellStyle name="Heading 1 2 2 2 3 2 13 2" xfId="8169"/>
    <cellStyle name="Heading 1 2 2 2 3 2 13 2 2" xfId="8170"/>
    <cellStyle name="Heading 1 2 2 2 3 2 13 3" xfId="8171"/>
    <cellStyle name="Heading 1 2 2 2 3 2 14" xfId="8172"/>
    <cellStyle name="Heading 1 2 2 2 3 2 14 2" xfId="8173"/>
    <cellStyle name="Heading 1 2 2 2 3 2 14 2 2" xfId="8174"/>
    <cellStyle name="Heading 1 2 2 2 3 2 14 3" xfId="8175"/>
    <cellStyle name="Heading 1 2 2 2 3 2 15" xfId="8176"/>
    <cellStyle name="Heading 1 2 2 2 3 2 15 2" xfId="8177"/>
    <cellStyle name="Heading 1 2 2 2 3 2 15 2 2" xfId="8178"/>
    <cellStyle name="Heading 1 2 2 2 3 2 15 3" xfId="8179"/>
    <cellStyle name="Heading 1 2 2 2 3 2 16" xfId="8180"/>
    <cellStyle name="Heading 1 2 2 2 3 2 16 2" xfId="8181"/>
    <cellStyle name="Heading 1 2 2 2 3 2 16 2 2" xfId="8182"/>
    <cellStyle name="Heading 1 2 2 2 3 2 16 3" xfId="8183"/>
    <cellStyle name="Heading 1 2 2 2 3 2 17" xfId="8184"/>
    <cellStyle name="Heading 1 2 2 2 3 2 17 2" xfId="8185"/>
    <cellStyle name="Heading 1 2 2 2 3 2 17 2 2" xfId="8186"/>
    <cellStyle name="Heading 1 2 2 2 3 2 17 3" xfId="8187"/>
    <cellStyle name="Heading 1 2 2 2 3 2 18" xfId="8188"/>
    <cellStyle name="Heading 1 2 2 2 3 2 18 2" xfId="8189"/>
    <cellStyle name="Heading 1 2 2 2 3 2 18 2 2" xfId="8190"/>
    <cellStyle name="Heading 1 2 2 2 3 2 18 3" xfId="8191"/>
    <cellStyle name="Heading 1 2 2 2 3 2 19" xfId="8192"/>
    <cellStyle name="Heading 1 2 2 2 3 2 19 2" xfId="8193"/>
    <cellStyle name="Heading 1 2 2 2 3 2 19 2 2" xfId="8194"/>
    <cellStyle name="Heading 1 2 2 2 3 2 19 3" xfId="8195"/>
    <cellStyle name="Heading 1 2 2 2 3 2 2" xfId="8196"/>
    <cellStyle name="Heading 1 2 2 2 3 2 2 10" xfId="8197"/>
    <cellStyle name="Heading 1 2 2 2 3 2 2 10 2" xfId="8198"/>
    <cellStyle name="Heading 1 2 2 2 3 2 2 10 2 2" xfId="8199"/>
    <cellStyle name="Heading 1 2 2 2 3 2 2 10 3" xfId="8200"/>
    <cellStyle name="Heading 1 2 2 2 3 2 2 11" xfId="8201"/>
    <cellStyle name="Heading 1 2 2 2 3 2 2 11 2" xfId="8202"/>
    <cellStyle name="Heading 1 2 2 2 3 2 2 11 2 2" xfId="8203"/>
    <cellStyle name="Heading 1 2 2 2 3 2 2 11 3" xfId="8204"/>
    <cellStyle name="Heading 1 2 2 2 3 2 2 12" xfId="8205"/>
    <cellStyle name="Heading 1 2 2 2 3 2 2 12 2" xfId="8206"/>
    <cellStyle name="Heading 1 2 2 2 3 2 2 12 2 2" xfId="8207"/>
    <cellStyle name="Heading 1 2 2 2 3 2 2 12 3" xfId="8208"/>
    <cellStyle name="Heading 1 2 2 2 3 2 2 13" xfId="8209"/>
    <cellStyle name="Heading 1 2 2 2 3 2 2 13 2" xfId="8210"/>
    <cellStyle name="Heading 1 2 2 2 3 2 2 13 2 2" xfId="8211"/>
    <cellStyle name="Heading 1 2 2 2 3 2 2 13 3" xfId="8212"/>
    <cellStyle name="Heading 1 2 2 2 3 2 2 14" xfId="8213"/>
    <cellStyle name="Heading 1 2 2 2 3 2 2 14 2" xfId="8214"/>
    <cellStyle name="Heading 1 2 2 2 3 2 2 14 2 2" xfId="8215"/>
    <cellStyle name="Heading 1 2 2 2 3 2 2 14 3" xfId="8216"/>
    <cellStyle name="Heading 1 2 2 2 3 2 2 15" xfId="8217"/>
    <cellStyle name="Heading 1 2 2 2 3 2 2 15 2" xfId="8218"/>
    <cellStyle name="Heading 1 2 2 2 3 2 2 15 2 2" xfId="8219"/>
    <cellStyle name="Heading 1 2 2 2 3 2 2 15 3" xfId="8220"/>
    <cellStyle name="Heading 1 2 2 2 3 2 2 16" xfId="8221"/>
    <cellStyle name="Heading 1 2 2 2 3 2 2 16 2" xfId="8222"/>
    <cellStyle name="Heading 1 2 2 2 3 2 2 16 2 2" xfId="8223"/>
    <cellStyle name="Heading 1 2 2 2 3 2 2 16 3" xfId="8224"/>
    <cellStyle name="Heading 1 2 2 2 3 2 2 17" xfId="8225"/>
    <cellStyle name="Heading 1 2 2 2 3 2 2 17 2" xfId="8226"/>
    <cellStyle name="Heading 1 2 2 2 3 2 2 17 2 2" xfId="8227"/>
    <cellStyle name="Heading 1 2 2 2 3 2 2 17 3" xfId="8228"/>
    <cellStyle name="Heading 1 2 2 2 3 2 2 18" xfId="8229"/>
    <cellStyle name="Heading 1 2 2 2 3 2 2 18 2" xfId="8230"/>
    <cellStyle name="Heading 1 2 2 2 3 2 2 18 2 2" xfId="8231"/>
    <cellStyle name="Heading 1 2 2 2 3 2 2 18 3" xfId="8232"/>
    <cellStyle name="Heading 1 2 2 2 3 2 2 19" xfId="8233"/>
    <cellStyle name="Heading 1 2 2 2 3 2 2 19 2" xfId="8234"/>
    <cellStyle name="Heading 1 2 2 2 3 2 2 2" xfId="8235"/>
    <cellStyle name="Heading 1 2 2 2 3 2 2 2 2" xfId="8236"/>
    <cellStyle name="Heading 1 2 2 2 3 2 2 2 2 2" xfId="8237"/>
    <cellStyle name="Heading 1 2 2 2 3 2 2 2 2 2 2" xfId="8238"/>
    <cellStyle name="Heading 1 2 2 2 3 2 2 2 2 3" xfId="8239"/>
    <cellStyle name="Heading 1 2 2 2 3 2 2 2 3" xfId="8240"/>
    <cellStyle name="Heading 1 2 2 2 3 2 2 2 3 2" xfId="8241"/>
    <cellStyle name="Heading 1 2 2 2 3 2 2 2 3 2 2" xfId="8242"/>
    <cellStyle name="Heading 1 2 2 2 3 2 2 2 3 3" xfId="8243"/>
    <cellStyle name="Heading 1 2 2 2 3 2 2 2 4" xfId="8244"/>
    <cellStyle name="Heading 1 2 2 2 3 2 2 2 4 2" xfId="8245"/>
    <cellStyle name="Heading 1 2 2 2 3 2 2 2 4 2 2" xfId="8246"/>
    <cellStyle name="Heading 1 2 2 2 3 2 2 2 4 3" xfId="8247"/>
    <cellStyle name="Heading 1 2 2 2 3 2 2 2 5" xfId="8248"/>
    <cellStyle name="Heading 1 2 2 2 3 2 2 2 5 2" xfId="8249"/>
    <cellStyle name="Heading 1 2 2 2 3 2 2 2 5 2 2" xfId="8250"/>
    <cellStyle name="Heading 1 2 2 2 3 2 2 2 5 3" xfId="8251"/>
    <cellStyle name="Heading 1 2 2 2 3 2 2 2 6" xfId="8252"/>
    <cellStyle name="Heading 1 2 2 2 3 2 2 2 6 2" xfId="8253"/>
    <cellStyle name="Heading 1 2 2 2 3 2 2 2 6 2 2" xfId="8254"/>
    <cellStyle name="Heading 1 2 2 2 3 2 2 2 6 3" xfId="8255"/>
    <cellStyle name="Heading 1 2 2 2 3 2 2 2 7" xfId="8256"/>
    <cellStyle name="Heading 1 2 2 2 3 2 2 2 7 2" xfId="8257"/>
    <cellStyle name="Heading 1 2 2 2 3 2 2 2 7 2 2" xfId="8258"/>
    <cellStyle name="Heading 1 2 2 2 3 2 2 2 7 3" xfId="8259"/>
    <cellStyle name="Heading 1 2 2 2 3 2 2 2 8" xfId="8260"/>
    <cellStyle name="Heading 1 2 2 2 3 2 2 2 8 2" xfId="8261"/>
    <cellStyle name="Heading 1 2 2 2 3 2 2 2 9" xfId="8262"/>
    <cellStyle name="Heading 1 2 2 2 3 2 2 20" xfId="8263"/>
    <cellStyle name="Heading 1 2 2 2 3 2 2 20 2" xfId="8264"/>
    <cellStyle name="Heading 1 2 2 2 3 2 2 21" xfId="8265"/>
    <cellStyle name="Heading 1 2 2 2 3 2 2 21 2" xfId="8266"/>
    <cellStyle name="Heading 1 2 2 2 3 2 2 22" xfId="8267"/>
    <cellStyle name="Heading 1 2 2 2 3 2 2 3" xfId="8268"/>
    <cellStyle name="Heading 1 2 2 2 3 2 2 3 2" xfId="8269"/>
    <cellStyle name="Heading 1 2 2 2 3 2 2 3 2 2" xfId="8270"/>
    <cellStyle name="Heading 1 2 2 2 3 2 2 3 2 2 2" xfId="8271"/>
    <cellStyle name="Heading 1 2 2 2 3 2 2 3 2 3" xfId="8272"/>
    <cellStyle name="Heading 1 2 2 2 3 2 2 3 3" xfId="8273"/>
    <cellStyle name="Heading 1 2 2 2 3 2 2 3 3 2" xfId="8274"/>
    <cellStyle name="Heading 1 2 2 2 3 2 2 3 3 2 2" xfId="8275"/>
    <cellStyle name="Heading 1 2 2 2 3 2 2 3 3 3" xfId="8276"/>
    <cellStyle name="Heading 1 2 2 2 3 2 2 3 4" xfId="8277"/>
    <cellStyle name="Heading 1 2 2 2 3 2 2 3 4 2" xfId="8278"/>
    <cellStyle name="Heading 1 2 2 2 3 2 2 3 4 2 2" xfId="8279"/>
    <cellStyle name="Heading 1 2 2 2 3 2 2 3 4 3" xfId="8280"/>
    <cellStyle name="Heading 1 2 2 2 3 2 2 3 5" xfId="8281"/>
    <cellStyle name="Heading 1 2 2 2 3 2 2 3 5 2" xfId="8282"/>
    <cellStyle name="Heading 1 2 2 2 3 2 2 3 5 2 2" xfId="8283"/>
    <cellStyle name="Heading 1 2 2 2 3 2 2 3 5 3" xfId="8284"/>
    <cellStyle name="Heading 1 2 2 2 3 2 2 3 6" xfId="8285"/>
    <cellStyle name="Heading 1 2 2 2 3 2 2 3 6 2" xfId="8286"/>
    <cellStyle name="Heading 1 2 2 2 3 2 2 3 6 2 2" xfId="8287"/>
    <cellStyle name="Heading 1 2 2 2 3 2 2 3 6 3" xfId="8288"/>
    <cellStyle name="Heading 1 2 2 2 3 2 2 3 7" xfId="8289"/>
    <cellStyle name="Heading 1 2 2 2 3 2 2 3 7 2" xfId="8290"/>
    <cellStyle name="Heading 1 2 2 2 3 2 2 3 7 2 2" xfId="8291"/>
    <cellStyle name="Heading 1 2 2 2 3 2 2 3 7 3" xfId="8292"/>
    <cellStyle name="Heading 1 2 2 2 3 2 2 3 8" xfId="8293"/>
    <cellStyle name="Heading 1 2 2 2 3 2 2 3 8 2" xfId="8294"/>
    <cellStyle name="Heading 1 2 2 2 3 2 2 3 9" xfId="8295"/>
    <cellStyle name="Heading 1 2 2 2 3 2 2 4" xfId="8296"/>
    <cellStyle name="Heading 1 2 2 2 3 2 2 4 2" xfId="8297"/>
    <cellStyle name="Heading 1 2 2 2 3 2 2 4 2 2" xfId="8298"/>
    <cellStyle name="Heading 1 2 2 2 3 2 2 4 2 2 2" xfId="8299"/>
    <cellStyle name="Heading 1 2 2 2 3 2 2 4 2 3" xfId="8300"/>
    <cellStyle name="Heading 1 2 2 2 3 2 2 4 3" xfId="8301"/>
    <cellStyle name="Heading 1 2 2 2 3 2 2 4 3 2" xfId="8302"/>
    <cellStyle name="Heading 1 2 2 2 3 2 2 4 3 2 2" xfId="8303"/>
    <cellStyle name="Heading 1 2 2 2 3 2 2 4 3 3" xfId="8304"/>
    <cellStyle name="Heading 1 2 2 2 3 2 2 4 4" xfId="8305"/>
    <cellStyle name="Heading 1 2 2 2 3 2 2 4 4 2" xfId="8306"/>
    <cellStyle name="Heading 1 2 2 2 3 2 2 4 4 2 2" xfId="8307"/>
    <cellStyle name="Heading 1 2 2 2 3 2 2 4 4 3" xfId="8308"/>
    <cellStyle name="Heading 1 2 2 2 3 2 2 4 5" xfId="8309"/>
    <cellStyle name="Heading 1 2 2 2 3 2 2 4 5 2" xfId="8310"/>
    <cellStyle name="Heading 1 2 2 2 3 2 2 4 5 2 2" xfId="8311"/>
    <cellStyle name="Heading 1 2 2 2 3 2 2 4 5 3" xfId="8312"/>
    <cellStyle name="Heading 1 2 2 2 3 2 2 4 6" xfId="8313"/>
    <cellStyle name="Heading 1 2 2 2 3 2 2 4 6 2" xfId="8314"/>
    <cellStyle name="Heading 1 2 2 2 3 2 2 4 6 2 2" xfId="8315"/>
    <cellStyle name="Heading 1 2 2 2 3 2 2 4 6 3" xfId="8316"/>
    <cellStyle name="Heading 1 2 2 2 3 2 2 4 7" xfId="8317"/>
    <cellStyle name="Heading 1 2 2 2 3 2 2 4 7 2" xfId="8318"/>
    <cellStyle name="Heading 1 2 2 2 3 2 2 4 7 2 2" xfId="8319"/>
    <cellStyle name="Heading 1 2 2 2 3 2 2 4 7 3" xfId="8320"/>
    <cellStyle name="Heading 1 2 2 2 3 2 2 4 8" xfId="8321"/>
    <cellStyle name="Heading 1 2 2 2 3 2 2 4 8 2" xfId="8322"/>
    <cellStyle name="Heading 1 2 2 2 3 2 2 4 9" xfId="8323"/>
    <cellStyle name="Heading 1 2 2 2 3 2 2 5" xfId="8324"/>
    <cellStyle name="Heading 1 2 2 2 3 2 2 5 2" xfId="8325"/>
    <cellStyle name="Heading 1 2 2 2 3 2 2 5 2 2" xfId="8326"/>
    <cellStyle name="Heading 1 2 2 2 3 2 2 5 2 2 2" xfId="8327"/>
    <cellStyle name="Heading 1 2 2 2 3 2 2 5 2 3" xfId="8328"/>
    <cellStyle name="Heading 1 2 2 2 3 2 2 5 3" xfId="8329"/>
    <cellStyle name="Heading 1 2 2 2 3 2 2 5 3 2" xfId="8330"/>
    <cellStyle name="Heading 1 2 2 2 3 2 2 5 3 2 2" xfId="8331"/>
    <cellStyle name="Heading 1 2 2 2 3 2 2 5 3 3" xfId="8332"/>
    <cellStyle name="Heading 1 2 2 2 3 2 2 5 4" xfId="8333"/>
    <cellStyle name="Heading 1 2 2 2 3 2 2 5 4 2" xfId="8334"/>
    <cellStyle name="Heading 1 2 2 2 3 2 2 5 4 2 2" xfId="8335"/>
    <cellStyle name="Heading 1 2 2 2 3 2 2 5 4 3" xfId="8336"/>
    <cellStyle name="Heading 1 2 2 2 3 2 2 5 5" xfId="8337"/>
    <cellStyle name="Heading 1 2 2 2 3 2 2 5 5 2" xfId="8338"/>
    <cellStyle name="Heading 1 2 2 2 3 2 2 5 5 2 2" xfId="8339"/>
    <cellStyle name="Heading 1 2 2 2 3 2 2 5 5 3" xfId="8340"/>
    <cellStyle name="Heading 1 2 2 2 3 2 2 5 6" xfId="8341"/>
    <cellStyle name="Heading 1 2 2 2 3 2 2 5 6 2" xfId="8342"/>
    <cellStyle name="Heading 1 2 2 2 3 2 2 5 6 2 2" xfId="8343"/>
    <cellStyle name="Heading 1 2 2 2 3 2 2 5 6 3" xfId="8344"/>
    <cellStyle name="Heading 1 2 2 2 3 2 2 5 7" xfId="8345"/>
    <cellStyle name="Heading 1 2 2 2 3 2 2 5 7 2" xfId="8346"/>
    <cellStyle name="Heading 1 2 2 2 3 2 2 5 7 2 2" xfId="8347"/>
    <cellStyle name="Heading 1 2 2 2 3 2 2 5 7 3" xfId="8348"/>
    <cellStyle name="Heading 1 2 2 2 3 2 2 5 8" xfId="8349"/>
    <cellStyle name="Heading 1 2 2 2 3 2 2 5 8 2" xfId="8350"/>
    <cellStyle name="Heading 1 2 2 2 3 2 2 5 9" xfId="8351"/>
    <cellStyle name="Heading 1 2 2 2 3 2 2 6" xfId="8352"/>
    <cellStyle name="Heading 1 2 2 2 3 2 2 6 2" xfId="8353"/>
    <cellStyle name="Heading 1 2 2 2 3 2 2 6 2 2" xfId="8354"/>
    <cellStyle name="Heading 1 2 2 2 3 2 2 6 2 2 2" xfId="8355"/>
    <cellStyle name="Heading 1 2 2 2 3 2 2 6 2 3" xfId="8356"/>
    <cellStyle name="Heading 1 2 2 2 3 2 2 6 3" xfId="8357"/>
    <cellStyle name="Heading 1 2 2 2 3 2 2 6 3 2" xfId="8358"/>
    <cellStyle name="Heading 1 2 2 2 3 2 2 6 3 2 2" xfId="8359"/>
    <cellStyle name="Heading 1 2 2 2 3 2 2 6 3 3" xfId="8360"/>
    <cellStyle name="Heading 1 2 2 2 3 2 2 6 4" xfId="8361"/>
    <cellStyle name="Heading 1 2 2 2 3 2 2 6 4 2" xfId="8362"/>
    <cellStyle name="Heading 1 2 2 2 3 2 2 6 4 2 2" xfId="8363"/>
    <cellStyle name="Heading 1 2 2 2 3 2 2 6 4 3" xfId="8364"/>
    <cellStyle name="Heading 1 2 2 2 3 2 2 6 5" xfId="8365"/>
    <cellStyle name="Heading 1 2 2 2 3 2 2 6 5 2" xfId="8366"/>
    <cellStyle name="Heading 1 2 2 2 3 2 2 6 5 2 2" xfId="8367"/>
    <cellStyle name="Heading 1 2 2 2 3 2 2 6 5 3" xfId="8368"/>
    <cellStyle name="Heading 1 2 2 2 3 2 2 6 6" xfId="8369"/>
    <cellStyle name="Heading 1 2 2 2 3 2 2 6 6 2" xfId="8370"/>
    <cellStyle name="Heading 1 2 2 2 3 2 2 6 6 2 2" xfId="8371"/>
    <cellStyle name="Heading 1 2 2 2 3 2 2 6 6 3" xfId="8372"/>
    <cellStyle name="Heading 1 2 2 2 3 2 2 6 7" xfId="8373"/>
    <cellStyle name="Heading 1 2 2 2 3 2 2 6 7 2" xfId="8374"/>
    <cellStyle name="Heading 1 2 2 2 3 2 2 6 7 2 2" xfId="8375"/>
    <cellStyle name="Heading 1 2 2 2 3 2 2 6 7 3" xfId="8376"/>
    <cellStyle name="Heading 1 2 2 2 3 2 2 6 8" xfId="8377"/>
    <cellStyle name="Heading 1 2 2 2 3 2 2 6 8 2" xfId="8378"/>
    <cellStyle name="Heading 1 2 2 2 3 2 2 6 9" xfId="8379"/>
    <cellStyle name="Heading 1 2 2 2 3 2 2 7" xfId="8380"/>
    <cellStyle name="Heading 1 2 2 2 3 2 2 7 2" xfId="8381"/>
    <cellStyle name="Heading 1 2 2 2 3 2 2 7 2 2" xfId="8382"/>
    <cellStyle name="Heading 1 2 2 2 3 2 2 7 2 2 2" xfId="8383"/>
    <cellStyle name="Heading 1 2 2 2 3 2 2 7 2 3" xfId="8384"/>
    <cellStyle name="Heading 1 2 2 2 3 2 2 7 3" xfId="8385"/>
    <cellStyle name="Heading 1 2 2 2 3 2 2 7 3 2" xfId="8386"/>
    <cellStyle name="Heading 1 2 2 2 3 2 2 7 3 2 2" xfId="8387"/>
    <cellStyle name="Heading 1 2 2 2 3 2 2 7 3 3" xfId="8388"/>
    <cellStyle name="Heading 1 2 2 2 3 2 2 7 4" xfId="8389"/>
    <cellStyle name="Heading 1 2 2 2 3 2 2 7 4 2" xfId="8390"/>
    <cellStyle name="Heading 1 2 2 2 3 2 2 7 4 2 2" xfId="8391"/>
    <cellStyle name="Heading 1 2 2 2 3 2 2 7 4 3" xfId="8392"/>
    <cellStyle name="Heading 1 2 2 2 3 2 2 7 5" xfId="8393"/>
    <cellStyle name="Heading 1 2 2 2 3 2 2 7 5 2" xfId="8394"/>
    <cellStyle name="Heading 1 2 2 2 3 2 2 7 5 2 2" xfId="8395"/>
    <cellStyle name="Heading 1 2 2 2 3 2 2 7 5 3" xfId="8396"/>
    <cellStyle name="Heading 1 2 2 2 3 2 2 7 6" xfId="8397"/>
    <cellStyle name="Heading 1 2 2 2 3 2 2 7 6 2" xfId="8398"/>
    <cellStyle name="Heading 1 2 2 2 3 2 2 7 6 2 2" xfId="8399"/>
    <cellStyle name="Heading 1 2 2 2 3 2 2 7 6 3" xfId="8400"/>
    <cellStyle name="Heading 1 2 2 2 3 2 2 7 7" xfId="8401"/>
    <cellStyle name="Heading 1 2 2 2 3 2 2 7 7 2" xfId="8402"/>
    <cellStyle name="Heading 1 2 2 2 3 2 2 7 7 2 2" xfId="8403"/>
    <cellStyle name="Heading 1 2 2 2 3 2 2 7 7 3" xfId="8404"/>
    <cellStyle name="Heading 1 2 2 2 3 2 2 7 8" xfId="8405"/>
    <cellStyle name="Heading 1 2 2 2 3 2 2 7 8 2" xfId="8406"/>
    <cellStyle name="Heading 1 2 2 2 3 2 2 7 9" xfId="8407"/>
    <cellStyle name="Heading 1 2 2 2 3 2 2 8" xfId="8408"/>
    <cellStyle name="Heading 1 2 2 2 3 2 2 8 2" xfId="8409"/>
    <cellStyle name="Heading 1 2 2 2 3 2 2 8 2 2" xfId="8410"/>
    <cellStyle name="Heading 1 2 2 2 3 2 2 8 2 2 2" xfId="8411"/>
    <cellStyle name="Heading 1 2 2 2 3 2 2 8 2 3" xfId="8412"/>
    <cellStyle name="Heading 1 2 2 2 3 2 2 8 3" xfId="8413"/>
    <cellStyle name="Heading 1 2 2 2 3 2 2 8 3 2" xfId="8414"/>
    <cellStyle name="Heading 1 2 2 2 3 2 2 8 3 2 2" xfId="8415"/>
    <cellStyle name="Heading 1 2 2 2 3 2 2 8 3 3" xfId="8416"/>
    <cellStyle name="Heading 1 2 2 2 3 2 2 8 4" xfId="8417"/>
    <cellStyle name="Heading 1 2 2 2 3 2 2 8 4 2" xfId="8418"/>
    <cellStyle name="Heading 1 2 2 2 3 2 2 8 4 2 2" xfId="8419"/>
    <cellStyle name="Heading 1 2 2 2 3 2 2 8 4 3" xfId="8420"/>
    <cellStyle name="Heading 1 2 2 2 3 2 2 8 5" xfId="8421"/>
    <cellStyle name="Heading 1 2 2 2 3 2 2 8 5 2" xfId="8422"/>
    <cellStyle name="Heading 1 2 2 2 3 2 2 8 5 2 2" xfId="8423"/>
    <cellStyle name="Heading 1 2 2 2 3 2 2 8 5 3" xfId="8424"/>
    <cellStyle name="Heading 1 2 2 2 3 2 2 8 6" xfId="8425"/>
    <cellStyle name="Heading 1 2 2 2 3 2 2 8 6 2" xfId="8426"/>
    <cellStyle name="Heading 1 2 2 2 3 2 2 8 6 2 2" xfId="8427"/>
    <cellStyle name="Heading 1 2 2 2 3 2 2 8 6 3" xfId="8428"/>
    <cellStyle name="Heading 1 2 2 2 3 2 2 8 7" xfId="8429"/>
    <cellStyle name="Heading 1 2 2 2 3 2 2 8 7 2" xfId="8430"/>
    <cellStyle name="Heading 1 2 2 2 3 2 2 8 7 2 2" xfId="8431"/>
    <cellStyle name="Heading 1 2 2 2 3 2 2 8 7 3" xfId="8432"/>
    <cellStyle name="Heading 1 2 2 2 3 2 2 8 8" xfId="8433"/>
    <cellStyle name="Heading 1 2 2 2 3 2 2 8 8 2" xfId="8434"/>
    <cellStyle name="Heading 1 2 2 2 3 2 2 8 9" xfId="8435"/>
    <cellStyle name="Heading 1 2 2 2 3 2 2 9" xfId="8436"/>
    <cellStyle name="Heading 1 2 2 2 3 2 2 9 2" xfId="8437"/>
    <cellStyle name="Heading 1 2 2 2 3 2 2 9 2 2" xfId="8438"/>
    <cellStyle name="Heading 1 2 2 2 3 2 2 9 3" xfId="8439"/>
    <cellStyle name="Heading 1 2 2 2 3 2 20" xfId="8440"/>
    <cellStyle name="Heading 1 2 2 2 3 2 20 2" xfId="8441"/>
    <cellStyle name="Heading 1 2 2 2 3 2 21" xfId="8442"/>
    <cellStyle name="Heading 1 2 2 2 3 2 21 2" xfId="8443"/>
    <cellStyle name="Heading 1 2 2 2 3 2 22" xfId="8444"/>
    <cellStyle name="Heading 1 2 2 2 3 2 22 2" xfId="8445"/>
    <cellStyle name="Heading 1 2 2 2 3 2 23" xfId="8446"/>
    <cellStyle name="Heading 1 2 2 2 3 2 3" xfId="8447"/>
    <cellStyle name="Heading 1 2 2 2 3 2 3 2" xfId="8448"/>
    <cellStyle name="Heading 1 2 2 2 3 2 3 2 2" xfId="8449"/>
    <cellStyle name="Heading 1 2 2 2 3 2 3 2 2 2" xfId="8450"/>
    <cellStyle name="Heading 1 2 2 2 3 2 3 2 3" xfId="8451"/>
    <cellStyle name="Heading 1 2 2 2 3 2 3 3" xfId="8452"/>
    <cellStyle name="Heading 1 2 2 2 3 2 3 3 2" xfId="8453"/>
    <cellStyle name="Heading 1 2 2 2 3 2 3 3 2 2" xfId="8454"/>
    <cellStyle name="Heading 1 2 2 2 3 2 3 3 3" xfId="8455"/>
    <cellStyle name="Heading 1 2 2 2 3 2 3 4" xfId="8456"/>
    <cellStyle name="Heading 1 2 2 2 3 2 3 4 2" xfId="8457"/>
    <cellStyle name="Heading 1 2 2 2 3 2 3 4 2 2" xfId="8458"/>
    <cellStyle name="Heading 1 2 2 2 3 2 3 4 3" xfId="8459"/>
    <cellStyle name="Heading 1 2 2 2 3 2 3 5" xfId="8460"/>
    <cellStyle name="Heading 1 2 2 2 3 2 3 5 2" xfId="8461"/>
    <cellStyle name="Heading 1 2 2 2 3 2 3 5 2 2" xfId="8462"/>
    <cellStyle name="Heading 1 2 2 2 3 2 3 5 3" xfId="8463"/>
    <cellStyle name="Heading 1 2 2 2 3 2 3 6" xfId="8464"/>
    <cellStyle name="Heading 1 2 2 2 3 2 3 6 2" xfId="8465"/>
    <cellStyle name="Heading 1 2 2 2 3 2 3 6 2 2" xfId="8466"/>
    <cellStyle name="Heading 1 2 2 2 3 2 3 6 3" xfId="8467"/>
    <cellStyle name="Heading 1 2 2 2 3 2 3 7" xfId="8468"/>
    <cellStyle name="Heading 1 2 2 2 3 2 3 7 2" xfId="8469"/>
    <cellStyle name="Heading 1 2 2 2 3 2 3 7 2 2" xfId="8470"/>
    <cellStyle name="Heading 1 2 2 2 3 2 3 7 3" xfId="8471"/>
    <cellStyle name="Heading 1 2 2 2 3 2 3 8" xfId="8472"/>
    <cellStyle name="Heading 1 2 2 2 3 2 3 8 2" xfId="8473"/>
    <cellStyle name="Heading 1 2 2 2 3 2 3 9" xfId="8474"/>
    <cellStyle name="Heading 1 2 2 2 3 2 4" xfId="8475"/>
    <cellStyle name="Heading 1 2 2 2 3 2 4 2" xfId="8476"/>
    <cellStyle name="Heading 1 2 2 2 3 2 4 2 2" xfId="8477"/>
    <cellStyle name="Heading 1 2 2 2 3 2 4 2 2 2" xfId="8478"/>
    <cellStyle name="Heading 1 2 2 2 3 2 4 2 3" xfId="8479"/>
    <cellStyle name="Heading 1 2 2 2 3 2 4 3" xfId="8480"/>
    <cellStyle name="Heading 1 2 2 2 3 2 4 3 2" xfId="8481"/>
    <cellStyle name="Heading 1 2 2 2 3 2 4 3 2 2" xfId="8482"/>
    <cellStyle name="Heading 1 2 2 2 3 2 4 3 3" xfId="8483"/>
    <cellStyle name="Heading 1 2 2 2 3 2 4 4" xfId="8484"/>
    <cellStyle name="Heading 1 2 2 2 3 2 4 4 2" xfId="8485"/>
    <cellStyle name="Heading 1 2 2 2 3 2 4 4 2 2" xfId="8486"/>
    <cellStyle name="Heading 1 2 2 2 3 2 4 4 3" xfId="8487"/>
    <cellStyle name="Heading 1 2 2 2 3 2 4 5" xfId="8488"/>
    <cellStyle name="Heading 1 2 2 2 3 2 4 5 2" xfId="8489"/>
    <cellStyle name="Heading 1 2 2 2 3 2 4 5 2 2" xfId="8490"/>
    <cellStyle name="Heading 1 2 2 2 3 2 4 5 3" xfId="8491"/>
    <cellStyle name="Heading 1 2 2 2 3 2 4 6" xfId="8492"/>
    <cellStyle name="Heading 1 2 2 2 3 2 4 6 2" xfId="8493"/>
    <cellStyle name="Heading 1 2 2 2 3 2 4 6 2 2" xfId="8494"/>
    <cellStyle name="Heading 1 2 2 2 3 2 4 6 3" xfId="8495"/>
    <cellStyle name="Heading 1 2 2 2 3 2 4 7" xfId="8496"/>
    <cellStyle name="Heading 1 2 2 2 3 2 4 7 2" xfId="8497"/>
    <cellStyle name="Heading 1 2 2 2 3 2 4 7 2 2" xfId="8498"/>
    <cellStyle name="Heading 1 2 2 2 3 2 4 7 3" xfId="8499"/>
    <cellStyle name="Heading 1 2 2 2 3 2 4 8" xfId="8500"/>
    <cellStyle name="Heading 1 2 2 2 3 2 4 8 2" xfId="8501"/>
    <cellStyle name="Heading 1 2 2 2 3 2 4 9" xfId="8502"/>
    <cellStyle name="Heading 1 2 2 2 3 2 5" xfId="8503"/>
    <cellStyle name="Heading 1 2 2 2 3 2 5 2" xfId="8504"/>
    <cellStyle name="Heading 1 2 2 2 3 2 5 2 2" xfId="8505"/>
    <cellStyle name="Heading 1 2 2 2 3 2 5 2 2 2" xfId="8506"/>
    <cellStyle name="Heading 1 2 2 2 3 2 5 2 3" xfId="8507"/>
    <cellStyle name="Heading 1 2 2 2 3 2 5 3" xfId="8508"/>
    <cellStyle name="Heading 1 2 2 2 3 2 5 3 2" xfId="8509"/>
    <cellStyle name="Heading 1 2 2 2 3 2 5 3 2 2" xfId="8510"/>
    <cellStyle name="Heading 1 2 2 2 3 2 5 3 3" xfId="8511"/>
    <cellStyle name="Heading 1 2 2 2 3 2 5 4" xfId="8512"/>
    <cellStyle name="Heading 1 2 2 2 3 2 5 4 2" xfId="8513"/>
    <cellStyle name="Heading 1 2 2 2 3 2 5 4 2 2" xfId="8514"/>
    <cellStyle name="Heading 1 2 2 2 3 2 5 4 3" xfId="8515"/>
    <cellStyle name="Heading 1 2 2 2 3 2 5 5" xfId="8516"/>
    <cellStyle name="Heading 1 2 2 2 3 2 5 5 2" xfId="8517"/>
    <cellStyle name="Heading 1 2 2 2 3 2 5 5 2 2" xfId="8518"/>
    <cellStyle name="Heading 1 2 2 2 3 2 5 5 3" xfId="8519"/>
    <cellStyle name="Heading 1 2 2 2 3 2 5 6" xfId="8520"/>
    <cellStyle name="Heading 1 2 2 2 3 2 5 6 2" xfId="8521"/>
    <cellStyle name="Heading 1 2 2 2 3 2 5 6 2 2" xfId="8522"/>
    <cellStyle name="Heading 1 2 2 2 3 2 5 6 3" xfId="8523"/>
    <cellStyle name="Heading 1 2 2 2 3 2 5 7" xfId="8524"/>
    <cellStyle name="Heading 1 2 2 2 3 2 5 7 2" xfId="8525"/>
    <cellStyle name="Heading 1 2 2 2 3 2 5 7 2 2" xfId="8526"/>
    <cellStyle name="Heading 1 2 2 2 3 2 5 7 3" xfId="8527"/>
    <cellStyle name="Heading 1 2 2 2 3 2 5 8" xfId="8528"/>
    <cellStyle name="Heading 1 2 2 2 3 2 5 8 2" xfId="8529"/>
    <cellStyle name="Heading 1 2 2 2 3 2 5 9" xfId="8530"/>
    <cellStyle name="Heading 1 2 2 2 3 2 6" xfId="8531"/>
    <cellStyle name="Heading 1 2 2 2 3 2 6 2" xfId="8532"/>
    <cellStyle name="Heading 1 2 2 2 3 2 6 2 2" xfId="8533"/>
    <cellStyle name="Heading 1 2 2 2 3 2 6 2 2 2" xfId="8534"/>
    <cellStyle name="Heading 1 2 2 2 3 2 6 2 3" xfId="8535"/>
    <cellStyle name="Heading 1 2 2 2 3 2 6 3" xfId="8536"/>
    <cellStyle name="Heading 1 2 2 2 3 2 6 3 2" xfId="8537"/>
    <cellStyle name="Heading 1 2 2 2 3 2 6 3 2 2" xfId="8538"/>
    <cellStyle name="Heading 1 2 2 2 3 2 6 3 3" xfId="8539"/>
    <cellStyle name="Heading 1 2 2 2 3 2 6 4" xfId="8540"/>
    <cellStyle name="Heading 1 2 2 2 3 2 6 4 2" xfId="8541"/>
    <cellStyle name="Heading 1 2 2 2 3 2 6 4 2 2" xfId="8542"/>
    <cellStyle name="Heading 1 2 2 2 3 2 6 4 3" xfId="8543"/>
    <cellStyle name="Heading 1 2 2 2 3 2 6 5" xfId="8544"/>
    <cellStyle name="Heading 1 2 2 2 3 2 6 5 2" xfId="8545"/>
    <cellStyle name="Heading 1 2 2 2 3 2 6 5 2 2" xfId="8546"/>
    <cellStyle name="Heading 1 2 2 2 3 2 6 5 3" xfId="8547"/>
    <cellStyle name="Heading 1 2 2 2 3 2 6 6" xfId="8548"/>
    <cellStyle name="Heading 1 2 2 2 3 2 6 6 2" xfId="8549"/>
    <cellStyle name="Heading 1 2 2 2 3 2 6 6 2 2" xfId="8550"/>
    <cellStyle name="Heading 1 2 2 2 3 2 6 6 3" xfId="8551"/>
    <cellStyle name="Heading 1 2 2 2 3 2 6 7" xfId="8552"/>
    <cellStyle name="Heading 1 2 2 2 3 2 6 7 2" xfId="8553"/>
    <cellStyle name="Heading 1 2 2 2 3 2 6 7 2 2" xfId="8554"/>
    <cellStyle name="Heading 1 2 2 2 3 2 6 7 3" xfId="8555"/>
    <cellStyle name="Heading 1 2 2 2 3 2 6 8" xfId="8556"/>
    <cellStyle name="Heading 1 2 2 2 3 2 6 8 2" xfId="8557"/>
    <cellStyle name="Heading 1 2 2 2 3 2 6 9" xfId="8558"/>
    <cellStyle name="Heading 1 2 2 2 3 2 7" xfId="8559"/>
    <cellStyle name="Heading 1 2 2 2 3 2 7 2" xfId="8560"/>
    <cellStyle name="Heading 1 2 2 2 3 2 7 2 2" xfId="8561"/>
    <cellStyle name="Heading 1 2 2 2 3 2 7 2 2 2" xfId="8562"/>
    <cellStyle name="Heading 1 2 2 2 3 2 7 2 3" xfId="8563"/>
    <cellStyle name="Heading 1 2 2 2 3 2 7 3" xfId="8564"/>
    <cellStyle name="Heading 1 2 2 2 3 2 7 3 2" xfId="8565"/>
    <cellStyle name="Heading 1 2 2 2 3 2 7 3 2 2" xfId="8566"/>
    <cellStyle name="Heading 1 2 2 2 3 2 7 3 3" xfId="8567"/>
    <cellStyle name="Heading 1 2 2 2 3 2 7 4" xfId="8568"/>
    <cellStyle name="Heading 1 2 2 2 3 2 7 4 2" xfId="8569"/>
    <cellStyle name="Heading 1 2 2 2 3 2 7 4 2 2" xfId="8570"/>
    <cellStyle name="Heading 1 2 2 2 3 2 7 4 3" xfId="8571"/>
    <cellStyle name="Heading 1 2 2 2 3 2 7 5" xfId="8572"/>
    <cellStyle name="Heading 1 2 2 2 3 2 7 5 2" xfId="8573"/>
    <cellStyle name="Heading 1 2 2 2 3 2 7 5 2 2" xfId="8574"/>
    <cellStyle name="Heading 1 2 2 2 3 2 7 5 3" xfId="8575"/>
    <cellStyle name="Heading 1 2 2 2 3 2 7 6" xfId="8576"/>
    <cellStyle name="Heading 1 2 2 2 3 2 7 6 2" xfId="8577"/>
    <cellStyle name="Heading 1 2 2 2 3 2 7 6 2 2" xfId="8578"/>
    <cellStyle name="Heading 1 2 2 2 3 2 7 6 3" xfId="8579"/>
    <cellStyle name="Heading 1 2 2 2 3 2 7 7" xfId="8580"/>
    <cellStyle name="Heading 1 2 2 2 3 2 7 7 2" xfId="8581"/>
    <cellStyle name="Heading 1 2 2 2 3 2 7 7 2 2" xfId="8582"/>
    <cellStyle name="Heading 1 2 2 2 3 2 7 7 3" xfId="8583"/>
    <cellStyle name="Heading 1 2 2 2 3 2 7 8" xfId="8584"/>
    <cellStyle name="Heading 1 2 2 2 3 2 7 8 2" xfId="8585"/>
    <cellStyle name="Heading 1 2 2 2 3 2 7 9" xfId="8586"/>
    <cellStyle name="Heading 1 2 2 2 3 2 8" xfId="8587"/>
    <cellStyle name="Heading 1 2 2 2 3 2 8 2" xfId="8588"/>
    <cellStyle name="Heading 1 2 2 2 3 2 8 2 2" xfId="8589"/>
    <cellStyle name="Heading 1 2 2 2 3 2 8 2 2 2" xfId="8590"/>
    <cellStyle name="Heading 1 2 2 2 3 2 8 2 3" xfId="8591"/>
    <cellStyle name="Heading 1 2 2 2 3 2 8 3" xfId="8592"/>
    <cellStyle name="Heading 1 2 2 2 3 2 8 3 2" xfId="8593"/>
    <cellStyle name="Heading 1 2 2 2 3 2 8 3 2 2" xfId="8594"/>
    <cellStyle name="Heading 1 2 2 2 3 2 8 3 3" xfId="8595"/>
    <cellStyle name="Heading 1 2 2 2 3 2 8 4" xfId="8596"/>
    <cellStyle name="Heading 1 2 2 2 3 2 8 4 2" xfId="8597"/>
    <cellStyle name="Heading 1 2 2 2 3 2 8 4 2 2" xfId="8598"/>
    <cellStyle name="Heading 1 2 2 2 3 2 8 4 3" xfId="8599"/>
    <cellStyle name="Heading 1 2 2 2 3 2 8 5" xfId="8600"/>
    <cellStyle name="Heading 1 2 2 2 3 2 8 5 2" xfId="8601"/>
    <cellStyle name="Heading 1 2 2 2 3 2 8 5 2 2" xfId="8602"/>
    <cellStyle name="Heading 1 2 2 2 3 2 8 5 3" xfId="8603"/>
    <cellStyle name="Heading 1 2 2 2 3 2 8 6" xfId="8604"/>
    <cellStyle name="Heading 1 2 2 2 3 2 8 6 2" xfId="8605"/>
    <cellStyle name="Heading 1 2 2 2 3 2 8 6 2 2" xfId="8606"/>
    <cellStyle name="Heading 1 2 2 2 3 2 8 6 3" xfId="8607"/>
    <cellStyle name="Heading 1 2 2 2 3 2 8 7" xfId="8608"/>
    <cellStyle name="Heading 1 2 2 2 3 2 8 7 2" xfId="8609"/>
    <cellStyle name="Heading 1 2 2 2 3 2 8 7 2 2" xfId="8610"/>
    <cellStyle name="Heading 1 2 2 2 3 2 8 7 3" xfId="8611"/>
    <cellStyle name="Heading 1 2 2 2 3 2 8 8" xfId="8612"/>
    <cellStyle name="Heading 1 2 2 2 3 2 8 8 2" xfId="8613"/>
    <cellStyle name="Heading 1 2 2 2 3 2 8 9" xfId="8614"/>
    <cellStyle name="Heading 1 2 2 2 3 2 9" xfId="8615"/>
    <cellStyle name="Heading 1 2 2 2 3 2 9 2" xfId="8616"/>
    <cellStyle name="Heading 1 2 2 2 3 2 9 2 2" xfId="8617"/>
    <cellStyle name="Heading 1 2 2 2 3 2 9 2 2 2" xfId="8618"/>
    <cellStyle name="Heading 1 2 2 2 3 2 9 2 3" xfId="8619"/>
    <cellStyle name="Heading 1 2 2 2 3 2 9 3" xfId="8620"/>
    <cellStyle name="Heading 1 2 2 2 3 2 9 3 2" xfId="8621"/>
    <cellStyle name="Heading 1 2 2 2 3 2 9 3 2 2" xfId="8622"/>
    <cellStyle name="Heading 1 2 2 2 3 2 9 3 3" xfId="8623"/>
    <cellStyle name="Heading 1 2 2 2 3 2 9 4" xfId="8624"/>
    <cellStyle name="Heading 1 2 2 2 3 2 9 4 2" xfId="8625"/>
    <cellStyle name="Heading 1 2 2 2 3 2 9 4 2 2" xfId="8626"/>
    <cellStyle name="Heading 1 2 2 2 3 2 9 4 3" xfId="8627"/>
    <cellStyle name="Heading 1 2 2 2 3 2 9 5" xfId="8628"/>
    <cellStyle name="Heading 1 2 2 2 3 2 9 5 2" xfId="8629"/>
    <cellStyle name="Heading 1 2 2 2 3 2 9 5 2 2" xfId="8630"/>
    <cellStyle name="Heading 1 2 2 2 3 2 9 5 3" xfId="8631"/>
    <cellStyle name="Heading 1 2 2 2 3 2 9 6" xfId="8632"/>
    <cellStyle name="Heading 1 2 2 2 3 2 9 6 2" xfId="8633"/>
    <cellStyle name="Heading 1 2 2 2 3 2 9 6 2 2" xfId="8634"/>
    <cellStyle name="Heading 1 2 2 2 3 2 9 6 3" xfId="8635"/>
    <cellStyle name="Heading 1 2 2 2 3 2 9 7" xfId="8636"/>
    <cellStyle name="Heading 1 2 2 2 3 2 9 7 2" xfId="8637"/>
    <cellStyle name="Heading 1 2 2 2 3 2 9 7 2 2" xfId="8638"/>
    <cellStyle name="Heading 1 2 2 2 3 2 9 7 3" xfId="8639"/>
    <cellStyle name="Heading 1 2 2 2 3 2 9 8" xfId="8640"/>
    <cellStyle name="Heading 1 2 2 2 3 2 9 8 2" xfId="8641"/>
    <cellStyle name="Heading 1 2 2 2 3 2 9 9" xfId="8642"/>
    <cellStyle name="Heading 1 2 2 2 3 3" xfId="8643"/>
    <cellStyle name="Heading 1 2 2 2 3 3 10" xfId="8644"/>
    <cellStyle name="Heading 1 2 2 2 3 3 10 2" xfId="8645"/>
    <cellStyle name="Heading 1 2 2 2 3 3 10 2 2" xfId="8646"/>
    <cellStyle name="Heading 1 2 2 2 3 3 10 3" xfId="8647"/>
    <cellStyle name="Heading 1 2 2 2 3 3 11" xfId="8648"/>
    <cellStyle name="Heading 1 2 2 2 3 3 11 2" xfId="8649"/>
    <cellStyle name="Heading 1 2 2 2 3 3 11 2 2" xfId="8650"/>
    <cellStyle name="Heading 1 2 2 2 3 3 11 3" xfId="8651"/>
    <cellStyle name="Heading 1 2 2 2 3 3 12" xfId="8652"/>
    <cellStyle name="Heading 1 2 2 2 3 3 12 2" xfId="8653"/>
    <cellStyle name="Heading 1 2 2 2 3 3 12 2 2" xfId="8654"/>
    <cellStyle name="Heading 1 2 2 2 3 3 12 3" xfId="8655"/>
    <cellStyle name="Heading 1 2 2 2 3 3 13" xfId="8656"/>
    <cellStyle name="Heading 1 2 2 2 3 3 13 2" xfId="8657"/>
    <cellStyle name="Heading 1 2 2 2 3 3 13 2 2" xfId="8658"/>
    <cellStyle name="Heading 1 2 2 2 3 3 13 3" xfId="8659"/>
    <cellStyle name="Heading 1 2 2 2 3 3 14" xfId="8660"/>
    <cellStyle name="Heading 1 2 2 2 3 3 14 2" xfId="8661"/>
    <cellStyle name="Heading 1 2 2 2 3 3 14 2 2" xfId="8662"/>
    <cellStyle name="Heading 1 2 2 2 3 3 14 3" xfId="8663"/>
    <cellStyle name="Heading 1 2 2 2 3 3 15" xfId="8664"/>
    <cellStyle name="Heading 1 2 2 2 3 3 15 2" xfId="8665"/>
    <cellStyle name="Heading 1 2 2 2 3 3 15 2 2" xfId="8666"/>
    <cellStyle name="Heading 1 2 2 2 3 3 15 3" xfId="8667"/>
    <cellStyle name="Heading 1 2 2 2 3 3 16" xfId="8668"/>
    <cellStyle name="Heading 1 2 2 2 3 3 16 2" xfId="8669"/>
    <cellStyle name="Heading 1 2 2 2 3 3 16 2 2" xfId="8670"/>
    <cellStyle name="Heading 1 2 2 2 3 3 16 3" xfId="8671"/>
    <cellStyle name="Heading 1 2 2 2 3 3 17" xfId="8672"/>
    <cellStyle name="Heading 1 2 2 2 3 3 17 2" xfId="8673"/>
    <cellStyle name="Heading 1 2 2 2 3 3 17 2 2" xfId="8674"/>
    <cellStyle name="Heading 1 2 2 2 3 3 17 3" xfId="8675"/>
    <cellStyle name="Heading 1 2 2 2 3 3 18" xfId="8676"/>
    <cellStyle name="Heading 1 2 2 2 3 3 18 2" xfId="8677"/>
    <cellStyle name="Heading 1 2 2 2 3 3 18 2 2" xfId="8678"/>
    <cellStyle name="Heading 1 2 2 2 3 3 18 3" xfId="8679"/>
    <cellStyle name="Heading 1 2 2 2 3 3 19" xfId="8680"/>
    <cellStyle name="Heading 1 2 2 2 3 3 19 2" xfId="8681"/>
    <cellStyle name="Heading 1 2 2 2 3 3 2" xfId="8682"/>
    <cellStyle name="Heading 1 2 2 2 3 3 2 2" xfId="8683"/>
    <cellStyle name="Heading 1 2 2 2 3 3 2 2 2" xfId="8684"/>
    <cellStyle name="Heading 1 2 2 2 3 3 2 2 2 2" xfId="8685"/>
    <cellStyle name="Heading 1 2 2 2 3 3 2 2 3" xfId="8686"/>
    <cellStyle name="Heading 1 2 2 2 3 3 2 3" xfId="8687"/>
    <cellStyle name="Heading 1 2 2 2 3 3 2 3 2" xfId="8688"/>
    <cellStyle name="Heading 1 2 2 2 3 3 2 3 2 2" xfId="8689"/>
    <cellStyle name="Heading 1 2 2 2 3 3 2 3 3" xfId="8690"/>
    <cellStyle name="Heading 1 2 2 2 3 3 2 4" xfId="8691"/>
    <cellStyle name="Heading 1 2 2 2 3 3 2 4 2" xfId="8692"/>
    <cellStyle name="Heading 1 2 2 2 3 3 2 4 2 2" xfId="8693"/>
    <cellStyle name="Heading 1 2 2 2 3 3 2 4 3" xfId="8694"/>
    <cellStyle name="Heading 1 2 2 2 3 3 2 5" xfId="8695"/>
    <cellStyle name="Heading 1 2 2 2 3 3 2 5 2" xfId="8696"/>
    <cellStyle name="Heading 1 2 2 2 3 3 2 5 2 2" xfId="8697"/>
    <cellStyle name="Heading 1 2 2 2 3 3 2 5 3" xfId="8698"/>
    <cellStyle name="Heading 1 2 2 2 3 3 2 6" xfId="8699"/>
    <cellStyle name="Heading 1 2 2 2 3 3 2 6 2" xfId="8700"/>
    <cellStyle name="Heading 1 2 2 2 3 3 2 6 2 2" xfId="8701"/>
    <cellStyle name="Heading 1 2 2 2 3 3 2 6 3" xfId="8702"/>
    <cellStyle name="Heading 1 2 2 2 3 3 2 7" xfId="8703"/>
    <cellStyle name="Heading 1 2 2 2 3 3 2 7 2" xfId="8704"/>
    <cellStyle name="Heading 1 2 2 2 3 3 2 7 2 2" xfId="8705"/>
    <cellStyle name="Heading 1 2 2 2 3 3 2 7 3" xfId="8706"/>
    <cellStyle name="Heading 1 2 2 2 3 3 2 8" xfId="8707"/>
    <cellStyle name="Heading 1 2 2 2 3 3 2 8 2" xfId="8708"/>
    <cellStyle name="Heading 1 2 2 2 3 3 2 9" xfId="8709"/>
    <cellStyle name="Heading 1 2 2 2 3 3 20" xfId="8710"/>
    <cellStyle name="Heading 1 2 2 2 3 3 20 2" xfId="8711"/>
    <cellStyle name="Heading 1 2 2 2 3 3 21" xfId="8712"/>
    <cellStyle name="Heading 1 2 2 2 3 3 21 2" xfId="8713"/>
    <cellStyle name="Heading 1 2 2 2 3 3 22" xfId="8714"/>
    <cellStyle name="Heading 1 2 2 2 3 3 3" xfId="8715"/>
    <cellStyle name="Heading 1 2 2 2 3 3 3 2" xfId="8716"/>
    <cellStyle name="Heading 1 2 2 2 3 3 3 2 2" xfId="8717"/>
    <cellStyle name="Heading 1 2 2 2 3 3 3 2 2 2" xfId="8718"/>
    <cellStyle name="Heading 1 2 2 2 3 3 3 2 3" xfId="8719"/>
    <cellStyle name="Heading 1 2 2 2 3 3 3 3" xfId="8720"/>
    <cellStyle name="Heading 1 2 2 2 3 3 3 3 2" xfId="8721"/>
    <cellStyle name="Heading 1 2 2 2 3 3 3 3 2 2" xfId="8722"/>
    <cellStyle name="Heading 1 2 2 2 3 3 3 3 3" xfId="8723"/>
    <cellStyle name="Heading 1 2 2 2 3 3 3 4" xfId="8724"/>
    <cellStyle name="Heading 1 2 2 2 3 3 3 4 2" xfId="8725"/>
    <cellStyle name="Heading 1 2 2 2 3 3 3 4 2 2" xfId="8726"/>
    <cellStyle name="Heading 1 2 2 2 3 3 3 4 3" xfId="8727"/>
    <cellStyle name="Heading 1 2 2 2 3 3 3 5" xfId="8728"/>
    <cellStyle name="Heading 1 2 2 2 3 3 3 5 2" xfId="8729"/>
    <cellStyle name="Heading 1 2 2 2 3 3 3 5 2 2" xfId="8730"/>
    <cellStyle name="Heading 1 2 2 2 3 3 3 5 3" xfId="8731"/>
    <cellStyle name="Heading 1 2 2 2 3 3 3 6" xfId="8732"/>
    <cellStyle name="Heading 1 2 2 2 3 3 3 6 2" xfId="8733"/>
    <cellStyle name="Heading 1 2 2 2 3 3 3 6 2 2" xfId="8734"/>
    <cellStyle name="Heading 1 2 2 2 3 3 3 6 3" xfId="8735"/>
    <cellStyle name="Heading 1 2 2 2 3 3 3 7" xfId="8736"/>
    <cellStyle name="Heading 1 2 2 2 3 3 3 7 2" xfId="8737"/>
    <cellStyle name="Heading 1 2 2 2 3 3 3 7 2 2" xfId="8738"/>
    <cellStyle name="Heading 1 2 2 2 3 3 3 7 3" xfId="8739"/>
    <cellStyle name="Heading 1 2 2 2 3 3 3 8" xfId="8740"/>
    <cellStyle name="Heading 1 2 2 2 3 3 3 8 2" xfId="8741"/>
    <cellStyle name="Heading 1 2 2 2 3 3 3 9" xfId="8742"/>
    <cellStyle name="Heading 1 2 2 2 3 3 4" xfId="8743"/>
    <cellStyle name="Heading 1 2 2 2 3 3 4 2" xfId="8744"/>
    <cellStyle name="Heading 1 2 2 2 3 3 4 2 2" xfId="8745"/>
    <cellStyle name="Heading 1 2 2 2 3 3 4 2 2 2" xfId="8746"/>
    <cellStyle name="Heading 1 2 2 2 3 3 4 2 3" xfId="8747"/>
    <cellStyle name="Heading 1 2 2 2 3 3 4 3" xfId="8748"/>
    <cellStyle name="Heading 1 2 2 2 3 3 4 3 2" xfId="8749"/>
    <cellStyle name="Heading 1 2 2 2 3 3 4 3 2 2" xfId="8750"/>
    <cellStyle name="Heading 1 2 2 2 3 3 4 3 3" xfId="8751"/>
    <cellStyle name="Heading 1 2 2 2 3 3 4 4" xfId="8752"/>
    <cellStyle name="Heading 1 2 2 2 3 3 4 4 2" xfId="8753"/>
    <cellStyle name="Heading 1 2 2 2 3 3 4 4 2 2" xfId="8754"/>
    <cellStyle name="Heading 1 2 2 2 3 3 4 4 3" xfId="8755"/>
    <cellStyle name="Heading 1 2 2 2 3 3 4 5" xfId="8756"/>
    <cellStyle name="Heading 1 2 2 2 3 3 4 5 2" xfId="8757"/>
    <cellStyle name="Heading 1 2 2 2 3 3 4 5 2 2" xfId="8758"/>
    <cellStyle name="Heading 1 2 2 2 3 3 4 5 3" xfId="8759"/>
    <cellStyle name="Heading 1 2 2 2 3 3 4 6" xfId="8760"/>
    <cellStyle name="Heading 1 2 2 2 3 3 4 6 2" xfId="8761"/>
    <cellStyle name="Heading 1 2 2 2 3 3 4 6 2 2" xfId="8762"/>
    <cellStyle name="Heading 1 2 2 2 3 3 4 6 3" xfId="8763"/>
    <cellStyle name="Heading 1 2 2 2 3 3 4 7" xfId="8764"/>
    <cellStyle name="Heading 1 2 2 2 3 3 4 7 2" xfId="8765"/>
    <cellStyle name="Heading 1 2 2 2 3 3 4 7 2 2" xfId="8766"/>
    <cellStyle name="Heading 1 2 2 2 3 3 4 7 3" xfId="8767"/>
    <cellStyle name="Heading 1 2 2 2 3 3 4 8" xfId="8768"/>
    <cellStyle name="Heading 1 2 2 2 3 3 4 8 2" xfId="8769"/>
    <cellStyle name="Heading 1 2 2 2 3 3 4 9" xfId="8770"/>
    <cellStyle name="Heading 1 2 2 2 3 3 5" xfId="8771"/>
    <cellStyle name="Heading 1 2 2 2 3 3 5 2" xfId="8772"/>
    <cellStyle name="Heading 1 2 2 2 3 3 5 2 2" xfId="8773"/>
    <cellStyle name="Heading 1 2 2 2 3 3 5 2 2 2" xfId="8774"/>
    <cellStyle name="Heading 1 2 2 2 3 3 5 2 3" xfId="8775"/>
    <cellStyle name="Heading 1 2 2 2 3 3 5 3" xfId="8776"/>
    <cellStyle name="Heading 1 2 2 2 3 3 5 3 2" xfId="8777"/>
    <cellStyle name="Heading 1 2 2 2 3 3 5 3 2 2" xfId="8778"/>
    <cellStyle name="Heading 1 2 2 2 3 3 5 3 3" xfId="8779"/>
    <cellStyle name="Heading 1 2 2 2 3 3 5 4" xfId="8780"/>
    <cellStyle name="Heading 1 2 2 2 3 3 5 4 2" xfId="8781"/>
    <cellStyle name="Heading 1 2 2 2 3 3 5 4 2 2" xfId="8782"/>
    <cellStyle name="Heading 1 2 2 2 3 3 5 4 3" xfId="8783"/>
    <cellStyle name="Heading 1 2 2 2 3 3 5 5" xfId="8784"/>
    <cellStyle name="Heading 1 2 2 2 3 3 5 5 2" xfId="8785"/>
    <cellStyle name="Heading 1 2 2 2 3 3 5 5 2 2" xfId="8786"/>
    <cellStyle name="Heading 1 2 2 2 3 3 5 5 3" xfId="8787"/>
    <cellStyle name="Heading 1 2 2 2 3 3 5 6" xfId="8788"/>
    <cellStyle name="Heading 1 2 2 2 3 3 5 6 2" xfId="8789"/>
    <cellStyle name="Heading 1 2 2 2 3 3 5 6 2 2" xfId="8790"/>
    <cellStyle name="Heading 1 2 2 2 3 3 5 6 3" xfId="8791"/>
    <cellStyle name="Heading 1 2 2 2 3 3 5 7" xfId="8792"/>
    <cellStyle name="Heading 1 2 2 2 3 3 5 7 2" xfId="8793"/>
    <cellStyle name="Heading 1 2 2 2 3 3 5 7 2 2" xfId="8794"/>
    <cellStyle name="Heading 1 2 2 2 3 3 5 7 3" xfId="8795"/>
    <cellStyle name="Heading 1 2 2 2 3 3 5 8" xfId="8796"/>
    <cellStyle name="Heading 1 2 2 2 3 3 5 8 2" xfId="8797"/>
    <cellStyle name="Heading 1 2 2 2 3 3 5 9" xfId="8798"/>
    <cellStyle name="Heading 1 2 2 2 3 3 6" xfId="8799"/>
    <cellStyle name="Heading 1 2 2 2 3 3 6 2" xfId="8800"/>
    <cellStyle name="Heading 1 2 2 2 3 3 6 2 2" xfId="8801"/>
    <cellStyle name="Heading 1 2 2 2 3 3 6 2 2 2" xfId="8802"/>
    <cellStyle name="Heading 1 2 2 2 3 3 6 2 3" xfId="8803"/>
    <cellStyle name="Heading 1 2 2 2 3 3 6 3" xfId="8804"/>
    <cellStyle name="Heading 1 2 2 2 3 3 6 3 2" xfId="8805"/>
    <cellStyle name="Heading 1 2 2 2 3 3 6 3 2 2" xfId="8806"/>
    <cellStyle name="Heading 1 2 2 2 3 3 6 3 3" xfId="8807"/>
    <cellStyle name="Heading 1 2 2 2 3 3 6 4" xfId="8808"/>
    <cellStyle name="Heading 1 2 2 2 3 3 6 4 2" xfId="8809"/>
    <cellStyle name="Heading 1 2 2 2 3 3 6 4 2 2" xfId="8810"/>
    <cellStyle name="Heading 1 2 2 2 3 3 6 4 3" xfId="8811"/>
    <cellStyle name="Heading 1 2 2 2 3 3 6 5" xfId="8812"/>
    <cellStyle name="Heading 1 2 2 2 3 3 6 5 2" xfId="8813"/>
    <cellStyle name="Heading 1 2 2 2 3 3 6 5 2 2" xfId="8814"/>
    <cellStyle name="Heading 1 2 2 2 3 3 6 5 3" xfId="8815"/>
    <cellStyle name="Heading 1 2 2 2 3 3 6 6" xfId="8816"/>
    <cellStyle name="Heading 1 2 2 2 3 3 6 6 2" xfId="8817"/>
    <cellStyle name="Heading 1 2 2 2 3 3 6 6 2 2" xfId="8818"/>
    <cellStyle name="Heading 1 2 2 2 3 3 6 6 3" xfId="8819"/>
    <cellStyle name="Heading 1 2 2 2 3 3 6 7" xfId="8820"/>
    <cellStyle name="Heading 1 2 2 2 3 3 6 7 2" xfId="8821"/>
    <cellStyle name="Heading 1 2 2 2 3 3 6 7 2 2" xfId="8822"/>
    <cellStyle name="Heading 1 2 2 2 3 3 6 7 3" xfId="8823"/>
    <cellStyle name="Heading 1 2 2 2 3 3 6 8" xfId="8824"/>
    <cellStyle name="Heading 1 2 2 2 3 3 6 8 2" xfId="8825"/>
    <cellStyle name="Heading 1 2 2 2 3 3 6 9" xfId="8826"/>
    <cellStyle name="Heading 1 2 2 2 3 3 7" xfId="8827"/>
    <cellStyle name="Heading 1 2 2 2 3 3 7 2" xfId="8828"/>
    <cellStyle name="Heading 1 2 2 2 3 3 7 2 2" xfId="8829"/>
    <cellStyle name="Heading 1 2 2 2 3 3 7 2 2 2" xfId="8830"/>
    <cellStyle name="Heading 1 2 2 2 3 3 7 2 3" xfId="8831"/>
    <cellStyle name="Heading 1 2 2 2 3 3 7 3" xfId="8832"/>
    <cellStyle name="Heading 1 2 2 2 3 3 7 3 2" xfId="8833"/>
    <cellStyle name="Heading 1 2 2 2 3 3 7 3 2 2" xfId="8834"/>
    <cellStyle name="Heading 1 2 2 2 3 3 7 3 3" xfId="8835"/>
    <cellStyle name="Heading 1 2 2 2 3 3 7 4" xfId="8836"/>
    <cellStyle name="Heading 1 2 2 2 3 3 7 4 2" xfId="8837"/>
    <cellStyle name="Heading 1 2 2 2 3 3 7 4 2 2" xfId="8838"/>
    <cellStyle name="Heading 1 2 2 2 3 3 7 4 3" xfId="8839"/>
    <cellStyle name="Heading 1 2 2 2 3 3 7 5" xfId="8840"/>
    <cellStyle name="Heading 1 2 2 2 3 3 7 5 2" xfId="8841"/>
    <cellStyle name="Heading 1 2 2 2 3 3 7 5 2 2" xfId="8842"/>
    <cellStyle name="Heading 1 2 2 2 3 3 7 5 3" xfId="8843"/>
    <cellStyle name="Heading 1 2 2 2 3 3 7 6" xfId="8844"/>
    <cellStyle name="Heading 1 2 2 2 3 3 7 6 2" xfId="8845"/>
    <cellStyle name="Heading 1 2 2 2 3 3 7 6 2 2" xfId="8846"/>
    <cellStyle name="Heading 1 2 2 2 3 3 7 6 3" xfId="8847"/>
    <cellStyle name="Heading 1 2 2 2 3 3 7 7" xfId="8848"/>
    <cellStyle name="Heading 1 2 2 2 3 3 7 7 2" xfId="8849"/>
    <cellStyle name="Heading 1 2 2 2 3 3 7 7 2 2" xfId="8850"/>
    <cellStyle name="Heading 1 2 2 2 3 3 7 7 3" xfId="8851"/>
    <cellStyle name="Heading 1 2 2 2 3 3 7 8" xfId="8852"/>
    <cellStyle name="Heading 1 2 2 2 3 3 7 8 2" xfId="8853"/>
    <cellStyle name="Heading 1 2 2 2 3 3 7 9" xfId="8854"/>
    <cellStyle name="Heading 1 2 2 2 3 3 8" xfId="8855"/>
    <cellStyle name="Heading 1 2 2 2 3 3 8 2" xfId="8856"/>
    <cellStyle name="Heading 1 2 2 2 3 3 8 2 2" xfId="8857"/>
    <cellStyle name="Heading 1 2 2 2 3 3 8 2 2 2" xfId="8858"/>
    <cellStyle name="Heading 1 2 2 2 3 3 8 2 3" xfId="8859"/>
    <cellStyle name="Heading 1 2 2 2 3 3 8 3" xfId="8860"/>
    <cellStyle name="Heading 1 2 2 2 3 3 8 3 2" xfId="8861"/>
    <cellStyle name="Heading 1 2 2 2 3 3 8 3 2 2" xfId="8862"/>
    <cellStyle name="Heading 1 2 2 2 3 3 8 3 3" xfId="8863"/>
    <cellStyle name="Heading 1 2 2 2 3 3 8 4" xfId="8864"/>
    <cellStyle name="Heading 1 2 2 2 3 3 8 4 2" xfId="8865"/>
    <cellStyle name="Heading 1 2 2 2 3 3 8 4 2 2" xfId="8866"/>
    <cellStyle name="Heading 1 2 2 2 3 3 8 4 3" xfId="8867"/>
    <cellStyle name="Heading 1 2 2 2 3 3 8 5" xfId="8868"/>
    <cellStyle name="Heading 1 2 2 2 3 3 8 5 2" xfId="8869"/>
    <cellStyle name="Heading 1 2 2 2 3 3 8 5 2 2" xfId="8870"/>
    <cellStyle name="Heading 1 2 2 2 3 3 8 5 3" xfId="8871"/>
    <cellStyle name="Heading 1 2 2 2 3 3 8 6" xfId="8872"/>
    <cellStyle name="Heading 1 2 2 2 3 3 8 6 2" xfId="8873"/>
    <cellStyle name="Heading 1 2 2 2 3 3 8 6 2 2" xfId="8874"/>
    <cellStyle name="Heading 1 2 2 2 3 3 8 6 3" xfId="8875"/>
    <cellStyle name="Heading 1 2 2 2 3 3 8 7" xfId="8876"/>
    <cellStyle name="Heading 1 2 2 2 3 3 8 7 2" xfId="8877"/>
    <cellStyle name="Heading 1 2 2 2 3 3 8 7 2 2" xfId="8878"/>
    <cellStyle name="Heading 1 2 2 2 3 3 8 7 3" xfId="8879"/>
    <cellStyle name="Heading 1 2 2 2 3 3 8 8" xfId="8880"/>
    <cellStyle name="Heading 1 2 2 2 3 3 8 8 2" xfId="8881"/>
    <cellStyle name="Heading 1 2 2 2 3 3 8 9" xfId="8882"/>
    <cellStyle name="Heading 1 2 2 2 3 3 9" xfId="8883"/>
    <cellStyle name="Heading 1 2 2 2 3 3 9 2" xfId="8884"/>
    <cellStyle name="Heading 1 2 2 2 3 3 9 2 2" xfId="8885"/>
    <cellStyle name="Heading 1 2 2 2 3 3 9 3" xfId="8886"/>
    <cellStyle name="Heading 1 2 2 2 3 4" xfId="8887"/>
    <cellStyle name="Heading 1 2 2 2 3 4 2" xfId="8888"/>
    <cellStyle name="Heading 1 2 2 2 3 4 2 2" xfId="8889"/>
    <cellStyle name="Heading 1 2 2 2 3 4 3" xfId="8890"/>
    <cellStyle name="Heading 1 2 2 2 3 5" xfId="8891"/>
    <cellStyle name="Heading 1 2 2 2 3 5 2" xfId="8892"/>
    <cellStyle name="Heading 1 2 2 2 3 6" xfId="8893"/>
    <cellStyle name="Heading 1 2 2 2 4" xfId="8894"/>
    <cellStyle name="Heading 1 2 2 2 4 2" xfId="8895"/>
    <cellStyle name="Heading 1 2 2 2 4 2 10" xfId="8896"/>
    <cellStyle name="Heading 1 2 2 2 4 2 10 2" xfId="8897"/>
    <cellStyle name="Heading 1 2 2 2 4 2 10 2 2" xfId="8898"/>
    <cellStyle name="Heading 1 2 2 2 4 2 10 3" xfId="8899"/>
    <cellStyle name="Heading 1 2 2 2 4 2 11" xfId="8900"/>
    <cellStyle name="Heading 1 2 2 2 4 2 11 2" xfId="8901"/>
    <cellStyle name="Heading 1 2 2 2 4 2 11 2 2" xfId="8902"/>
    <cellStyle name="Heading 1 2 2 2 4 2 11 3" xfId="8903"/>
    <cellStyle name="Heading 1 2 2 2 4 2 12" xfId="8904"/>
    <cellStyle name="Heading 1 2 2 2 4 2 12 2" xfId="8905"/>
    <cellStyle name="Heading 1 2 2 2 4 2 12 2 2" xfId="8906"/>
    <cellStyle name="Heading 1 2 2 2 4 2 12 3" xfId="8907"/>
    <cellStyle name="Heading 1 2 2 2 4 2 13" xfId="8908"/>
    <cellStyle name="Heading 1 2 2 2 4 2 13 2" xfId="8909"/>
    <cellStyle name="Heading 1 2 2 2 4 2 13 2 2" xfId="8910"/>
    <cellStyle name="Heading 1 2 2 2 4 2 13 3" xfId="8911"/>
    <cellStyle name="Heading 1 2 2 2 4 2 14" xfId="8912"/>
    <cellStyle name="Heading 1 2 2 2 4 2 14 2" xfId="8913"/>
    <cellStyle name="Heading 1 2 2 2 4 2 14 2 2" xfId="8914"/>
    <cellStyle name="Heading 1 2 2 2 4 2 14 3" xfId="8915"/>
    <cellStyle name="Heading 1 2 2 2 4 2 15" xfId="8916"/>
    <cellStyle name="Heading 1 2 2 2 4 2 15 2" xfId="8917"/>
    <cellStyle name="Heading 1 2 2 2 4 2 15 2 2" xfId="8918"/>
    <cellStyle name="Heading 1 2 2 2 4 2 15 3" xfId="8919"/>
    <cellStyle name="Heading 1 2 2 2 4 2 16" xfId="8920"/>
    <cellStyle name="Heading 1 2 2 2 4 2 16 2" xfId="8921"/>
    <cellStyle name="Heading 1 2 2 2 4 2 16 2 2" xfId="8922"/>
    <cellStyle name="Heading 1 2 2 2 4 2 16 3" xfId="8923"/>
    <cellStyle name="Heading 1 2 2 2 4 2 17" xfId="8924"/>
    <cellStyle name="Heading 1 2 2 2 4 2 17 2" xfId="8925"/>
    <cellStyle name="Heading 1 2 2 2 4 2 17 2 2" xfId="8926"/>
    <cellStyle name="Heading 1 2 2 2 4 2 17 3" xfId="8927"/>
    <cellStyle name="Heading 1 2 2 2 4 2 18" xfId="8928"/>
    <cellStyle name="Heading 1 2 2 2 4 2 18 2" xfId="8929"/>
    <cellStyle name="Heading 1 2 2 2 4 2 18 2 2" xfId="8930"/>
    <cellStyle name="Heading 1 2 2 2 4 2 18 3" xfId="8931"/>
    <cellStyle name="Heading 1 2 2 2 4 2 19" xfId="8932"/>
    <cellStyle name="Heading 1 2 2 2 4 2 19 2" xfId="8933"/>
    <cellStyle name="Heading 1 2 2 2 4 2 19 2 2" xfId="8934"/>
    <cellStyle name="Heading 1 2 2 2 4 2 19 3" xfId="8935"/>
    <cellStyle name="Heading 1 2 2 2 4 2 2" xfId="8936"/>
    <cellStyle name="Heading 1 2 2 2 4 2 2 10" xfId="8937"/>
    <cellStyle name="Heading 1 2 2 2 4 2 2 10 2" xfId="8938"/>
    <cellStyle name="Heading 1 2 2 2 4 2 2 10 2 2" xfId="8939"/>
    <cellStyle name="Heading 1 2 2 2 4 2 2 10 3" xfId="8940"/>
    <cellStyle name="Heading 1 2 2 2 4 2 2 11" xfId="8941"/>
    <cellStyle name="Heading 1 2 2 2 4 2 2 11 2" xfId="8942"/>
    <cellStyle name="Heading 1 2 2 2 4 2 2 11 2 2" xfId="8943"/>
    <cellStyle name="Heading 1 2 2 2 4 2 2 11 3" xfId="8944"/>
    <cellStyle name="Heading 1 2 2 2 4 2 2 12" xfId="8945"/>
    <cellStyle name="Heading 1 2 2 2 4 2 2 12 2" xfId="8946"/>
    <cellStyle name="Heading 1 2 2 2 4 2 2 12 2 2" xfId="8947"/>
    <cellStyle name="Heading 1 2 2 2 4 2 2 12 3" xfId="8948"/>
    <cellStyle name="Heading 1 2 2 2 4 2 2 13" xfId="8949"/>
    <cellStyle name="Heading 1 2 2 2 4 2 2 13 2" xfId="8950"/>
    <cellStyle name="Heading 1 2 2 2 4 2 2 13 2 2" xfId="8951"/>
    <cellStyle name="Heading 1 2 2 2 4 2 2 13 3" xfId="8952"/>
    <cellStyle name="Heading 1 2 2 2 4 2 2 14" xfId="8953"/>
    <cellStyle name="Heading 1 2 2 2 4 2 2 14 2" xfId="8954"/>
    <cellStyle name="Heading 1 2 2 2 4 2 2 14 2 2" xfId="8955"/>
    <cellStyle name="Heading 1 2 2 2 4 2 2 14 3" xfId="8956"/>
    <cellStyle name="Heading 1 2 2 2 4 2 2 15" xfId="8957"/>
    <cellStyle name="Heading 1 2 2 2 4 2 2 15 2" xfId="8958"/>
    <cellStyle name="Heading 1 2 2 2 4 2 2 15 2 2" xfId="8959"/>
    <cellStyle name="Heading 1 2 2 2 4 2 2 15 3" xfId="8960"/>
    <cellStyle name="Heading 1 2 2 2 4 2 2 16" xfId="8961"/>
    <cellStyle name="Heading 1 2 2 2 4 2 2 16 2" xfId="8962"/>
    <cellStyle name="Heading 1 2 2 2 4 2 2 16 2 2" xfId="8963"/>
    <cellStyle name="Heading 1 2 2 2 4 2 2 16 3" xfId="8964"/>
    <cellStyle name="Heading 1 2 2 2 4 2 2 17" xfId="8965"/>
    <cellStyle name="Heading 1 2 2 2 4 2 2 17 2" xfId="8966"/>
    <cellStyle name="Heading 1 2 2 2 4 2 2 17 2 2" xfId="8967"/>
    <cellStyle name="Heading 1 2 2 2 4 2 2 17 3" xfId="8968"/>
    <cellStyle name="Heading 1 2 2 2 4 2 2 18" xfId="8969"/>
    <cellStyle name="Heading 1 2 2 2 4 2 2 18 2" xfId="8970"/>
    <cellStyle name="Heading 1 2 2 2 4 2 2 18 2 2" xfId="8971"/>
    <cellStyle name="Heading 1 2 2 2 4 2 2 18 3" xfId="8972"/>
    <cellStyle name="Heading 1 2 2 2 4 2 2 19" xfId="8973"/>
    <cellStyle name="Heading 1 2 2 2 4 2 2 19 2" xfId="8974"/>
    <cellStyle name="Heading 1 2 2 2 4 2 2 2" xfId="8975"/>
    <cellStyle name="Heading 1 2 2 2 4 2 2 2 2" xfId="8976"/>
    <cellStyle name="Heading 1 2 2 2 4 2 2 2 2 2" xfId="8977"/>
    <cellStyle name="Heading 1 2 2 2 4 2 2 2 2 2 2" xfId="8978"/>
    <cellStyle name="Heading 1 2 2 2 4 2 2 2 2 3" xfId="8979"/>
    <cellStyle name="Heading 1 2 2 2 4 2 2 2 3" xfId="8980"/>
    <cellStyle name="Heading 1 2 2 2 4 2 2 2 3 2" xfId="8981"/>
    <cellStyle name="Heading 1 2 2 2 4 2 2 2 3 2 2" xfId="8982"/>
    <cellStyle name="Heading 1 2 2 2 4 2 2 2 3 3" xfId="8983"/>
    <cellStyle name="Heading 1 2 2 2 4 2 2 2 4" xfId="8984"/>
    <cellStyle name="Heading 1 2 2 2 4 2 2 2 4 2" xfId="8985"/>
    <cellStyle name="Heading 1 2 2 2 4 2 2 2 4 2 2" xfId="8986"/>
    <cellStyle name="Heading 1 2 2 2 4 2 2 2 4 3" xfId="8987"/>
    <cellStyle name="Heading 1 2 2 2 4 2 2 2 5" xfId="8988"/>
    <cellStyle name="Heading 1 2 2 2 4 2 2 2 5 2" xfId="8989"/>
    <cellStyle name="Heading 1 2 2 2 4 2 2 2 5 2 2" xfId="8990"/>
    <cellStyle name="Heading 1 2 2 2 4 2 2 2 5 3" xfId="8991"/>
    <cellStyle name="Heading 1 2 2 2 4 2 2 2 6" xfId="8992"/>
    <cellStyle name="Heading 1 2 2 2 4 2 2 2 6 2" xfId="8993"/>
    <cellStyle name="Heading 1 2 2 2 4 2 2 2 6 2 2" xfId="8994"/>
    <cellStyle name="Heading 1 2 2 2 4 2 2 2 6 3" xfId="8995"/>
    <cellStyle name="Heading 1 2 2 2 4 2 2 2 7" xfId="8996"/>
    <cellStyle name="Heading 1 2 2 2 4 2 2 2 7 2" xfId="8997"/>
    <cellStyle name="Heading 1 2 2 2 4 2 2 2 7 2 2" xfId="8998"/>
    <cellStyle name="Heading 1 2 2 2 4 2 2 2 7 3" xfId="8999"/>
    <cellStyle name="Heading 1 2 2 2 4 2 2 2 8" xfId="9000"/>
    <cellStyle name="Heading 1 2 2 2 4 2 2 2 8 2" xfId="9001"/>
    <cellStyle name="Heading 1 2 2 2 4 2 2 2 9" xfId="9002"/>
    <cellStyle name="Heading 1 2 2 2 4 2 2 20" xfId="9003"/>
    <cellStyle name="Heading 1 2 2 2 4 2 2 20 2" xfId="9004"/>
    <cellStyle name="Heading 1 2 2 2 4 2 2 21" xfId="9005"/>
    <cellStyle name="Heading 1 2 2 2 4 2 2 21 2" xfId="9006"/>
    <cellStyle name="Heading 1 2 2 2 4 2 2 22" xfId="9007"/>
    <cellStyle name="Heading 1 2 2 2 4 2 2 3" xfId="9008"/>
    <cellStyle name="Heading 1 2 2 2 4 2 2 3 2" xfId="9009"/>
    <cellStyle name="Heading 1 2 2 2 4 2 2 3 2 2" xfId="9010"/>
    <cellStyle name="Heading 1 2 2 2 4 2 2 3 2 2 2" xfId="9011"/>
    <cellStyle name="Heading 1 2 2 2 4 2 2 3 2 3" xfId="9012"/>
    <cellStyle name="Heading 1 2 2 2 4 2 2 3 3" xfId="9013"/>
    <cellStyle name="Heading 1 2 2 2 4 2 2 3 3 2" xfId="9014"/>
    <cellStyle name="Heading 1 2 2 2 4 2 2 3 3 2 2" xfId="9015"/>
    <cellStyle name="Heading 1 2 2 2 4 2 2 3 3 3" xfId="9016"/>
    <cellStyle name="Heading 1 2 2 2 4 2 2 3 4" xfId="9017"/>
    <cellStyle name="Heading 1 2 2 2 4 2 2 3 4 2" xfId="9018"/>
    <cellStyle name="Heading 1 2 2 2 4 2 2 3 4 2 2" xfId="9019"/>
    <cellStyle name="Heading 1 2 2 2 4 2 2 3 4 3" xfId="9020"/>
    <cellStyle name="Heading 1 2 2 2 4 2 2 3 5" xfId="9021"/>
    <cellStyle name="Heading 1 2 2 2 4 2 2 3 5 2" xfId="9022"/>
    <cellStyle name="Heading 1 2 2 2 4 2 2 3 5 2 2" xfId="9023"/>
    <cellStyle name="Heading 1 2 2 2 4 2 2 3 5 3" xfId="9024"/>
    <cellStyle name="Heading 1 2 2 2 4 2 2 3 6" xfId="9025"/>
    <cellStyle name="Heading 1 2 2 2 4 2 2 3 6 2" xfId="9026"/>
    <cellStyle name="Heading 1 2 2 2 4 2 2 3 6 2 2" xfId="9027"/>
    <cellStyle name="Heading 1 2 2 2 4 2 2 3 6 3" xfId="9028"/>
    <cellStyle name="Heading 1 2 2 2 4 2 2 3 7" xfId="9029"/>
    <cellStyle name="Heading 1 2 2 2 4 2 2 3 7 2" xfId="9030"/>
    <cellStyle name="Heading 1 2 2 2 4 2 2 3 7 2 2" xfId="9031"/>
    <cellStyle name="Heading 1 2 2 2 4 2 2 3 7 3" xfId="9032"/>
    <cellStyle name="Heading 1 2 2 2 4 2 2 3 8" xfId="9033"/>
    <cellStyle name="Heading 1 2 2 2 4 2 2 3 8 2" xfId="9034"/>
    <cellStyle name="Heading 1 2 2 2 4 2 2 3 9" xfId="9035"/>
    <cellStyle name="Heading 1 2 2 2 4 2 2 4" xfId="9036"/>
    <cellStyle name="Heading 1 2 2 2 4 2 2 4 2" xfId="9037"/>
    <cellStyle name="Heading 1 2 2 2 4 2 2 4 2 2" xfId="9038"/>
    <cellStyle name="Heading 1 2 2 2 4 2 2 4 2 2 2" xfId="9039"/>
    <cellStyle name="Heading 1 2 2 2 4 2 2 4 2 3" xfId="9040"/>
    <cellStyle name="Heading 1 2 2 2 4 2 2 4 3" xfId="9041"/>
    <cellStyle name="Heading 1 2 2 2 4 2 2 4 3 2" xfId="9042"/>
    <cellStyle name="Heading 1 2 2 2 4 2 2 4 3 2 2" xfId="9043"/>
    <cellStyle name="Heading 1 2 2 2 4 2 2 4 3 3" xfId="9044"/>
    <cellStyle name="Heading 1 2 2 2 4 2 2 4 4" xfId="9045"/>
    <cellStyle name="Heading 1 2 2 2 4 2 2 4 4 2" xfId="9046"/>
    <cellStyle name="Heading 1 2 2 2 4 2 2 4 4 2 2" xfId="9047"/>
    <cellStyle name="Heading 1 2 2 2 4 2 2 4 4 3" xfId="9048"/>
    <cellStyle name="Heading 1 2 2 2 4 2 2 4 5" xfId="9049"/>
    <cellStyle name="Heading 1 2 2 2 4 2 2 4 5 2" xfId="9050"/>
    <cellStyle name="Heading 1 2 2 2 4 2 2 4 5 2 2" xfId="9051"/>
    <cellStyle name="Heading 1 2 2 2 4 2 2 4 5 3" xfId="9052"/>
    <cellStyle name="Heading 1 2 2 2 4 2 2 4 6" xfId="9053"/>
    <cellStyle name="Heading 1 2 2 2 4 2 2 4 6 2" xfId="9054"/>
    <cellStyle name="Heading 1 2 2 2 4 2 2 4 6 2 2" xfId="9055"/>
    <cellStyle name="Heading 1 2 2 2 4 2 2 4 6 3" xfId="9056"/>
    <cellStyle name="Heading 1 2 2 2 4 2 2 4 7" xfId="9057"/>
    <cellStyle name="Heading 1 2 2 2 4 2 2 4 7 2" xfId="9058"/>
    <cellStyle name="Heading 1 2 2 2 4 2 2 4 7 2 2" xfId="9059"/>
    <cellStyle name="Heading 1 2 2 2 4 2 2 4 7 3" xfId="9060"/>
    <cellStyle name="Heading 1 2 2 2 4 2 2 4 8" xfId="9061"/>
    <cellStyle name="Heading 1 2 2 2 4 2 2 4 8 2" xfId="9062"/>
    <cellStyle name="Heading 1 2 2 2 4 2 2 4 9" xfId="9063"/>
    <cellStyle name="Heading 1 2 2 2 4 2 2 5" xfId="9064"/>
    <cellStyle name="Heading 1 2 2 2 4 2 2 5 2" xfId="9065"/>
    <cellStyle name="Heading 1 2 2 2 4 2 2 5 2 2" xfId="9066"/>
    <cellStyle name="Heading 1 2 2 2 4 2 2 5 2 2 2" xfId="9067"/>
    <cellStyle name="Heading 1 2 2 2 4 2 2 5 2 3" xfId="9068"/>
    <cellStyle name="Heading 1 2 2 2 4 2 2 5 3" xfId="9069"/>
    <cellStyle name="Heading 1 2 2 2 4 2 2 5 3 2" xfId="9070"/>
    <cellStyle name="Heading 1 2 2 2 4 2 2 5 3 2 2" xfId="9071"/>
    <cellStyle name="Heading 1 2 2 2 4 2 2 5 3 3" xfId="9072"/>
    <cellStyle name="Heading 1 2 2 2 4 2 2 5 4" xfId="9073"/>
    <cellStyle name="Heading 1 2 2 2 4 2 2 5 4 2" xfId="9074"/>
    <cellStyle name="Heading 1 2 2 2 4 2 2 5 4 2 2" xfId="9075"/>
    <cellStyle name="Heading 1 2 2 2 4 2 2 5 4 3" xfId="9076"/>
    <cellStyle name="Heading 1 2 2 2 4 2 2 5 5" xfId="9077"/>
    <cellStyle name="Heading 1 2 2 2 4 2 2 5 5 2" xfId="9078"/>
    <cellStyle name="Heading 1 2 2 2 4 2 2 5 5 2 2" xfId="9079"/>
    <cellStyle name="Heading 1 2 2 2 4 2 2 5 5 3" xfId="9080"/>
    <cellStyle name="Heading 1 2 2 2 4 2 2 5 6" xfId="9081"/>
    <cellStyle name="Heading 1 2 2 2 4 2 2 5 6 2" xfId="9082"/>
    <cellStyle name="Heading 1 2 2 2 4 2 2 5 6 2 2" xfId="9083"/>
    <cellStyle name="Heading 1 2 2 2 4 2 2 5 6 3" xfId="9084"/>
    <cellStyle name="Heading 1 2 2 2 4 2 2 5 7" xfId="9085"/>
    <cellStyle name="Heading 1 2 2 2 4 2 2 5 7 2" xfId="9086"/>
    <cellStyle name="Heading 1 2 2 2 4 2 2 5 7 2 2" xfId="9087"/>
    <cellStyle name="Heading 1 2 2 2 4 2 2 5 7 3" xfId="9088"/>
    <cellStyle name="Heading 1 2 2 2 4 2 2 5 8" xfId="9089"/>
    <cellStyle name="Heading 1 2 2 2 4 2 2 5 8 2" xfId="9090"/>
    <cellStyle name="Heading 1 2 2 2 4 2 2 5 9" xfId="9091"/>
    <cellStyle name="Heading 1 2 2 2 4 2 2 6" xfId="9092"/>
    <cellStyle name="Heading 1 2 2 2 4 2 2 6 2" xfId="9093"/>
    <cellStyle name="Heading 1 2 2 2 4 2 2 6 2 2" xfId="9094"/>
    <cellStyle name="Heading 1 2 2 2 4 2 2 6 2 2 2" xfId="9095"/>
    <cellStyle name="Heading 1 2 2 2 4 2 2 6 2 3" xfId="9096"/>
    <cellStyle name="Heading 1 2 2 2 4 2 2 6 3" xfId="9097"/>
    <cellStyle name="Heading 1 2 2 2 4 2 2 6 3 2" xfId="9098"/>
    <cellStyle name="Heading 1 2 2 2 4 2 2 6 3 2 2" xfId="9099"/>
    <cellStyle name="Heading 1 2 2 2 4 2 2 6 3 3" xfId="9100"/>
    <cellStyle name="Heading 1 2 2 2 4 2 2 6 4" xfId="9101"/>
    <cellStyle name="Heading 1 2 2 2 4 2 2 6 4 2" xfId="9102"/>
    <cellStyle name="Heading 1 2 2 2 4 2 2 6 4 2 2" xfId="9103"/>
    <cellStyle name="Heading 1 2 2 2 4 2 2 6 4 3" xfId="9104"/>
    <cellStyle name="Heading 1 2 2 2 4 2 2 6 5" xfId="9105"/>
    <cellStyle name="Heading 1 2 2 2 4 2 2 6 5 2" xfId="9106"/>
    <cellStyle name="Heading 1 2 2 2 4 2 2 6 5 2 2" xfId="9107"/>
    <cellStyle name="Heading 1 2 2 2 4 2 2 6 5 3" xfId="9108"/>
    <cellStyle name="Heading 1 2 2 2 4 2 2 6 6" xfId="9109"/>
    <cellStyle name="Heading 1 2 2 2 4 2 2 6 6 2" xfId="9110"/>
    <cellStyle name="Heading 1 2 2 2 4 2 2 6 6 2 2" xfId="9111"/>
    <cellStyle name="Heading 1 2 2 2 4 2 2 6 6 3" xfId="9112"/>
    <cellStyle name="Heading 1 2 2 2 4 2 2 6 7" xfId="9113"/>
    <cellStyle name="Heading 1 2 2 2 4 2 2 6 7 2" xfId="9114"/>
    <cellStyle name="Heading 1 2 2 2 4 2 2 6 7 2 2" xfId="9115"/>
    <cellStyle name="Heading 1 2 2 2 4 2 2 6 7 3" xfId="9116"/>
    <cellStyle name="Heading 1 2 2 2 4 2 2 6 8" xfId="9117"/>
    <cellStyle name="Heading 1 2 2 2 4 2 2 6 8 2" xfId="9118"/>
    <cellStyle name="Heading 1 2 2 2 4 2 2 6 9" xfId="9119"/>
    <cellStyle name="Heading 1 2 2 2 4 2 2 7" xfId="9120"/>
    <cellStyle name="Heading 1 2 2 2 4 2 2 7 2" xfId="9121"/>
    <cellStyle name="Heading 1 2 2 2 4 2 2 7 2 2" xfId="9122"/>
    <cellStyle name="Heading 1 2 2 2 4 2 2 7 2 2 2" xfId="9123"/>
    <cellStyle name="Heading 1 2 2 2 4 2 2 7 2 3" xfId="9124"/>
    <cellStyle name="Heading 1 2 2 2 4 2 2 7 3" xfId="9125"/>
    <cellStyle name="Heading 1 2 2 2 4 2 2 7 3 2" xfId="9126"/>
    <cellStyle name="Heading 1 2 2 2 4 2 2 7 3 2 2" xfId="9127"/>
    <cellStyle name="Heading 1 2 2 2 4 2 2 7 3 3" xfId="9128"/>
    <cellStyle name="Heading 1 2 2 2 4 2 2 7 4" xfId="9129"/>
    <cellStyle name="Heading 1 2 2 2 4 2 2 7 4 2" xfId="9130"/>
    <cellStyle name="Heading 1 2 2 2 4 2 2 7 4 2 2" xfId="9131"/>
    <cellStyle name="Heading 1 2 2 2 4 2 2 7 4 3" xfId="9132"/>
    <cellStyle name="Heading 1 2 2 2 4 2 2 7 5" xfId="9133"/>
    <cellStyle name="Heading 1 2 2 2 4 2 2 7 5 2" xfId="9134"/>
    <cellStyle name="Heading 1 2 2 2 4 2 2 7 5 2 2" xfId="9135"/>
    <cellStyle name="Heading 1 2 2 2 4 2 2 7 5 3" xfId="9136"/>
    <cellStyle name="Heading 1 2 2 2 4 2 2 7 6" xfId="9137"/>
    <cellStyle name="Heading 1 2 2 2 4 2 2 7 6 2" xfId="9138"/>
    <cellStyle name="Heading 1 2 2 2 4 2 2 7 6 2 2" xfId="9139"/>
    <cellStyle name="Heading 1 2 2 2 4 2 2 7 6 3" xfId="9140"/>
    <cellStyle name="Heading 1 2 2 2 4 2 2 7 7" xfId="9141"/>
    <cellStyle name="Heading 1 2 2 2 4 2 2 7 7 2" xfId="9142"/>
    <cellStyle name="Heading 1 2 2 2 4 2 2 7 7 2 2" xfId="9143"/>
    <cellStyle name="Heading 1 2 2 2 4 2 2 7 7 3" xfId="9144"/>
    <cellStyle name="Heading 1 2 2 2 4 2 2 7 8" xfId="9145"/>
    <cellStyle name="Heading 1 2 2 2 4 2 2 7 8 2" xfId="9146"/>
    <cellStyle name="Heading 1 2 2 2 4 2 2 7 9" xfId="9147"/>
    <cellStyle name="Heading 1 2 2 2 4 2 2 8" xfId="9148"/>
    <cellStyle name="Heading 1 2 2 2 4 2 2 8 2" xfId="9149"/>
    <cellStyle name="Heading 1 2 2 2 4 2 2 8 2 2" xfId="9150"/>
    <cellStyle name="Heading 1 2 2 2 4 2 2 8 2 2 2" xfId="9151"/>
    <cellStyle name="Heading 1 2 2 2 4 2 2 8 2 3" xfId="9152"/>
    <cellStyle name="Heading 1 2 2 2 4 2 2 8 3" xfId="9153"/>
    <cellStyle name="Heading 1 2 2 2 4 2 2 8 3 2" xfId="9154"/>
    <cellStyle name="Heading 1 2 2 2 4 2 2 8 3 2 2" xfId="9155"/>
    <cellStyle name="Heading 1 2 2 2 4 2 2 8 3 3" xfId="9156"/>
    <cellStyle name="Heading 1 2 2 2 4 2 2 8 4" xfId="9157"/>
    <cellStyle name="Heading 1 2 2 2 4 2 2 8 4 2" xfId="9158"/>
    <cellStyle name="Heading 1 2 2 2 4 2 2 8 4 2 2" xfId="9159"/>
    <cellStyle name="Heading 1 2 2 2 4 2 2 8 4 3" xfId="9160"/>
    <cellStyle name="Heading 1 2 2 2 4 2 2 8 5" xfId="9161"/>
    <cellStyle name="Heading 1 2 2 2 4 2 2 8 5 2" xfId="9162"/>
    <cellStyle name="Heading 1 2 2 2 4 2 2 8 5 2 2" xfId="9163"/>
    <cellStyle name="Heading 1 2 2 2 4 2 2 8 5 3" xfId="9164"/>
    <cellStyle name="Heading 1 2 2 2 4 2 2 8 6" xfId="9165"/>
    <cellStyle name="Heading 1 2 2 2 4 2 2 8 6 2" xfId="9166"/>
    <cellStyle name="Heading 1 2 2 2 4 2 2 8 6 2 2" xfId="9167"/>
    <cellStyle name="Heading 1 2 2 2 4 2 2 8 6 3" xfId="9168"/>
    <cellStyle name="Heading 1 2 2 2 4 2 2 8 7" xfId="9169"/>
    <cellStyle name="Heading 1 2 2 2 4 2 2 8 7 2" xfId="9170"/>
    <cellStyle name="Heading 1 2 2 2 4 2 2 8 7 2 2" xfId="9171"/>
    <cellStyle name="Heading 1 2 2 2 4 2 2 8 7 3" xfId="9172"/>
    <cellStyle name="Heading 1 2 2 2 4 2 2 8 8" xfId="9173"/>
    <cellStyle name="Heading 1 2 2 2 4 2 2 8 8 2" xfId="9174"/>
    <cellStyle name="Heading 1 2 2 2 4 2 2 8 9" xfId="9175"/>
    <cellStyle name="Heading 1 2 2 2 4 2 2 9" xfId="9176"/>
    <cellStyle name="Heading 1 2 2 2 4 2 2 9 2" xfId="9177"/>
    <cellStyle name="Heading 1 2 2 2 4 2 2 9 2 2" xfId="9178"/>
    <cellStyle name="Heading 1 2 2 2 4 2 2 9 3" xfId="9179"/>
    <cellStyle name="Heading 1 2 2 2 4 2 20" xfId="9180"/>
    <cellStyle name="Heading 1 2 2 2 4 2 20 2" xfId="9181"/>
    <cellStyle name="Heading 1 2 2 2 4 2 21" xfId="9182"/>
    <cellStyle name="Heading 1 2 2 2 4 2 21 2" xfId="9183"/>
    <cellStyle name="Heading 1 2 2 2 4 2 22" xfId="9184"/>
    <cellStyle name="Heading 1 2 2 2 4 2 22 2" xfId="9185"/>
    <cellStyle name="Heading 1 2 2 2 4 2 23" xfId="9186"/>
    <cellStyle name="Heading 1 2 2 2 4 2 3" xfId="9187"/>
    <cellStyle name="Heading 1 2 2 2 4 2 3 2" xfId="9188"/>
    <cellStyle name="Heading 1 2 2 2 4 2 3 2 2" xfId="9189"/>
    <cellStyle name="Heading 1 2 2 2 4 2 3 2 2 2" xfId="9190"/>
    <cellStyle name="Heading 1 2 2 2 4 2 3 2 3" xfId="9191"/>
    <cellStyle name="Heading 1 2 2 2 4 2 3 3" xfId="9192"/>
    <cellStyle name="Heading 1 2 2 2 4 2 3 3 2" xfId="9193"/>
    <cellStyle name="Heading 1 2 2 2 4 2 3 3 2 2" xfId="9194"/>
    <cellStyle name="Heading 1 2 2 2 4 2 3 3 3" xfId="9195"/>
    <cellStyle name="Heading 1 2 2 2 4 2 3 4" xfId="9196"/>
    <cellStyle name="Heading 1 2 2 2 4 2 3 4 2" xfId="9197"/>
    <cellStyle name="Heading 1 2 2 2 4 2 3 4 2 2" xfId="9198"/>
    <cellStyle name="Heading 1 2 2 2 4 2 3 4 3" xfId="9199"/>
    <cellStyle name="Heading 1 2 2 2 4 2 3 5" xfId="9200"/>
    <cellStyle name="Heading 1 2 2 2 4 2 3 5 2" xfId="9201"/>
    <cellStyle name="Heading 1 2 2 2 4 2 3 5 2 2" xfId="9202"/>
    <cellStyle name="Heading 1 2 2 2 4 2 3 5 3" xfId="9203"/>
    <cellStyle name="Heading 1 2 2 2 4 2 3 6" xfId="9204"/>
    <cellStyle name="Heading 1 2 2 2 4 2 3 6 2" xfId="9205"/>
    <cellStyle name="Heading 1 2 2 2 4 2 3 6 2 2" xfId="9206"/>
    <cellStyle name="Heading 1 2 2 2 4 2 3 6 3" xfId="9207"/>
    <cellStyle name="Heading 1 2 2 2 4 2 3 7" xfId="9208"/>
    <cellStyle name="Heading 1 2 2 2 4 2 3 7 2" xfId="9209"/>
    <cellStyle name="Heading 1 2 2 2 4 2 3 7 2 2" xfId="9210"/>
    <cellStyle name="Heading 1 2 2 2 4 2 3 7 3" xfId="9211"/>
    <cellStyle name="Heading 1 2 2 2 4 2 3 8" xfId="9212"/>
    <cellStyle name="Heading 1 2 2 2 4 2 3 8 2" xfId="9213"/>
    <cellStyle name="Heading 1 2 2 2 4 2 3 9" xfId="9214"/>
    <cellStyle name="Heading 1 2 2 2 4 2 4" xfId="9215"/>
    <cellStyle name="Heading 1 2 2 2 4 2 4 2" xfId="9216"/>
    <cellStyle name="Heading 1 2 2 2 4 2 4 2 2" xfId="9217"/>
    <cellStyle name="Heading 1 2 2 2 4 2 4 2 2 2" xfId="9218"/>
    <cellStyle name="Heading 1 2 2 2 4 2 4 2 3" xfId="9219"/>
    <cellStyle name="Heading 1 2 2 2 4 2 4 3" xfId="9220"/>
    <cellStyle name="Heading 1 2 2 2 4 2 4 3 2" xfId="9221"/>
    <cellStyle name="Heading 1 2 2 2 4 2 4 3 2 2" xfId="9222"/>
    <cellStyle name="Heading 1 2 2 2 4 2 4 3 3" xfId="9223"/>
    <cellStyle name="Heading 1 2 2 2 4 2 4 4" xfId="9224"/>
    <cellStyle name="Heading 1 2 2 2 4 2 4 4 2" xfId="9225"/>
    <cellStyle name="Heading 1 2 2 2 4 2 4 4 2 2" xfId="9226"/>
    <cellStyle name="Heading 1 2 2 2 4 2 4 4 3" xfId="9227"/>
    <cellStyle name="Heading 1 2 2 2 4 2 4 5" xfId="9228"/>
    <cellStyle name="Heading 1 2 2 2 4 2 4 5 2" xfId="9229"/>
    <cellStyle name="Heading 1 2 2 2 4 2 4 5 2 2" xfId="9230"/>
    <cellStyle name="Heading 1 2 2 2 4 2 4 5 3" xfId="9231"/>
    <cellStyle name="Heading 1 2 2 2 4 2 4 6" xfId="9232"/>
    <cellStyle name="Heading 1 2 2 2 4 2 4 6 2" xfId="9233"/>
    <cellStyle name="Heading 1 2 2 2 4 2 4 6 2 2" xfId="9234"/>
    <cellStyle name="Heading 1 2 2 2 4 2 4 6 3" xfId="9235"/>
    <cellStyle name="Heading 1 2 2 2 4 2 4 7" xfId="9236"/>
    <cellStyle name="Heading 1 2 2 2 4 2 4 7 2" xfId="9237"/>
    <cellStyle name="Heading 1 2 2 2 4 2 4 7 2 2" xfId="9238"/>
    <cellStyle name="Heading 1 2 2 2 4 2 4 7 3" xfId="9239"/>
    <cellStyle name="Heading 1 2 2 2 4 2 4 8" xfId="9240"/>
    <cellStyle name="Heading 1 2 2 2 4 2 4 8 2" xfId="9241"/>
    <cellStyle name="Heading 1 2 2 2 4 2 4 9" xfId="9242"/>
    <cellStyle name="Heading 1 2 2 2 4 2 5" xfId="9243"/>
    <cellStyle name="Heading 1 2 2 2 4 2 5 2" xfId="9244"/>
    <cellStyle name="Heading 1 2 2 2 4 2 5 2 2" xfId="9245"/>
    <cellStyle name="Heading 1 2 2 2 4 2 5 2 2 2" xfId="9246"/>
    <cellStyle name="Heading 1 2 2 2 4 2 5 2 3" xfId="9247"/>
    <cellStyle name="Heading 1 2 2 2 4 2 5 3" xfId="9248"/>
    <cellStyle name="Heading 1 2 2 2 4 2 5 3 2" xfId="9249"/>
    <cellStyle name="Heading 1 2 2 2 4 2 5 3 2 2" xfId="9250"/>
    <cellStyle name="Heading 1 2 2 2 4 2 5 3 3" xfId="9251"/>
    <cellStyle name="Heading 1 2 2 2 4 2 5 4" xfId="9252"/>
    <cellStyle name="Heading 1 2 2 2 4 2 5 4 2" xfId="9253"/>
    <cellStyle name="Heading 1 2 2 2 4 2 5 4 2 2" xfId="9254"/>
    <cellStyle name="Heading 1 2 2 2 4 2 5 4 3" xfId="9255"/>
    <cellStyle name="Heading 1 2 2 2 4 2 5 5" xfId="9256"/>
    <cellStyle name="Heading 1 2 2 2 4 2 5 5 2" xfId="9257"/>
    <cellStyle name="Heading 1 2 2 2 4 2 5 5 2 2" xfId="9258"/>
    <cellStyle name="Heading 1 2 2 2 4 2 5 5 3" xfId="9259"/>
    <cellStyle name="Heading 1 2 2 2 4 2 5 6" xfId="9260"/>
    <cellStyle name="Heading 1 2 2 2 4 2 5 6 2" xfId="9261"/>
    <cellStyle name="Heading 1 2 2 2 4 2 5 6 2 2" xfId="9262"/>
    <cellStyle name="Heading 1 2 2 2 4 2 5 6 3" xfId="9263"/>
    <cellStyle name="Heading 1 2 2 2 4 2 5 7" xfId="9264"/>
    <cellStyle name="Heading 1 2 2 2 4 2 5 7 2" xfId="9265"/>
    <cellStyle name="Heading 1 2 2 2 4 2 5 7 2 2" xfId="9266"/>
    <cellStyle name="Heading 1 2 2 2 4 2 5 7 3" xfId="9267"/>
    <cellStyle name="Heading 1 2 2 2 4 2 5 8" xfId="9268"/>
    <cellStyle name="Heading 1 2 2 2 4 2 5 8 2" xfId="9269"/>
    <cellStyle name="Heading 1 2 2 2 4 2 5 9" xfId="9270"/>
    <cellStyle name="Heading 1 2 2 2 4 2 6" xfId="9271"/>
    <cellStyle name="Heading 1 2 2 2 4 2 6 2" xfId="9272"/>
    <cellStyle name="Heading 1 2 2 2 4 2 6 2 2" xfId="9273"/>
    <cellStyle name="Heading 1 2 2 2 4 2 6 2 2 2" xfId="9274"/>
    <cellStyle name="Heading 1 2 2 2 4 2 6 2 3" xfId="9275"/>
    <cellStyle name="Heading 1 2 2 2 4 2 6 3" xfId="9276"/>
    <cellStyle name="Heading 1 2 2 2 4 2 6 3 2" xfId="9277"/>
    <cellStyle name="Heading 1 2 2 2 4 2 6 3 2 2" xfId="9278"/>
    <cellStyle name="Heading 1 2 2 2 4 2 6 3 3" xfId="9279"/>
    <cellStyle name="Heading 1 2 2 2 4 2 6 4" xfId="9280"/>
    <cellStyle name="Heading 1 2 2 2 4 2 6 4 2" xfId="9281"/>
    <cellStyle name="Heading 1 2 2 2 4 2 6 4 2 2" xfId="9282"/>
    <cellStyle name="Heading 1 2 2 2 4 2 6 4 3" xfId="9283"/>
    <cellStyle name="Heading 1 2 2 2 4 2 6 5" xfId="9284"/>
    <cellStyle name="Heading 1 2 2 2 4 2 6 5 2" xfId="9285"/>
    <cellStyle name="Heading 1 2 2 2 4 2 6 5 2 2" xfId="9286"/>
    <cellStyle name="Heading 1 2 2 2 4 2 6 5 3" xfId="9287"/>
    <cellStyle name="Heading 1 2 2 2 4 2 6 6" xfId="9288"/>
    <cellStyle name="Heading 1 2 2 2 4 2 6 6 2" xfId="9289"/>
    <cellStyle name="Heading 1 2 2 2 4 2 6 6 2 2" xfId="9290"/>
    <cellStyle name="Heading 1 2 2 2 4 2 6 6 3" xfId="9291"/>
    <cellStyle name="Heading 1 2 2 2 4 2 6 7" xfId="9292"/>
    <cellStyle name="Heading 1 2 2 2 4 2 6 7 2" xfId="9293"/>
    <cellStyle name="Heading 1 2 2 2 4 2 6 7 2 2" xfId="9294"/>
    <cellStyle name="Heading 1 2 2 2 4 2 6 7 3" xfId="9295"/>
    <cellStyle name="Heading 1 2 2 2 4 2 6 8" xfId="9296"/>
    <cellStyle name="Heading 1 2 2 2 4 2 6 8 2" xfId="9297"/>
    <cellStyle name="Heading 1 2 2 2 4 2 6 9" xfId="9298"/>
    <cellStyle name="Heading 1 2 2 2 4 2 7" xfId="9299"/>
    <cellStyle name="Heading 1 2 2 2 4 2 7 2" xfId="9300"/>
    <cellStyle name="Heading 1 2 2 2 4 2 7 2 2" xfId="9301"/>
    <cellStyle name="Heading 1 2 2 2 4 2 7 2 2 2" xfId="9302"/>
    <cellStyle name="Heading 1 2 2 2 4 2 7 2 3" xfId="9303"/>
    <cellStyle name="Heading 1 2 2 2 4 2 7 3" xfId="9304"/>
    <cellStyle name="Heading 1 2 2 2 4 2 7 3 2" xfId="9305"/>
    <cellStyle name="Heading 1 2 2 2 4 2 7 3 2 2" xfId="9306"/>
    <cellStyle name="Heading 1 2 2 2 4 2 7 3 3" xfId="9307"/>
    <cellStyle name="Heading 1 2 2 2 4 2 7 4" xfId="9308"/>
    <cellStyle name="Heading 1 2 2 2 4 2 7 4 2" xfId="9309"/>
    <cellStyle name="Heading 1 2 2 2 4 2 7 4 2 2" xfId="9310"/>
    <cellStyle name="Heading 1 2 2 2 4 2 7 4 3" xfId="9311"/>
    <cellStyle name="Heading 1 2 2 2 4 2 7 5" xfId="9312"/>
    <cellStyle name="Heading 1 2 2 2 4 2 7 5 2" xfId="9313"/>
    <cellStyle name="Heading 1 2 2 2 4 2 7 5 2 2" xfId="9314"/>
    <cellStyle name="Heading 1 2 2 2 4 2 7 5 3" xfId="9315"/>
    <cellStyle name="Heading 1 2 2 2 4 2 7 6" xfId="9316"/>
    <cellStyle name="Heading 1 2 2 2 4 2 7 6 2" xfId="9317"/>
    <cellStyle name="Heading 1 2 2 2 4 2 7 6 2 2" xfId="9318"/>
    <cellStyle name="Heading 1 2 2 2 4 2 7 6 3" xfId="9319"/>
    <cellStyle name="Heading 1 2 2 2 4 2 7 7" xfId="9320"/>
    <cellStyle name="Heading 1 2 2 2 4 2 7 7 2" xfId="9321"/>
    <cellStyle name="Heading 1 2 2 2 4 2 7 7 2 2" xfId="9322"/>
    <cellStyle name="Heading 1 2 2 2 4 2 7 7 3" xfId="9323"/>
    <cellStyle name="Heading 1 2 2 2 4 2 7 8" xfId="9324"/>
    <cellStyle name="Heading 1 2 2 2 4 2 7 8 2" xfId="9325"/>
    <cellStyle name="Heading 1 2 2 2 4 2 7 9" xfId="9326"/>
    <cellStyle name="Heading 1 2 2 2 4 2 8" xfId="9327"/>
    <cellStyle name="Heading 1 2 2 2 4 2 8 2" xfId="9328"/>
    <cellStyle name="Heading 1 2 2 2 4 2 8 2 2" xfId="9329"/>
    <cellStyle name="Heading 1 2 2 2 4 2 8 2 2 2" xfId="9330"/>
    <cellStyle name="Heading 1 2 2 2 4 2 8 2 3" xfId="9331"/>
    <cellStyle name="Heading 1 2 2 2 4 2 8 3" xfId="9332"/>
    <cellStyle name="Heading 1 2 2 2 4 2 8 3 2" xfId="9333"/>
    <cellStyle name="Heading 1 2 2 2 4 2 8 3 2 2" xfId="9334"/>
    <cellStyle name="Heading 1 2 2 2 4 2 8 3 3" xfId="9335"/>
    <cellStyle name="Heading 1 2 2 2 4 2 8 4" xfId="9336"/>
    <cellStyle name="Heading 1 2 2 2 4 2 8 4 2" xfId="9337"/>
    <cellStyle name="Heading 1 2 2 2 4 2 8 4 2 2" xfId="9338"/>
    <cellStyle name="Heading 1 2 2 2 4 2 8 4 3" xfId="9339"/>
    <cellStyle name="Heading 1 2 2 2 4 2 8 5" xfId="9340"/>
    <cellStyle name="Heading 1 2 2 2 4 2 8 5 2" xfId="9341"/>
    <cellStyle name="Heading 1 2 2 2 4 2 8 5 2 2" xfId="9342"/>
    <cellStyle name="Heading 1 2 2 2 4 2 8 5 3" xfId="9343"/>
    <cellStyle name="Heading 1 2 2 2 4 2 8 6" xfId="9344"/>
    <cellStyle name="Heading 1 2 2 2 4 2 8 6 2" xfId="9345"/>
    <cellStyle name="Heading 1 2 2 2 4 2 8 6 2 2" xfId="9346"/>
    <cellStyle name="Heading 1 2 2 2 4 2 8 6 3" xfId="9347"/>
    <cellStyle name="Heading 1 2 2 2 4 2 8 7" xfId="9348"/>
    <cellStyle name="Heading 1 2 2 2 4 2 8 7 2" xfId="9349"/>
    <cellStyle name="Heading 1 2 2 2 4 2 8 7 2 2" xfId="9350"/>
    <cellStyle name="Heading 1 2 2 2 4 2 8 7 3" xfId="9351"/>
    <cellStyle name="Heading 1 2 2 2 4 2 8 8" xfId="9352"/>
    <cellStyle name="Heading 1 2 2 2 4 2 8 8 2" xfId="9353"/>
    <cellStyle name="Heading 1 2 2 2 4 2 8 9" xfId="9354"/>
    <cellStyle name="Heading 1 2 2 2 4 2 9" xfId="9355"/>
    <cellStyle name="Heading 1 2 2 2 4 2 9 2" xfId="9356"/>
    <cellStyle name="Heading 1 2 2 2 4 2 9 2 2" xfId="9357"/>
    <cellStyle name="Heading 1 2 2 2 4 2 9 2 2 2" xfId="9358"/>
    <cellStyle name="Heading 1 2 2 2 4 2 9 2 3" xfId="9359"/>
    <cellStyle name="Heading 1 2 2 2 4 2 9 3" xfId="9360"/>
    <cellStyle name="Heading 1 2 2 2 4 2 9 3 2" xfId="9361"/>
    <cellStyle name="Heading 1 2 2 2 4 2 9 3 2 2" xfId="9362"/>
    <cellStyle name="Heading 1 2 2 2 4 2 9 3 3" xfId="9363"/>
    <cellStyle name="Heading 1 2 2 2 4 2 9 4" xfId="9364"/>
    <cellStyle name="Heading 1 2 2 2 4 2 9 4 2" xfId="9365"/>
    <cellStyle name="Heading 1 2 2 2 4 2 9 4 2 2" xfId="9366"/>
    <cellStyle name="Heading 1 2 2 2 4 2 9 4 3" xfId="9367"/>
    <cellStyle name="Heading 1 2 2 2 4 2 9 5" xfId="9368"/>
    <cellStyle name="Heading 1 2 2 2 4 2 9 5 2" xfId="9369"/>
    <cellStyle name="Heading 1 2 2 2 4 2 9 5 2 2" xfId="9370"/>
    <cellStyle name="Heading 1 2 2 2 4 2 9 5 3" xfId="9371"/>
    <cellStyle name="Heading 1 2 2 2 4 2 9 6" xfId="9372"/>
    <cellStyle name="Heading 1 2 2 2 4 2 9 6 2" xfId="9373"/>
    <cellStyle name="Heading 1 2 2 2 4 2 9 6 2 2" xfId="9374"/>
    <cellStyle name="Heading 1 2 2 2 4 2 9 6 3" xfId="9375"/>
    <cellStyle name="Heading 1 2 2 2 4 2 9 7" xfId="9376"/>
    <cellStyle name="Heading 1 2 2 2 4 2 9 7 2" xfId="9377"/>
    <cellStyle name="Heading 1 2 2 2 4 2 9 7 2 2" xfId="9378"/>
    <cellStyle name="Heading 1 2 2 2 4 2 9 7 3" xfId="9379"/>
    <cellStyle name="Heading 1 2 2 2 4 2 9 8" xfId="9380"/>
    <cellStyle name="Heading 1 2 2 2 4 2 9 8 2" xfId="9381"/>
    <cellStyle name="Heading 1 2 2 2 4 2 9 9" xfId="9382"/>
    <cellStyle name="Heading 1 2 2 2 4 3" xfId="9383"/>
    <cellStyle name="Heading 1 2 2 2 4 3 10" xfId="9384"/>
    <cellStyle name="Heading 1 2 2 2 4 3 10 2" xfId="9385"/>
    <cellStyle name="Heading 1 2 2 2 4 3 10 2 2" xfId="9386"/>
    <cellStyle name="Heading 1 2 2 2 4 3 10 3" xfId="9387"/>
    <cellStyle name="Heading 1 2 2 2 4 3 11" xfId="9388"/>
    <cellStyle name="Heading 1 2 2 2 4 3 11 2" xfId="9389"/>
    <cellStyle name="Heading 1 2 2 2 4 3 11 2 2" xfId="9390"/>
    <cellStyle name="Heading 1 2 2 2 4 3 11 3" xfId="9391"/>
    <cellStyle name="Heading 1 2 2 2 4 3 12" xfId="9392"/>
    <cellStyle name="Heading 1 2 2 2 4 3 12 2" xfId="9393"/>
    <cellStyle name="Heading 1 2 2 2 4 3 12 2 2" xfId="9394"/>
    <cellStyle name="Heading 1 2 2 2 4 3 12 3" xfId="9395"/>
    <cellStyle name="Heading 1 2 2 2 4 3 13" xfId="9396"/>
    <cellStyle name="Heading 1 2 2 2 4 3 13 2" xfId="9397"/>
    <cellStyle name="Heading 1 2 2 2 4 3 13 2 2" xfId="9398"/>
    <cellStyle name="Heading 1 2 2 2 4 3 13 3" xfId="9399"/>
    <cellStyle name="Heading 1 2 2 2 4 3 14" xfId="9400"/>
    <cellStyle name="Heading 1 2 2 2 4 3 14 2" xfId="9401"/>
    <cellStyle name="Heading 1 2 2 2 4 3 14 2 2" xfId="9402"/>
    <cellStyle name="Heading 1 2 2 2 4 3 14 3" xfId="9403"/>
    <cellStyle name="Heading 1 2 2 2 4 3 15" xfId="9404"/>
    <cellStyle name="Heading 1 2 2 2 4 3 15 2" xfId="9405"/>
    <cellStyle name="Heading 1 2 2 2 4 3 15 2 2" xfId="9406"/>
    <cellStyle name="Heading 1 2 2 2 4 3 15 3" xfId="9407"/>
    <cellStyle name="Heading 1 2 2 2 4 3 16" xfId="9408"/>
    <cellStyle name="Heading 1 2 2 2 4 3 16 2" xfId="9409"/>
    <cellStyle name="Heading 1 2 2 2 4 3 16 2 2" xfId="9410"/>
    <cellStyle name="Heading 1 2 2 2 4 3 16 3" xfId="9411"/>
    <cellStyle name="Heading 1 2 2 2 4 3 17" xfId="9412"/>
    <cellStyle name="Heading 1 2 2 2 4 3 17 2" xfId="9413"/>
    <cellStyle name="Heading 1 2 2 2 4 3 17 2 2" xfId="9414"/>
    <cellStyle name="Heading 1 2 2 2 4 3 17 3" xfId="9415"/>
    <cellStyle name="Heading 1 2 2 2 4 3 18" xfId="9416"/>
    <cellStyle name="Heading 1 2 2 2 4 3 18 2" xfId="9417"/>
    <cellStyle name="Heading 1 2 2 2 4 3 18 2 2" xfId="9418"/>
    <cellStyle name="Heading 1 2 2 2 4 3 18 3" xfId="9419"/>
    <cellStyle name="Heading 1 2 2 2 4 3 19" xfId="9420"/>
    <cellStyle name="Heading 1 2 2 2 4 3 19 2" xfId="9421"/>
    <cellStyle name="Heading 1 2 2 2 4 3 2" xfId="9422"/>
    <cellStyle name="Heading 1 2 2 2 4 3 2 2" xfId="9423"/>
    <cellStyle name="Heading 1 2 2 2 4 3 2 2 2" xfId="9424"/>
    <cellStyle name="Heading 1 2 2 2 4 3 2 2 2 2" xfId="9425"/>
    <cellStyle name="Heading 1 2 2 2 4 3 2 2 3" xfId="9426"/>
    <cellStyle name="Heading 1 2 2 2 4 3 2 3" xfId="9427"/>
    <cellStyle name="Heading 1 2 2 2 4 3 2 3 2" xfId="9428"/>
    <cellStyle name="Heading 1 2 2 2 4 3 2 3 2 2" xfId="9429"/>
    <cellStyle name="Heading 1 2 2 2 4 3 2 3 3" xfId="9430"/>
    <cellStyle name="Heading 1 2 2 2 4 3 2 4" xfId="9431"/>
    <cellStyle name="Heading 1 2 2 2 4 3 2 4 2" xfId="9432"/>
    <cellStyle name="Heading 1 2 2 2 4 3 2 4 2 2" xfId="9433"/>
    <cellStyle name="Heading 1 2 2 2 4 3 2 4 3" xfId="9434"/>
    <cellStyle name="Heading 1 2 2 2 4 3 2 5" xfId="9435"/>
    <cellStyle name="Heading 1 2 2 2 4 3 2 5 2" xfId="9436"/>
    <cellStyle name="Heading 1 2 2 2 4 3 2 5 2 2" xfId="9437"/>
    <cellStyle name="Heading 1 2 2 2 4 3 2 5 3" xfId="9438"/>
    <cellStyle name="Heading 1 2 2 2 4 3 2 6" xfId="9439"/>
    <cellStyle name="Heading 1 2 2 2 4 3 2 6 2" xfId="9440"/>
    <cellStyle name="Heading 1 2 2 2 4 3 2 6 2 2" xfId="9441"/>
    <cellStyle name="Heading 1 2 2 2 4 3 2 6 3" xfId="9442"/>
    <cellStyle name="Heading 1 2 2 2 4 3 2 7" xfId="9443"/>
    <cellStyle name="Heading 1 2 2 2 4 3 2 7 2" xfId="9444"/>
    <cellStyle name="Heading 1 2 2 2 4 3 2 7 2 2" xfId="9445"/>
    <cellStyle name="Heading 1 2 2 2 4 3 2 7 3" xfId="9446"/>
    <cellStyle name="Heading 1 2 2 2 4 3 2 8" xfId="9447"/>
    <cellStyle name="Heading 1 2 2 2 4 3 2 8 2" xfId="9448"/>
    <cellStyle name="Heading 1 2 2 2 4 3 2 9" xfId="9449"/>
    <cellStyle name="Heading 1 2 2 2 4 3 20" xfId="9450"/>
    <cellStyle name="Heading 1 2 2 2 4 3 20 2" xfId="9451"/>
    <cellStyle name="Heading 1 2 2 2 4 3 21" xfId="9452"/>
    <cellStyle name="Heading 1 2 2 2 4 3 21 2" xfId="9453"/>
    <cellStyle name="Heading 1 2 2 2 4 3 22" xfId="9454"/>
    <cellStyle name="Heading 1 2 2 2 4 3 3" xfId="9455"/>
    <cellStyle name="Heading 1 2 2 2 4 3 3 2" xfId="9456"/>
    <cellStyle name="Heading 1 2 2 2 4 3 3 2 2" xfId="9457"/>
    <cellStyle name="Heading 1 2 2 2 4 3 3 2 2 2" xfId="9458"/>
    <cellStyle name="Heading 1 2 2 2 4 3 3 2 3" xfId="9459"/>
    <cellStyle name="Heading 1 2 2 2 4 3 3 3" xfId="9460"/>
    <cellStyle name="Heading 1 2 2 2 4 3 3 3 2" xfId="9461"/>
    <cellStyle name="Heading 1 2 2 2 4 3 3 3 2 2" xfId="9462"/>
    <cellStyle name="Heading 1 2 2 2 4 3 3 3 3" xfId="9463"/>
    <cellStyle name="Heading 1 2 2 2 4 3 3 4" xfId="9464"/>
    <cellStyle name="Heading 1 2 2 2 4 3 3 4 2" xfId="9465"/>
    <cellStyle name="Heading 1 2 2 2 4 3 3 4 2 2" xfId="9466"/>
    <cellStyle name="Heading 1 2 2 2 4 3 3 4 3" xfId="9467"/>
    <cellStyle name="Heading 1 2 2 2 4 3 3 5" xfId="9468"/>
    <cellStyle name="Heading 1 2 2 2 4 3 3 5 2" xfId="9469"/>
    <cellStyle name="Heading 1 2 2 2 4 3 3 5 2 2" xfId="9470"/>
    <cellStyle name="Heading 1 2 2 2 4 3 3 5 3" xfId="9471"/>
    <cellStyle name="Heading 1 2 2 2 4 3 3 6" xfId="9472"/>
    <cellStyle name="Heading 1 2 2 2 4 3 3 6 2" xfId="9473"/>
    <cellStyle name="Heading 1 2 2 2 4 3 3 6 2 2" xfId="9474"/>
    <cellStyle name="Heading 1 2 2 2 4 3 3 6 3" xfId="9475"/>
    <cellStyle name="Heading 1 2 2 2 4 3 3 7" xfId="9476"/>
    <cellStyle name="Heading 1 2 2 2 4 3 3 7 2" xfId="9477"/>
    <cellStyle name="Heading 1 2 2 2 4 3 3 7 2 2" xfId="9478"/>
    <cellStyle name="Heading 1 2 2 2 4 3 3 7 3" xfId="9479"/>
    <cellStyle name="Heading 1 2 2 2 4 3 3 8" xfId="9480"/>
    <cellStyle name="Heading 1 2 2 2 4 3 3 8 2" xfId="9481"/>
    <cellStyle name="Heading 1 2 2 2 4 3 3 9" xfId="9482"/>
    <cellStyle name="Heading 1 2 2 2 4 3 4" xfId="9483"/>
    <cellStyle name="Heading 1 2 2 2 4 3 4 2" xfId="9484"/>
    <cellStyle name="Heading 1 2 2 2 4 3 4 2 2" xfId="9485"/>
    <cellStyle name="Heading 1 2 2 2 4 3 4 2 2 2" xfId="9486"/>
    <cellStyle name="Heading 1 2 2 2 4 3 4 2 3" xfId="9487"/>
    <cellStyle name="Heading 1 2 2 2 4 3 4 3" xfId="9488"/>
    <cellStyle name="Heading 1 2 2 2 4 3 4 3 2" xfId="9489"/>
    <cellStyle name="Heading 1 2 2 2 4 3 4 3 2 2" xfId="9490"/>
    <cellStyle name="Heading 1 2 2 2 4 3 4 3 3" xfId="9491"/>
    <cellStyle name="Heading 1 2 2 2 4 3 4 4" xfId="9492"/>
    <cellStyle name="Heading 1 2 2 2 4 3 4 4 2" xfId="9493"/>
    <cellStyle name="Heading 1 2 2 2 4 3 4 4 2 2" xfId="9494"/>
    <cellStyle name="Heading 1 2 2 2 4 3 4 4 3" xfId="9495"/>
    <cellStyle name="Heading 1 2 2 2 4 3 4 5" xfId="9496"/>
    <cellStyle name="Heading 1 2 2 2 4 3 4 5 2" xfId="9497"/>
    <cellStyle name="Heading 1 2 2 2 4 3 4 5 2 2" xfId="9498"/>
    <cellStyle name="Heading 1 2 2 2 4 3 4 5 3" xfId="9499"/>
    <cellStyle name="Heading 1 2 2 2 4 3 4 6" xfId="9500"/>
    <cellStyle name="Heading 1 2 2 2 4 3 4 6 2" xfId="9501"/>
    <cellStyle name="Heading 1 2 2 2 4 3 4 6 2 2" xfId="9502"/>
    <cellStyle name="Heading 1 2 2 2 4 3 4 6 3" xfId="9503"/>
    <cellStyle name="Heading 1 2 2 2 4 3 4 7" xfId="9504"/>
    <cellStyle name="Heading 1 2 2 2 4 3 4 7 2" xfId="9505"/>
    <cellStyle name="Heading 1 2 2 2 4 3 4 7 2 2" xfId="9506"/>
    <cellStyle name="Heading 1 2 2 2 4 3 4 7 3" xfId="9507"/>
    <cellStyle name="Heading 1 2 2 2 4 3 4 8" xfId="9508"/>
    <cellStyle name="Heading 1 2 2 2 4 3 4 8 2" xfId="9509"/>
    <cellStyle name="Heading 1 2 2 2 4 3 4 9" xfId="9510"/>
    <cellStyle name="Heading 1 2 2 2 4 3 5" xfId="9511"/>
    <cellStyle name="Heading 1 2 2 2 4 3 5 2" xfId="9512"/>
    <cellStyle name="Heading 1 2 2 2 4 3 5 2 2" xfId="9513"/>
    <cellStyle name="Heading 1 2 2 2 4 3 5 2 2 2" xfId="9514"/>
    <cellStyle name="Heading 1 2 2 2 4 3 5 2 3" xfId="9515"/>
    <cellStyle name="Heading 1 2 2 2 4 3 5 3" xfId="9516"/>
    <cellStyle name="Heading 1 2 2 2 4 3 5 3 2" xfId="9517"/>
    <cellStyle name="Heading 1 2 2 2 4 3 5 3 2 2" xfId="9518"/>
    <cellStyle name="Heading 1 2 2 2 4 3 5 3 3" xfId="9519"/>
    <cellStyle name="Heading 1 2 2 2 4 3 5 4" xfId="9520"/>
    <cellStyle name="Heading 1 2 2 2 4 3 5 4 2" xfId="9521"/>
    <cellStyle name="Heading 1 2 2 2 4 3 5 4 2 2" xfId="9522"/>
    <cellStyle name="Heading 1 2 2 2 4 3 5 4 3" xfId="9523"/>
    <cellStyle name="Heading 1 2 2 2 4 3 5 5" xfId="9524"/>
    <cellStyle name="Heading 1 2 2 2 4 3 5 5 2" xfId="9525"/>
    <cellStyle name="Heading 1 2 2 2 4 3 5 5 2 2" xfId="9526"/>
    <cellStyle name="Heading 1 2 2 2 4 3 5 5 3" xfId="9527"/>
    <cellStyle name="Heading 1 2 2 2 4 3 5 6" xfId="9528"/>
    <cellStyle name="Heading 1 2 2 2 4 3 5 6 2" xfId="9529"/>
    <cellStyle name="Heading 1 2 2 2 4 3 5 6 2 2" xfId="9530"/>
    <cellStyle name="Heading 1 2 2 2 4 3 5 6 3" xfId="9531"/>
    <cellStyle name="Heading 1 2 2 2 4 3 5 7" xfId="9532"/>
    <cellStyle name="Heading 1 2 2 2 4 3 5 7 2" xfId="9533"/>
    <cellStyle name="Heading 1 2 2 2 4 3 5 7 2 2" xfId="9534"/>
    <cellStyle name="Heading 1 2 2 2 4 3 5 7 3" xfId="9535"/>
    <cellStyle name="Heading 1 2 2 2 4 3 5 8" xfId="9536"/>
    <cellStyle name="Heading 1 2 2 2 4 3 5 8 2" xfId="9537"/>
    <cellStyle name="Heading 1 2 2 2 4 3 5 9" xfId="9538"/>
    <cellStyle name="Heading 1 2 2 2 4 3 6" xfId="9539"/>
    <cellStyle name="Heading 1 2 2 2 4 3 6 2" xfId="9540"/>
    <cellStyle name="Heading 1 2 2 2 4 3 6 2 2" xfId="9541"/>
    <cellStyle name="Heading 1 2 2 2 4 3 6 2 2 2" xfId="9542"/>
    <cellStyle name="Heading 1 2 2 2 4 3 6 2 3" xfId="9543"/>
    <cellStyle name="Heading 1 2 2 2 4 3 6 3" xfId="9544"/>
    <cellStyle name="Heading 1 2 2 2 4 3 6 3 2" xfId="9545"/>
    <cellStyle name="Heading 1 2 2 2 4 3 6 3 2 2" xfId="9546"/>
    <cellStyle name="Heading 1 2 2 2 4 3 6 3 3" xfId="9547"/>
    <cellStyle name="Heading 1 2 2 2 4 3 6 4" xfId="9548"/>
    <cellStyle name="Heading 1 2 2 2 4 3 6 4 2" xfId="9549"/>
    <cellStyle name="Heading 1 2 2 2 4 3 6 4 2 2" xfId="9550"/>
    <cellStyle name="Heading 1 2 2 2 4 3 6 4 3" xfId="9551"/>
    <cellStyle name="Heading 1 2 2 2 4 3 6 5" xfId="9552"/>
    <cellStyle name="Heading 1 2 2 2 4 3 6 5 2" xfId="9553"/>
    <cellStyle name="Heading 1 2 2 2 4 3 6 5 2 2" xfId="9554"/>
    <cellStyle name="Heading 1 2 2 2 4 3 6 5 3" xfId="9555"/>
    <cellStyle name="Heading 1 2 2 2 4 3 6 6" xfId="9556"/>
    <cellStyle name="Heading 1 2 2 2 4 3 6 6 2" xfId="9557"/>
    <cellStyle name="Heading 1 2 2 2 4 3 6 6 2 2" xfId="9558"/>
    <cellStyle name="Heading 1 2 2 2 4 3 6 6 3" xfId="9559"/>
    <cellStyle name="Heading 1 2 2 2 4 3 6 7" xfId="9560"/>
    <cellStyle name="Heading 1 2 2 2 4 3 6 7 2" xfId="9561"/>
    <cellStyle name="Heading 1 2 2 2 4 3 6 7 2 2" xfId="9562"/>
    <cellStyle name="Heading 1 2 2 2 4 3 6 7 3" xfId="9563"/>
    <cellStyle name="Heading 1 2 2 2 4 3 6 8" xfId="9564"/>
    <cellStyle name="Heading 1 2 2 2 4 3 6 8 2" xfId="9565"/>
    <cellStyle name="Heading 1 2 2 2 4 3 6 9" xfId="9566"/>
    <cellStyle name="Heading 1 2 2 2 4 3 7" xfId="9567"/>
    <cellStyle name="Heading 1 2 2 2 4 3 7 2" xfId="9568"/>
    <cellStyle name="Heading 1 2 2 2 4 3 7 2 2" xfId="9569"/>
    <cellStyle name="Heading 1 2 2 2 4 3 7 2 2 2" xfId="9570"/>
    <cellStyle name="Heading 1 2 2 2 4 3 7 2 3" xfId="9571"/>
    <cellStyle name="Heading 1 2 2 2 4 3 7 3" xfId="9572"/>
    <cellStyle name="Heading 1 2 2 2 4 3 7 3 2" xfId="9573"/>
    <cellStyle name="Heading 1 2 2 2 4 3 7 3 2 2" xfId="9574"/>
    <cellStyle name="Heading 1 2 2 2 4 3 7 3 3" xfId="9575"/>
    <cellStyle name="Heading 1 2 2 2 4 3 7 4" xfId="9576"/>
    <cellStyle name="Heading 1 2 2 2 4 3 7 4 2" xfId="9577"/>
    <cellStyle name="Heading 1 2 2 2 4 3 7 4 2 2" xfId="9578"/>
    <cellStyle name="Heading 1 2 2 2 4 3 7 4 3" xfId="9579"/>
    <cellStyle name="Heading 1 2 2 2 4 3 7 5" xfId="9580"/>
    <cellStyle name="Heading 1 2 2 2 4 3 7 5 2" xfId="9581"/>
    <cellStyle name="Heading 1 2 2 2 4 3 7 5 2 2" xfId="9582"/>
    <cellStyle name="Heading 1 2 2 2 4 3 7 5 3" xfId="9583"/>
    <cellStyle name="Heading 1 2 2 2 4 3 7 6" xfId="9584"/>
    <cellStyle name="Heading 1 2 2 2 4 3 7 6 2" xfId="9585"/>
    <cellStyle name="Heading 1 2 2 2 4 3 7 6 2 2" xfId="9586"/>
    <cellStyle name="Heading 1 2 2 2 4 3 7 6 3" xfId="9587"/>
    <cellStyle name="Heading 1 2 2 2 4 3 7 7" xfId="9588"/>
    <cellStyle name="Heading 1 2 2 2 4 3 7 7 2" xfId="9589"/>
    <cellStyle name="Heading 1 2 2 2 4 3 7 7 2 2" xfId="9590"/>
    <cellStyle name="Heading 1 2 2 2 4 3 7 7 3" xfId="9591"/>
    <cellStyle name="Heading 1 2 2 2 4 3 7 8" xfId="9592"/>
    <cellStyle name="Heading 1 2 2 2 4 3 7 8 2" xfId="9593"/>
    <cellStyle name="Heading 1 2 2 2 4 3 7 9" xfId="9594"/>
    <cellStyle name="Heading 1 2 2 2 4 3 8" xfId="9595"/>
    <cellStyle name="Heading 1 2 2 2 4 3 8 2" xfId="9596"/>
    <cellStyle name="Heading 1 2 2 2 4 3 8 2 2" xfId="9597"/>
    <cellStyle name="Heading 1 2 2 2 4 3 8 2 2 2" xfId="9598"/>
    <cellStyle name="Heading 1 2 2 2 4 3 8 2 3" xfId="9599"/>
    <cellStyle name="Heading 1 2 2 2 4 3 8 3" xfId="9600"/>
    <cellStyle name="Heading 1 2 2 2 4 3 8 3 2" xfId="9601"/>
    <cellStyle name="Heading 1 2 2 2 4 3 8 3 2 2" xfId="9602"/>
    <cellStyle name="Heading 1 2 2 2 4 3 8 3 3" xfId="9603"/>
    <cellStyle name="Heading 1 2 2 2 4 3 8 4" xfId="9604"/>
    <cellStyle name="Heading 1 2 2 2 4 3 8 4 2" xfId="9605"/>
    <cellStyle name="Heading 1 2 2 2 4 3 8 4 2 2" xfId="9606"/>
    <cellStyle name="Heading 1 2 2 2 4 3 8 4 3" xfId="9607"/>
    <cellStyle name="Heading 1 2 2 2 4 3 8 5" xfId="9608"/>
    <cellStyle name="Heading 1 2 2 2 4 3 8 5 2" xfId="9609"/>
    <cellStyle name="Heading 1 2 2 2 4 3 8 5 2 2" xfId="9610"/>
    <cellStyle name="Heading 1 2 2 2 4 3 8 5 3" xfId="9611"/>
    <cellStyle name="Heading 1 2 2 2 4 3 8 6" xfId="9612"/>
    <cellStyle name="Heading 1 2 2 2 4 3 8 6 2" xfId="9613"/>
    <cellStyle name="Heading 1 2 2 2 4 3 8 6 2 2" xfId="9614"/>
    <cellStyle name="Heading 1 2 2 2 4 3 8 6 3" xfId="9615"/>
    <cellStyle name="Heading 1 2 2 2 4 3 8 7" xfId="9616"/>
    <cellStyle name="Heading 1 2 2 2 4 3 8 7 2" xfId="9617"/>
    <cellStyle name="Heading 1 2 2 2 4 3 8 7 2 2" xfId="9618"/>
    <cellStyle name="Heading 1 2 2 2 4 3 8 7 3" xfId="9619"/>
    <cellStyle name="Heading 1 2 2 2 4 3 8 8" xfId="9620"/>
    <cellStyle name="Heading 1 2 2 2 4 3 8 8 2" xfId="9621"/>
    <cellStyle name="Heading 1 2 2 2 4 3 8 9" xfId="9622"/>
    <cellStyle name="Heading 1 2 2 2 4 3 9" xfId="9623"/>
    <cellStyle name="Heading 1 2 2 2 4 3 9 2" xfId="9624"/>
    <cellStyle name="Heading 1 2 2 2 4 3 9 2 2" xfId="9625"/>
    <cellStyle name="Heading 1 2 2 2 4 3 9 3" xfId="9626"/>
    <cellStyle name="Heading 1 2 2 2 4 4" xfId="9627"/>
    <cellStyle name="Heading 1 2 2 2 4 4 2" xfId="9628"/>
    <cellStyle name="Heading 1 2 2 2 4 4 2 2" xfId="9629"/>
    <cellStyle name="Heading 1 2 2 2 4 4 3" xfId="9630"/>
    <cellStyle name="Heading 1 2 2 2 4 5" xfId="9631"/>
    <cellStyle name="Heading 1 2 2 2 4 5 2" xfId="9632"/>
    <cellStyle name="Heading 1 2 2 2 4 6" xfId="9633"/>
    <cellStyle name="Heading 1 2 2 2 5" xfId="9634"/>
    <cellStyle name="Heading 1 2 2 2 5 2" xfId="9635"/>
    <cellStyle name="Heading 1 2 2 2 5 2 10" xfId="9636"/>
    <cellStyle name="Heading 1 2 2 2 5 2 10 2" xfId="9637"/>
    <cellStyle name="Heading 1 2 2 2 5 2 10 2 2" xfId="9638"/>
    <cellStyle name="Heading 1 2 2 2 5 2 10 3" xfId="9639"/>
    <cellStyle name="Heading 1 2 2 2 5 2 11" xfId="9640"/>
    <cellStyle name="Heading 1 2 2 2 5 2 11 2" xfId="9641"/>
    <cellStyle name="Heading 1 2 2 2 5 2 11 2 2" xfId="9642"/>
    <cellStyle name="Heading 1 2 2 2 5 2 11 3" xfId="9643"/>
    <cellStyle name="Heading 1 2 2 2 5 2 12" xfId="9644"/>
    <cellStyle name="Heading 1 2 2 2 5 2 12 2" xfId="9645"/>
    <cellStyle name="Heading 1 2 2 2 5 2 12 2 2" xfId="9646"/>
    <cellStyle name="Heading 1 2 2 2 5 2 12 3" xfId="9647"/>
    <cellStyle name="Heading 1 2 2 2 5 2 13" xfId="9648"/>
    <cellStyle name="Heading 1 2 2 2 5 2 13 2" xfId="9649"/>
    <cellStyle name="Heading 1 2 2 2 5 2 13 2 2" xfId="9650"/>
    <cellStyle name="Heading 1 2 2 2 5 2 13 3" xfId="9651"/>
    <cellStyle name="Heading 1 2 2 2 5 2 14" xfId="9652"/>
    <cellStyle name="Heading 1 2 2 2 5 2 14 2" xfId="9653"/>
    <cellStyle name="Heading 1 2 2 2 5 2 14 2 2" xfId="9654"/>
    <cellStyle name="Heading 1 2 2 2 5 2 14 3" xfId="9655"/>
    <cellStyle name="Heading 1 2 2 2 5 2 15" xfId="9656"/>
    <cellStyle name="Heading 1 2 2 2 5 2 15 2" xfId="9657"/>
    <cellStyle name="Heading 1 2 2 2 5 2 15 2 2" xfId="9658"/>
    <cellStyle name="Heading 1 2 2 2 5 2 15 3" xfId="9659"/>
    <cellStyle name="Heading 1 2 2 2 5 2 16" xfId="9660"/>
    <cellStyle name="Heading 1 2 2 2 5 2 16 2" xfId="9661"/>
    <cellStyle name="Heading 1 2 2 2 5 2 16 2 2" xfId="9662"/>
    <cellStyle name="Heading 1 2 2 2 5 2 16 3" xfId="9663"/>
    <cellStyle name="Heading 1 2 2 2 5 2 17" xfId="9664"/>
    <cellStyle name="Heading 1 2 2 2 5 2 17 2" xfId="9665"/>
    <cellStyle name="Heading 1 2 2 2 5 2 17 2 2" xfId="9666"/>
    <cellStyle name="Heading 1 2 2 2 5 2 17 3" xfId="9667"/>
    <cellStyle name="Heading 1 2 2 2 5 2 18" xfId="9668"/>
    <cellStyle name="Heading 1 2 2 2 5 2 18 2" xfId="9669"/>
    <cellStyle name="Heading 1 2 2 2 5 2 18 2 2" xfId="9670"/>
    <cellStyle name="Heading 1 2 2 2 5 2 18 3" xfId="9671"/>
    <cellStyle name="Heading 1 2 2 2 5 2 19" xfId="9672"/>
    <cellStyle name="Heading 1 2 2 2 5 2 19 2" xfId="9673"/>
    <cellStyle name="Heading 1 2 2 2 5 2 19 2 2" xfId="9674"/>
    <cellStyle name="Heading 1 2 2 2 5 2 19 3" xfId="9675"/>
    <cellStyle name="Heading 1 2 2 2 5 2 2" xfId="9676"/>
    <cellStyle name="Heading 1 2 2 2 5 2 2 10" xfId="9677"/>
    <cellStyle name="Heading 1 2 2 2 5 2 2 10 2" xfId="9678"/>
    <cellStyle name="Heading 1 2 2 2 5 2 2 10 2 2" xfId="9679"/>
    <cellStyle name="Heading 1 2 2 2 5 2 2 10 3" xfId="9680"/>
    <cellStyle name="Heading 1 2 2 2 5 2 2 11" xfId="9681"/>
    <cellStyle name="Heading 1 2 2 2 5 2 2 11 2" xfId="9682"/>
    <cellStyle name="Heading 1 2 2 2 5 2 2 11 2 2" xfId="9683"/>
    <cellStyle name="Heading 1 2 2 2 5 2 2 11 3" xfId="9684"/>
    <cellStyle name="Heading 1 2 2 2 5 2 2 12" xfId="9685"/>
    <cellStyle name="Heading 1 2 2 2 5 2 2 12 2" xfId="9686"/>
    <cellStyle name="Heading 1 2 2 2 5 2 2 12 2 2" xfId="9687"/>
    <cellStyle name="Heading 1 2 2 2 5 2 2 12 3" xfId="9688"/>
    <cellStyle name="Heading 1 2 2 2 5 2 2 13" xfId="9689"/>
    <cellStyle name="Heading 1 2 2 2 5 2 2 13 2" xfId="9690"/>
    <cellStyle name="Heading 1 2 2 2 5 2 2 13 2 2" xfId="9691"/>
    <cellStyle name="Heading 1 2 2 2 5 2 2 13 3" xfId="9692"/>
    <cellStyle name="Heading 1 2 2 2 5 2 2 14" xfId="9693"/>
    <cellStyle name="Heading 1 2 2 2 5 2 2 14 2" xfId="9694"/>
    <cellStyle name="Heading 1 2 2 2 5 2 2 14 2 2" xfId="9695"/>
    <cellStyle name="Heading 1 2 2 2 5 2 2 14 3" xfId="9696"/>
    <cellStyle name="Heading 1 2 2 2 5 2 2 15" xfId="9697"/>
    <cellStyle name="Heading 1 2 2 2 5 2 2 15 2" xfId="9698"/>
    <cellStyle name="Heading 1 2 2 2 5 2 2 15 2 2" xfId="9699"/>
    <cellStyle name="Heading 1 2 2 2 5 2 2 15 3" xfId="9700"/>
    <cellStyle name="Heading 1 2 2 2 5 2 2 16" xfId="9701"/>
    <cellStyle name="Heading 1 2 2 2 5 2 2 16 2" xfId="9702"/>
    <cellStyle name="Heading 1 2 2 2 5 2 2 16 2 2" xfId="9703"/>
    <cellStyle name="Heading 1 2 2 2 5 2 2 16 3" xfId="9704"/>
    <cellStyle name="Heading 1 2 2 2 5 2 2 17" xfId="9705"/>
    <cellStyle name="Heading 1 2 2 2 5 2 2 17 2" xfId="9706"/>
    <cellStyle name="Heading 1 2 2 2 5 2 2 17 2 2" xfId="9707"/>
    <cellStyle name="Heading 1 2 2 2 5 2 2 17 3" xfId="9708"/>
    <cellStyle name="Heading 1 2 2 2 5 2 2 18" xfId="9709"/>
    <cellStyle name="Heading 1 2 2 2 5 2 2 18 2" xfId="9710"/>
    <cellStyle name="Heading 1 2 2 2 5 2 2 18 2 2" xfId="9711"/>
    <cellStyle name="Heading 1 2 2 2 5 2 2 18 3" xfId="9712"/>
    <cellStyle name="Heading 1 2 2 2 5 2 2 19" xfId="9713"/>
    <cellStyle name="Heading 1 2 2 2 5 2 2 19 2" xfId="9714"/>
    <cellStyle name="Heading 1 2 2 2 5 2 2 2" xfId="9715"/>
    <cellStyle name="Heading 1 2 2 2 5 2 2 2 2" xfId="9716"/>
    <cellStyle name="Heading 1 2 2 2 5 2 2 2 2 2" xfId="9717"/>
    <cellStyle name="Heading 1 2 2 2 5 2 2 2 2 2 2" xfId="9718"/>
    <cellStyle name="Heading 1 2 2 2 5 2 2 2 2 3" xfId="9719"/>
    <cellStyle name="Heading 1 2 2 2 5 2 2 2 3" xfId="9720"/>
    <cellStyle name="Heading 1 2 2 2 5 2 2 2 3 2" xfId="9721"/>
    <cellStyle name="Heading 1 2 2 2 5 2 2 2 3 2 2" xfId="9722"/>
    <cellStyle name="Heading 1 2 2 2 5 2 2 2 3 3" xfId="9723"/>
    <cellStyle name="Heading 1 2 2 2 5 2 2 2 4" xfId="9724"/>
    <cellStyle name="Heading 1 2 2 2 5 2 2 2 4 2" xfId="9725"/>
    <cellStyle name="Heading 1 2 2 2 5 2 2 2 4 2 2" xfId="9726"/>
    <cellStyle name="Heading 1 2 2 2 5 2 2 2 4 3" xfId="9727"/>
    <cellStyle name="Heading 1 2 2 2 5 2 2 2 5" xfId="9728"/>
    <cellStyle name="Heading 1 2 2 2 5 2 2 2 5 2" xfId="9729"/>
    <cellStyle name="Heading 1 2 2 2 5 2 2 2 5 2 2" xfId="9730"/>
    <cellStyle name="Heading 1 2 2 2 5 2 2 2 5 3" xfId="9731"/>
    <cellStyle name="Heading 1 2 2 2 5 2 2 2 6" xfId="9732"/>
    <cellStyle name="Heading 1 2 2 2 5 2 2 2 6 2" xfId="9733"/>
    <cellStyle name="Heading 1 2 2 2 5 2 2 2 6 2 2" xfId="9734"/>
    <cellStyle name="Heading 1 2 2 2 5 2 2 2 6 3" xfId="9735"/>
    <cellStyle name="Heading 1 2 2 2 5 2 2 2 7" xfId="9736"/>
    <cellStyle name="Heading 1 2 2 2 5 2 2 2 7 2" xfId="9737"/>
    <cellStyle name="Heading 1 2 2 2 5 2 2 2 7 2 2" xfId="9738"/>
    <cellStyle name="Heading 1 2 2 2 5 2 2 2 7 3" xfId="9739"/>
    <cellStyle name="Heading 1 2 2 2 5 2 2 2 8" xfId="9740"/>
    <cellStyle name="Heading 1 2 2 2 5 2 2 2 8 2" xfId="9741"/>
    <cellStyle name="Heading 1 2 2 2 5 2 2 2 9" xfId="9742"/>
    <cellStyle name="Heading 1 2 2 2 5 2 2 20" xfId="9743"/>
    <cellStyle name="Heading 1 2 2 2 5 2 2 20 2" xfId="9744"/>
    <cellStyle name="Heading 1 2 2 2 5 2 2 21" xfId="9745"/>
    <cellStyle name="Heading 1 2 2 2 5 2 2 21 2" xfId="9746"/>
    <cellStyle name="Heading 1 2 2 2 5 2 2 22" xfId="9747"/>
    <cellStyle name="Heading 1 2 2 2 5 2 2 3" xfId="9748"/>
    <cellStyle name="Heading 1 2 2 2 5 2 2 3 2" xfId="9749"/>
    <cellStyle name="Heading 1 2 2 2 5 2 2 3 2 2" xfId="9750"/>
    <cellStyle name="Heading 1 2 2 2 5 2 2 3 2 2 2" xfId="9751"/>
    <cellStyle name="Heading 1 2 2 2 5 2 2 3 2 3" xfId="9752"/>
    <cellStyle name="Heading 1 2 2 2 5 2 2 3 3" xfId="9753"/>
    <cellStyle name="Heading 1 2 2 2 5 2 2 3 3 2" xfId="9754"/>
    <cellStyle name="Heading 1 2 2 2 5 2 2 3 3 2 2" xfId="9755"/>
    <cellStyle name="Heading 1 2 2 2 5 2 2 3 3 3" xfId="9756"/>
    <cellStyle name="Heading 1 2 2 2 5 2 2 3 4" xfId="9757"/>
    <cellStyle name="Heading 1 2 2 2 5 2 2 3 4 2" xfId="9758"/>
    <cellStyle name="Heading 1 2 2 2 5 2 2 3 4 2 2" xfId="9759"/>
    <cellStyle name="Heading 1 2 2 2 5 2 2 3 4 3" xfId="9760"/>
    <cellStyle name="Heading 1 2 2 2 5 2 2 3 5" xfId="9761"/>
    <cellStyle name="Heading 1 2 2 2 5 2 2 3 5 2" xfId="9762"/>
    <cellStyle name="Heading 1 2 2 2 5 2 2 3 5 2 2" xfId="9763"/>
    <cellStyle name="Heading 1 2 2 2 5 2 2 3 5 3" xfId="9764"/>
    <cellStyle name="Heading 1 2 2 2 5 2 2 3 6" xfId="9765"/>
    <cellStyle name="Heading 1 2 2 2 5 2 2 3 6 2" xfId="9766"/>
    <cellStyle name="Heading 1 2 2 2 5 2 2 3 6 2 2" xfId="9767"/>
    <cellStyle name="Heading 1 2 2 2 5 2 2 3 6 3" xfId="9768"/>
    <cellStyle name="Heading 1 2 2 2 5 2 2 3 7" xfId="9769"/>
    <cellStyle name="Heading 1 2 2 2 5 2 2 3 7 2" xfId="9770"/>
    <cellStyle name="Heading 1 2 2 2 5 2 2 3 7 2 2" xfId="9771"/>
    <cellStyle name="Heading 1 2 2 2 5 2 2 3 7 3" xfId="9772"/>
    <cellStyle name="Heading 1 2 2 2 5 2 2 3 8" xfId="9773"/>
    <cellStyle name="Heading 1 2 2 2 5 2 2 3 8 2" xfId="9774"/>
    <cellStyle name="Heading 1 2 2 2 5 2 2 3 9" xfId="9775"/>
    <cellStyle name="Heading 1 2 2 2 5 2 2 4" xfId="9776"/>
    <cellStyle name="Heading 1 2 2 2 5 2 2 4 2" xfId="9777"/>
    <cellStyle name="Heading 1 2 2 2 5 2 2 4 2 2" xfId="9778"/>
    <cellStyle name="Heading 1 2 2 2 5 2 2 4 2 2 2" xfId="9779"/>
    <cellStyle name="Heading 1 2 2 2 5 2 2 4 2 3" xfId="9780"/>
    <cellStyle name="Heading 1 2 2 2 5 2 2 4 3" xfId="9781"/>
    <cellStyle name="Heading 1 2 2 2 5 2 2 4 3 2" xfId="9782"/>
    <cellStyle name="Heading 1 2 2 2 5 2 2 4 3 2 2" xfId="9783"/>
    <cellStyle name="Heading 1 2 2 2 5 2 2 4 3 3" xfId="9784"/>
    <cellStyle name="Heading 1 2 2 2 5 2 2 4 4" xfId="9785"/>
    <cellStyle name="Heading 1 2 2 2 5 2 2 4 4 2" xfId="9786"/>
    <cellStyle name="Heading 1 2 2 2 5 2 2 4 4 2 2" xfId="9787"/>
    <cellStyle name="Heading 1 2 2 2 5 2 2 4 4 3" xfId="9788"/>
    <cellStyle name="Heading 1 2 2 2 5 2 2 4 5" xfId="9789"/>
    <cellStyle name="Heading 1 2 2 2 5 2 2 4 5 2" xfId="9790"/>
    <cellStyle name="Heading 1 2 2 2 5 2 2 4 5 2 2" xfId="9791"/>
    <cellStyle name="Heading 1 2 2 2 5 2 2 4 5 3" xfId="9792"/>
    <cellStyle name="Heading 1 2 2 2 5 2 2 4 6" xfId="9793"/>
    <cellStyle name="Heading 1 2 2 2 5 2 2 4 6 2" xfId="9794"/>
    <cellStyle name="Heading 1 2 2 2 5 2 2 4 6 2 2" xfId="9795"/>
    <cellStyle name="Heading 1 2 2 2 5 2 2 4 6 3" xfId="9796"/>
    <cellStyle name="Heading 1 2 2 2 5 2 2 4 7" xfId="9797"/>
    <cellStyle name="Heading 1 2 2 2 5 2 2 4 7 2" xfId="9798"/>
    <cellStyle name="Heading 1 2 2 2 5 2 2 4 7 2 2" xfId="9799"/>
    <cellStyle name="Heading 1 2 2 2 5 2 2 4 7 3" xfId="9800"/>
    <cellStyle name="Heading 1 2 2 2 5 2 2 4 8" xfId="9801"/>
    <cellStyle name="Heading 1 2 2 2 5 2 2 4 8 2" xfId="9802"/>
    <cellStyle name="Heading 1 2 2 2 5 2 2 4 9" xfId="9803"/>
    <cellStyle name="Heading 1 2 2 2 5 2 2 5" xfId="9804"/>
    <cellStyle name="Heading 1 2 2 2 5 2 2 5 2" xfId="9805"/>
    <cellStyle name="Heading 1 2 2 2 5 2 2 5 2 2" xfId="9806"/>
    <cellStyle name="Heading 1 2 2 2 5 2 2 5 2 2 2" xfId="9807"/>
    <cellStyle name="Heading 1 2 2 2 5 2 2 5 2 3" xfId="9808"/>
    <cellStyle name="Heading 1 2 2 2 5 2 2 5 3" xfId="9809"/>
    <cellStyle name="Heading 1 2 2 2 5 2 2 5 3 2" xfId="9810"/>
    <cellStyle name="Heading 1 2 2 2 5 2 2 5 3 2 2" xfId="9811"/>
    <cellStyle name="Heading 1 2 2 2 5 2 2 5 3 3" xfId="9812"/>
    <cellStyle name="Heading 1 2 2 2 5 2 2 5 4" xfId="9813"/>
    <cellStyle name="Heading 1 2 2 2 5 2 2 5 4 2" xfId="9814"/>
    <cellStyle name="Heading 1 2 2 2 5 2 2 5 4 2 2" xfId="9815"/>
    <cellStyle name="Heading 1 2 2 2 5 2 2 5 4 3" xfId="9816"/>
    <cellStyle name="Heading 1 2 2 2 5 2 2 5 5" xfId="9817"/>
    <cellStyle name="Heading 1 2 2 2 5 2 2 5 5 2" xfId="9818"/>
    <cellStyle name="Heading 1 2 2 2 5 2 2 5 5 2 2" xfId="9819"/>
    <cellStyle name="Heading 1 2 2 2 5 2 2 5 5 3" xfId="9820"/>
    <cellStyle name="Heading 1 2 2 2 5 2 2 5 6" xfId="9821"/>
    <cellStyle name="Heading 1 2 2 2 5 2 2 5 6 2" xfId="9822"/>
    <cellStyle name="Heading 1 2 2 2 5 2 2 5 6 2 2" xfId="9823"/>
    <cellStyle name="Heading 1 2 2 2 5 2 2 5 6 3" xfId="9824"/>
    <cellStyle name="Heading 1 2 2 2 5 2 2 5 7" xfId="9825"/>
    <cellStyle name="Heading 1 2 2 2 5 2 2 5 7 2" xfId="9826"/>
    <cellStyle name="Heading 1 2 2 2 5 2 2 5 7 2 2" xfId="9827"/>
    <cellStyle name="Heading 1 2 2 2 5 2 2 5 7 3" xfId="9828"/>
    <cellStyle name="Heading 1 2 2 2 5 2 2 5 8" xfId="9829"/>
    <cellStyle name="Heading 1 2 2 2 5 2 2 5 8 2" xfId="9830"/>
    <cellStyle name="Heading 1 2 2 2 5 2 2 5 9" xfId="9831"/>
    <cellStyle name="Heading 1 2 2 2 5 2 2 6" xfId="9832"/>
    <cellStyle name="Heading 1 2 2 2 5 2 2 6 2" xfId="9833"/>
    <cellStyle name="Heading 1 2 2 2 5 2 2 6 2 2" xfId="9834"/>
    <cellStyle name="Heading 1 2 2 2 5 2 2 6 2 2 2" xfId="9835"/>
    <cellStyle name="Heading 1 2 2 2 5 2 2 6 2 3" xfId="9836"/>
    <cellStyle name="Heading 1 2 2 2 5 2 2 6 3" xfId="9837"/>
    <cellStyle name="Heading 1 2 2 2 5 2 2 6 3 2" xfId="9838"/>
    <cellStyle name="Heading 1 2 2 2 5 2 2 6 3 2 2" xfId="9839"/>
    <cellStyle name="Heading 1 2 2 2 5 2 2 6 3 3" xfId="9840"/>
    <cellStyle name="Heading 1 2 2 2 5 2 2 6 4" xfId="9841"/>
    <cellStyle name="Heading 1 2 2 2 5 2 2 6 4 2" xfId="9842"/>
    <cellStyle name="Heading 1 2 2 2 5 2 2 6 4 2 2" xfId="9843"/>
    <cellStyle name="Heading 1 2 2 2 5 2 2 6 4 3" xfId="9844"/>
    <cellStyle name="Heading 1 2 2 2 5 2 2 6 5" xfId="9845"/>
    <cellStyle name="Heading 1 2 2 2 5 2 2 6 5 2" xfId="9846"/>
    <cellStyle name="Heading 1 2 2 2 5 2 2 6 5 2 2" xfId="9847"/>
    <cellStyle name="Heading 1 2 2 2 5 2 2 6 5 3" xfId="9848"/>
    <cellStyle name="Heading 1 2 2 2 5 2 2 6 6" xfId="9849"/>
    <cellStyle name="Heading 1 2 2 2 5 2 2 6 6 2" xfId="9850"/>
    <cellStyle name="Heading 1 2 2 2 5 2 2 6 6 2 2" xfId="9851"/>
    <cellStyle name="Heading 1 2 2 2 5 2 2 6 6 3" xfId="9852"/>
    <cellStyle name="Heading 1 2 2 2 5 2 2 6 7" xfId="9853"/>
    <cellStyle name="Heading 1 2 2 2 5 2 2 6 7 2" xfId="9854"/>
    <cellStyle name="Heading 1 2 2 2 5 2 2 6 7 2 2" xfId="9855"/>
    <cellStyle name="Heading 1 2 2 2 5 2 2 6 7 3" xfId="9856"/>
    <cellStyle name="Heading 1 2 2 2 5 2 2 6 8" xfId="9857"/>
    <cellStyle name="Heading 1 2 2 2 5 2 2 6 8 2" xfId="9858"/>
    <cellStyle name="Heading 1 2 2 2 5 2 2 6 9" xfId="9859"/>
    <cellStyle name="Heading 1 2 2 2 5 2 2 7" xfId="9860"/>
    <cellStyle name="Heading 1 2 2 2 5 2 2 7 2" xfId="9861"/>
    <cellStyle name="Heading 1 2 2 2 5 2 2 7 2 2" xfId="9862"/>
    <cellStyle name="Heading 1 2 2 2 5 2 2 7 2 2 2" xfId="9863"/>
    <cellStyle name="Heading 1 2 2 2 5 2 2 7 2 3" xfId="9864"/>
    <cellStyle name="Heading 1 2 2 2 5 2 2 7 3" xfId="9865"/>
    <cellStyle name="Heading 1 2 2 2 5 2 2 7 3 2" xfId="9866"/>
    <cellStyle name="Heading 1 2 2 2 5 2 2 7 3 2 2" xfId="9867"/>
    <cellStyle name="Heading 1 2 2 2 5 2 2 7 3 3" xfId="9868"/>
    <cellStyle name="Heading 1 2 2 2 5 2 2 7 4" xfId="9869"/>
    <cellStyle name="Heading 1 2 2 2 5 2 2 7 4 2" xfId="9870"/>
    <cellStyle name="Heading 1 2 2 2 5 2 2 7 4 2 2" xfId="9871"/>
    <cellStyle name="Heading 1 2 2 2 5 2 2 7 4 3" xfId="9872"/>
    <cellStyle name="Heading 1 2 2 2 5 2 2 7 5" xfId="9873"/>
    <cellStyle name="Heading 1 2 2 2 5 2 2 7 5 2" xfId="9874"/>
    <cellStyle name="Heading 1 2 2 2 5 2 2 7 5 2 2" xfId="9875"/>
    <cellStyle name="Heading 1 2 2 2 5 2 2 7 5 3" xfId="9876"/>
    <cellStyle name="Heading 1 2 2 2 5 2 2 7 6" xfId="9877"/>
    <cellStyle name="Heading 1 2 2 2 5 2 2 7 6 2" xfId="9878"/>
    <cellStyle name="Heading 1 2 2 2 5 2 2 7 6 2 2" xfId="9879"/>
    <cellStyle name="Heading 1 2 2 2 5 2 2 7 6 3" xfId="9880"/>
    <cellStyle name="Heading 1 2 2 2 5 2 2 7 7" xfId="9881"/>
    <cellStyle name="Heading 1 2 2 2 5 2 2 7 7 2" xfId="9882"/>
    <cellStyle name="Heading 1 2 2 2 5 2 2 7 7 2 2" xfId="9883"/>
    <cellStyle name="Heading 1 2 2 2 5 2 2 7 7 3" xfId="9884"/>
    <cellStyle name="Heading 1 2 2 2 5 2 2 7 8" xfId="9885"/>
    <cellStyle name="Heading 1 2 2 2 5 2 2 7 8 2" xfId="9886"/>
    <cellStyle name="Heading 1 2 2 2 5 2 2 7 9" xfId="9887"/>
    <cellStyle name="Heading 1 2 2 2 5 2 2 8" xfId="9888"/>
    <cellStyle name="Heading 1 2 2 2 5 2 2 8 2" xfId="9889"/>
    <cellStyle name="Heading 1 2 2 2 5 2 2 8 2 2" xfId="9890"/>
    <cellStyle name="Heading 1 2 2 2 5 2 2 8 2 2 2" xfId="9891"/>
    <cellStyle name="Heading 1 2 2 2 5 2 2 8 2 3" xfId="9892"/>
    <cellStyle name="Heading 1 2 2 2 5 2 2 8 3" xfId="9893"/>
    <cellStyle name="Heading 1 2 2 2 5 2 2 8 3 2" xfId="9894"/>
    <cellStyle name="Heading 1 2 2 2 5 2 2 8 3 2 2" xfId="9895"/>
    <cellStyle name="Heading 1 2 2 2 5 2 2 8 3 3" xfId="9896"/>
    <cellStyle name="Heading 1 2 2 2 5 2 2 8 4" xfId="9897"/>
    <cellStyle name="Heading 1 2 2 2 5 2 2 8 4 2" xfId="9898"/>
    <cellStyle name="Heading 1 2 2 2 5 2 2 8 4 2 2" xfId="9899"/>
    <cellStyle name="Heading 1 2 2 2 5 2 2 8 4 3" xfId="9900"/>
    <cellStyle name="Heading 1 2 2 2 5 2 2 8 5" xfId="9901"/>
    <cellStyle name="Heading 1 2 2 2 5 2 2 8 5 2" xfId="9902"/>
    <cellStyle name="Heading 1 2 2 2 5 2 2 8 5 2 2" xfId="9903"/>
    <cellStyle name="Heading 1 2 2 2 5 2 2 8 5 3" xfId="9904"/>
    <cellStyle name="Heading 1 2 2 2 5 2 2 8 6" xfId="9905"/>
    <cellStyle name="Heading 1 2 2 2 5 2 2 8 6 2" xfId="9906"/>
    <cellStyle name="Heading 1 2 2 2 5 2 2 8 6 2 2" xfId="9907"/>
    <cellStyle name="Heading 1 2 2 2 5 2 2 8 6 3" xfId="9908"/>
    <cellStyle name="Heading 1 2 2 2 5 2 2 8 7" xfId="9909"/>
    <cellStyle name="Heading 1 2 2 2 5 2 2 8 7 2" xfId="9910"/>
    <cellStyle name="Heading 1 2 2 2 5 2 2 8 7 2 2" xfId="9911"/>
    <cellStyle name="Heading 1 2 2 2 5 2 2 8 7 3" xfId="9912"/>
    <cellStyle name="Heading 1 2 2 2 5 2 2 8 8" xfId="9913"/>
    <cellStyle name="Heading 1 2 2 2 5 2 2 8 8 2" xfId="9914"/>
    <cellStyle name="Heading 1 2 2 2 5 2 2 8 9" xfId="9915"/>
    <cellStyle name="Heading 1 2 2 2 5 2 2 9" xfId="9916"/>
    <cellStyle name="Heading 1 2 2 2 5 2 2 9 2" xfId="9917"/>
    <cellStyle name="Heading 1 2 2 2 5 2 2 9 2 2" xfId="9918"/>
    <cellStyle name="Heading 1 2 2 2 5 2 2 9 3" xfId="9919"/>
    <cellStyle name="Heading 1 2 2 2 5 2 20" xfId="9920"/>
    <cellStyle name="Heading 1 2 2 2 5 2 20 2" xfId="9921"/>
    <cellStyle name="Heading 1 2 2 2 5 2 21" xfId="9922"/>
    <cellStyle name="Heading 1 2 2 2 5 2 21 2" xfId="9923"/>
    <cellStyle name="Heading 1 2 2 2 5 2 22" xfId="9924"/>
    <cellStyle name="Heading 1 2 2 2 5 2 22 2" xfId="9925"/>
    <cellStyle name="Heading 1 2 2 2 5 2 23" xfId="9926"/>
    <cellStyle name="Heading 1 2 2 2 5 2 3" xfId="9927"/>
    <cellStyle name="Heading 1 2 2 2 5 2 3 2" xfId="9928"/>
    <cellStyle name="Heading 1 2 2 2 5 2 3 2 2" xfId="9929"/>
    <cellStyle name="Heading 1 2 2 2 5 2 3 2 2 2" xfId="9930"/>
    <cellStyle name="Heading 1 2 2 2 5 2 3 2 3" xfId="9931"/>
    <cellStyle name="Heading 1 2 2 2 5 2 3 3" xfId="9932"/>
    <cellStyle name="Heading 1 2 2 2 5 2 3 3 2" xfId="9933"/>
    <cellStyle name="Heading 1 2 2 2 5 2 3 3 2 2" xfId="9934"/>
    <cellStyle name="Heading 1 2 2 2 5 2 3 3 3" xfId="9935"/>
    <cellStyle name="Heading 1 2 2 2 5 2 3 4" xfId="9936"/>
    <cellStyle name="Heading 1 2 2 2 5 2 3 4 2" xfId="9937"/>
    <cellStyle name="Heading 1 2 2 2 5 2 3 4 2 2" xfId="9938"/>
    <cellStyle name="Heading 1 2 2 2 5 2 3 4 3" xfId="9939"/>
    <cellStyle name="Heading 1 2 2 2 5 2 3 5" xfId="9940"/>
    <cellStyle name="Heading 1 2 2 2 5 2 3 5 2" xfId="9941"/>
    <cellStyle name="Heading 1 2 2 2 5 2 3 5 2 2" xfId="9942"/>
    <cellStyle name="Heading 1 2 2 2 5 2 3 5 3" xfId="9943"/>
    <cellStyle name="Heading 1 2 2 2 5 2 3 6" xfId="9944"/>
    <cellStyle name="Heading 1 2 2 2 5 2 3 6 2" xfId="9945"/>
    <cellStyle name="Heading 1 2 2 2 5 2 3 6 2 2" xfId="9946"/>
    <cellStyle name="Heading 1 2 2 2 5 2 3 6 3" xfId="9947"/>
    <cellStyle name="Heading 1 2 2 2 5 2 3 7" xfId="9948"/>
    <cellStyle name="Heading 1 2 2 2 5 2 3 7 2" xfId="9949"/>
    <cellStyle name="Heading 1 2 2 2 5 2 3 7 2 2" xfId="9950"/>
    <cellStyle name="Heading 1 2 2 2 5 2 3 7 3" xfId="9951"/>
    <cellStyle name="Heading 1 2 2 2 5 2 3 8" xfId="9952"/>
    <cellStyle name="Heading 1 2 2 2 5 2 3 8 2" xfId="9953"/>
    <cellStyle name="Heading 1 2 2 2 5 2 3 9" xfId="9954"/>
    <cellStyle name="Heading 1 2 2 2 5 2 4" xfId="9955"/>
    <cellStyle name="Heading 1 2 2 2 5 2 4 2" xfId="9956"/>
    <cellStyle name="Heading 1 2 2 2 5 2 4 2 2" xfId="9957"/>
    <cellStyle name="Heading 1 2 2 2 5 2 4 2 2 2" xfId="9958"/>
    <cellStyle name="Heading 1 2 2 2 5 2 4 2 3" xfId="9959"/>
    <cellStyle name="Heading 1 2 2 2 5 2 4 3" xfId="9960"/>
    <cellStyle name="Heading 1 2 2 2 5 2 4 3 2" xfId="9961"/>
    <cellStyle name="Heading 1 2 2 2 5 2 4 3 2 2" xfId="9962"/>
    <cellStyle name="Heading 1 2 2 2 5 2 4 3 3" xfId="9963"/>
    <cellStyle name="Heading 1 2 2 2 5 2 4 4" xfId="9964"/>
    <cellStyle name="Heading 1 2 2 2 5 2 4 4 2" xfId="9965"/>
    <cellStyle name="Heading 1 2 2 2 5 2 4 4 2 2" xfId="9966"/>
    <cellStyle name="Heading 1 2 2 2 5 2 4 4 3" xfId="9967"/>
    <cellStyle name="Heading 1 2 2 2 5 2 4 5" xfId="9968"/>
    <cellStyle name="Heading 1 2 2 2 5 2 4 5 2" xfId="9969"/>
    <cellStyle name="Heading 1 2 2 2 5 2 4 5 2 2" xfId="9970"/>
    <cellStyle name="Heading 1 2 2 2 5 2 4 5 3" xfId="9971"/>
    <cellStyle name="Heading 1 2 2 2 5 2 4 6" xfId="9972"/>
    <cellStyle name="Heading 1 2 2 2 5 2 4 6 2" xfId="9973"/>
    <cellStyle name="Heading 1 2 2 2 5 2 4 6 2 2" xfId="9974"/>
    <cellStyle name="Heading 1 2 2 2 5 2 4 6 3" xfId="9975"/>
    <cellStyle name="Heading 1 2 2 2 5 2 4 7" xfId="9976"/>
    <cellStyle name="Heading 1 2 2 2 5 2 4 7 2" xfId="9977"/>
    <cellStyle name="Heading 1 2 2 2 5 2 4 7 2 2" xfId="9978"/>
    <cellStyle name="Heading 1 2 2 2 5 2 4 7 3" xfId="9979"/>
    <cellStyle name="Heading 1 2 2 2 5 2 4 8" xfId="9980"/>
    <cellStyle name="Heading 1 2 2 2 5 2 4 8 2" xfId="9981"/>
    <cellStyle name="Heading 1 2 2 2 5 2 4 9" xfId="9982"/>
    <cellStyle name="Heading 1 2 2 2 5 2 5" xfId="9983"/>
    <cellStyle name="Heading 1 2 2 2 5 2 5 2" xfId="9984"/>
    <cellStyle name="Heading 1 2 2 2 5 2 5 2 2" xfId="9985"/>
    <cellStyle name="Heading 1 2 2 2 5 2 5 2 2 2" xfId="9986"/>
    <cellStyle name="Heading 1 2 2 2 5 2 5 2 3" xfId="9987"/>
    <cellStyle name="Heading 1 2 2 2 5 2 5 3" xfId="9988"/>
    <cellStyle name="Heading 1 2 2 2 5 2 5 3 2" xfId="9989"/>
    <cellStyle name="Heading 1 2 2 2 5 2 5 3 2 2" xfId="9990"/>
    <cellStyle name="Heading 1 2 2 2 5 2 5 3 3" xfId="9991"/>
    <cellStyle name="Heading 1 2 2 2 5 2 5 4" xfId="9992"/>
    <cellStyle name="Heading 1 2 2 2 5 2 5 4 2" xfId="9993"/>
    <cellStyle name="Heading 1 2 2 2 5 2 5 4 2 2" xfId="9994"/>
    <cellStyle name="Heading 1 2 2 2 5 2 5 4 3" xfId="9995"/>
    <cellStyle name="Heading 1 2 2 2 5 2 5 5" xfId="9996"/>
    <cellStyle name="Heading 1 2 2 2 5 2 5 5 2" xfId="9997"/>
    <cellStyle name="Heading 1 2 2 2 5 2 5 5 2 2" xfId="9998"/>
    <cellStyle name="Heading 1 2 2 2 5 2 5 5 3" xfId="9999"/>
    <cellStyle name="Heading 1 2 2 2 5 2 5 6" xfId="10000"/>
    <cellStyle name="Heading 1 2 2 2 5 2 5 6 2" xfId="10001"/>
    <cellStyle name="Heading 1 2 2 2 5 2 5 6 2 2" xfId="10002"/>
    <cellStyle name="Heading 1 2 2 2 5 2 5 6 3" xfId="10003"/>
    <cellStyle name="Heading 1 2 2 2 5 2 5 7" xfId="10004"/>
    <cellStyle name="Heading 1 2 2 2 5 2 5 7 2" xfId="10005"/>
    <cellStyle name="Heading 1 2 2 2 5 2 5 7 2 2" xfId="10006"/>
    <cellStyle name="Heading 1 2 2 2 5 2 5 7 3" xfId="10007"/>
    <cellStyle name="Heading 1 2 2 2 5 2 5 8" xfId="10008"/>
    <cellStyle name="Heading 1 2 2 2 5 2 5 8 2" xfId="10009"/>
    <cellStyle name="Heading 1 2 2 2 5 2 5 9" xfId="10010"/>
    <cellStyle name="Heading 1 2 2 2 5 2 6" xfId="10011"/>
    <cellStyle name="Heading 1 2 2 2 5 2 6 2" xfId="10012"/>
    <cellStyle name="Heading 1 2 2 2 5 2 6 2 2" xfId="10013"/>
    <cellStyle name="Heading 1 2 2 2 5 2 6 2 2 2" xfId="10014"/>
    <cellStyle name="Heading 1 2 2 2 5 2 6 2 3" xfId="10015"/>
    <cellStyle name="Heading 1 2 2 2 5 2 6 3" xfId="10016"/>
    <cellStyle name="Heading 1 2 2 2 5 2 6 3 2" xfId="10017"/>
    <cellStyle name="Heading 1 2 2 2 5 2 6 3 2 2" xfId="10018"/>
    <cellStyle name="Heading 1 2 2 2 5 2 6 3 3" xfId="10019"/>
    <cellStyle name="Heading 1 2 2 2 5 2 6 4" xfId="10020"/>
    <cellStyle name="Heading 1 2 2 2 5 2 6 4 2" xfId="10021"/>
    <cellStyle name="Heading 1 2 2 2 5 2 6 4 2 2" xfId="10022"/>
    <cellStyle name="Heading 1 2 2 2 5 2 6 4 3" xfId="10023"/>
    <cellStyle name="Heading 1 2 2 2 5 2 6 5" xfId="10024"/>
    <cellStyle name="Heading 1 2 2 2 5 2 6 5 2" xfId="10025"/>
    <cellStyle name="Heading 1 2 2 2 5 2 6 5 2 2" xfId="10026"/>
    <cellStyle name="Heading 1 2 2 2 5 2 6 5 3" xfId="10027"/>
    <cellStyle name="Heading 1 2 2 2 5 2 6 6" xfId="10028"/>
    <cellStyle name="Heading 1 2 2 2 5 2 6 6 2" xfId="10029"/>
    <cellStyle name="Heading 1 2 2 2 5 2 6 6 2 2" xfId="10030"/>
    <cellStyle name="Heading 1 2 2 2 5 2 6 6 3" xfId="10031"/>
    <cellStyle name="Heading 1 2 2 2 5 2 6 7" xfId="10032"/>
    <cellStyle name="Heading 1 2 2 2 5 2 6 7 2" xfId="10033"/>
    <cellStyle name="Heading 1 2 2 2 5 2 6 7 2 2" xfId="10034"/>
    <cellStyle name="Heading 1 2 2 2 5 2 6 7 3" xfId="10035"/>
    <cellStyle name="Heading 1 2 2 2 5 2 6 8" xfId="10036"/>
    <cellStyle name="Heading 1 2 2 2 5 2 6 8 2" xfId="10037"/>
    <cellStyle name="Heading 1 2 2 2 5 2 6 9" xfId="10038"/>
    <cellStyle name="Heading 1 2 2 2 5 2 7" xfId="10039"/>
    <cellStyle name="Heading 1 2 2 2 5 2 7 2" xfId="10040"/>
    <cellStyle name="Heading 1 2 2 2 5 2 7 2 2" xfId="10041"/>
    <cellStyle name="Heading 1 2 2 2 5 2 7 2 2 2" xfId="10042"/>
    <cellStyle name="Heading 1 2 2 2 5 2 7 2 3" xfId="10043"/>
    <cellStyle name="Heading 1 2 2 2 5 2 7 3" xfId="10044"/>
    <cellStyle name="Heading 1 2 2 2 5 2 7 3 2" xfId="10045"/>
    <cellStyle name="Heading 1 2 2 2 5 2 7 3 2 2" xfId="10046"/>
    <cellStyle name="Heading 1 2 2 2 5 2 7 3 3" xfId="10047"/>
    <cellStyle name="Heading 1 2 2 2 5 2 7 4" xfId="10048"/>
    <cellStyle name="Heading 1 2 2 2 5 2 7 4 2" xfId="10049"/>
    <cellStyle name="Heading 1 2 2 2 5 2 7 4 2 2" xfId="10050"/>
    <cellStyle name="Heading 1 2 2 2 5 2 7 4 3" xfId="10051"/>
    <cellStyle name="Heading 1 2 2 2 5 2 7 5" xfId="10052"/>
    <cellStyle name="Heading 1 2 2 2 5 2 7 5 2" xfId="10053"/>
    <cellStyle name="Heading 1 2 2 2 5 2 7 5 2 2" xfId="10054"/>
    <cellStyle name="Heading 1 2 2 2 5 2 7 5 3" xfId="10055"/>
    <cellStyle name="Heading 1 2 2 2 5 2 7 6" xfId="10056"/>
    <cellStyle name="Heading 1 2 2 2 5 2 7 6 2" xfId="10057"/>
    <cellStyle name="Heading 1 2 2 2 5 2 7 6 2 2" xfId="10058"/>
    <cellStyle name="Heading 1 2 2 2 5 2 7 6 3" xfId="10059"/>
    <cellStyle name="Heading 1 2 2 2 5 2 7 7" xfId="10060"/>
    <cellStyle name="Heading 1 2 2 2 5 2 7 7 2" xfId="10061"/>
    <cellStyle name="Heading 1 2 2 2 5 2 7 7 2 2" xfId="10062"/>
    <cellStyle name="Heading 1 2 2 2 5 2 7 7 3" xfId="10063"/>
    <cellStyle name="Heading 1 2 2 2 5 2 7 8" xfId="10064"/>
    <cellStyle name="Heading 1 2 2 2 5 2 7 8 2" xfId="10065"/>
    <cellStyle name="Heading 1 2 2 2 5 2 7 9" xfId="10066"/>
    <cellStyle name="Heading 1 2 2 2 5 2 8" xfId="10067"/>
    <cellStyle name="Heading 1 2 2 2 5 2 8 2" xfId="10068"/>
    <cellStyle name="Heading 1 2 2 2 5 2 8 2 2" xfId="10069"/>
    <cellStyle name="Heading 1 2 2 2 5 2 8 2 2 2" xfId="10070"/>
    <cellStyle name="Heading 1 2 2 2 5 2 8 2 3" xfId="10071"/>
    <cellStyle name="Heading 1 2 2 2 5 2 8 3" xfId="10072"/>
    <cellStyle name="Heading 1 2 2 2 5 2 8 3 2" xfId="10073"/>
    <cellStyle name="Heading 1 2 2 2 5 2 8 3 2 2" xfId="10074"/>
    <cellStyle name="Heading 1 2 2 2 5 2 8 3 3" xfId="10075"/>
    <cellStyle name="Heading 1 2 2 2 5 2 8 4" xfId="10076"/>
    <cellStyle name="Heading 1 2 2 2 5 2 8 4 2" xfId="10077"/>
    <cellStyle name="Heading 1 2 2 2 5 2 8 4 2 2" xfId="10078"/>
    <cellStyle name="Heading 1 2 2 2 5 2 8 4 3" xfId="10079"/>
    <cellStyle name="Heading 1 2 2 2 5 2 8 5" xfId="10080"/>
    <cellStyle name="Heading 1 2 2 2 5 2 8 5 2" xfId="10081"/>
    <cellStyle name="Heading 1 2 2 2 5 2 8 5 2 2" xfId="10082"/>
    <cellStyle name="Heading 1 2 2 2 5 2 8 5 3" xfId="10083"/>
    <cellStyle name="Heading 1 2 2 2 5 2 8 6" xfId="10084"/>
    <cellStyle name="Heading 1 2 2 2 5 2 8 6 2" xfId="10085"/>
    <cellStyle name="Heading 1 2 2 2 5 2 8 6 2 2" xfId="10086"/>
    <cellStyle name="Heading 1 2 2 2 5 2 8 6 3" xfId="10087"/>
    <cellStyle name="Heading 1 2 2 2 5 2 8 7" xfId="10088"/>
    <cellStyle name="Heading 1 2 2 2 5 2 8 7 2" xfId="10089"/>
    <cellStyle name="Heading 1 2 2 2 5 2 8 7 2 2" xfId="10090"/>
    <cellStyle name="Heading 1 2 2 2 5 2 8 7 3" xfId="10091"/>
    <cellStyle name="Heading 1 2 2 2 5 2 8 8" xfId="10092"/>
    <cellStyle name="Heading 1 2 2 2 5 2 8 8 2" xfId="10093"/>
    <cellStyle name="Heading 1 2 2 2 5 2 8 9" xfId="10094"/>
    <cellStyle name="Heading 1 2 2 2 5 2 9" xfId="10095"/>
    <cellStyle name="Heading 1 2 2 2 5 2 9 2" xfId="10096"/>
    <cellStyle name="Heading 1 2 2 2 5 2 9 2 2" xfId="10097"/>
    <cellStyle name="Heading 1 2 2 2 5 2 9 2 2 2" xfId="10098"/>
    <cellStyle name="Heading 1 2 2 2 5 2 9 2 3" xfId="10099"/>
    <cellStyle name="Heading 1 2 2 2 5 2 9 3" xfId="10100"/>
    <cellStyle name="Heading 1 2 2 2 5 2 9 3 2" xfId="10101"/>
    <cellStyle name="Heading 1 2 2 2 5 2 9 3 2 2" xfId="10102"/>
    <cellStyle name="Heading 1 2 2 2 5 2 9 3 3" xfId="10103"/>
    <cellStyle name="Heading 1 2 2 2 5 2 9 4" xfId="10104"/>
    <cellStyle name="Heading 1 2 2 2 5 2 9 4 2" xfId="10105"/>
    <cellStyle name="Heading 1 2 2 2 5 2 9 4 2 2" xfId="10106"/>
    <cellStyle name="Heading 1 2 2 2 5 2 9 4 3" xfId="10107"/>
    <cellStyle name="Heading 1 2 2 2 5 2 9 5" xfId="10108"/>
    <cellStyle name="Heading 1 2 2 2 5 2 9 5 2" xfId="10109"/>
    <cellStyle name="Heading 1 2 2 2 5 2 9 5 2 2" xfId="10110"/>
    <cellStyle name="Heading 1 2 2 2 5 2 9 5 3" xfId="10111"/>
    <cellStyle name="Heading 1 2 2 2 5 2 9 6" xfId="10112"/>
    <cellStyle name="Heading 1 2 2 2 5 2 9 6 2" xfId="10113"/>
    <cellStyle name="Heading 1 2 2 2 5 2 9 6 2 2" xfId="10114"/>
    <cellStyle name="Heading 1 2 2 2 5 2 9 6 3" xfId="10115"/>
    <cellStyle name="Heading 1 2 2 2 5 2 9 7" xfId="10116"/>
    <cellStyle name="Heading 1 2 2 2 5 2 9 7 2" xfId="10117"/>
    <cellStyle name="Heading 1 2 2 2 5 2 9 7 2 2" xfId="10118"/>
    <cellStyle name="Heading 1 2 2 2 5 2 9 7 3" xfId="10119"/>
    <cellStyle name="Heading 1 2 2 2 5 2 9 8" xfId="10120"/>
    <cellStyle name="Heading 1 2 2 2 5 2 9 8 2" xfId="10121"/>
    <cellStyle name="Heading 1 2 2 2 5 2 9 9" xfId="10122"/>
    <cellStyle name="Heading 1 2 2 2 5 3" xfId="10123"/>
    <cellStyle name="Heading 1 2 2 2 5 3 10" xfId="10124"/>
    <cellStyle name="Heading 1 2 2 2 5 3 10 2" xfId="10125"/>
    <cellStyle name="Heading 1 2 2 2 5 3 10 2 2" xfId="10126"/>
    <cellStyle name="Heading 1 2 2 2 5 3 10 3" xfId="10127"/>
    <cellStyle name="Heading 1 2 2 2 5 3 11" xfId="10128"/>
    <cellStyle name="Heading 1 2 2 2 5 3 11 2" xfId="10129"/>
    <cellStyle name="Heading 1 2 2 2 5 3 11 2 2" xfId="10130"/>
    <cellStyle name="Heading 1 2 2 2 5 3 11 3" xfId="10131"/>
    <cellStyle name="Heading 1 2 2 2 5 3 12" xfId="10132"/>
    <cellStyle name="Heading 1 2 2 2 5 3 12 2" xfId="10133"/>
    <cellStyle name="Heading 1 2 2 2 5 3 12 2 2" xfId="10134"/>
    <cellStyle name="Heading 1 2 2 2 5 3 12 3" xfId="10135"/>
    <cellStyle name="Heading 1 2 2 2 5 3 13" xfId="10136"/>
    <cellStyle name="Heading 1 2 2 2 5 3 13 2" xfId="10137"/>
    <cellStyle name="Heading 1 2 2 2 5 3 13 2 2" xfId="10138"/>
    <cellStyle name="Heading 1 2 2 2 5 3 13 3" xfId="10139"/>
    <cellStyle name="Heading 1 2 2 2 5 3 14" xfId="10140"/>
    <cellStyle name="Heading 1 2 2 2 5 3 14 2" xfId="10141"/>
    <cellStyle name="Heading 1 2 2 2 5 3 14 2 2" xfId="10142"/>
    <cellStyle name="Heading 1 2 2 2 5 3 14 3" xfId="10143"/>
    <cellStyle name="Heading 1 2 2 2 5 3 15" xfId="10144"/>
    <cellStyle name="Heading 1 2 2 2 5 3 15 2" xfId="10145"/>
    <cellStyle name="Heading 1 2 2 2 5 3 15 2 2" xfId="10146"/>
    <cellStyle name="Heading 1 2 2 2 5 3 15 3" xfId="10147"/>
    <cellStyle name="Heading 1 2 2 2 5 3 16" xfId="10148"/>
    <cellStyle name="Heading 1 2 2 2 5 3 16 2" xfId="10149"/>
    <cellStyle name="Heading 1 2 2 2 5 3 16 2 2" xfId="10150"/>
    <cellStyle name="Heading 1 2 2 2 5 3 16 3" xfId="10151"/>
    <cellStyle name="Heading 1 2 2 2 5 3 17" xfId="10152"/>
    <cellStyle name="Heading 1 2 2 2 5 3 17 2" xfId="10153"/>
    <cellStyle name="Heading 1 2 2 2 5 3 17 2 2" xfId="10154"/>
    <cellStyle name="Heading 1 2 2 2 5 3 17 3" xfId="10155"/>
    <cellStyle name="Heading 1 2 2 2 5 3 18" xfId="10156"/>
    <cellStyle name="Heading 1 2 2 2 5 3 18 2" xfId="10157"/>
    <cellStyle name="Heading 1 2 2 2 5 3 18 2 2" xfId="10158"/>
    <cellStyle name="Heading 1 2 2 2 5 3 18 3" xfId="10159"/>
    <cellStyle name="Heading 1 2 2 2 5 3 19" xfId="10160"/>
    <cellStyle name="Heading 1 2 2 2 5 3 19 2" xfId="10161"/>
    <cellStyle name="Heading 1 2 2 2 5 3 2" xfId="10162"/>
    <cellStyle name="Heading 1 2 2 2 5 3 2 2" xfId="10163"/>
    <cellStyle name="Heading 1 2 2 2 5 3 2 2 2" xfId="10164"/>
    <cellStyle name="Heading 1 2 2 2 5 3 2 2 2 2" xfId="10165"/>
    <cellStyle name="Heading 1 2 2 2 5 3 2 2 3" xfId="10166"/>
    <cellStyle name="Heading 1 2 2 2 5 3 2 3" xfId="10167"/>
    <cellStyle name="Heading 1 2 2 2 5 3 2 3 2" xfId="10168"/>
    <cellStyle name="Heading 1 2 2 2 5 3 2 3 2 2" xfId="10169"/>
    <cellStyle name="Heading 1 2 2 2 5 3 2 3 3" xfId="10170"/>
    <cellStyle name="Heading 1 2 2 2 5 3 2 4" xfId="10171"/>
    <cellStyle name="Heading 1 2 2 2 5 3 2 4 2" xfId="10172"/>
    <cellStyle name="Heading 1 2 2 2 5 3 2 4 2 2" xfId="10173"/>
    <cellStyle name="Heading 1 2 2 2 5 3 2 4 3" xfId="10174"/>
    <cellStyle name="Heading 1 2 2 2 5 3 2 5" xfId="10175"/>
    <cellStyle name="Heading 1 2 2 2 5 3 2 5 2" xfId="10176"/>
    <cellStyle name="Heading 1 2 2 2 5 3 2 5 2 2" xfId="10177"/>
    <cellStyle name="Heading 1 2 2 2 5 3 2 5 3" xfId="10178"/>
    <cellStyle name="Heading 1 2 2 2 5 3 2 6" xfId="10179"/>
    <cellStyle name="Heading 1 2 2 2 5 3 2 6 2" xfId="10180"/>
    <cellStyle name="Heading 1 2 2 2 5 3 2 6 2 2" xfId="10181"/>
    <cellStyle name="Heading 1 2 2 2 5 3 2 6 3" xfId="10182"/>
    <cellStyle name="Heading 1 2 2 2 5 3 2 7" xfId="10183"/>
    <cellStyle name="Heading 1 2 2 2 5 3 2 7 2" xfId="10184"/>
    <cellStyle name="Heading 1 2 2 2 5 3 2 7 2 2" xfId="10185"/>
    <cellStyle name="Heading 1 2 2 2 5 3 2 7 3" xfId="10186"/>
    <cellStyle name="Heading 1 2 2 2 5 3 2 8" xfId="10187"/>
    <cellStyle name="Heading 1 2 2 2 5 3 2 8 2" xfId="10188"/>
    <cellStyle name="Heading 1 2 2 2 5 3 2 9" xfId="10189"/>
    <cellStyle name="Heading 1 2 2 2 5 3 20" xfId="10190"/>
    <cellStyle name="Heading 1 2 2 2 5 3 20 2" xfId="10191"/>
    <cellStyle name="Heading 1 2 2 2 5 3 21" xfId="10192"/>
    <cellStyle name="Heading 1 2 2 2 5 3 21 2" xfId="10193"/>
    <cellStyle name="Heading 1 2 2 2 5 3 22" xfId="10194"/>
    <cellStyle name="Heading 1 2 2 2 5 3 3" xfId="10195"/>
    <cellStyle name="Heading 1 2 2 2 5 3 3 2" xfId="10196"/>
    <cellStyle name="Heading 1 2 2 2 5 3 3 2 2" xfId="10197"/>
    <cellStyle name="Heading 1 2 2 2 5 3 3 2 2 2" xfId="10198"/>
    <cellStyle name="Heading 1 2 2 2 5 3 3 2 3" xfId="10199"/>
    <cellStyle name="Heading 1 2 2 2 5 3 3 3" xfId="10200"/>
    <cellStyle name="Heading 1 2 2 2 5 3 3 3 2" xfId="10201"/>
    <cellStyle name="Heading 1 2 2 2 5 3 3 3 2 2" xfId="10202"/>
    <cellStyle name="Heading 1 2 2 2 5 3 3 3 3" xfId="10203"/>
    <cellStyle name="Heading 1 2 2 2 5 3 3 4" xfId="10204"/>
    <cellStyle name="Heading 1 2 2 2 5 3 3 4 2" xfId="10205"/>
    <cellStyle name="Heading 1 2 2 2 5 3 3 4 2 2" xfId="10206"/>
    <cellStyle name="Heading 1 2 2 2 5 3 3 4 3" xfId="10207"/>
    <cellStyle name="Heading 1 2 2 2 5 3 3 5" xfId="10208"/>
    <cellStyle name="Heading 1 2 2 2 5 3 3 5 2" xfId="10209"/>
    <cellStyle name="Heading 1 2 2 2 5 3 3 5 2 2" xfId="10210"/>
    <cellStyle name="Heading 1 2 2 2 5 3 3 5 3" xfId="10211"/>
    <cellStyle name="Heading 1 2 2 2 5 3 3 6" xfId="10212"/>
    <cellStyle name="Heading 1 2 2 2 5 3 3 6 2" xfId="10213"/>
    <cellStyle name="Heading 1 2 2 2 5 3 3 6 2 2" xfId="10214"/>
    <cellStyle name="Heading 1 2 2 2 5 3 3 6 3" xfId="10215"/>
    <cellStyle name="Heading 1 2 2 2 5 3 3 7" xfId="10216"/>
    <cellStyle name="Heading 1 2 2 2 5 3 3 7 2" xfId="10217"/>
    <cellStyle name="Heading 1 2 2 2 5 3 3 7 2 2" xfId="10218"/>
    <cellStyle name="Heading 1 2 2 2 5 3 3 7 3" xfId="10219"/>
    <cellStyle name="Heading 1 2 2 2 5 3 3 8" xfId="10220"/>
    <cellStyle name="Heading 1 2 2 2 5 3 3 8 2" xfId="10221"/>
    <cellStyle name="Heading 1 2 2 2 5 3 3 9" xfId="10222"/>
    <cellStyle name="Heading 1 2 2 2 5 3 4" xfId="10223"/>
    <cellStyle name="Heading 1 2 2 2 5 3 4 2" xfId="10224"/>
    <cellStyle name="Heading 1 2 2 2 5 3 4 2 2" xfId="10225"/>
    <cellStyle name="Heading 1 2 2 2 5 3 4 2 2 2" xfId="10226"/>
    <cellStyle name="Heading 1 2 2 2 5 3 4 2 3" xfId="10227"/>
    <cellStyle name="Heading 1 2 2 2 5 3 4 3" xfId="10228"/>
    <cellStyle name="Heading 1 2 2 2 5 3 4 3 2" xfId="10229"/>
    <cellStyle name="Heading 1 2 2 2 5 3 4 3 2 2" xfId="10230"/>
    <cellStyle name="Heading 1 2 2 2 5 3 4 3 3" xfId="10231"/>
    <cellStyle name="Heading 1 2 2 2 5 3 4 4" xfId="10232"/>
    <cellStyle name="Heading 1 2 2 2 5 3 4 4 2" xfId="10233"/>
    <cellStyle name="Heading 1 2 2 2 5 3 4 4 2 2" xfId="10234"/>
    <cellStyle name="Heading 1 2 2 2 5 3 4 4 3" xfId="10235"/>
    <cellStyle name="Heading 1 2 2 2 5 3 4 5" xfId="10236"/>
    <cellStyle name="Heading 1 2 2 2 5 3 4 5 2" xfId="10237"/>
    <cellStyle name="Heading 1 2 2 2 5 3 4 5 2 2" xfId="10238"/>
    <cellStyle name="Heading 1 2 2 2 5 3 4 5 3" xfId="10239"/>
    <cellStyle name="Heading 1 2 2 2 5 3 4 6" xfId="10240"/>
    <cellStyle name="Heading 1 2 2 2 5 3 4 6 2" xfId="10241"/>
    <cellStyle name="Heading 1 2 2 2 5 3 4 6 2 2" xfId="10242"/>
    <cellStyle name="Heading 1 2 2 2 5 3 4 6 3" xfId="10243"/>
    <cellStyle name="Heading 1 2 2 2 5 3 4 7" xfId="10244"/>
    <cellStyle name="Heading 1 2 2 2 5 3 4 7 2" xfId="10245"/>
    <cellStyle name="Heading 1 2 2 2 5 3 4 7 2 2" xfId="10246"/>
    <cellStyle name="Heading 1 2 2 2 5 3 4 7 3" xfId="10247"/>
    <cellStyle name="Heading 1 2 2 2 5 3 4 8" xfId="10248"/>
    <cellStyle name="Heading 1 2 2 2 5 3 4 8 2" xfId="10249"/>
    <cellStyle name="Heading 1 2 2 2 5 3 4 9" xfId="10250"/>
    <cellStyle name="Heading 1 2 2 2 5 3 5" xfId="10251"/>
    <cellStyle name="Heading 1 2 2 2 5 3 5 2" xfId="10252"/>
    <cellStyle name="Heading 1 2 2 2 5 3 5 2 2" xfId="10253"/>
    <cellStyle name="Heading 1 2 2 2 5 3 5 2 2 2" xfId="10254"/>
    <cellStyle name="Heading 1 2 2 2 5 3 5 2 3" xfId="10255"/>
    <cellStyle name="Heading 1 2 2 2 5 3 5 3" xfId="10256"/>
    <cellStyle name="Heading 1 2 2 2 5 3 5 3 2" xfId="10257"/>
    <cellStyle name="Heading 1 2 2 2 5 3 5 3 2 2" xfId="10258"/>
    <cellStyle name="Heading 1 2 2 2 5 3 5 3 3" xfId="10259"/>
    <cellStyle name="Heading 1 2 2 2 5 3 5 4" xfId="10260"/>
    <cellStyle name="Heading 1 2 2 2 5 3 5 4 2" xfId="10261"/>
    <cellStyle name="Heading 1 2 2 2 5 3 5 4 2 2" xfId="10262"/>
    <cellStyle name="Heading 1 2 2 2 5 3 5 4 3" xfId="10263"/>
    <cellStyle name="Heading 1 2 2 2 5 3 5 5" xfId="10264"/>
    <cellStyle name="Heading 1 2 2 2 5 3 5 5 2" xfId="10265"/>
    <cellStyle name="Heading 1 2 2 2 5 3 5 5 2 2" xfId="10266"/>
    <cellStyle name="Heading 1 2 2 2 5 3 5 5 3" xfId="10267"/>
    <cellStyle name="Heading 1 2 2 2 5 3 5 6" xfId="10268"/>
    <cellStyle name="Heading 1 2 2 2 5 3 5 6 2" xfId="10269"/>
    <cellStyle name="Heading 1 2 2 2 5 3 5 6 2 2" xfId="10270"/>
    <cellStyle name="Heading 1 2 2 2 5 3 5 6 3" xfId="10271"/>
    <cellStyle name="Heading 1 2 2 2 5 3 5 7" xfId="10272"/>
    <cellStyle name="Heading 1 2 2 2 5 3 5 7 2" xfId="10273"/>
    <cellStyle name="Heading 1 2 2 2 5 3 5 7 2 2" xfId="10274"/>
    <cellStyle name="Heading 1 2 2 2 5 3 5 7 3" xfId="10275"/>
    <cellStyle name="Heading 1 2 2 2 5 3 5 8" xfId="10276"/>
    <cellStyle name="Heading 1 2 2 2 5 3 5 8 2" xfId="10277"/>
    <cellStyle name="Heading 1 2 2 2 5 3 5 9" xfId="10278"/>
    <cellStyle name="Heading 1 2 2 2 5 3 6" xfId="10279"/>
    <cellStyle name="Heading 1 2 2 2 5 3 6 2" xfId="10280"/>
    <cellStyle name="Heading 1 2 2 2 5 3 6 2 2" xfId="10281"/>
    <cellStyle name="Heading 1 2 2 2 5 3 6 2 2 2" xfId="10282"/>
    <cellStyle name="Heading 1 2 2 2 5 3 6 2 3" xfId="10283"/>
    <cellStyle name="Heading 1 2 2 2 5 3 6 3" xfId="10284"/>
    <cellStyle name="Heading 1 2 2 2 5 3 6 3 2" xfId="10285"/>
    <cellStyle name="Heading 1 2 2 2 5 3 6 3 2 2" xfId="10286"/>
    <cellStyle name="Heading 1 2 2 2 5 3 6 3 3" xfId="10287"/>
    <cellStyle name="Heading 1 2 2 2 5 3 6 4" xfId="10288"/>
    <cellStyle name="Heading 1 2 2 2 5 3 6 4 2" xfId="10289"/>
    <cellStyle name="Heading 1 2 2 2 5 3 6 4 2 2" xfId="10290"/>
    <cellStyle name="Heading 1 2 2 2 5 3 6 4 3" xfId="10291"/>
    <cellStyle name="Heading 1 2 2 2 5 3 6 5" xfId="10292"/>
    <cellStyle name="Heading 1 2 2 2 5 3 6 5 2" xfId="10293"/>
    <cellStyle name="Heading 1 2 2 2 5 3 6 5 2 2" xfId="10294"/>
    <cellStyle name="Heading 1 2 2 2 5 3 6 5 3" xfId="10295"/>
    <cellStyle name="Heading 1 2 2 2 5 3 6 6" xfId="10296"/>
    <cellStyle name="Heading 1 2 2 2 5 3 6 6 2" xfId="10297"/>
    <cellStyle name="Heading 1 2 2 2 5 3 6 6 2 2" xfId="10298"/>
    <cellStyle name="Heading 1 2 2 2 5 3 6 6 3" xfId="10299"/>
    <cellStyle name="Heading 1 2 2 2 5 3 6 7" xfId="10300"/>
    <cellStyle name="Heading 1 2 2 2 5 3 6 7 2" xfId="10301"/>
    <cellStyle name="Heading 1 2 2 2 5 3 6 7 2 2" xfId="10302"/>
    <cellStyle name="Heading 1 2 2 2 5 3 6 7 3" xfId="10303"/>
    <cellStyle name="Heading 1 2 2 2 5 3 6 8" xfId="10304"/>
    <cellStyle name="Heading 1 2 2 2 5 3 6 8 2" xfId="10305"/>
    <cellStyle name="Heading 1 2 2 2 5 3 6 9" xfId="10306"/>
    <cellStyle name="Heading 1 2 2 2 5 3 7" xfId="10307"/>
    <cellStyle name="Heading 1 2 2 2 5 3 7 2" xfId="10308"/>
    <cellStyle name="Heading 1 2 2 2 5 3 7 2 2" xfId="10309"/>
    <cellStyle name="Heading 1 2 2 2 5 3 7 2 2 2" xfId="10310"/>
    <cellStyle name="Heading 1 2 2 2 5 3 7 2 3" xfId="10311"/>
    <cellStyle name="Heading 1 2 2 2 5 3 7 3" xfId="10312"/>
    <cellStyle name="Heading 1 2 2 2 5 3 7 3 2" xfId="10313"/>
    <cellStyle name="Heading 1 2 2 2 5 3 7 3 2 2" xfId="10314"/>
    <cellStyle name="Heading 1 2 2 2 5 3 7 3 3" xfId="10315"/>
    <cellStyle name="Heading 1 2 2 2 5 3 7 4" xfId="10316"/>
    <cellStyle name="Heading 1 2 2 2 5 3 7 4 2" xfId="10317"/>
    <cellStyle name="Heading 1 2 2 2 5 3 7 4 2 2" xfId="10318"/>
    <cellStyle name="Heading 1 2 2 2 5 3 7 4 3" xfId="10319"/>
    <cellStyle name="Heading 1 2 2 2 5 3 7 5" xfId="10320"/>
    <cellStyle name="Heading 1 2 2 2 5 3 7 5 2" xfId="10321"/>
    <cellStyle name="Heading 1 2 2 2 5 3 7 5 2 2" xfId="10322"/>
    <cellStyle name="Heading 1 2 2 2 5 3 7 5 3" xfId="10323"/>
    <cellStyle name="Heading 1 2 2 2 5 3 7 6" xfId="10324"/>
    <cellStyle name="Heading 1 2 2 2 5 3 7 6 2" xfId="10325"/>
    <cellStyle name="Heading 1 2 2 2 5 3 7 6 2 2" xfId="10326"/>
    <cellStyle name="Heading 1 2 2 2 5 3 7 6 3" xfId="10327"/>
    <cellStyle name="Heading 1 2 2 2 5 3 7 7" xfId="10328"/>
    <cellStyle name="Heading 1 2 2 2 5 3 7 7 2" xfId="10329"/>
    <cellStyle name="Heading 1 2 2 2 5 3 7 7 2 2" xfId="10330"/>
    <cellStyle name="Heading 1 2 2 2 5 3 7 7 3" xfId="10331"/>
    <cellStyle name="Heading 1 2 2 2 5 3 7 8" xfId="10332"/>
    <cellStyle name="Heading 1 2 2 2 5 3 7 8 2" xfId="10333"/>
    <cellStyle name="Heading 1 2 2 2 5 3 7 9" xfId="10334"/>
    <cellStyle name="Heading 1 2 2 2 5 3 8" xfId="10335"/>
    <cellStyle name="Heading 1 2 2 2 5 3 8 2" xfId="10336"/>
    <cellStyle name="Heading 1 2 2 2 5 3 8 2 2" xfId="10337"/>
    <cellStyle name="Heading 1 2 2 2 5 3 8 2 2 2" xfId="10338"/>
    <cellStyle name="Heading 1 2 2 2 5 3 8 2 3" xfId="10339"/>
    <cellStyle name="Heading 1 2 2 2 5 3 8 3" xfId="10340"/>
    <cellStyle name="Heading 1 2 2 2 5 3 8 3 2" xfId="10341"/>
    <cellStyle name="Heading 1 2 2 2 5 3 8 3 2 2" xfId="10342"/>
    <cellStyle name="Heading 1 2 2 2 5 3 8 3 3" xfId="10343"/>
    <cellStyle name="Heading 1 2 2 2 5 3 8 4" xfId="10344"/>
    <cellStyle name="Heading 1 2 2 2 5 3 8 4 2" xfId="10345"/>
    <cellStyle name="Heading 1 2 2 2 5 3 8 4 2 2" xfId="10346"/>
    <cellStyle name="Heading 1 2 2 2 5 3 8 4 3" xfId="10347"/>
    <cellStyle name="Heading 1 2 2 2 5 3 8 5" xfId="10348"/>
    <cellStyle name="Heading 1 2 2 2 5 3 8 5 2" xfId="10349"/>
    <cellStyle name="Heading 1 2 2 2 5 3 8 5 2 2" xfId="10350"/>
    <cellStyle name="Heading 1 2 2 2 5 3 8 5 3" xfId="10351"/>
    <cellStyle name="Heading 1 2 2 2 5 3 8 6" xfId="10352"/>
    <cellStyle name="Heading 1 2 2 2 5 3 8 6 2" xfId="10353"/>
    <cellStyle name="Heading 1 2 2 2 5 3 8 6 2 2" xfId="10354"/>
    <cellStyle name="Heading 1 2 2 2 5 3 8 6 3" xfId="10355"/>
    <cellStyle name="Heading 1 2 2 2 5 3 8 7" xfId="10356"/>
    <cellStyle name="Heading 1 2 2 2 5 3 8 7 2" xfId="10357"/>
    <cellStyle name="Heading 1 2 2 2 5 3 8 7 2 2" xfId="10358"/>
    <cellStyle name="Heading 1 2 2 2 5 3 8 7 3" xfId="10359"/>
    <cellStyle name="Heading 1 2 2 2 5 3 8 8" xfId="10360"/>
    <cellStyle name="Heading 1 2 2 2 5 3 8 8 2" xfId="10361"/>
    <cellStyle name="Heading 1 2 2 2 5 3 8 9" xfId="10362"/>
    <cellStyle name="Heading 1 2 2 2 5 3 9" xfId="10363"/>
    <cellStyle name="Heading 1 2 2 2 5 3 9 2" xfId="10364"/>
    <cellStyle name="Heading 1 2 2 2 5 3 9 2 2" xfId="10365"/>
    <cellStyle name="Heading 1 2 2 2 5 3 9 3" xfId="10366"/>
    <cellStyle name="Heading 1 2 2 2 5 4" xfId="10367"/>
    <cellStyle name="Heading 1 2 2 2 5 4 2" xfId="10368"/>
    <cellStyle name="Heading 1 2 2 2 5 4 2 2" xfId="10369"/>
    <cellStyle name="Heading 1 2 2 2 5 4 3" xfId="10370"/>
    <cellStyle name="Heading 1 2 2 2 5 5" xfId="10371"/>
    <cellStyle name="Heading 1 2 2 2 5 5 2" xfId="10372"/>
    <cellStyle name="Heading 1 2 2 2 5 6" xfId="10373"/>
    <cellStyle name="Heading 1 2 2 2 6" xfId="10374"/>
    <cellStyle name="Heading 1 2 2 2 6 2" xfId="10375"/>
    <cellStyle name="Heading 1 2 2 2 6 2 10" xfId="10376"/>
    <cellStyle name="Heading 1 2 2 2 6 2 10 2" xfId="10377"/>
    <cellStyle name="Heading 1 2 2 2 6 2 10 2 2" xfId="10378"/>
    <cellStyle name="Heading 1 2 2 2 6 2 10 3" xfId="10379"/>
    <cellStyle name="Heading 1 2 2 2 6 2 11" xfId="10380"/>
    <cellStyle name="Heading 1 2 2 2 6 2 11 2" xfId="10381"/>
    <cellStyle name="Heading 1 2 2 2 6 2 11 2 2" xfId="10382"/>
    <cellStyle name="Heading 1 2 2 2 6 2 11 3" xfId="10383"/>
    <cellStyle name="Heading 1 2 2 2 6 2 12" xfId="10384"/>
    <cellStyle name="Heading 1 2 2 2 6 2 12 2" xfId="10385"/>
    <cellStyle name="Heading 1 2 2 2 6 2 12 2 2" xfId="10386"/>
    <cellStyle name="Heading 1 2 2 2 6 2 12 3" xfId="10387"/>
    <cellStyle name="Heading 1 2 2 2 6 2 13" xfId="10388"/>
    <cellStyle name="Heading 1 2 2 2 6 2 13 2" xfId="10389"/>
    <cellStyle name="Heading 1 2 2 2 6 2 13 2 2" xfId="10390"/>
    <cellStyle name="Heading 1 2 2 2 6 2 13 3" xfId="10391"/>
    <cellStyle name="Heading 1 2 2 2 6 2 14" xfId="10392"/>
    <cellStyle name="Heading 1 2 2 2 6 2 14 2" xfId="10393"/>
    <cellStyle name="Heading 1 2 2 2 6 2 14 2 2" xfId="10394"/>
    <cellStyle name="Heading 1 2 2 2 6 2 14 3" xfId="10395"/>
    <cellStyle name="Heading 1 2 2 2 6 2 15" xfId="10396"/>
    <cellStyle name="Heading 1 2 2 2 6 2 15 2" xfId="10397"/>
    <cellStyle name="Heading 1 2 2 2 6 2 15 2 2" xfId="10398"/>
    <cellStyle name="Heading 1 2 2 2 6 2 15 3" xfId="10399"/>
    <cellStyle name="Heading 1 2 2 2 6 2 16" xfId="10400"/>
    <cellStyle name="Heading 1 2 2 2 6 2 16 2" xfId="10401"/>
    <cellStyle name="Heading 1 2 2 2 6 2 16 2 2" xfId="10402"/>
    <cellStyle name="Heading 1 2 2 2 6 2 16 3" xfId="10403"/>
    <cellStyle name="Heading 1 2 2 2 6 2 17" xfId="10404"/>
    <cellStyle name="Heading 1 2 2 2 6 2 17 2" xfId="10405"/>
    <cellStyle name="Heading 1 2 2 2 6 2 17 2 2" xfId="10406"/>
    <cellStyle name="Heading 1 2 2 2 6 2 17 3" xfId="10407"/>
    <cellStyle name="Heading 1 2 2 2 6 2 18" xfId="10408"/>
    <cellStyle name="Heading 1 2 2 2 6 2 18 2" xfId="10409"/>
    <cellStyle name="Heading 1 2 2 2 6 2 18 2 2" xfId="10410"/>
    <cellStyle name="Heading 1 2 2 2 6 2 18 3" xfId="10411"/>
    <cellStyle name="Heading 1 2 2 2 6 2 19" xfId="10412"/>
    <cellStyle name="Heading 1 2 2 2 6 2 19 2" xfId="10413"/>
    <cellStyle name="Heading 1 2 2 2 6 2 19 2 2" xfId="10414"/>
    <cellStyle name="Heading 1 2 2 2 6 2 19 3" xfId="10415"/>
    <cellStyle name="Heading 1 2 2 2 6 2 2" xfId="10416"/>
    <cellStyle name="Heading 1 2 2 2 6 2 2 10" xfId="10417"/>
    <cellStyle name="Heading 1 2 2 2 6 2 2 10 2" xfId="10418"/>
    <cellStyle name="Heading 1 2 2 2 6 2 2 10 2 2" xfId="10419"/>
    <cellStyle name="Heading 1 2 2 2 6 2 2 10 3" xfId="10420"/>
    <cellStyle name="Heading 1 2 2 2 6 2 2 11" xfId="10421"/>
    <cellStyle name="Heading 1 2 2 2 6 2 2 11 2" xfId="10422"/>
    <cellStyle name="Heading 1 2 2 2 6 2 2 11 2 2" xfId="10423"/>
    <cellStyle name="Heading 1 2 2 2 6 2 2 11 3" xfId="10424"/>
    <cellStyle name="Heading 1 2 2 2 6 2 2 12" xfId="10425"/>
    <cellStyle name="Heading 1 2 2 2 6 2 2 12 2" xfId="10426"/>
    <cellStyle name="Heading 1 2 2 2 6 2 2 12 2 2" xfId="10427"/>
    <cellStyle name="Heading 1 2 2 2 6 2 2 12 3" xfId="10428"/>
    <cellStyle name="Heading 1 2 2 2 6 2 2 13" xfId="10429"/>
    <cellStyle name="Heading 1 2 2 2 6 2 2 13 2" xfId="10430"/>
    <cellStyle name="Heading 1 2 2 2 6 2 2 13 2 2" xfId="10431"/>
    <cellStyle name="Heading 1 2 2 2 6 2 2 13 3" xfId="10432"/>
    <cellStyle name="Heading 1 2 2 2 6 2 2 14" xfId="10433"/>
    <cellStyle name="Heading 1 2 2 2 6 2 2 14 2" xfId="10434"/>
    <cellStyle name="Heading 1 2 2 2 6 2 2 14 2 2" xfId="10435"/>
    <cellStyle name="Heading 1 2 2 2 6 2 2 14 3" xfId="10436"/>
    <cellStyle name="Heading 1 2 2 2 6 2 2 15" xfId="10437"/>
    <cellStyle name="Heading 1 2 2 2 6 2 2 15 2" xfId="10438"/>
    <cellStyle name="Heading 1 2 2 2 6 2 2 15 2 2" xfId="10439"/>
    <cellStyle name="Heading 1 2 2 2 6 2 2 15 3" xfId="10440"/>
    <cellStyle name="Heading 1 2 2 2 6 2 2 16" xfId="10441"/>
    <cellStyle name="Heading 1 2 2 2 6 2 2 16 2" xfId="10442"/>
    <cellStyle name="Heading 1 2 2 2 6 2 2 16 2 2" xfId="10443"/>
    <cellStyle name="Heading 1 2 2 2 6 2 2 16 3" xfId="10444"/>
    <cellStyle name="Heading 1 2 2 2 6 2 2 17" xfId="10445"/>
    <cellStyle name="Heading 1 2 2 2 6 2 2 17 2" xfId="10446"/>
    <cellStyle name="Heading 1 2 2 2 6 2 2 17 2 2" xfId="10447"/>
    <cellStyle name="Heading 1 2 2 2 6 2 2 17 3" xfId="10448"/>
    <cellStyle name="Heading 1 2 2 2 6 2 2 18" xfId="10449"/>
    <cellStyle name="Heading 1 2 2 2 6 2 2 18 2" xfId="10450"/>
    <cellStyle name="Heading 1 2 2 2 6 2 2 18 2 2" xfId="10451"/>
    <cellStyle name="Heading 1 2 2 2 6 2 2 18 3" xfId="10452"/>
    <cellStyle name="Heading 1 2 2 2 6 2 2 19" xfId="10453"/>
    <cellStyle name="Heading 1 2 2 2 6 2 2 19 2" xfId="10454"/>
    <cellStyle name="Heading 1 2 2 2 6 2 2 2" xfId="10455"/>
    <cellStyle name="Heading 1 2 2 2 6 2 2 2 2" xfId="10456"/>
    <cellStyle name="Heading 1 2 2 2 6 2 2 2 2 2" xfId="10457"/>
    <cellStyle name="Heading 1 2 2 2 6 2 2 2 2 2 2" xfId="10458"/>
    <cellStyle name="Heading 1 2 2 2 6 2 2 2 2 3" xfId="10459"/>
    <cellStyle name="Heading 1 2 2 2 6 2 2 2 3" xfId="10460"/>
    <cellStyle name="Heading 1 2 2 2 6 2 2 2 3 2" xfId="10461"/>
    <cellStyle name="Heading 1 2 2 2 6 2 2 2 3 2 2" xfId="10462"/>
    <cellStyle name="Heading 1 2 2 2 6 2 2 2 3 3" xfId="10463"/>
    <cellStyle name="Heading 1 2 2 2 6 2 2 2 4" xfId="10464"/>
    <cellStyle name="Heading 1 2 2 2 6 2 2 2 4 2" xfId="10465"/>
    <cellStyle name="Heading 1 2 2 2 6 2 2 2 4 2 2" xfId="10466"/>
    <cellStyle name="Heading 1 2 2 2 6 2 2 2 4 3" xfId="10467"/>
    <cellStyle name="Heading 1 2 2 2 6 2 2 2 5" xfId="10468"/>
    <cellStyle name="Heading 1 2 2 2 6 2 2 2 5 2" xfId="10469"/>
    <cellStyle name="Heading 1 2 2 2 6 2 2 2 5 2 2" xfId="10470"/>
    <cellStyle name="Heading 1 2 2 2 6 2 2 2 5 3" xfId="10471"/>
    <cellStyle name="Heading 1 2 2 2 6 2 2 2 6" xfId="10472"/>
    <cellStyle name="Heading 1 2 2 2 6 2 2 2 6 2" xfId="10473"/>
    <cellStyle name="Heading 1 2 2 2 6 2 2 2 6 2 2" xfId="10474"/>
    <cellStyle name="Heading 1 2 2 2 6 2 2 2 6 3" xfId="10475"/>
    <cellStyle name="Heading 1 2 2 2 6 2 2 2 7" xfId="10476"/>
    <cellStyle name="Heading 1 2 2 2 6 2 2 2 7 2" xfId="10477"/>
    <cellStyle name="Heading 1 2 2 2 6 2 2 2 7 2 2" xfId="10478"/>
    <cellStyle name="Heading 1 2 2 2 6 2 2 2 7 3" xfId="10479"/>
    <cellStyle name="Heading 1 2 2 2 6 2 2 2 8" xfId="10480"/>
    <cellStyle name="Heading 1 2 2 2 6 2 2 2 8 2" xfId="10481"/>
    <cellStyle name="Heading 1 2 2 2 6 2 2 2 9" xfId="10482"/>
    <cellStyle name="Heading 1 2 2 2 6 2 2 20" xfId="10483"/>
    <cellStyle name="Heading 1 2 2 2 6 2 2 20 2" xfId="10484"/>
    <cellStyle name="Heading 1 2 2 2 6 2 2 21" xfId="10485"/>
    <cellStyle name="Heading 1 2 2 2 6 2 2 21 2" xfId="10486"/>
    <cellStyle name="Heading 1 2 2 2 6 2 2 22" xfId="10487"/>
    <cellStyle name="Heading 1 2 2 2 6 2 2 3" xfId="10488"/>
    <cellStyle name="Heading 1 2 2 2 6 2 2 3 2" xfId="10489"/>
    <cellStyle name="Heading 1 2 2 2 6 2 2 3 2 2" xfId="10490"/>
    <cellStyle name="Heading 1 2 2 2 6 2 2 3 2 2 2" xfId="10491"/>
    <cellStyle name="Heading 1 2 2 2 6 2 2 3 2 3" xfId="10492"/>
    <cellStyle name="Heading 1 2 2 2 6 2 2 3 3" xfId="10493"/>
    <cellStyle name="Heading 1 2 2 2 6 2 2 3 3 2" xfId="10494"/>
    <cellStyle name="Heading 1 2 2 2 6 2 2 3 3 2 2" xfId="10495"/>
    <cellStyle name="Heading 1 2 2 2 6 2 2 3 3 3" xfId="10496"/>
    <cellStyle name="Heading 1 2 2 2 6 2 2 3 4" xfId="10497"/>
    <cellStyle name="Heading 1 2 2 2 6 2 2 3 4 2" xfId="10498"/>
    <cellStyle name="Heading 1 2 2 2 6 2 2 3 4 2 2" xfId="10499"/>
    <cellStyle name="Heading 1 2 2 2 6 2 2 3 4 3" xfId="10500"/>
    <cellStyle name="Heading 1 2 2 2 6 2 2 3 5" xfId="10501"/>
    <cellStyle name="Heading 1 2 2 2 6 2 2 3 5 2" xfId="10502"/>
    <cellStyle name="Heading 1 2 2 2 6 2 2 3 5 2 2" xfId="10503"/>
    <cellStyle name="Heading 1 2 2 2 6 2 2 3 5 3" xfId="10504"/>
    <cellStyle name="Heading 1 2 2 2 6 2 2 3 6" xfId="10505"/>
    <cellStyle name="Heading 1 2 2 2 6 2 2 3 6 2" xfId="10506"/>
    <cellStyle name="Heading 1 2 2 2 6 2 2 3 6 2 2" xfId="10507"/>
    <cellStyle name="Heading 1 2 2 2 6 2 2 3 6 3" xfId="10508"/>
    <cellStyle name="Heading 1 2 2 2 6 2 2 3 7" xfId="10509"/>
    <cellStyle name="Heading 1 2 2 2 6 2 2 3 7 2" xfId="10510"/>
    <cellStyle name="Heading 1 2 2 2 6 2 2 3 7 2 2" xfId="10511"/>
    <cellStyle name="Heading 1 2 2 2 6 2 2 3 7 3" xfId="10512"/>
    <cellStyle name="Heading 1 2 2 2 6 2 2 3 8" xfId="10513"/>
    <cellStyle name="Heading 1 2 2 2 6 2 2 3 8 2" xfId="10514"/>
    <cellStyle name="Heading 1 2 2 2 6 2 2 3 9" xfId="10515"/>
    <cellStyle name="Heading 1 2 2 2 6 2 2 4" xfId="10516"/>
    <cellStyle name="Heading 1 2 2 2 6 2 2 4 2" xfId="10517"/>
    <cellStyle name="Heading 1 2 2 2 6 2 2 4 2 2" xfId="10518"/>
    <cellStyle name="Heading 1 2 2 2 6 2 2 4 2 2 2" xfId="10519"/>
    <cellStyle name="Heading 1 2 2 2 6 2 2 4 2 3" xfId="10520"/>
    <cellStyle name="Heading 1 2 2 2 6 2 2 4 3" xfId="10521"/>
    <cellStyle name="Heading 1 2 2 2 6 2 2 4 3 2" xfId="10522"/>
    <cellStyle name="Heading 1 2 2 2 6 2 2 4 3 2 2" xfId="10523"/>
    <cellStyle name="Heading 1 2 2 2 6 2 2 4 3 3" xfId="10524"/>
    <cellStyle name="Heading 1 2 2 2 6 2 2 4 4" xfId="10525"/>
    <cellStyle name="Heading 1 2 2 2 6 2 2 4 4 2" xfId="10526"/>
    <cellStyle name="Heading 1 2 2 2 6 2 2 4 4 2 2" xfId="10527"/>
    <cellStyle name="Heading 1 2 2 2 6 2 2 4 4 3" xfId="10528"/>
    <cellStyle name="Heading 1 2 2 2 6 2 2 4 5" xfId="10529"/>
    <cellStyle name="Heading 1 2 2 2 6 2 2 4 5 2" xfId="10530"/>
    <cellStyle name="Heading 1 2 2 2 6 2 2 4 5 2 2" xfId="10531"/>
    <cellStyle name="Heading 1 2 2 2 6 2 2 4 5 3" xfId="10532"/>
    <cellStyle name="Heading 1 2 2 2 6 2 2 4 6" xfId="10533"/>
    <cellStyle name="Heading 1 2 2 2 6 2 2 4 6 2" xfId="10534"/>
    <cellStyle name="Heading 1 2 2 2 6 2 2 4 6 2 2" xfId="10535"/>
    <cellStyle name="Heading 1 2 2 2 6 2 2 4 6 3" xfId="10536"/>
    <cellStyle name="Heading 1 2 2 2 6 2 2 4 7" xfId="10537"/>
    <cellStyle name="Heading 1 2 2 2 6 2 2 4 7 2" xfId="10538"/>
    <cellStyle name="Heading 1 2 2 2 6 2 2 4 7 2 2" xfId="10539"/>
    <cellStyle name="Heading 1 2 2 2 6 2 2 4 7 3" xfId="10540"/>
    <cellStyle name="Heading 1 2 2 2 6 2 2 4 8" xfId="10541"/>
    <cellStyle name="Heading 1 2 2 2 6 2 2 4 8 2" xfId="10542"/>
    <cellStyle name="Heading 1 2 2 2 6 2 2 4 9" xfId="10543"/>
    <cellStyle name="Heading 1 2 2 2 6 2 2 5" xfId="10544"/>
    <cellStyle name="Heading 1 2 2 2 6 2 2 5 2" xfId="10545"/>
    <cellStyle name="Heading 1 2 2 2 6 2 2 5 2 2" xfId="10546"/>
    <cellStyle name="Heading 1 2 2 2 6 2 2 5 2 2 2" xfId="10547"/>
    <cellStyle name="Heading 1 2 2 2 6 2 2 5 2 3" xfId="10548"/>
    <cellStyle name="Heading 1 2 2 2 6 2 2 5 3" xfId="10549"/>
    <cellStyle name="Heading 1 2 2 2 6 2 2 5 3 2" xfId="10550"/>
    <cellStyle name="Heading 1 2 2 2 6 2 2 5 3 2 2" xfId="10551"/>
    <cellStyle name="Heading 1 2 2 2 6 2 2 5 3 3" xfId="10552"/>
    <cellStyle name="Heading 1 2 2 2 6 2 2 5 4" xfId="10553"/>
    <cellStyle name="Heading 1 2 2 2 6 2 2 5 4 2" xfId="10554"/>
    <cellStyle name="Heading 1 2 2 2 6 2 2 5 4 2 2" xfId="10555"/>
    <cellStyle name="Heading 1 2 2 2 6 2 2 5 4 3" xfId="10556"/>
    <cellStyle name="Heading 1 2 2 2 6 2 2 5 5" xfId="10557"/>
    <cellStyle name="Heading 1 2 2 2 6 2 2 5 5 2" xfId="10558"/>
    <cellStyle name="Heading 1 2 2 2 6 2 2 5 5 2 2" xfId="10559"/>
    <cellStyle name="Heading 1 2 2 2 6 2 2 5 5 3" xfId="10560"/>
    <cellStyle name="Heading 1 2 2 2 6 2 2 5 6" xfId="10561"/>
    <cellStyle name="Heading 1 2 2 2 6 2 2 5 6 2" xfId="10562"/>
    <cellStyle name="Heading 1 2 2 2 6 2 2 5 6 2 2" xfId="10563"/>
    <cellStyle name="Heading 1 2 2 2 6 2 2 5 6 3" xfId="10564"/>
    <cellStyle name="Heading 1 2 2 2 6 2 2 5 7" xfId="10565"/>
    <cellStyle name="Heading 1 2 2 2 6 2 2 5 7 2" xfId="10566"/>
    <cellStyle name="Heading 1 2 2 2 6 2 2 5 7 2 2" xfId="10567"/>
    <cellStyle name="Heading 1 2 2 2 6 2 2 5 7 3" xfId="10568"/>
    <cellStyle name="Heading 1 2 2 2 6 2 2 5 8" xfId="10569"/>
    <cellStyle name="Heading 1 2 2 2 6 2 2 5 8 2" xfId="10570"/>
    <cellStyle name="Heading 1 2 2 2 6 2 2 5 9" xfId="10571"/>
    <cellStyle name="Heading 1 2 2 2 6 2 2 6" xfId="10572"/>
    <cellStyle name="Heading 1 2 2 2 6 2 2 6 2" xfId="10573"/>
    <cellStyle name="Heading 1 2 2 2 6 2 2 6 2 2" xfId="10574"/>
    <cellStyle name="Heading 1 2 2 2 6 2 2 6 2 2 2" xfId="10575"/>
    <cellStyle name="Heading 1 2 2 2 6 2 2 6 2 3" xfId="10576"/>
    <cellStyle name="Heading 1 2 2 2 6 2 2 6 3" xfId="10577"/>
    <cellStyle name="Heading 1 2 2 2 6 2 2 6 3 2" xfId="10578"/>
    <cellStyle name="Heading 1 2 2 2 6 2 2 6 3 2 2" xfId="10579"/>
    <cellStyle name="Heading 1 2 2 2 6 2 2 6 3 3" xfId="10580"/>
    <cellStyle name="Heading 1 2 2 2 6 2 2 6 4" xfId="10581"/>
    <cellStyle name="Heading 1 2 2 2 6 2 2 6 4 2" xfId="10582"/>
    <cellStyle name="Heading 1 2 2 2 6 2 2 6 4 2 2" xfId="10583"/>
    <cellStyle name="Heading 1 2 2 2 6 2 2 6 4 3" xfId="10584"/>
    <cellStyle name="Heading 1 2 2 2 6 2 2 6 5" xfId="10585"/>
    <cellStyle name="Heading 1 2 2 2 6 2 2 6 5 2" xfId="10586"/>
    <cellStyle name="Heading 1 2 2 2 6 2 2 6 5 2 2" xfId="10587"/>
    <cellStyle name="Heading 1 2 2 2 6 2 2 6 5 3" xfId="10588"/>
    <cellStyle name="Heading 1 2 2 2 6 2 2 6 6" xfId="10589"/>
    <cellStyle name="Heading 1 2 2 2 6 2 2 6 6 2" xfId="10590"/>
    <cellStyle name="Heading 1 2 2 2 6 2 2 6 6 2 2" xfId="10591"/>
    <cellStyle name="Heading 1 2 2 2 6 2 2 6 6 3" xfId="10592"/>
    <cellStyle name="Heading 1 2 2 2 6 2 2 6 7" xfId="10593"/>
    <cellStyle name="Heading 1 2 2 2 6 2 2 6 7 2" xfId="10594"/>
    <cellStyle name="Heading 1 2 2 2 6 2 2 6 7 2 2" xfId="10595"/>
    <cellStyle name="Heading 1 2 2 2 6 2 2 6 7 3" xfId="10596"/>
    <cellStyle name="Heading 1 2 2 2 6 2 2 6 8" xfId="10597"/>
    <cellStyle name="Heading 1 2 2 2 6 2 2 6 8 2" xfId="10598"/>
    <cellStyle name="Heading 1 2 2 2 6 2 2 6 9" xfId="10599"/>
    <cellStyle name="Heading 1 2 2 2 6 2 2 7" xfId="10600"/>
    <cellStyle name="Heading 1 2 2 2 6 2 2 7 2" xfId="10601"/>
    <cellStyle name="Heading 1 2 2 2 6 2 2 7 2 2" xfId="10602"/>
    <cellStyle name="Heading 1 2 2 2 6 2 2 7 2 2 2" xfId="10603"/>
    <cellStyle name="Heading 1 2 2 2 6 2 2 7 2 3" xfId="10604"/>
    <cellStyle name="Heading 1 2 2 2 6 2 2 7 3" xfId="10605"/>
    <cellStyle name="Heading 1 2 2 2 6 2 2 7 3 2" xfId="10606"/>
    <cellStyle name="Heading 1 2 2 2 6 2 2 7 3 2 2" xfId="10607"/>
    <cellStyle name="Heading 1 2 2 2 6 2 2 7 3 3" xfId="10608"/>
    <cellStyle name="Heading 1 2 2 2 6 2 2 7 4" xfId="10609"/>
    <cellStyle name="Heading 1 2 2 2 6 2 2 7 4 2" xfId="10610"/>
    <cellStyle name="Heading 1 2 2 2 6 2 2 7 4 2 2" xfId="10611"/>
    <cellStyle name="Heading 1 2 2 2 6 2 2 7 4 3" xfId="10612"/>
    <cellStyle name="Heading 1 2 2 2 6 2 2 7 5" xfId="10613"/>
    <cellStyle name="Heading 1 2 2 2 6 2 2 7 5 2" xfId="10614"/>
    <cellStyle name="Heading 1 2 2 2 6 2 2 7 5 2 2" xfId="10615"/>
    <cellStyle name="Heading 1 2 2 2 6 2 2 7 5 3" xfId="10616"/>
    <cellStyle name="Heading 1 2 2 2 6 2 2 7 6" xfId="10617"/>
    <cellStyle name="Heading 1 2 2 2 6 2 2 7 6 2" xfId="10618"/>
    <cellStyle name="Heading 1 2 2 2 6 2 2 7 6 2 2" xfId="10619"/>
    <cellStyle name="Heading 1 2 2 2 6 2 2 7 6 3" xfId="10620"/>
    <cellStyle name="Heading 1 2 2 2 6 2 2 7 7" xfId="10621"/>
    <cellStyle name="Heading 1 2 2 2 6 2 2 7 7 2" xfId="10622"/>
    <cellStyle name="Heading 1 2 2 2 6 2 2 7 7 2 2" xfId="10623"/>
    <cellStyle name="Heading 1 2 2 2 6 2 2 7 7 3" xfId="10624"/>
    <cellStyle name="Heading 1 2 2 2 6 2 2 7 8" xfId="10625"/>
    <cellStyle name="Heading 1 2 2 2 6 2 2 7 8 2" xfId="10626"/>
    <cellStyle name="Heading 1 2 2 2 6 2 2 7 9" xfId="10627"/>
    <cellStyle name="Heading 1 2 2 2 6 2 2 8" xfId="10628"/>
    <cellStyle name="Heading 1 2 2 2 6 2 2 8 2" xfId="10629"/>
    <cellStyle name="Heading 1 2 2 2 6 2 2 8 2 2" xfId="10630"/>
    <cellStyle name="Heading 1 2 2 2 6 2 2 8 2 2 2" xfId="10631"/>
    <cellStyle name="Heading 1 2 2 2 6 2 2 8 2 3" xfId="10632"/>
    <cellStyle name="Heading 1 2 2 2 6 2 2 8 3" xfId="10633"/>
    <cellStyle name="Heading 1 2 2 2 6 2 2 8 3 2" xfId="10634"/>
    <cellStyle name="Heading 1 2 2 2 6 2 2 8 3 2 2" xfId="10635"/>
    <cellStyle name="Heading 1 2 2 2 6 2 2 8 3 3" xfId="10636"/>
    <cellStyle name="Heading 1 2 2 2 6 2 2 8 4" xfId="10637"/>
    <cellStyle name="Heading 1 2 2 2 6 2 2 8 4 2" xfId="10638"/>
    <cellStyle name="Heading 1 2 2 2 6 2 2 8 4 2 2" xfId="10639"/>
    <cellStyle name="Heading 1 2 2 2 6 2 2 8 4 3" xfId="10640"/>
    <cellStyle name="Heading 1 2 2 2 6 2 2 8 5" xfId="10641"/>
    <cellStyle name="Heading 1 2 2 2 6 2 2 8 5 2" xfId="10642"/>
    <cellStyle name="Heading 1 2 2 2 6 2 2 8 5 2 2" xfId="10643"/>
    <cellStyle name="Heading 1 2 2 2 6 2 2 8 5 3" xfId="10644"/>
    <cellStyle name="Heading 1 2 2 2 6 2 2 8 6" xfId="10645"/>
    <cellStyle name="Heading 1 2 2 2 6 2 2 8 6 2" xfId="10646"/>
    <cellStyle name="Heading 1 2 2 2 6 2 2 8 6 2 2" xfId="10647"/>
    <cellStyle name="Heading 1 2 2 2 6 2 2 8 6 3" xfId="10648"/>
    <cellStyle name="Heading 1 2 2 2 6 2 2 8 7" xfId="10649"/>
    <cellStyle name="Heading 1 2 2 2 6 2 2 8 7 2" xfId="10650"/>
    <cellStyle name="Heading 1 2 2 2 6 2 2 8 7 2 2" xfId="10651"/>
    <cellStyle name="Heading 1 2 2 2 6 2 2 8 7 3" xfId="10652"/>
    <cellStyle name="Heading 1 2 2 2 6 2 2 8 8" xfId="10653"/>
    <cellStyle name="Heading 1 2 2 2 6 2 2 8 8 2" xfId="10654"/>
    <cellStyle name="Heading 1 2 2 2 6 2 2 8 9" xfId="10655"/>
    <cellStyle name="Heading 1 2 2 2 6 2 2 9" xfId="10656"/>
    <cellStyle name="Heading 1 2 2 2 6 2 2 9 2" xfId="10657"/>
    <cellStyle name="Heading 1 2 2 2 6 2 2 9 2 2" xfId="10658"/>
    <cellStyle name="Heading 1 2 2 2 6 2 2 9 3" xfId="10659"/>
    <cellStyle name="Heading 1 2 2 2 6 2 20" xfId="10660"/>
    <cellStyle name="Heading 1 2 2 2 6 2 20 2" xfId="10661"/>
    <cellStyle name="Heading 1 2 2 2 6 2 21" xfId="10662"/>
    <cellStyle name="Heading 1 2 2 2 6 2 21 2" xfId="10663"/>
    <cellStyle name="Heading 1 2 2 2 6 2 22" xfId="10664"/>
    <cellStyle name="Heading 1 2 2 2 6 2 22 2" xfId="10665"/>
    <cellStyle name="Heading 1 2 2 2 6 2 23" xfId="10666"/>
    <cellStyle name="Heading 1 2 2 2 6 2 3" xfId="10667"/>
    <cellStyle name="Heading 1 2 2 2 6 2 3 2" xfId="10668"/>
    <cellStyle name="Heading 1 2 2 2 6 2 3 2 2" xfId="10669"/>
    <cellStyle name="Heading 1 2 2 2 6 2 3 2 2 2" xfId="10670"/>
    <cellStyle name="Heading 1 2 2 2 6 2 3 2 3" xfId="10671"/>
    <cellStyle name="Heading 1 2 2 2 6 2 3 3" xfId="10672"/>
    <cellStyle name="Heading 1 2 2 2 6 2 3 3 2" xfId="10673"/>
    <cellStyle name="Heading 1 2 2 2 6 2 3 3 2 2" xfId="10674"/>
    <cellStyle name="Heading 1 2 2 2 6 2 3 3 3" xfId="10675"/>
    <cellStyle name="Heading 1 2 2 2 6 2 3 4" xfId="10676"/>
    <cellStyle name="Heading 1 2 2 2 6 2 3 4 2" xfId="10677"/>
    <cellStyle name="Heading 1 2 2 2 6 2 3 4 2 2" xfId="10678"/>
    <cellStyle name="Heading 1 2 2 2 6 2 3 4 3" xfId="10679"/>
    <cellStyle name="Heading 1 2 2 2 6 2 3 5" xfId="10680"/>
    <cellStyle name="Heading 1 2 2 2 6 2 3 5 2" xfId="10681"/>
    <cellStyle name="Heading 1 2 2 2 6 2 3 5 2 2" xfId="10682"/>
    <cellStyle name="Heading 1 2 2 2 6 2 3 5 3" xfId="10683"/>
    <cellStyle name="Heading 1 2 2 2 6 2 3 6" xfId="10684"/>
    <cellStyle name="Heading 1 2 2 2 6 2 3 6 2" xfId="10685"/>
    <cellStyle name="Heading 1 2 2 2 6 2 3 6 2 2" xfId="10686"/>
    <cellStyle name="Heading 1 2 2 2 6 2 3 6 3" xfId="10687"/>
    <cellStyle name="Heading 1 2 2 2 6 2 3 7" xfId="10688"/>
    <cellStyle name="Heading 1 2 2 2 6 2 3 7 2" xfId="10689"/>
    <cellStyle name="Heading 1 2 2 2 6 2 3 7 2 2" xfId="10690"/>
    <cellStyle name="Heading 1 2 2 2 6 2 3 7 3" xfId="10691"/>
    <cellStyle name="Heading 1 2 2 2 6 2 3 8" xfId="10692"/>
    <cellStyle name="Heading 1 2 2 2 6 2 3 8 2" xfId="10693"/>
    <cellStyle name="Heading 1 2 2 2 6 2 3 9" xfId="10694"/>
    <cellStyle name="Heading 1 2 2 2 6 2 4" xfId="10695"/>
    <cellStyle name="Heading 1 2 2 2 6 2 4 2" xfId="10696"/>
    <cellStyle name="Heading 1 2 2 2 6 2 4 2 2" xfId="10697"/>
    <cellStyle name="Heading 1 2 2 2 6 2 4 2 2 2" xfId="10698"/>
    <cellStyle name="Heading 1 2 2 2 6 2 4 2 3" xfId="10699"/>
    <cellStyle name="Heading 1 2 2 2 6 2 4 3" xfId="10700"/>
    <cellStyle name="Heading 1 2 2 2 6 2 4 3 2" xfId="10701"/>
    <cellStyle name="Heading 1 2 2 2 6 2 4 3 2 2" xfId="10702"/>
    <cellStyle name="Heading 1 2 2 2 6 2 4 3 3" xfId="10703"/>
    <cellStyle name="Heading 1 2 2 2 6 2 4 4" xfId="10704"/>
    <cellStyle name="Heading 1 2 2 2 6 2 4 4 2" xfId="10705"/>
    <cellStyle name="Heading 1 2 2 2 6 2 4 4 2 2" xfId="10706"/>
    <cellStyle name="Heading 1 2 2 2 6 2 4 4 3" xfId="10707"/>
    <cellStyle name="Heading 1 2 2 2 6 2 4 5" xfId="10708"/>
    <cellStyle name="Heading 1 2 2 2 6 2 4 5 2" xfId="10709"/>
    <cellStyle name="Heading 1 2 2 2 6 2 4 5 2 2" xfId="10710"/>
    <cellStyle name="Heading 1 2 2 2 6 2 4 5 3" xfId="10711"/>
    <cellStyle name="Heading 1 2 2 2 6 2 4 6" xfId="10712"/>
    <cellStyle name="Heading 1 2 2 2 6 2 4 6 2" xfId="10713"/>
    <cellStyle name="Heading 1 2 2 2 6 2 4 6 2 2" xfId="10714"/>
    <cellStyle name="Heading 1 2 2 2 6 2 4 6 3" xfId="10715"/>
    <cellStyle name="Heading 1 2 2 2 6 2 4 7" xfId="10716"/>
    <cellStyle name="Heading 1 2 2 2 6 2 4 7 2" xfId="10717"/>
    <cellStyle name="Heading 1 2 2 2 6 2 4 7 2 2" xfId="10718"/>
    <cellStyle name="Heading 1 2 2 2 6 2 4 7 3" xfId="10719"/>
    <cellStyle name="Heading 1 2 2 2 6 2 4 8" xfId="10720"/>
    <cellStyle name="Heading 1 2 2 2 6 2 4 8 2" xfId="10721"/>
    <cellStyle name="Heading 1 2 2 2 6 2 4 9" xfId="10722"/>
    <cellStyle name="Heading 1 2 2 2 6 2 5" xfId="10723"/>
    <cellStyle name="Heading 1 2 2 2 6 2 5 2" xfId="10724"/>
    <cellStyle name="Heading 1 2 2 2 6 2 5 2 2" xfId="10725"/>
    <cellStyle name="Heading 1 2 2 2 6 2 5 2 2 2" xfId="10726"/>
    <cellStyle name="Heading 1 2 2 2 6 2 5 2 3" xfId="10727"/>
    <cellStyle name="Heading 1 2 2 2 6 2 5 3" xfId="10728"/>
    <cellStyle name="Heading 1 2 2 2 6 2 5 3 2" xfId="10729"/>
    <cellStyle name="Heading 1 2 2 2 6 2 5 3 2 2" xfId="10730"/>
    <cellStyle name="Heading 1 2 2 2 6 2 5 3 3" xfId="10731"/>
    <cellStyle name="Heading 1 2 2 2 6 2 5 4" xfId="10732"/>
    <cellStyle name="Heading 1 2 2 2 6 2 5 4 2" xfId="10733"/>
    <cellStyle name="Heading 1 2 2 2 6 2 5 4 2 2" xfId="10734"/>
    <cellStyle name="Heading 1 2 2 2 6 2 5 4 3" xfId="10735"/>
    <cellStyle name="Heading 1 2 2 2 6 2 5 5" xfId="10736"/>
    <cellStyle name="Heading 1 2 2 2 6 2 5 5 2" xfId="10737"/>
    <cellStyle name="Heading 1 2 2 2 6 2 5 5 2 2" xfId="10738"/>
    <cellStyle name="Heading 1 2 2 2 6 2 5 5 3" xfId="10739"/>
    <cellStyle name="Heading 1 2 2 2 6 2 5 6" xfId="10740"/>
    <cellStyle name="Heading 1 2 2 2 6 2 5 6 2" xfId="10741"/>
    <cellStyle name="Heading 1 2 2 2 6 2 5 6 2 2" xfId="10742"/>
    <cellStyle name="Heading 1 2 2 2 6 2 5 6 3" xfId="10743"/>
    <cellStyle name="Heading 1 2 2 2 6 2 5 7" xfId="10744"/>
    <cellStyle name="Heading 1 2 2 2 6 2 5 7 2" xfId="10745"/>
    <cellStyle name="Heading 1 2 2 2 6 2 5 7 2 2" xfId="10746"/>
    <cellStyle name="Heading 1 2 2 2 6 2 5 7 3" xfId="10747"/>
    <cellStyle name="Heading 1 2 2 2 6 2 5 8" xfId="10748"/>
    <cellStyle name="Heading 1 2 2 2 6 2 5 8 2" xfId="10749"/>
    <cellStyle name="Heading 1 2 2 2 6 2 5 9" xfId="10750"/>
    <cellStyle name="Heading 1 2 2 2 6 2 6" xfId="10751"/>
    <cellStyle name="Heading 1 2 2 2 6 2 6 2" xfId="10752"/>
    <cellStyle name="Heading 1 2 2 2 6 2 6 2 2" xfId="10753"/>
    <cellStyle name="Heading 1 2 2 2 6 2 6 2 2 2" xfId="10754"/>
    <cellStyle name="Heading 1 2 2 2 6 2 6 2 3" xfId="10755"/>
    <cellStyle name="Heading 1 2 2 2 6 2 6 3" xfId="10756"/>
    <cellStyle name="Heading 1 2 2 2 6 2 6 3 2" xfId="10757"/>
    <cellStyle name="Heading 1 2 2 2 6 2 6 3 2 2" xfId="10758"/>
    <cellStyle name="Heading 1 2 2 2 6 2 6 3 3" xfId="10759"/>
    <cellStyle name="Heading 1 2 2 2 6 2 6 4" xfId="10760"/>
    <cellStyle name="Heading 1 2 2 2 6 2 6 4 2" xfId="10761"/>
    <cellStyle name="Heading 1 2 2 2 6 2 6 4 2 2" xfId="10762"/>
    <cellStyle name="Heading 1 2 2 2 6 2 6 4 3" xfId="10763"/>
    <cellStyle name="Heading 1 2 2 2 6 2 6 5" xfId="10764"/>
    <cellStyle name="Heading 1 2 2 2 6 2 6 5 2" xfId="10765"/>
    <cellStyle name="Heading 1 2 2 2 6 2 6 5 2 2" xfId="10766"/>
    <cellStyle name="Heading 1 2 2 2 6 2 6 5 3" xfId="10767"/>
    <cellStyle name="Heading 1 2 2 2 6 2 6 6" xfId="10768"/>
    <cellStyle name="Heading 1 2 2 2 6 2 6 6 2" xfId="10769"/>
    <cellStyle name="Heading 1 2 2 2 6 2 6 6 2 2" xfId="10770"/>
    <cellStyle name="Heading 1 2 2 2 6 2 6 6 3" xfId="10771"/>
    <cellStyle name="Heading 1 2 2 2 6 2 6 7" xfId="10772"/>
    <cellStyle name="Heading 1 2 2 2 6 2 6 7 2" xfId="10773"/>
    <cellStyle name="Heading 1 2 2 2 6 2 6 7 2 2" xfId="10774"/>
    <cellStyle name="Heading 1 2 2 2 6 2 6 7 3" xfId="10775"/>
    <cellStyle name="Heading 1 2 2 2 6 2 6 8" xfId="10776"/>
    <cellStyle name="Heading 1 2 2 2 6 2 6 8 2" xfId="10777"/>
    <cellStyle name="Heading 1 2 2 2 6 2 6 9" xfId="10778"/>
    <cellStyle name="Heading 1 2 2 2 6 2 7" xfId="10779"/>
    <cellStyle name="Heading 1 2 2 2 6 2 7 2" xfId="10780"/>
    <cellStyle name="Heading 1 2 2 2 6 2 7 2 2" xfId="10781"/>
    <cellStyle name="Heading 1 2 2 2 6 2 7 2 2 2" xfId="10782"/>
    <cellStyle name="Heading 1 2 2 2 6 2 7 2 3" xfId="10783"/>
    <cellStyle name="Heading 1 2 2 2 6 2 7 3" xfId="10784"/>
    <cellStyle name="Heading 1 2 2 2 6 2 7 3 2" xfId="10785"/>
    <cellStyle name="Heading 1 2 2 2 6 2 7 3 2 2" xfId="10786"/>
    <cellStyle name="Heading 1 2 2 2 6 2 7 3 3" xfId="10787"/>
    <cellStyle name="Heading 1 2 2 2 6 2 7 4" xfId="10788"/>
    <cellStyle name="Heading 1 2 2 2 6 2 7 4 2" xfId="10789"/>
    <cellStyle name="Heading 1 2 2 2 6 2 7 4 2 2" xfId="10790"/>
    <cellStyle name="Heading 1 2 2 2 6 2 7 4 3" xfId="10791"/>
    <cellStyle name="Heading 1 2 2 2 6 2 7 5" xfId="10792"/>
    <cellStyle name="Heading 1 2 2 2 6 2 7 5 2" xfId="10793"/>
    <cellStyle name="Heading 1 2 2 2 6 2 7 5 2 2" xfId="10794"/>
    <cellStyle name="Heading 1 2 2 2 6 2 7 5 3" xfId="10795"/>
    <cellStyle name="Heading 1 2 2 2 6 2 7 6" xfId="10796"/>
    <cellStyle name="Heading 1 2 2 2 6 2 7 6 2" xfId="10797"/>
    <cellStyle name="Heading 1 2 2 2 6 2 7 6 2 2" xfId="10798"/>
    <cellStyle name="Heading 1 2 2 2 6 2 7 6 3" xfId="10799"/>
    <cellStyle name="Heading 1 2 2 2 6 2 7 7" xfId="10800"/>
    <cellStyle name="Heading 1 2 2 2 6 2 7 7 2" xfId="10801"/>
    <cellStyle name="Heading 1 2 2 2 6 2 7 7 2 2" xfId="10802"/>
    <cellStyle name="Heading 1 2 2 2 6 2 7 7 3" xfId="10803"/>
    <cellStyle name="Heading 1 2 2 2 6 2 7 8" xfId="10804"/>
    <cellStyle name="Heading 1 2 2 2 6 2 7 8 2" xfId="10805"/>
    <cellStyle name="Heading 1 2 2 2 6 2 7 9" xfId="10806"/>
    <cellStyle name="Heading 1 2 2 2 6 2 8" xfId="10807"/>
    <cellStyle name="Heading 1 2 2 2 6 2 8 2" xfId="10808"/>
    <cellStyle name="Heading 1 2 2 2 6 2 8 2 2" xfId="10809"/>
    <cellStyle name="Heading 1 2 2 2 6 2 8 2 2 2" xfId="10810"/>
    <cellStyle name="Heading 1 2 2 2 6 2 8 2 3" xfId="10811"/>
    <cellStyle name="Heading 1 2 2 2 6 2 8 3" xfId="10812"/>
    <cellStyle name="Heading 1 2 2 2 6 2 8 3 2" xfId="10813"/>
    <cellStyle name="Heading 1 2 2 2 6 2 8 3 2 2" xfId="10814"/>
    <cellStyle name="Heading 1 2 2 2 6 2 8 3 3" xfId="10815"/>
    <cellStyle name="Heading 1 2 2 2 6 2 8 4" xfId="10816"/>
    <cellStyle name="Heading 1 2 2 2 6 2 8 4 2" xfId="10817"/>
    <cellStyle name="Heading 1 2 2 2 6 2 8 4 2 2" xfId="10818"/>
    <cellStyle name="Heading 1 2 2 2 6 2 8 4 3" xfId="10819"/>
    <cellStyle name="Heading 1 2 2 2 6 2 8 5" xfId="10820"/>
    <cellStyle name="Heading 1 2 2 2 6 2 8 5 2" xfId="10821"/>
    <cellStyle name="Heading 1 2 2 2 6 2 8 5 2 2" xfId="10822"/>
    <cellStyle name="Heading 1 2 2 2 6 2 8 5 3" xfId="10823"/>
    <cellStyle name="Heading 1 2 2 2 6 2 8 6" xfId="10824"/>
    <cellStyle name="Heading 1 2 2 2 6 2 8 6 2" xfId="10825"/>
    <cellStyle name="Heading 1 2 2 2 6 2 8 6 2 2" xfId="10826"/>
    <cellStyle name="Heading 1 2 2 2 6 2 8 6 3" xfId="10827"/>
    <cellStyle name="Heading 1 2 2 2 6 2 8 7" xfId="10828"/>
    <cellStyle name="Heading 1 2 2 2 6 2 8 7 2" xfId="10829"/>
    <cellStyle name="Heading 1 2 2 2 6 2 8 7 2 2" xfId="10830"/>
    <cellStyle name="Heading 1 2 2 2 6 2 8 7 3" xfId="10831"/>
    <cellStyle name="Heading 1 2 2 2 6 2 8 8" xfId="10832"/>
    <cellStyle name="Heading 1 2 2 2 6 2 8 8 2" xfId="10833"/>
    <cellStyle name="Heading 1 2 2 2 6 2 8 9" xfId="10834"/>
    <cellStyle name="Heading 1 2 2 2 6 2 9" xfId="10835"/>
    <cellStyle name="Heading 1 2 2 2 6 2 9 2" xfId="10836"/>
    <cellStyle name="Heading 1 2 2 2 6 2 9 2 2" xfId="10837"/>
    <cellStyle name="Heading 1 2 2 2 6 2 9 2 2 2" xfId="10838"/>
    <cellStyle name="Heading 1 2 2 2 6 2 9 2 3" xfId="10839"/>
    <cellStyle name="Heading 1 2 2 2 6 2 9 3" xfId="10840"/>
    <cellStyle name="Heading 1 2 2 2 6 2 9 3 2" xfId="10841"/>
    <cellStyle name="Heading 1 2 2 2 6 2 9 3 2 2" xfId="10842"/>
    <cellStyle name="Heading 1 2 2 2 6 2 9 3 3" xfId="10843"/>
    <cellStyle name="Heading 1 2 2 2 6 2 9 4" xfId="10844"/>
    <cellStyle name="Heading 1 2 2 2 6 2 9 4 2" xfId="10845"/>
    <cellStyle name="Heading 1 2 2 2 6 2 9 4 2 2" xfId="10846"/>
    <cellStyle name="Heading 1 2 2 2 6 2 9 4 3" xfId="10847"/>
    <cellStyle name="Heading 1 2 2 2 6 2 9 5" xfId="10848"/>
    <cellStyle name="Heading 1 2 2 2 6 2 9 5 2" xfId="10849"/>
    <cellStyle name="Heading 1 2 2 2 6 2 9 5 2 2" xfId="10850"/>
    <cellStyle name="Heading 1 2 2 2 6 2 9 5 3" xfId="10851"/>
    <cellStyle name="Heading 1 2 2 2 6 2 9 6" xfId="10852"/>
    <cellStyle name="Heading 1 2 2 2 6 2 9 6 2" xfId="10853"/>
    <cellStyle name="Heading 1 2 2 2 6 2 9 6 2 2" xfId="10854"/>
    <cellStyle name="Heading 1 2 2 2 6 2 9 6 3" xfId="10855"/>
    <cellStyle name="Heading 1 2 2 2 6 2 9 7" xfId="10856"/>
    <cellStyle name="Heading 1 2 2 2 6 2 9 7 2" xfId="10857"/>
    <cellStyle name="Heading 1 2 2 2 6 2 9 7 2 2" xfId="10858"/>
    <cellStyle name="Heading 1 2 2 2 6 2 9 7 3" xfId="10859"/>
    <cellStyle name="Heading 1 2 2 2 6 2 9 8" xfId="10860"/>
    <cellStyle name="Heading 1 2 2 2 6 2 9 8 2" xfId="10861"/>
    <cellStyle name="Heading 1 2 2 2 6 2 9 9" xfId="10862"/>
    <cellStyle name="Heading 1 2 2 2 6 3" xfId="10863"/>
    <cellStyle name="Heading 1 2 2 2 6 3 10" xfId="10864"/>
    <cellStyle name="Heading 1 2 2 2 6 3 10 2" xfId="10865"/>
    <cellStyle name="Heading 1 2 2 2 6 3 10 2 2" xfId="10866"/>
    <cellStyle name="Heading 1 2 2 2 6 3 10 3" xfId="10867"/>
    <cellStyle name="Heading 1 2 2 2 6 3 11" xfId="10868"/>
    <cellStyle name="Heading 1 2 2 2 6 3 11 2" xfId="10869"/>
    <cellStyle name="Heading 1 2 2 2 6 3 11 2 2" xfId="10870"/>
    <cellStyle name="Heading 1 2 2 2 6 3 11 3" xfId="10871"/>
    <cellStyle name="Heading 1 2 2 2 6 3 12" xfId="10872"/>
    <cellStyle name="Heading 1 2 2 2 6 3 12 2" xfId="10873"/>
    <cellStyle name="Heading 1 2 2 2 6 3 12 2 2" xfId="10874"/>
    <cellStyle name="Heading 1 2 2 2 6 3 12 3" xfId="10875"/>
    <cellStyle name="Heading 1 2 2 2 6 3 13" xfId="10876"/>
    <cellStyle name="Heading 1 2 2 2 6 3 13 2" xfId="10877"/>
    <cellStyle name="Heading 1 2 2 2 6 3 13 2 2" xfId="10878"/>
    <cellStyle name="Heading 1 2 2 2 6 3 13 3" xfId="10879"/>
    <cellStyle name="Heading 1 2 2 2 6 3 14" xfId="10880"/>
    <cellStyle name="Heading 1 2 2 2 6 3 14 2" xfId="10881"/>
    <cellStyle name="Heading 1 2 2 2 6 3 14 2 2" xfId="10882"/>
    <cellStyle name="Heading 1 2 2 2 6 3 14 3" xfId="10883"/>
    <cellStyle name="Heading 1 2 2 2 6 3 15" xfId="10884"/>
    <cellStyle name="Heading 1 2 2 2 6 3 15 2" xfId="10885"/>
    <cellStyle name="Heading 1 2 2 2 6 3 15 2 2" xfId="10886"/>
    <cellStyle name="Heading 1 2 2 2 6 3 15 3" xfId="10887"/>
    <cellStyle name="Heading 1 2 2 2 6 3 16" xfId="10888"/>
    <cellStyle name="Heading 1 2 2 2 6 3 16 2" xfId="10889"/>
    <cellStyle name="Heading 1 2 2 2 6 3 16 2 2" xfId="10890"/>
    <cellStyle name="Heading 1 2 2 2 6 3 16 3" xfId="10891"/>
    <cellStyle name="Heading 1 2 2 2 6 3 17" xfId="10892"/>
    <cellStyle name="Heading 1 2 2 2 6 3 17 2" xfId="10893"/>
    <cellStyle name="Heading 1 2 2 2 6 3 17 2 2" xfId="10894"/>
    <cellStyle name="Heading 1 2 2 2 6 3 17 3" xfId="10895"/>
    <cellStyle name="Heading 1 2 2 2 6 3 18" xfId="10896"/>
    <cellStyle name="Heading 1 2 2 2 6 3 18 2" xfId="10897"/>
    <cellStyle name="Heading 1 2 2 2 6 3 18 2 2" xfId="10898"/>
    <cellStyle name="Heading 1 2 2 2 6 3 18 3" xfId="10899"/>
    <cellStyle name="Heading 1 2 2 2 6 3 19" xfId="10900"/>
    <cellStyle name="Heading 1 2 2 2 6 3 19 2" xfId="10901"/>
    <cellStyle name="Heading 1 2 2 2 6 3 2" xfId="10902"/>
    <cellStyle name="Heading 1 2 2 2 6 3 2 2" xfId="10903"/>
    <cellStyle name="Heading 1 2 2 2 6 3 2 2 2" xfId="10904"/>
    <cellStyle name="Heading 1 2 2 2 6 3 2 2 2 2" xfId="10905"/>
    <cellStyle name="Heading 1 2 2 2 6 3 2 2 3" xfId="10906"/>
    <cellStyle name="Heading 1 2 2 2 6 3 2 3" xfId="10907"/>
    <cellStyle name="Heading 1 2 2 2 6 3 2 3 2" xfId="10908"/>
    <cellStyle name="Heading 1 2 2 2 6 3 2 3 2 2" xfId="10909"/>
    <cellStyle name="Heading 1 2 2 2 6 3 2 3 3" xfId="10910"/>
    <cellStyle name="Heading 1 2 2 2 6 3 2 4" xfId="10911"/>
    <cellStyle name="Heading 1 2 2 2 6 3 2 4 2" xfId="10912"/>
    <cellStyle name="Heading 1 2 2 2 6 3 2 4 2 2" xfId="10913"/>
    <cellStyle name="Heading 1 2 2 2 6 3 2 4 3" xfId="10914"/>
    <cellStyle name="Heading 1 2 2 2 6 3 2 5" xfId="10915"/>
    <cellStyle name="Heading 1 2 2 2 6 3 2 5 2" xfId="10916"/>
    <cellStyle name="Heading 1 2 2 2 6 3 2 5 2 2" xfId="10917"/>
    <cellStyle name="Heading 1 2 2 2 6 3 2 5 3" xfId="10918"/>
    <cellStyle name="Heading 1 2 2 2 6 3 2 6" xfId="10919"/>
    <cellStyle name="Heading 1 2 2 2 6 3 2 6 2" xfId="10920"/>
    <cellStyle name="Heading 1 2 2 2 6 3 2 6 2 2" xfId="10921"/>
    <cellStyle name="Heading 1 2 2 2 6 3 2 6 3" xfId="10922"/>
    <cellStyle name="Heading 1 2 2 2 6 3 2 7" xfId="10923"/>
    <cellStyle name="Heading 1 2 2 2 6 3 2 7 2" xfId="10924"/>
    <cellStyle name="Heading 1 2 2 2 6 3 2 7 2 2" xfId="10925"/>
    <cellStyle name="Heading 1 2 2 2 6 3 2 7 3" xfId="10926"/>
    <cellStyle name="Heading 1 2 2 2 6 3 2 8" xfId="10927"/>
    <cellStyle name="Heading 1 2 2 2 6 3 2 8 2" xfId="10928"/>
    <cellStyle name="Heading 1 2 2 2 6 3 2 9" xfId="10929"/>
    <cellStyle name="Heading 1 2 2 2 6 3 20" xfId="10930"/>
    <cellStyle name="Heading 1 2 2 2 6 3 20 2" xfId="10931"/>
    <cellStyle name="Heading 1 2 2 2 6 3 21" xfId="10932"/>
    <cellStyle name="Heading 1 2 2 2 6 3 21 2" xfId="10933"/>
    <cellStyle name="Heading 1 2 2 2 6 3 22" xfId="10934"/>
    <cellStyle name="Heading 1 2 2 2 6 3 3" xfId="10935"/>
    <cellStyle name="Heading 1 2 2 2 6 3 3 2" xfId="10936"/>
    <cellStyle name="Heading 1 2 2 2 6 3 3 2 2" xfId="10937"/>
    <cellStyle name="Heading 1 2 2 2 6 3 3 2 2 2" xfId="10938"/>
    <cellStyle name="Heading 1 2 2 2 6 3 3 2 3" xfId="10939"/>
    <cellStyle name="Heading 1 2 2 2 6 3 3 3" xfId="10940"/>
    <cellStyle name="Heading 1 2 2 2 6 3 3 3 2" xfId="10941"/>
    <cellStyle name="Heading 1 2 2 2 6 3 3 3 2 2" xfId="10942"/>
    <cellStyle name="Heading 1 2 2 2 6 3 3 3 3" xfId="10943"/>
    <cellStyle name="Heading 1 2 2 2 6 3 3 4" xfId="10944"/>
    <cellStyle name="Heading 1 2 2 2 6 3 3 4 2" xfId="10945"/>
    <cellStyle name="Heading 1 2 2 2 6 3 3 4 2 2" xfId="10946"/>
    <cellStyle name="Heading 1 2 2 2 6 3 3 4 3" xfId="10947"/>
    <cellStyle name="Heading 1 2 2 2 6 3 3 5" xfId="10948"/>
    <cellStyle name="Heading 1 2 2 2 6 3 3 5 2" xfId="10949"/>
    <cellStyle name="Heading 1 2 2 2 6 3 3 5 2 2" xfId="10950"/>
    <cellStyle name="Heading 1 2 2 2 6 3 3 5 3" xfId="10951"/>
    <cellStyle name="Heading 1 2 2 2 6 3 3 6" xfId="10952"/>
    <cellStyle name="Heading 1 2 2 2 6 3 3 6 2" xfId="10953"/>
    <cellStyle name="Heading 1 2 2 2 6 3 3 6 2 2" xfId="10954"/>
    <cellStyle name="Heading 1 2 2 2 6 3 3 6 3" xfId="10955"/>
    <cellStyle name="Heading 1 2 2 2 6 3 3 7" xfId="10956"/>
    <cellStyle name="Heading 1 2 2 2 6 3 3 7 2" xfId="10957"/>
    <cellStyle name="Heading 1 2 2 2 6 3 3 7 2 2" xfId="10958"/>
    <cellStyle name="Heading 1 2 2 2 6 3 3 7 3" xfId="10959"/>
    <cellStyle name="Heading 1 2 2 2 6 3 3 8" xfId="10960"/>
    <cellStyle name="Heading 1 2 2 2 6 3 3 8 2" xfId="10961"/>
    <cellStyle name="Heading 1 2 2 2 6 3 3 9" xfId="10962"/>
    <cellStyle name="Heading 1 2 2 2 6 3 4" xfId="10963"/>
    <cellStyle name="Heading 1 2 2 2 6 3 4 2" xfId="10964"/>
    <cellStyle name="Heading 1 2 2 2 6 3 4 2 2" xfId="10965"/>
    <cellStyle name="Heading 1 2 2 2 6 3 4 2 2 2" xfId="10966"/>
    <cellStyle name="Heading 1 2 2 2 6 3 4 2 3" xfId="10967"/>
    <cellStyle name="Heading 1 2 2 2 6 3 4 3" xfId="10968"/>
    <cellStyle name="Heading 1 2 2 2 6 3 4 3 2" xfId="10969"/>
    <cellStyle name="Heading 1 2 2 2 6 3 4 3 2 2" xfId="10970"/>
    <cellStyle name="Heading 1 2 2 2 6 3 4 3 3" xfId="10971"/>
    <cellStyle name="Heading 1 2 2 2 6 3 4 4" xfId="10972"/>
    <cellStyle name="Heading 1 2 2 2 6 3 4 4 2" xfId="10973"/>
    <cellStyle name="Heading 1 2 2 2 6 3 4 4 2 2" xfId="10974"/>
    <cellStyle name="Heading 1 2 2 2 6 3 4 4 3" xfId="10975"/>
    <cellStyle name="Heading 1 2 2 2 6 3 4 5" xfId="10976"/>
    <cellStyle name="Heading 1 2 2 2 6 3 4 5 2" xfId="10977"/>
    <cellStyle name="Heading 1 2 2 2 6 3 4 5 2 2" xfId="10978"/>
    <cellStyle name="Heading 1 2 2 2 6 3 4 5 3" xfId="10979"/>
    <cellStyle name="Heading 1 2 2 2 6 3 4 6" xfId="10980"/>
    <cellStyle name="Heading 1 2 2 2 6 3 4 6 2" xfId="10981"/>
    <cellStyle name="Heading 1 2 2 2 6 3 4 6 2 2" xfId="10982"/>
    <cellStyle name="Heading 1 2 2 2 6 3 4 6 3" xfId="10983"/>
    <cellStyle name="Heading 1 2 2 2 6 3 4 7" xfId="10984"/>
    <cellStyle name="Heading 1 2 2 2 6 3 4 7 2" xfId="10985"/>
    <cellStyle name="Heading 1 2 2 2 6 3 4 7 2 2" xfId="10986"/>
    <cellStyle name="Heading 1 2 2 2 6 3 4 7 3" xfId="10987"/>
    <cellStyle name="Heading 1 2 2 2 6 3 4 8" xfId="10988"/>
    <cellStyle name="Heading 1 2 2 2 6 3 4 8 2" xfId="10989"/>
    <cellStyle name="Heading 1 2 2 2 6 3 4 9" xfId="10990"/>
    <cellStyle name="Heading 1 2 2 2 6 3 5" xfId="10991"/>
    <cellStyle name="Heading 1 2 2 2 6 3 5 2" xfId="10992"/>
    <cellStyle name="Heading 1 2 2 2 6 3 5 2 2" xfId="10993"/>
    <cellStyle name="Heading 1 2 2 2 6 3 5 2 2 2" xfId="10994"/>
    <cellStyle name="Heading 1 2 2 2 6 3 5 2 3" xfId="10995"/>
    <cellStyle name="Heading 1 2 2 2 6 3 5 3" xfId="10996"/>
    <cellStyle name="Heading 1 2 2 2 6 3 5 3 2" xfId="10997"/>
    <cellStyle name="Heading 1 2 2 2 6 3 5 3 2 2" xfId="10998"/>
    <cellStyle name="Heading 1 2 2 2 6 3 5 3 3" xfId="10999"/>
    <cellStyle name="Heading 1 2 2 2 6 3 5 4" xfId="11000"/>
    <cellStyle name="Heading 1 2 2 2 6 3 5 4 2" xfId="11001"/>
    <cellStyle name="Heading 1 2 2 2 6 3 5 4 2 2" xfId="11002"/>
    <cellStyle name="Heading 1 2 2 2 6 3 5 4 3" xfId="11003"/>
    <cellStyle name="Heading 1 2 2 2 6 3 5 5" xfId="11004"/>
    <cellStyle name="Heading 1 2 2 2 6 3 5 5 2" xfId="11005"/>
    <cellStyle name="Heading 1 2 2 2 6 3 5 5 2 2" xfId="11006"/>
    <cellStyle name="Heading 1 2 2 2 6 3 5 5 3" xfId="11007"/>
    <cellStyle name="Heading 1 2 2 2 6 3 5 6" xfId="11008"/>
    <cellStyle name="Heading 1 2 2 2 6 3 5 6 2" xfId="11009"/>
    <cellStyle name="Heading 1 2 2 2 6 3 5 6 2 2" xfId="11010"/>
    <cellStyle name="Heading 1 2 2 2 6 3 5 6 3" xfId="11011"/>
    <cellStyle name="Heading 1 2 2 2 6 3 5 7" xfId="11012"/>
    <cellStyle name="Heading 1 2 2 2 6 3 5 7 2" xfId="11013"/>
    <cellStyle name="Heading 1 2 2 2 6 3 5 7 2 2" xfId="11014"/>
    <cellStyle name="Heading 1 2 2 2 6 3 5 7 3" xfId="11015"/>
    <cellStyle name="Heading 1 2 2 2 6 3 5 8" xfId="11016"/>
    <cellStyle name="Heading 1 2 2 2 6 3 5 8 2" xfId="11017"/>
    <cellStyle name="Heading 1 2 2 2 6 3 5 9" xfId="11018"/>
    <cellStyle name="Heading 1 2 2 2 6 3 6" xfId="11019"/>
    <cellStyle name="Heading 1 2 2 2 6 3 6 2" xfId="11020"/>
    <cellStyle name="Heading 1 2 2 2 6 3 6 2 2" xfId="11021"/>
    <cellStyle name="Heading 1 2 2 2 6 3 6 2 2 2" xfId="11022"/>
    <cellStyle name="Heading 1 2 2 2 6 3 6 2 3" xfId="11023"/>
    <cellStyle name="Heading 1 2 2 2 6 3 6 3" xfId="11024"/>
    <cellStyle name="Heading 1 2 2 2 6 3 6 3 2" xfId="11025"/>
    <cellStyle name="Heading 1 2 2 2 6 3 6 3 2 2" xfId="11026"/>
    <cellStyle name="Heading 1 2 2 2 6 3 6 3 3" xfId="11027"/>
    <cellStyle name="Heading 1 2 2 2 6 3 6 4" xfId="11028"/>
    <cellStyle name="Heading 1 2 2 2 6 3 6 4 2" xfId="11029"/>
    <cellStyle name="Heading 1 2 2 2 6 3 6 4 2 2" xfId="11030"/>
    <cellStyle name="Heading 1 2 2 2 6 3 6 4 3" xfId="11031"/>
    <cellStyle name="Heading 1 2 2 2 6 3 6 5" xfId="11032"/>
    <cellStyle name="Heading 1 2 2 2 6 3 6 5 2" xfId="11033"/>
    <cellStyle name="Heading 1 2 2 2 6 3 6 5 2 2" xfId="11034"/>
    <cellStyle name="Heading 1 2 2 2 6 3 6 5 3" xfId="11035"/>
    <cellStyle name="Heading 1 2 2 2 6 3 6 6" xfId="11036"/>
    <cellStyle name="Heading 1 2 2 2 6 3 6 6 2" xfId="11037"/>
    <cellStyle name="Heading 1 2 2 2 6 3 6 6 2 2" xfId="11038"/>
    <cellStyle name="Heading 1 2 2 2 6 3 6 6 3" xfId="11039"/>
    <cellStyle name="Heading 1 2 2 2 6 3 6 7" xfId="11040"/>
    <cellStyle name="Heading 1 2 2 2 6 3 6 7 2" xfId="11041"/>
    <cellStyle name="Heading 1 2 2 2 6 3 6 7 2 2" xfId="11042"/>
    <cellStyle name="Heading 1 2 2 2 6 3 6 7 3" xfId="11043"/>
    <cellStyle name="Heading 1 2 2 2 6 3 6 8" xfId="11044"/>
    <cellStyle name="Heading 1 2 2 2 6 3 6 8 2" xfId="11045"/>
    <cellStyle name="Heading 1 2 2 2 6 3 6 9" xfId="11046"/>
    <cellStyle name="Heading 1 2 2 2 6 3 7" xfId="11047"/>
    <cellStyle name="Heading 1 2 2 2 6 3 7 2" xfId="11048"/>
    <cellStyle name="Heading 1 2 2 2 6 3 7 2 2" xfId="11049"/>
    <cellStyle name="Heading 1 2 2 2 6 3 7 2 2 2" xfId="11050"/>
    <cellStyle name="Heading 1 2 2 2 6 3 7 2 3" xfId="11051"/>
    <cellStyle name="Heading 1 2 2 2 6 3 7 3" xfId="11052"/>
    <cellStyle name="Heading 1 2 2 2 6 3 7 3 2" xfId="11053"/>
    <cellStyle name="Heading 1 2 2 2 6 3 7 3 2 2" xfId="11054"/>
    <cellStyle name="Heading 1 2 2 2 6 3 7 3 3" xfId="11055"/>
    <cellStyle name="Heading 1 2 2 2 6 3 7 4" xfId="11056"/>
    <cellStyle name="Heading 1 2 2 2 6 3 7 4 2" xfId="11057"/>
    <cellStyle name="Heading 1 2 2 2 6 3 7 4 2 2" xfId="11058"/>
    <cellStyle name="Heading 1 2 2 2 6 3 7 4 3" xfId="11059"/>
    <cellStyle name="Heading 1 2 2 2 6 3 7 5" xfId="11060"/>
    <cellStyle name="Heading 1 2 2 2 6 3 7 5 2" xfId="11061"/>
    <cellStyle name="Heading 1 2 2 2 6 3 7 5 2 2" xfId="11062"/>
    <cellStyle name="Heading 1 2 2 2 6 3 7 5 3" xfId="11063"/>
    <cellStyle name="Heading 1 2 2 2 6 3 7 6" xfId="11064"/>
    <cellStyle name="Heading 1 2 2 2 6 3 7 6 2" xfId="11065"/>
    <cellStyle name="Heading 1 2 2 2 6 3 7 6 2 2" xfId="11066"/>
    <cellStyle name="Heading 1 2 2 2 6 3 7 6 3" xfId="11067"/>
    <cellStyle name="Heading 1 2 2 2 6 3 7 7" xfId="11068"/>
    <cellStyle name="Heading 1 2 2 2 6 3 7 7 2" xfId="11069"/>
    <cellStyle name="Heading 1 2 2 2 6 3 7 7 2 2" xfId="11070"/>
    <cellStyle name="Heading 1 2 2 2 6 3 7 7 3" xfId="11071"/>
    <cellStyle name="Heading 1 2 2 2 6 3 7 8" xfId="11072"/>
    <cellStyle name="Heading 1 2 2 2 6 3 7 8 2" xfId="11073"/>
    <cellStyle name="Heading 1 2 2 2 6 3 7 9" xfId="11074"/>
    <cellStyle name="Heading 1 2 2 2 6 3 8" xfId="11075"/>
    <cellStyle name="Heading 1 2 2 2 6 3 8 2" xfId="11076"/>
    <cellStyle name="Heading 1 2 2 2 6 3 8 2 2" xfId="11077"/>
    <cellStyle name="Heading 1 2 2 2 6 3 8 2 2 2" xfId="11078"/>
    <cellStyle name="Heading 1 2 2 2 6 3 8 2 3" xfId="11079"/>
    <cellStyle name="Heading 1 2 2 2 6 3 8 3" xfId="11080"/>
    <cellStyle name="Heading 1 2 2 2 6 3 8 3 2" xfId="11081"/>
    <cellStyle name="Heading 1 2 2 2 6 3 8 3 2 2" xfId="11082"/>
    <cellStyle name="Heading 1 2 2 2 6 3 8 3 3" xfId="11083"/>
    <cellStyle name="Heading 1 2 2 2 6 3 8 4" xfId="11084"/>
    <cellStyle name="Heading 1 2 2 2 6 3 8 4 2" xfId="11085"/>
    <cellStyle name="Heading 1 2 2 2 6 3 8 4 2 2" xfId="11086"/>
    <cellStyle name="Heading 1 2 2 2 6 3 8 4 3" xfId="11087"/>
    <cellStyle name="Heading 1 2 2 2 6 3 8 5" xfId="11088"/>
    <cellStyle name="Heading 1 2 2 2 6 3 8 5 2" xfId="11089"/>
    <cellStyle name="Heading 1 2 2 2 6 3 8 5 2 2" xfId="11090"/>
    <cellStyle name="Heading 1 2 2 2 6 3 8 5 3" xfId="11091"/>
    <cellStyle name="Heading 1 2 2 2 6 3 8 6" xfId="11092"/>
    <cellStyle name="Heading 1 2 2 2 6 3 8 6 2" xfId="11093"/>
    <cellStyle name="Heading 1 2 2 2 6 3 8 6 2 2" xfId="11094"/>
    <cellStyle name="Heading 1 2 2 2 6 3 8 6 3" xfId="11095"/>
    <cellStyle name="Heading 1 2 2 2 6 3 8 7" xfId="11096"/>
    <cellStyle name="Heading 1 2 2 2 6 3 8 7 2" xfId="11097"/>
    <cellStyle name="Heading 1 2 2 2 6 3 8 7 2 2" xfId="11098"/>
    <cellStyle name="Heading 1 2 2 2 6 3 8 7 3" xfId="11099"/>
    <cellStyle name="Heading 1 2 2 2 6 3 8 8" xfId="11100"/>
    <cellStyle name="Heading 1 2 2 2 6 3 8 8 2" xfId="11101"/>
    <cellStyle name="Heading 1 2 2 2 6 3 8 9" xfId="11102"/>
    <cellStyle name="Heading 1 2 2 2 6 3 9" xfId="11103"/>
    <cellStyle name="Heading 1 2 2 2 6 3 9 2" xfId="11104"/>
    <cellStyle name="Heading 1 2 2 2 6 3 9 2 2" xfId="11105"/>
    <cellStyle name="Heading 1 2 2 2 6 3 9 3" xfId="11106"/>
    <cellStyle name="Heading 1 2 2 2 6 4" xfId="11107"/>
    <cellStyle name="Heading 1 2 2 2 6 4 2" xfId="11108"/>
    <cellStyle name="Heading 1 2 2 2 6 4 2 2" xfId="11109"/>
    <cellStyle name="Heading 1 2 2 2 6 4 3" xfId="11110"/>
    <cellStyle name="Heading 1 2 2 2 6 5" xfId="11111"/>
    <cellStyle name="Heading 1 2 2 2 6 5 2" xfId="11112"/>
    <cellStyle name="Heading 1 2 2 2 6 6" xfId="11113"/>
    <cellStyle name="Heading 1 2 2 2 7" xfId="11114"/>
    <cellStyle name="Heading 1 2 2 2 7 2" xfId="11115"/>
    <cellStyle name="Heading 1 2 2 2 7 2 10" xfId="11116"/>
    <cellStyle name="Heading 1 2 2 2 7 2 10 2" xfId="11117"/>
    <cellStyle name="Heading 1 2 2 2 7 2 10 2 2" xfId="11118"/>
    <cellStyle name="Heading 1 2 2 2 7 2 10 3" xfId="11119"/>
    <cellStyle name="Heading 1 2 2 2 7 2 11" xfId="11120"/>
    <cellStyle name="Heading 1 2 2 2 7 2 11 2" xfId="11121"/>
    <cellStyle name="Heading 1 2 2 2 7 2 11 2 2" xfId="11122"/>
    <cellStyle name="Heading 1 2 2 2 7 2 11 3" xfId="11123"/>
    <cellStyle name="Heading 1 2 2 2 7 2 12" xfId="11124"/>
    <cellStyle name="Heading 1 2 2 2 7 2 12 2" xfId="11125"/>
    <cellStyle name="Heading 1 2 2 2 7 2 12 2 2" xfId="11126"/>
    <cellStyle name="Heading 1 2 2 2 7 2 12 3" xfId="11127"/>
    <cellStyle name="Heading 1 2 2 2 7 2 13" xfId="11128"/>
    <cellStyle name="Heading 1 2 2 2 7 2 13 2" xfId="11129"/>
    <cellStyle name="Heading 1 2 2 2 7 2 13 2 2" xfId="11130"/>
    <cellStyle name="Heading 1 2 2 2 7 2 13 3" xfId="11131"/>
    <cellStyle name="Heading 1 2 2 2 7 2 14" xfId="11132"/>
    <cellStyle name="Heading 1 2 2 2 7 2 14 2" xfId="11133"/>
    <cellStyle name="Heading 1 2 2 2 7 2 14 2 2" xfId="11134"/>
    <cellStyle name="Heading 1 2 2 2 7 2 14 3" xfId="11135"/>
    <cellStyle name="Heading 1 2 2 2 7 2 15" xfId="11136"/>
    <cellStyle name="Heading 1 2 2 2 7 2 15 2" xfId="11137"/>
    <cellStyle name="Heading 1 2 2 2 7 2 15 2 2" xfId="11138"/>
    <cellStyle name="Heading 1 2 2 2 7 2 15 3" xfId="11139"/>
    <cellStyle name="Heading 1 2 2 2 7 2 16" xfId="11140"/>
    <cellStyle name="Heading 1 2 2 2 7 2 16 2" xfId="11141"/>
    <cellStyle name="Heading 1 2 2 2 7 2 16 2 2" xfId="11142"/>
    <cellStyle name="Heading 1 2 2 2 7 2 16 3" xfId="11143"/>
    <cellStyle name="Heading 1 2 2 2 7 2 17" xfId="11144"/>
    <cellStyle name="Heading 1 2 2 2 7 2 17 2" xfId="11145"/>
    <cellStyle name="Heading 1 2 2 2 7 2 17 2 2" xfId="11146"/>
    <cellStyle name="Heading 1 2 2 2 7 2 17 3" xfId="11147"/>
    <cellStyle name="Heading 1 2 2 2 7 2 18" xfId="11148"/>
    <cellStyle name="Heading 1 2 2 2 7 2 18 2" xfId="11149"/>
    <cellStyle name="Heading 1 2 2 2 7 2 18 2 2" xfId="11150"/>
    <cellStyle name="Heading 1 2 2 2 7 2 18 3" xfId="11151"/>
    <cellStyle name="Heading 1 2 2 2 7 2 19" xfId="11152"/>
    <cellStyle name="Heading 1 2 2 2 7 2 19 2" xfId="11153"/>
    <cellStyle name="Heading 1 2 2 2 7 2 19 2 2" xfId="11154"/>
    <cellStyle name="Heading 1 2 2 2 7 2 19 3" xfId="11155"/>
    <cellStyle name="Heading 1 2 2 2 7 2 2" xfId="11156"/>
    <cellStyle name="Heading 1 2 2 2 7 2 2 10" xfId="11157"/>
    <cellStyle name="Heading 1 2 2 2 7 2 2 10 2" xfId="11158"/>
    <cellStyle name="Heading 1 2 2 2 7 2 2 10 2 2" xfId="11159"/>
    <cellStyle name="Heading 1 2 2 2 7 2 2 10 3" xfId="11160"/>
    <cellStyle name="Heading 1 2 2 2 7 2 2 11" xfId="11161"/>
    <cellStyle name="Heading 1 2 2 2 7 2 2 11 2" xfId="11162"/>
    <cellStyle name="Heading 1 2 2 2 7 2 2 11 2 2" xfId="11163"/>
    <cellStyle name="Heading 1 2 2 2 7 2 2 11 3" xfId="11164"/>
    <cellStyle name="Heading 1 2 2 2 7 2 2 12" xfId="11165"/>
    <cellStyle name="Heading 1 2 2 2 7 2 2 12 2" xfId="11166"/>
    <cellStyle name="Heading 1 2 2 2 7 2 2 12 2 2" xfId="11167"/>
    <cellStyle name="Heading 1 2 2 2 7 2 2 12 3" xfId="11168"/>
    <cellStyle name="Heading 1 2 2 2 7 2 2 13" xfId="11169"/>
    <cellStyle name="Heading 1 2 2 2 7 2 2 13 2" xfId="11170"/>
    <cellStyle name="Heading 1 2 2 2 7 2 2 13 2 2" xfId="11171"/>
    <cellStyle name="Heading 1 2 2 2 7 2 2 13 3" xfId="11172"/>
    <cellStyle name="Heading 1 2 2 2 7 2 2 14" xfId="11173"/>
    <cellStyle name="Heading 1 2 2 2 7 2 2 14 2" xfId="11174"/>
    <cellStyle name="Heading 1 2 2 2 7 2 2 14 2 2" xfId="11175"/>
    <cellStyle name="Heading 1 2 2 2 7 2 2 14 3" xfId="11176"/>
    <cellStyle name="Heading 1 2 2 2 7 2 2 15" xfId="11177"/>
    <cellStyle name="Heading 1 2 2 2 7 2 2 15 2" xfId="11178"/>
    <cellStyle name="Heading 1 2 2 2 7 2 2 15 2 2" xfId="11179"/>
    <cellStyle name="Heading 1 2 2 2 7 2 2 15 3" xfId="11180"/>
    <cellStyle name="Heading 1 2 2 2 7 2 2 16" xfId="11181"/>
    <cellStyle name="Heading 1 2 2 2 7 2 2 16 2" xfId="11182"/>
    <cellStyle name="Heading 1 2 2 2 7 2 2 16 2 2" xfId="11183"/>
    <cellStyle name="Heading 1 2 2 2 7 2 2 16 3" xfId="11184"/>
    <cellStyle name="Heading 1 2 2 2 7 2 2 17" xfId="11185"/>
    <cellStyle name="Heading 1 2 2 2 7 2 2 17 2" xfId="11186"/>
    <cellStyle name="Heading 1 2 2 2 7 2 2 17 2 2" xfId="11187"/>
    <cellStyle name="Heading 1 2 2 2 7 2 2 17 3" xfId="11188"/>
    <cellStyle name="Heading 1 2 2 2 7 2 2 18" xfId="11189"/>
    <cellStyle name="Heading 1 2 2 2 7 2 2 18 2" xfId="11190"/>
    <cellStyle name="Heading 1 2 2 2 7 2 2 18 2 2" xfId="11191"/>
    <cellStyle name="Heading 1 2 2 2 7 2 2 18 3" xfId="11192"/>
    <cellStyle name="Heading 1 2 2 2 7 2 2 19" xfId="11193"/>
    <cellStyle name="Heading 1 2 2 2 7 2 2 19 2" xfId="11194"/>
    <cellStyle name="Heading 1 2 2 2 7 2 2 2" xfId="11195"/>
    <cellStyle name="Heading 1 2 2 2 7 2 2 2 2" xfId="11196"/>
    <cellStyle name="Heading 1 2 2 2 7 2 2 2 2 2" xfId="11197"/>
    <cellStyle name="Heading 1 2 2 2 7 2 2 2 2 2 2" xfId="11198"/>
    <cellStyle name="Heading 1 2 2 2 7 2 2 2 2 3" xfId="11199"/>
    <cellStyle name="Heading 1 2 2 2 7 2 2 2 3" xfId="11200"/>
    <cellStyle name="Heading 1 2 2 2 7 2 2 2 3 2" xfId="11201"/>
    <cellStyle name="Heading 1 2 2 2 7 2 2 2 3 2 2" xfId="11202"/>
    <cellStyle name="Heading 1 2 2 2 7 2 2 2 3 3" xfId="11203"/>
    <cellStyle name="Heading 1 2 2 2 7 2 2 2 4" xfId="11204"/>
    <cellStyle name="Heading 1 2 2 2 7 2 2 2 4 2" xfId="11205"/>
    <cellStyle name="Heading 1 2 2 2 7 2 2 2 4 2 2" xfId="11206"/>
    <cellStyle name="Heading 1 2 2 2 7 2 2 2 4 3" xfId="11207"/>
    <cellStyle name="Heading 1 2 2 2 7 2 2 2 5" xfId="11208"/>
    <cellStyle name="Heading 1 2 2 2 7 2 2 2 5 2" xfId="11209"/>
    <cellStyle name="Heading 1 2 2 2 7 2 2 2 5 2 2" xfId="11210"/>
    <cellStyle name="Heading 1 2 2 2 7 2 2 2 5 3" xfId="11211"/>
    <cellStyle name="Heading 1 2 2 2 7 2 2 2 6" xfId="11212"/>
    <cellStyle name="Heading 1 2 2 2 7 2 2 2 6 2" xfId="11213"/>
    <cellStyle name="Heading 1 2 2 2 7 2 2 2 6 2 2" xfId="11214"/>
    <cellStyle name="Heading 1 2 2 2 7 2 2 2 6 3" xfId="11215"/>
    <cellStyle name="Heading 1 2 2 2 7 2 2 2 7" xfId="11216"/>
    <cellStyle name="Heading 1 2 2 2 7 2 2 2 7 2" xfId="11217"/>
    <cellStyle name="Heading 1 2 2 2 7 2 2 2 7 2 2" xfId="11218"/>
    <cellStyle name="Heading 1 2 2 2 7 2 2 2 7 3" xfId="11219"/>
    <cellStyle name="Heading 1 2 2 2 7 2 2 2 8" xfId="11220"/>
    <cellStyle name="Heading 1 2 2 2 7 2 2 2 8 2" xfId="11221"/>
    <cellStyle name="Heading 1 2 2 2 7 2 2 2 9" xfId="11222"/>
    <cellStyle name="Heading 1 2 2 2 7 2 2 20" xfId="11223"/>
    <cellStyle name="Heading 1 2 2 2 7 2 2 20 2" xfId="11224"/>
    <cellStyle name="Heading 1 2 2 2 7 2 2 21" xfId="11225"/>
    <cellStyle name="Heading 1 2 2 2 7 2 2 21 2" xfId="11226"/>
    <cellStyle name="Heading 1 2 2 2 7 2 2 22" xfId="11227"/>
    <cellStyle name="Heading 1 2 2 2 7 2 2 3" xfId="11228"/>
    <cellStyle name="Heading 1 2 2 2 7 2 2 3 2" xfId="11229"/>
    <cellStyle name="Heading 1 2 2 2 7 2 2 3 2 2" xfId="11230"/>
    <cellStyle name="Heading 1 2 2 2 7 2 2 3 2 2 2" xfId="11231"/>
    <cellStyle name="Heading 1 2 2 2 7 2 2 3 2 3" xfId="11232"/>
    <cellStyle name="Heading 1 2 2 2 7 2 2 3 3" xfId="11233"/>
    <cellStyle name="Heading 1 2 2 2 7 2 2 3 3 2" xfId="11234"/>
    <cellStyle name="Heading 1 2 2 2 7 2 2 3 3 2 2" xfId="11235"/>
    <cellStyle name="Heading 1 2 2 2 7 2 2 3 3 3" xfId="11236"/>
    <cellStyle name="Heading 1 2 2 2 7 2 2 3 4" xfId="11237"/>
    <cellStyle name="Heading 1 2 2 2 7 2 2 3 4 2" xfId="11238"/>
    <cellStyle name="Heading 1 2 2 2 7 2 2 3 4 2 2" xfId="11239"/>
    <cellStyle name="Heading 1 2 2 2 7 2 2 3 4 3" xfId="11240"/>
    <cellStyle name="Heading 1 2 2 2 7 2 2 3 5" xfId="11241"/>
    <cellStyle name="Heading 1 2 2 2 7 2 2 3 5 2" xfId="11242"/>
    <cellStyle name="Heading 1 2 2 2 7 2 2 3 5 2 2" xfId="11243"/>
    <cellStyle name="Heading 1 2 2 2 7 2 2 3 5 3" xfId="11244"/>
    <cellStyle name="Heading 1 2 2 2 7 2 2 3 6" xfId="11245"/>
    <cellStyle name="Heading 1 2 2 2 7 2 2 3 6 2" xfId="11246"/>
    <cellStyle name="Heading 1 2 2 2 7 2 2 3 6 2 2" xfId="11247"/>
    <cellStyle name="Heading 1 2 2 2 7 2 2 3 6 3" xfId="11248"/>
    <cellStyle name="Heading 1 2 2 2 7 2 2 3 7" xfId="11249"/>
    <cellStyle name="Heading 1 2 2 2 7 2 2 3 7 2" xfId="11250"/>
    <cellStyle name="Heading 1 2 2 2 7 2 2 3 7 2 2" xfId="11251"/>
    <cellStyle name="Heading 1 2 2 2 7 2 2 3 7 3" xfId="11252"/>
    <cellStyle name="Heading 1 2 2 2 7 2 2 3 8" xfId="11253"/>
    <cellStyle name="Heading 1 2 2 2 7 2 2 3 8 2" xfId="11254"/>
    <cellStyle name="Heading 1 2 2 2 7 2 2 3 9" xfId="11255"/>
    <cellStyle name="Heading 1 2 2 2 7 2 2 4" xfId="11256"/>
    <cellStyle name="Heading 1 2 2 2 7 2 2 4 2" xfId="11257"/>
    <cellStyle name="Heading 1 2 2 2 7 2 2 4 2 2" xfId="11258"/>
    <cellStyle name="Heading 1 2 2 2 7 2 2 4 2 2 2" xfId="11259"/>
    <cellStyle name="Heading 1 2 2 2 7 2 2 4 2 3" xfId="11260"/>
    <cellStyle name="Heading 1 2 2 2 7 2 2 4 3" xfId="11261"/>
    <cellStyle name="Heading 1 2 2 2 7 2 2 4 3 2" xfId="11262"/>
    <cellStyle name="Heading 1 2 2 2 7 2 2 4 3 2 2" xfId="11263"/>
    <cellStyle name="Heading 1 2 2 2 7 2 2 4 3 3" xfId="11264"/>
    <cellStyle name="Heading 1 2 2 2 7 2 2 4 4" xfId="11265"/>
    <cellStyle name="Heading 1 2 2 2 7 2 2 4 4 2" xfId="11266"/>
    <cellStyle name="Heading 1 2 2 2 7 2 2 4 4 2 2" xfId="11267"/>
    <cellStyle name="Heading 1 2 2 2 7 2 2 4 4 3" xfId="11268"/>
    <cellStyle name="Heading 1 2 2 2 7 2 2 4 5" xfId="11269"/>
    <cellStyle name="Heading 1 2 2 2 7 2 2 4 5 2" xfId="11270"/>
    <cellStyle name="Heading 1 2 2 2 7 2 2 4 5 2 2" xfId="11271"/>
    <cellStyle name="Heading 1 2 2 2 7 2 2 4 5 3" xfId="11272"/>
    <cellStyle name="Heading 1 2 2 2 7 2 2 4 6" xfId="11273"/>
    <cellStyle name="Heading 1 2 2 2 7 2 2 4 6 2" xfId="11274"/>
    <cellStyle name="Heading 1 2 2 2 7 2 2 4 6 2 2" xfId="11275"/>
    <cellStyle name="Heading 1 2 2 2 7 2 2 4 6 3" xfId="11276"/>
    <cellStyle name="Heading 1 2 2 2 7 2 2 4 7" xfId="11277"/>
    <cellStyle name="Heading 1 2 2 2 7 2 2 4 7 2" xfId="11278"/>
    <cellStyle name="Heading 1 2 2 2 7 2 2 4 7 2 2" xfId="11279"/>
    <cellStyle name="Heading 1 2 2 2 7 2 2 4 7 3" xfId="11280"/>
    <cellStyle name="Heading 1 2 2 2 7 2 2 4 8" xfId="11281"/>
    <cellStyle name="Heading 1 2 2 2 7 2 2 4 8 2" xfId="11282"/>
    <cellStyle name="Heading 1 2 2 2 7 2 2 4 9" xfId="11283"/>
    <cellStyle name="Heading 1 2 2 2 7 2 2 5" xfId="11284"/>
    <cellStyle name="Heading 1 2 2 2 7 2 2 5 2" xfId="11285"/>
    <cellStyle name="Heading 1 2 2 2 7 2 2 5 2 2" xfId="11286"/>
    <cellStyle name="Heading 1 2 2 2 7 2 2 5 2 2 2" xfId="11287"/>
    <cellStyle name="Heading 1 2 2 2 7 2 2 5 2 3" xfId="11288"/>
    <cellStyle name="Heading 1 2 2 2 7 2 2 5 3" xfId="11289"/>
    <cellStyle name="Heading 1 2 2 2 7 2 2 5 3 2" xfId="11290"/>
    <cellStyle name="Heading 1 2 2 2 7 2 2 5 3 2 2" xfId="11291"/>
    <cellStyle name="Heading 1 2 2 2 7 2 2 5 3 3" xfId="11292"/>
    <cellStyle name="Heading 1 2 2 2 7 2 2 5 4" xfId="11293"/>
    <cellStyle name="Heading 1 2 2 2 7 2 2 5 4 2" xfId="11294"/>
    <cellStyle name="Heading 1 2 2 2 7 2 2 5 4 2 2" xfId="11295"/>
    <cellStyle name="Heading 1 2 2 2 7 2 2 5 4 3" xfId="11296"/>
    <cellStyle name="Heading 1 2 2 2 7 2 2 5 5" xfId="11297"/>
    <cellStyle name="Heading 1 2 2 2 7 2 2 5 5 2" xfId="11298"/>
    <cellStyle name="Heading 1 2 2 2 7 2 2 5 5 2 2" xfId="11299"/>
    <cellStyle name="Heading 1 2 2 2 7 2 2 5 5 3" xfId="11300"/>
    <cellStyle name="Heading 1 2 2 2 7 2 2 5 6" xfId="11301"/>
    <cellStyle name="Heading 1 2 2 2 7 2 2 5 6 2" xfId="11302"/>
    <cellStyle name="Heading 1 2 2 2 7 2 2 5 6 2 2" xfId="11303"/>
    <cellStyle name="Heading 1 2 2 2 7 2 2 5 6 3" xfId="11304"/>
    <cellStyle name="Heading 1 2 2 2 7 2 2 5 7" xfId="11305"/>
    <cellStyle name="Heading 1 2 2 2 7 2 2 5 7 2" xfId="11306"/>
    <cellStyle name="Heading 1 2 2 2 7 2 2 5 7 2 2" xfId="11307"/>
    <cellStyle name="Heading 1 2 2 2 7 2 2 5 7 3" xfId="11308"/>
    <cellStyle name="Heading 1 2 2 2 7 2 2 5 8" xfId="11309"/>
    <cellStyle name="Heading 1 2 2 2 7 2 2 5 8 2" xfId="11310"/>
    <cellStyle name="Heading 1 2 2 2 7 2 2 5 9" xfId="11311"/>
    <cellStyle name="Heading 1 2 2 2 7 2 2 6" xfId="11312"/>
    <cellStyle name="Heading 1 2 2 2 7 2 2 6 2" xfId="11313"/>
    <cellStyle name="Heading 1 2 2 2 7 2 2 6 2 2" xfId="11314"/>
    <cellStyle name="Heading 1 2 2 2 7 2 2 6 2 2 2" xfId="11315"/>
    <cellStyle name="Heading 1 2 2 2 7 2 2 6 2 3" xfId="11316"/>
    <cellStyle name="Heading 1 2 2 2 7 2 2 6 3" xfId="11317"/>
    <cellStyle name="Heading 1 2 2 2 7 2 2 6 3 2" xfId="11318"/>
    <cellStyle name="Heading 1 2 2 2 7 2 2 6 3 2 2" xfId="11319"/>
    <cellStyle name="Heading 1 2 2 2 7 2 2 6 3 3" xfId="11320"/>
    <cellStyle name="Heading 1 2 2 2 7 2 2 6 4" xfId="11321"/>
    <cellStyle name="Heading 1 2 2 2 7 2 2 6 4 2" xfId="11322"/>
    <cellStyle name="Heading 1 2 2 2 7 2 2 6 4 2 2" xfId="11323"/>
    <cellStyle name="Heading 1 2 2 2 7 2 2 6 4 3" xfId="11324"/>
    <cellStyle name="Heading 1 2 2 2 7 2 2 6 5" xfId="11325"/>
    <cellStyle name="Heading 1 2 2 2 7 2 2 6 5 2" xfId="11326"/>
    <cellStyle name="Heading 1 2 2 2 7 2 2 6 5 2 2" xfId="11327"/>
    <cellStyle name="Heading 1 2 2 2 7 2 2 6 5 3" xfId="11328"/>
    <cellStyle name="Heading 1 2 2 2 7 2 2 6 6" xfId="11329"/>
    <cellStyle name="Heading 1 2 2 2 7 2 2 6 6 2" xfId="11330"/>
    <cellStyle name="Heading 1 2 2 2 7 2 2 6 6 2 2" xfId="11331"/>
    <cellStyle name="Heading 1 2 2 2 7 2 2 6 6 3" xfId="11332"/>
    <cellStyle name="Heading 1 2 2 2 7 2 2 6 7" xfId="11333"/>
    <cellStyle name="Heading 1 2 2 2 7 2 2 6 7 2" xfId="11334"/>
    <cellStyle name="Heading 1 2 2 2 7 2 2 6 7 2 2" xfId="11335"/>
    <cellStyle name="Heading 1 2 2 2 7 2 2 6 7 3" xfId="11336"/>
    <cellStyle name="Heading 1 2 2 2 7 2 2 6 8" xfId="11337"/>
    <cellStyle name="Heading 1 2 2 2 7 2 2 6 8 2" xfId="11338"/>
    <cellStyle name="Heading 1 2 2 2 7 2 2 6 9" xfId="11339"/>
    <cellStyle name="Heading 1 2 2 2 7 2 2 7" xfId="11340"/>
    <cellStyle name="Heading 1 2 2 2 7 2 2 7 2" xfId="11341"/>
    <cellStyle name="Heading 1 2 2 2 7 2 2 7 2 2" xfId="11342"/>
    <cellStyle name="Heading 1 2 2 2 7 2 2 7 2 2 2" xfId="11343"/>
    <cellStyle name="Heading 1 2 2 2 7 2 2 7 2 3" xfId="11344"/>
    <cellStyle name="Heading 1 2 2 2 7 2 2 7 3" xfId="11345"/>
    <cellStyle name="Heading 1 2 2 2 7 2 2 7 3 2" xfId="11346"/>
    <cellStyle name="Heading 1 2 2 2 7 2 2 7 3 2 2" xfId="11347"/>
    <cellStyle name="Heading 1 2 2 2 7 2 2 7 3 3" xfId="11348"/>
    <cellStyle name="Heading 1 2 2 2 7 2 2 7 4" xfId="11349"/>
    <cellStyle name="Heading 1 2 2 2 7 2 2 7 4 2" xfId="11350"/>
    <cellStyle name="Heading 1 2 2 2 7 2 2 7 4 2 2" xfId="11351"/>
    <cellStyle name="Heading 1 2 2 2 7 2 2 7 4 3" xfId="11352"/>
    <cellStyle name="Heading 1 2 2 2 7 2 2 7 5" xfId="11353"/>
    <cellStyle name="Heading 1 2 2 2 7 2 2 7 5 2" xfId="11354"/>
    <cellStyle name="Heading 1 2 2 2 7 2 2 7 5 2 2" xfId="11355"/>
    <cellStyle name="Heading 1 2 2 2 7 2 2 7 5 3" xfId="11356"/>
    <cellStyle name="Heading 1 2 2 2 7 2 2 7 6" xfId="11357"/>
    <cellStyle name="Heading 1 2 2 2 7 2 2 7 6 2" xfId="11358"/>
    <cellStyle name="Heading 1 2 2 2 7 2 2 7 6 2 2" xfId="11359"/>
    <cellStyle name="Heading 1 2 2 2 7 2 2 7 6 3" xfId="11360"/>
    <cellStyle name="Heading 1 2 2 2 7 2 2 7 7" xfId="11361"/>
    <cellStyle name="Heading 1 2 2 2 7 2 2 7 7 2" xfId="11362"/>
    <cellStyle name="Heading 1 2 2 2 7 2 2 7 7 2 2" xfId="11363"/>
    <cellStyle name="Heading 1 2 2 2 7 2 2 7 7 3" xfId="11364"/>
    <cellStyle name="Heading 1 2 2 2 7 2 2 7 8" xfId="11365"/>
    <cellStyle name="Heading 1 2 2 2 7 2 2 7 8 2" xfId="11366"/>
    <cellStyle name="Heading 1 2 2 2 7 2 2 7 9" xfId="11367"/>
    <cellStyle name="Heading 1 2 2 2 7 2 2 8" xfId="11368"/>
    <cellStyle name="Heading 1 2 2 2 7 2 2 8 2" xfId="11369"/>
    <cellStyle name="Heading 1 2 2 2 7 2 2 8 2 2" xfId="11370"/>
    <cellStyle name="Heading 1 2 2 2 7 2 2 8 2 2 2" xfId="11371"/>
    <cellStyle name="Heading 1 2 2 2 7 2 2 8 2 3" xfId="11372"/>
    <cellStyle name="Heading 1 2 2 2 7 2 2 8 3" xfId="11373"/>
    <cellStyle name="Heading 1 2 2 2 7 2 2 8 3 2" xfId="11374"/>
    <cellStyle name="Heading 1 2 2 2 7 2 2 8 3 2 2" xfId="11375"/>
    <cellStyle name="Heading 1 2 2 2 7 2 2 8 3 3" xfId="11376"/>
    <cellStyle name="Heading 1 2 2 2 7 2 2 8 4" xfId="11377"/>
    <cellStyle name="Heading 1 2 2 2 7 2 2 8 4 2" xfId="11378"/>
    <cellStyle name="Heading 1 2 2 2 7 2 2 8 4 2 2" xfId="11379"/>
    <cellStyle name="Heading 1 2 2 2 7 2 2 8 4 3" xfId="11380"/>
    <cellStyle name="Heading 1 2 2 2 7 2 2 8 5" xfId="11381"/>
    <cellStyle name="Heading 1 2 2 2 7 2 2 8 5 2" xfId="11382"/>
    <cellStyle name="Heading 1 2 2 2 7 2 2 8 5 2 2" xfId="11383"/>
    <cellStyle name="Heading 1 2 2 2 7 2 2 8 5 3" xfId="11384"/>
    <cellStyle name="Heading 1 2 2 2 7 2 2 8 6" xfId="11385"/>
    <cellStyle name="Heading 1 2 2 2 7 2 2 8 6 2" xfId="11386"/>
    <cellStyle name="Heading 1 2 2 2 7 2 2 8 6 2 2" xfId="11387"/>
    <cellStyle name="Heading 1 2 2 2 7 2 2 8 6 3" xfId="11388"/>
    <cellStyle name="Heading 1 2 2 2 7 2 2 8 7" xfId="11389"/>
    <cellStyle name="Heading 1 2 2 2 7 2 2 8 7 2" xfId="11390"/>
    <cellStyle name="Heading 1 2 2 2 7 2 2 8 7 2 2" xfId="11391"/>
    <cellStyle name="Heading 1 2 2 2 7 2 2 8 7 3" xfId="11392"/>
    <cellStyle name="Heading 1 2 2 2 7 2 2 8 8" xfId="11393"/>
    <cellStyle name="Heading 1 2 2 2 7 2 2 8 8 2" xfId="11394"/>
    <cellStyle name="Heading 1 2 2 2 7 2 2 8 9" xfId="11395"/>
    <cellStyle name="Heading 1 2 2 2 7 2 2 9" xfId="11396"/>
    <cellStyle name="Heading 1 2 2 2 7 2 2 9 2" xfId="11397"/>
    <cellStyle name="Heading 1 2 2 2 7 2 2 9 2 2" xfId="11398"/>
    <cellStyle name="Heading 1 2 2 2 7 2 2 9 3" xfId="11399"/>
    <cellStyle name="Heading 1 2 2 2 7 2 20" xfId="11400"/>
    <cellStyle name="Heading 1 2 2 2 7 2 20 2" xfId="11401"/>
    <cellStyle name="Heading 1 2 2 2 7 2 21" xfId="11402"/>
    <cellStyle name="Heading 1 2 2 2 7 2 21 2" xfId="11403"/>
    <cellStyle name="Heading 1 2 2 2 7 2 22" xfId="11404"/>
    <cellStyle name="Heading 1 2 2 2 7 2 22 2" xfId="11405"/>
    <cellStyle name="Heading 1 2 2 2 7 2 23" xfId="11406"/>
    <cellStyle name="Heading 1 2 2 2 7 2 3" xfId="11407"/>
    <cellStyle name="Heading 1 2 2 2 7 2 3 2" xfId="11408"/>
    <cellStyle name="Heading 1 2 2 2 7 2 3 2 2" xfId="11409"/>
    <cellStyle name="Heading 1 2 2 2 7 2 3 2 2 2" xfId="11410"/>
    <cellStyle name="Heading 1 2 2 2 7 2 3 2 3" xfId="11411"/>
    <cellStyle name="Heading 1 2 2 2 7 2 3 3" xfId="11412"/>
    <cellStyle name="Heading 1 2 2 2 7 2 3 3 2" xfId="11413"/>
    <cellStyle name="Heading 1 2 2 2 7 2 3 3 2 2" xfId="11414"/>
    <cellStyle name="Heading 1 2 2 2 7 2 3 3 3" xfId="11415"/>
    <cellStyle name="Heading 1 2 2 2 7 2 3 4" xfId="11416"/>
    <cellStyle name="Heading 1 2 2 2 7 2 3 4 2" xfId="11417"/>
    <cellStyle name="Heading 1 2 2 2 7 2 3 4 2 2" xfId="11418"/>
    <cellStyle name="Heading 1 2 2 2 7 2 3 4 3" xfId="11419"/>
    <cellStyle name="Heading 1 2 2 2 7 2 3 5" xfId="11420"/>
    <cellStyle name="Heading 1 2 2 2 7 2 3 5 2" xfId="11421"/>
    <cellStyle name="Heading 1 2 2 2 7 2 3 5 2 2" xfId="11422"/>
    <cellStyle name="Heading 1 2 2 2 7 2 3 5 3" xfId="11423"/>
    <cellStyle name="Heading 1 2 2 2 7 2 3 6" xfId="11424"/>
    <cellStyle name="Heading 1 2 2 2 7 2 3 6 2" xfId="11425"/>
    <cellStyle name="Heading 1 2 2 2 7 2 3 6 2 2" xfId="11426"/>
    <cellStyle name="Heading 1 2 2 2 7 2 3 6 3" xfId="11427"/>
    <cellStyle name="Heading 1 2 2 2 7 2 3 7" xfId="11428"/>
    <cellStyle name="Heading 1 2 2 2 7 2 3 7 2" xfId="11429"/>
    <cellStyle name="Heading 1 2 2 2 7 2 3 7 2 2" xfId="11430"/>
    <cellStyle name="Heading 1 2 2 2 7 2 3 7 3" xfId="11431"/>
    <cellStyle name="Heading 1 2 2 2 7 2 3 8" xfId="11432"/>
    <cellStyle name="Heading 1 2 2 2 7 2 3 8 2" xfId="11433"/>
    <cellStyle name="Heading 1 2 2 2 7 2 3 9" xfId="11434"/>
    <cellStyle name="Heading 1 2 2 2 7 2 4" xfId="11435"/>
    <cellStyle name="Heading 1 2 2 2 7 2 4 2" xfId="11436"/>
    <cellStyle name="Heading 1 2 2 2 7 2 4 2 2" xfId="11437"/>
    <cellStyle name="Heading 1 2 2 2 7 2 4 2 2 2" xfId="11438"/>
    <cellStyle name="Heading 1 2 2 2 7 2 4 2 3" xfId="11439"/>
    <cellStyle name="Heading 1 2 2 2 7 2 4 3" xfId="11440"/>
    <cellStyle name="Heading 1 2 2 2 7 2 4 3 2" xfId="11441"/>
    <cellStyle name="Heading 1 2 2 2 7 2 4 3 2 2" xfId="11442"/>
    <cellStyle name="Heading 1 2 2 2 7 2 4 3 3" xfId="11443"/>
    <cellStyle name="Heading 1 2 2 2 7 2 4 4" xfId="11444"/>
    <cellStyle name="Heading 1 2 2 2 7 2 4 4 2" xfId="11445"/>
    <cellStyle name="Heading 1 2 2 2 7 2 4 4 2 2" xfId="11446"/>
    <cellStyle name="Heading 1 2 2 2 7 2 4 4 3" xfId="11447"/>
    <cellStyle name="Heading 1 2 2 2 7 2 4 5" xfId="11448"/>
    <cellStyle name="Heading 1 2 2 2 7 2 4 5 2" xfId="11449"/>
    <cellStyle name="Heading 1 2 2 2 7 2 4 5 2 2" xfId="11450"/>
    <cellStyle name="Heading 1 2 2 2 7 2 4 5 3" xfId="11451"/>
    <cellStyle name="Heading 1 2 2 2 7 2 4 6" xfId="11452"/>
    <cellStyle name="Heading 1 2 2 2 7 2 4 6 2" xfId="11453"/>
    <cellStyle name="Heading 1 2 2 2 7 2 4 6 2 2" xfId="11454"/>
    <cellStyle name="Heading 1 2 2 2 7 2 4 6 3" xfId="11455"/>
    <cellStyle name="Heading 1 2 2 2 7 2 4 7" xfId="11456"/>
    <cellStyle name="Heading 1 2 2 2 7 2 4 7 2" xfId="11457"/>
    <cellStyle name="Heading 1 2 2 2 7 2 4 7 2 2" xfId="11458"/>
    <cellStyle name="Heading 1 2 2 2 7 2 4 7 3" xfId="11459"/>
    <cellStyle name="Heading 1 2 2 2 7 2 4 8" xfId="11460"/>
    <cellStyle name="Heading 1 2 2 2 7 2 4 8 2" xfId="11461"/>
    <cellStyle name="Heading 1 2 2 2 7 2 4 9" xfId="11462"/>
    <cellStyle name="Heading 1 2 2 2 7 2 5" xfId="11463"/>
    <cellStyle name="Heading 1 2 2 2 7 2 5 2" xfId="11464"/>
    <cellStyle name="Heading 1 2 2 2 7 2 5 2 2" xfId="11465"/>
    <cellStyle name="Heading 1 2 2 2 7 2 5 2 2 2" xfId="11466"/>
    <cellStyle name="Heading 1 2 2 2 7 2 5 2 3" xfId="11467"/>
    <cellStyle name="Heading 1 2 2 2 7 2 5 3" xfId="11468"/>
    <cellStyle name="Heading 1 2 2 2 7 2 5 3 2" xfId="11469"/>
    <cellStyle name="Heading 1 2 2 2 7 2 5 3 2 2" xfId="11470"/>
    <cellStyle name="Heading 1 2 2 2 7 2 5 3 3" xfId="11471"/>
    <cellStyle name="Heading 1 2 2 2 7 2 5 4" xfId="11472"/>
    <cellStyle name="Heading 1 2 2 2 7 2 5 4 2" xfId="11473"/>
    <cellStyle name="Heading 1 2 2 2 7 2 5 4 2 2" xfId="11474"/>
    <cellStyle name="Heading 1 2 2 2 7 2 5 4 3" xfId="11475"/>
    <cellStyle name="Heading 1 2 2 2 7 2 5 5" xfId="11476"/>
    <cellStyle name="Heading 1 2 2 2 7 2 5 5 2" xfId="11477"/>
    <cellStyle name="Heading 1 2 2 2 7 2 5 5 2 2" xfId="11478"/>
    <cellStyle name="Heading 1 2 2 2 7 2 5 5 3" xfId="11479"/>
    <cellStyle name="Heading 1 2 2 2 7 2 5 6" xfId="11480"/>
    <cellStyle name="Heading 1 2 2 2 7 2 5 6 2" xfId="11481"/>
    <cellStyle name="Heading 1 2 2 2 7 2 5 6 2 2" xfId="11482"/>
    <cellStyle name="Heading 1 2 2 2 7 2 5 6 3" xfId="11483"/>
    <cellStyle name="Heading 1 2 2 2 7 2 5 7" xfId="11484"/>
    <cellStyle name="Heading 1 2 2 2 7 2 5 7 2" xfId="11485"/>
    <cellStyle name="Heading 1 2 2 2 7 2 5 7 2 2" xfId="11486"/>
    <cellStyle name="Heading 1 2 2 2 7 2 5 7 3" xfId="11487"/>
    <cellStyle name="Heading 1 2 2 2 7 2 5 8" xfId="11488"/>
    <cellStyle name="Heading 1 2 2 2 7 2 5 8 2" xfId="11489"/>
    <cellStyle name="Heading 1 2 2 2 7 2 5 9" xfId="11490"/>
    <cellStyle name="Heading 1 2 2 2 7 2 6" xfId="11491"/>
    <cellStyle name="Heading 1 2 2 2 7 2 6 2" xfId="11492"/>
    <cellStyle name="Heading 1 2 2 2 7 2 6 2 2" xfId="11493"/>
    <cellStyle name="Heading 1 2 2 2 7 2 6 2 2 2" xfId="11494"/>
    <cellStyle name="Heading 1 2 2 2 7 2 6 2 3" xfId="11495"/>
    <cellStyle name="Heading 1 2 2 2 7 2 6 3" xfId="11496"/>
    <cellStyle name="Heading 1 2 2 2 7 2 6 3 2" xfId="11497"/>
    <cellStyle name="Heading 1 2 2 2 7 2 6 3 2 2" xfId="11498"/>
    <cellStyle name="Heading 1 2 2 2 7 2 6 3 3" xfId="11499"/>
    <cellStyle name="Heading 1 2 2 2 7 2 6 4" xfId="11500"/>
    <cellStyle name="Heading 1 2 2 2 7 2 6 4 2" xfId="11501"/>
    <cellStyle name="Heading 1 2 2 2 7 2 6 4 2 2" xfId="11502"/>
    <cellStyle name="Heading 1 2 2 2 7 2 6 4 3" xfId="11503"/>
    <cellStyle name="Heading 1 2 2 2 7 2 6 5" xfId="11504"/>
    <cellStyle name="Heading 1 2 2 2 7 2 6 5 2" xfId="11505"/>
    <cellStyle name="Heading 1 2 2 2 7 2 6 5 2 2" xfId="11506"/>
    <cellStyle name="Heading 1 2 2 2 7 2 6 5 3" xfId="11507"/>
    <cellStyle name="Heading 1 2 2 2 7 2 6 6" xfId="11508"/>
    <cellStyle name="Heading 1 2 2 2 7 2 6 6 2" xfId="11509"/>
    <cellStyle name="Heading 1 2 2 2 7 2 6 6 2 2" xfId="11510"/>
    <cellStyle name="Heading 1 2 2 2 7 2 6 6 3" xfId="11511"/>
    <cellStyle name="Heading 1 2 2 2 7 2 6 7" xfId="11512"/>
    <cellStyle name="Heading 1 2 2 2 7 2 6 7 2" xfId="11513"/>
    <cellStyle name="Heading 1 2 2 2 7 2 6 7 2 2" xfId="11514"/>
    <cellStyle name="Heading 1 2 2 2 7 2 6 7 3" xfId="11515"/>
    <cellStyle name="Heading 1 2 2 2 7 2 6 8" xfId="11516"/>
    <cellStyle name="Heading 1 2 2 2 7 2 6 8 2" xfId="11517"/>
    <cellStyle name="Heading 1 2 2 2 7 2 6 9" xfId="11518"/>
    <cellStyle name="Heading 1 2 2 2 7 2 7" xfId="11519"/>
    <cellStyle name="Heading 1 2 2 2 7 2 7 2" xfId="11520"/>
    <cellStyle name="Heading 1 2 2 2 7 2 7 2 2" xfId="11521"/>
    <cellStyle name="Heading 1 2 2 2 7 2 7 2 2 2" xfId="11522"/>
    <cellStyle name="Heading 1 2 2 2 7 2 7 2 3" xfId="11523"/>
    <cellStyle name="Heading 1 2 2 2 7 2 7 3" xfId="11524"/>
    <cellStyle name="Heading 1 2 2 2 7 2 7 3 2" xfId="11525"/>
    <cellStyle name="Heading 1 2 2 2 7 2 7 3 2 2" xfId="11526"/>
    <cellStyle name="Heading 1 2 2 2 7 2 7 3 3" xfId="11527"/>
    <cellStyle name="Heading 1 2 2 2 7 2 7 4" xfId="11528"/>
    <cellStyle name="Heading 1 2 2 2 7 2 7 4 2" xfId="11529"/>
    <cellStyle name="Heading 1 2 2 2 7 2 7 4 2 2" xfId="11530"/>
    <cellStyle name="Heading 1 2 2 2 7 2 7 4 3" xfId="11531"/>
    <cellStyle name="Heading 1 2 2 2 7 2 7 5" xfId="11532"/>
    <cellStyle name="Heading 1 2 2 2 7 2 7 5 2" xfId="11533"/>
    <cellStyle name="Heading 1 2 2 2 7 2 7 5 2 2" xfId="11534"/>
    <cellStyle name="Heading 1 2 2 2 7 2 7 5 3" xfId="11535"/>
    <cellStyle name="Heading 1 2 2 2 7 2 7 6" xfId="11536"/>
    <cellStyle name="Heading 1 2 2 2 7 2 7 6 2" xfId="11537"/>
    <cellStyle name="Heading 1 2 2 2 7 2 7 6 2 2" xfId="11538"/>
    <cellStyle name="Heading 1 2 2 2 7 2 7 6 3" xfId="11539"/>
    <cellStyle name="Heading 1 2 2 2 7 2 7 7" xfId="11540"/>
    <cellStyle name="Heading 1 2 2 2 7 2 7 7 2" xfId="11541"/>
    <cellStyle name="Heading 1 2 2 2 7 2 7 7 2 2" xfId="11542"/>
    <cellStyle name="Heading 1 2 2 2 7 2 7 7 3" xfId="11543"/>
    <cellStyle name="Heading 1 2 2 2 7 2 7 8" xfId="11544"/>
    <cellStyle name="Heading 1 2 2 2 7 2 7 8 2" xfId="11545"/>
    <cellStyle name="Heading 1 2 2 2 7 2 7 9" xfId="11546"/>
    <cellStyle name="Heading 1 2 2 2 7 2 8" xfId="11547"/>
    <cellStyle name="Heading 1 2 2 2 7 2 8 2" xfId="11548"/>
    <cellStyle name="Heading 1 2 2 2 7 2 8 2 2" xfId="11549"/>
    <cellStyle name="Heading 1 2 2 2 7 2 8 2 2 2" xfId="11550"/>
    <cellStyle name="Heading 1 2 2 2 7 2 8 2 3" xfId="11551"/>
    <cellStyle name="Heading 1 2 2 2 7 2 8 3" xfId="11552"/>
    <cellStyle name="Heading 1 2 2 2 7 2 8 3 2" xfId="11553"/>
    <cellStyle name="Heading 1 2 2 2 7 2 8 3 2 2" xfId="11554"/>
    <cellStyle name="Heading 1 2 2 2 7 2 8 3 3" xfId="11555"/>
    <cellStyle name="Heading 1 2 2 2 7 2 8 4" xfId="11556"/>
    <cellStyle name="Heading 1 2 2 2 7 2 8 4 2" xfId="11557"/>
    <cellStyle name="Heading 1 2 2 2 7 2 8 4 2 2" xfId="11558"/>
    <cellStyle name="Heading 1 2 2 2 7 2 8 4 3" xfId="11559"/>
    <cellStyle name="Heading 1 2 2 2 7 2 8 5" xfId="11560"/>
    <cellStyle name="Heading 1 2 2 2 7 2 8 5 2" xfId="11561"/>
    <cellStyle name="Heading 1 2 2 2 7 2 8 5 2 2" xfId="11562"/>
    <cellStyle name="Heading 1 2 2 2 7 2 8 5 3" xfId="11563"/>
    <cellStyle name="Heading 1 2 2 2 7 2 8 6" xfId="11564"/>
    <cellStyle name="Heading 1 2 2 2 7 2 8 6 2" xfId="11565"/>
    <cellStyle name="Heading 1 2 2 2 7 2 8 6 2 2" xfId="11566"/>
    <cellStyle name="Heading 1 2 2 2 7 2 8 6 3" xfId="11567"/>
    <cellStyle name="Heading 1 2 2 2 7 2 8 7" xfId="11568"/>
    <cellStyle name="Heading 1 2 2 2 7 2 8 7 2" xfId="11569"/>
    <cellStyle name="Heading 1 2 2 2 7 2 8 7 2 2" xfId="11570"/>
    <cellStyle name="Heading 1 2 2 2 7 2 8 7 3" xfId="11571"/>
    <cellStyle name="Heading 1 2 2 2 7 2 8 8" xfId="11572"/>
    <cellStyle name="Heading 1 2 2 2 7 2 8 8 2" xfId="11573"/>
    <cellStyle name="Heading 1 2 2 2 7 2 8 9" xfId="11574"/>
    <cellStyle name="Heading 1 2 2 2 7 2 9" xfId="11575"/>
    <cellStyle name="Heading 1 2 2 2 7 2 9 2" xfId="11576"/>
    <cellStyle name="Heading 1 2 2 2 7 2 9 2 2" xfId="11577"/>
    <cellStyle name="Heading 1 2 2 2 7 2 9 2 2 2" xfId="11578"/>
    <cellStyle name="Heading 1 2 2 2 7 2 9 2 3" xfId="11579"/>
    <cellStyle name="Heading 1 2 2 2 7 2 9 3" xfId="11580"/>
    <cellStyle name="Heading 1 2 2 2 7 2 9 3 2" xfId="11581"/>
    <cellStyle name="Heading 1 2 2 2 7 2 9 3 2 2" xfId="11582"/>
    <cellStyle name="Heading 1 2 2 2 7 2 9 3 3" xfId="11583"/>
    <cellStyle name="Heading 1 2 2 2 7 2 9 4" xfId="11584"/>
    <cellStyle name="Heading 1 2 2 2 7 2 9 4 2" xfId="11585"/>
    <cellStyle name="Heading 1 2 2 2 7 2 9 4 2 2" xfId="11586"/>
    <cellStyle name="Heading 1 2 2 2 7 2 9 4 3" xfId="11587"/>
    <cellStyle name="Heading 1 2 2 2 7 2 9 5" xfId="11588"/>
    <cellStyle name="Heading 1 2 2 2 7 2 9 5 2" xfId="11589"/>
    <cellStyle name="Heading 1 2 2 2 7 2 9 5 2 2" xfId="11590"/>
    <cellStyle name="Heading 1 2 2 2 7 2 9 5 3" xfId="11591"/>
    <cellStyle name="Heading 1 2 2 2 7 2 9 6" xfId="11592"/>
    <cellStyle name="Heading 1 2 2 2 7 2 9 6 2" xfId="11593"/>
    <cellStyle name="Heading 1 2 2 2 7 2 9 6 2 2" xfId="11594"/>
    <cellStyle name="Heading 1 2 2 2 7 2 9 6 3" xfId="11595"/>
    <cellStyle name="Heading 1 2 2 2 7 2 9 7" xfId="11596"/>
    <cellStyle name="Heading 1 2 2 2 7 2 9 7 2" xfId="11597"/>
    <cellStyle name="Heading 1 2 2 2 7 2 9 7 2 2" xfId="11598"/>
    <cellStyle name="Heading 1 2 2 2 7 2 9 7 3" xfId="11599"/>
    <cellStyle name="Heading 1 2 2 2 7 2 9 8" xfId="11600"/>
    <cellStyle name="Heading 1 2 2 2 7 2 9 8 2" xfId="11601"/>
    <cellStyle name="Heading 1 2 2 2 7 2 9 9" xfId="11602"/>
    <cellStyle name="Heading 1 2 2 2 7 3" xfId="11603"/>
    <cellStyle name="Heading 1 2 2 2 7 3 10" xfId="11604"/>
    <cellStyle name="Heading 1 2 2 2 7 3 10 2" xfId="11605"/>
    <cellStyle name="Heading 1 2 2 2 7 3 10 2 2" xfId="11606"/>
    <cellStyle name="Heading 1 2 2 2 7 3 10 3" xfId="11607"/>
    <cellStyle name="Heading 1 2 2 2 7 3 11" xfId="11608"/>
    <cellStyle name="Heading 1 2 2 2 7 3 11 2" xfId="11609"/>
    <cellStyle name="Heading 1 2 2 2 7 3 11 2 2" xfId="11610"/>
    <cellStyle name="Heading 1 2 2 2 7 3 11 3" xfId="11611"/>
    <cellStyle name="Heading 1 2 2 2 7 3 12" xfId="11612"/>
    <cellStyle name="Heading 1 2 2 2 7 3 12 2" xfId="11613"/>
    <cellStyle name="Heading 1 2 2 2 7 3 12 2 2" xfId="11614"/>
    <cellStyle name="Heading 1 2 2 2 7 3 12 3" xfId="11615"/>
    <cellStyle name="Heading 1 2 2 2 7 3 13" xfId="11616"/>
    <cellStyle name="Heading 1 2 2 2 7 3 13 2" xfId="11617"/>
    <cellStyle name="Heading 1 2 2 2 7 3 13 2 2" xfId="11618"/>
    <cellStyle name="Heading 1 2 2 2 7 3 13 3" xfId="11619"/>
    <cellStyle name="Heading 1 2 2 2 7 3 14" xfId="11620"/>
    <cellStyle name="Heading 1 2 2 2 7 3 14 2" xfId="11621"/>
    <cellStyle name="Heading 1 2 2 2 7 3 14 2 2" xfId="11622"/>
    <cellStyle name="Heading 1 2 2 2 7 3 14 3" xfId="11623"/>
    <cellStyle name="Heading 1 2 2 2 7 3 15" xfId="11624"/>
    <cellStyle name="Heading 1 2 2 2 7 3 15 2" xfId="11625"/>
    <cellStyle name="Heading 1 2 2 2 7 3 15 2 2" xfId="11626"/>
    <cellStyle name="Heading 1 2 2 2 7 3 15 3" xfId="11627"/>
    <cellStyle name="Heading 1 2 2 2 7 3 16" xfId="11628"/>
    <cellStyle name="Heading 1 2 2 2 7 3 16 2" xfId="11629"/>
    <cellStyle name="Heading 1 2 2 2 7 3 16 2 2" xfId="11630"/>
    <cellStyle name="Heading 1 2 2 2 7 3 16 3" xfId="11631"/>
    <cellStyle name="Heading 1 2 2 2 7 3 17" xfId="11632"/>
    <cellStyle name="Heading 1 2 2 2 7 3 17 2" xfId="11633"/>
    <cellStyle name="Heading 1 2 2 2 7 3 17 2 2" xfId="11634"/>
    <cellStyle name="Heading 1 2 2 2 7 3 17 3" xfId="11635"/>
    <cellStyle name="Heading 1 2 2 2 7 3 18" xfId="11636"/>
    <cellStyle name="Heading 1 2 2 2 7 3 18 2" xfId="11637"/>
    <cellStyle name="Heading 1 2 2 2 7 3 18 2 2" xfId="11638"/>
    <cellStyle name="Heading 1 2 2 2 7 3 18 3" xfId="11639"/>
    <cellStyle name="Heading 1 2 2 2 7 3 19" xfId="11640"/>
    <cellStyle name="Heading 1 2 2 2 7 3 19 2" xfId="11641"/>
    <cellStyle name="Heading 1 2 2 2 7 3 2" xfId="11642"/>
    <cellStyle name="Heading 1 2 2 2 7 3 2 2" xfId="11643"/>
    <cellStyle name="Heading 1 2 2 2 7 3 2 2 2" xfId="11644"/>
    <cellStyle name="Heading 1 2 2 2 7 3 2 2 2 2" xfId="11645"/>
    <cellStyle name="Heading 1 2 2 2 7 3 2 2 3" xfId="11646"/>
    <cellStyle name="Heading 1 2 2 2 7 3 2 3" xfId="11647"/>
    <cellStyle name="Heading 1 2 2 2 7 3 2 3 2" xfId="11648"/>
    <cellStyle name="Heading 1 2 2 2 7 3 2 3 2 2" xfId="11649"/>
    <cellStyle name="Heading 1 2 2 2 7 3 2 3 3" xfId="11650"/>
    <cellStyle name="Heading 1 2 2 2 7 3 2 4" xfId="11651"/>
    <cellStyle name="Heading 1 2 2 2 7 3 2 4 2" xfId="11652"/>
    <cellStyle name="Heading 1 2 2 2 7 3 2 4 2 2" xfId="11653"/>
    <cellStyle name="Heading 1 2 2 2 7 3 2 4 3" xfId="11654"/>
    <cellStyle name="Heading 1 2 2 2 7 3 2 5" xfId="11655"/>
    <cellStyle name="Heading 1 2 2 2 7 3 2 5 2" xfId="11656"/>
    <cellStyle name="Heading 1 2 2 2 7 3 2 5 2 2" xfId="11657"/>
    <cellStyle name="Heading 1 2 2 2 7 3 2 5 3" xfId="11658"/>
    <cellStyle name="Heading 1 2 2 2 7 3 2 6" xfId="11659"/>
    <cellStyle name="Heading 1 2 2 2 7 3 2 6 2" xfId="11660"/>
    <cellStyle name="Heading 1 2 2 2 7 3 2 6 2 2" xfId="11661"/>
    <cellStyle name="Heading 1 2 2 2 7 3 2 6 3" xfId="11662"/>
    <cellStyle name="Heading 1 2 2 2 7 3 2 7" xfId="11663"/>
    <cellStyle name="Heading 1 2 2 2 7 3 2 7 2" xfId="11664"/>
    <cellStyle name="Heading 1 2 2 2 7 3 2 7 2 2" xfId="11665"/>
    <cellStyle name="Heading 1 2 2 2 7 3 2 7 3" xfId="11666"/>
    <cellStyle name="Heading 1 2 2 2 7 3 2 8" xfId="11667"/>
    <cellStyle name="Heading 1 2 2 2 7 3 2 8 2" xfId="11668"/>
    <cellStyle name="Heading 1 2 2 2 7 3 2 9" xfId="11669"/>
    <cellStyle name="Heading 1 2 2 2 7 3 20" xfId="11670"/>
    <cellStyle name="Heading 1 2 2 2 7 3 20 2" xfId="11671"/>
    <cellStyle name="Heading 1 2 2 2 7 3 21" xfId="11672"/>
    <cellStyle name="Heading 1 2 2 2 7 3 21 2" xfId="11673"/>
    <cellStyle name="Heading 1 2 2 2 7 3 22" xfId="11674"/>
    <cellStyle name="Heading 1 2 2 2 7 3 3" xfId="11675"/>
    <cellStyle name="Heading 1 2 2 2 7 3 3 2" xfId="11676"/>
    <cellStyle name="Heading 1 2 2 2 7 3 3 2 2" xfId="11677"/>
    <cellStyle name="Heading 1 2 2 2 7 3 3 2 2 2" xfId="11678"/>
    <cellStyle name="Heading 1 2 2 2 7 3 3 2 3" xfId="11679"/>
    <cellStyle name="Heading 1 2 2 2 7 3 3 3" xfId="11680"/>
    <cellStyle name="Heading 1 2 2 2 7 3 3 3 2" xfId="11681"/>
    <cellStyle name="Heading 1 2 2 2 7 3 3 3 2 2" xfId="11682"/>
    <cellStyle name="Heading 1 2 2 2 7 3 3 3 3" xfId="11683"/>
    <cellStyle name="Heading 1 2 2 2 7 3 3 4" xfId="11684"/>
    <cellStyle name="Heading 1 2 2 2 7 3 3 4 2" xfId="11685"/>
    <cellStyle name="Heading 1 2 2 2 7 3 3 4 2 2" xfId="11686"/>
    <cellStyle name="Heading 1 2 2 2 7 3 3 4 3" xfId="11687"/>
    <cellStyle name="Heading 1 2 2 2 7 3 3 5" xfId="11688"/>
    <cellStyle name="Heading 1 2 2 2 7 3 3 5 2" xfId="11689"/>
    <cellStyle name="Heading 1 2 2 2 7 3 3 5 2 2" xfId="11690"/>
    <cellStyle name="Heading 1 2 2 2 7 3 3 5 3" xfId="11691"/>
    <cellStyle name="Heading 1 2 2 2 7 3 3 6" xfId="11692"/>
    <cellStyle name="Heading 1 2 2 2 7 3 3 6 2" xfId="11693"/>
    <cellStyle name="Heading 1 2 2 2 7 3 3 6 2 2" xfId="11694"/>
    <cellStyle name="Heading 1 2 2 2 7 3 3 6 3" xfId="11695"/>
    <cellStyle name="Heading 1 2 2 2 7 3 3 7" xfId="11696"/>
    <cellStyle name="Heading 1 2 2 2 7 3 3 7 2" xfId="11697"/>
    <cellStyle name="Heading 1 2 2 2 7 3 3 7 2 2" xfId="11698"/>
    <cellStyle name="Heading 1 2 2 2 7 3 3 7 3" xfId="11699"/>
    <cellStyle name="Heading 1 2 2 2 7 3 3 8" xfId="11700"/>
    <cellStyle name="Heading 1 2 2 2 7 3 3 8 2" xfId="11701"/>
    <cellStyle name="Heading 1 2 2 2 7 3 3 9" xfId="11702"/>
    <cellStyle name="Heading 1 2 2 2 7 3 4" xfId="11703"/>
    <cellStyle name="Heading 1 2 2 2 7 3 4 2" xfId="11704"/>
    <cellStyle name="Heading 1 2 2 2 7 3 4 2 2" xfId="11705"/>
    <cellStyle name="Heading 1 2 2 2 7 3 4 2 2 2" xfId="11706"/>
    <cellStyle name="Heading 1 2 2 2 7 3 4 2 3" xfId="11707"/>
    <cellStyle name="Heading 1 2 2 2 7 3 4 3" xfId="11708"/>
    <cellStyle name="Heading 1 2 2 2 7 3 4 3 2" xfId="11709"/>
    <cellStyle name="Heading 1 2 2 2 7 3 4 3 2 2" xfId="11710"/>
    <cellStyle name="Heading 1 2 2 2 7 3 4 3 3" xfId="11711"/>
    <cellStyle name="Heading 1 2 2 2 7 3 4 4" xfId="11712"/>
    <cellStyle name="Heading 1 2 2 2 7 3 4 4 2" xfId="11713"/>
    <cellStyle name="Heading 1 2 2 2 7 3 4 4 2 2" xfId="11714"/>
    <cellStyle name="Heading 1 2 2 2 7 3 4 4 3" xfId="11715"/>
    <cellStyle name="Heading 1 2 2 2 7 3 4 5" xfId="11716"/>
    <cellStyle name="Heading 1 2 2 2 7 3 4 5 2" xfId="11717"/>
    <cellStyle name="Heading 1 2 2 2 7 3 4 5 2 2" xfId="11718"/>
    <cellStyle name="Heading 1 2 2 2 7 3 4 5 3" xfId="11719"/>
    <cellStyle name="Heading 1 2 2 2 7 3 4 6" xfId="11720"/>
    <cellStyle name="Heading 1 2 2 2 7 3 4 6 2" xfId="11721"/>
    <cellStyle name="Heading 1 2 2 2 7 3 4 6 2 2" xfId="11722"/>
    <cellStyle name="Heading 1 2 2 2 7 3 4 6 3" xfId="11723"/>
    <cellStyle name="Heading 1 2 2 2 7 3 4 7" xfId="11724"/>
    <cellStyle name="Heading 1 2 2 2 7 3 4 7 2" xfId="11725"/>
    <cellStyle name="Heading 1 2 2 2 7 3 4 7 2 2" xfId="11726"/>
    <cellStyle name="Heading 1 2 2 2 7 3 4 7 3" xfId="11727"/>
    <cellStyle name="Heading 1 2 2 2 7 3 4 8" xfId="11728"/>
    <cellStyle name="Heading 1 2 2 2 7 3 4 8 2" xfId="11729"/>
    <cellStyle name="Heading 1 2 2 2 7 3 4 9" xfId="11730"/>
    <cellStyle name="Heading 1 2 2 2 7 3 5" xfId="11731"/>
    <cellStyle name="Heading 1 2 2 2 7 3 5 2" xfId="11732"/>
    <cellStyle name="Heading 1 2 2 2 7 3 5 2 2" xfId="11733"/>
    <cellStyle name="Heading 1 2 2 2 7 3 5 2 2 2" xfId="11734"/>
    <cellStyle name="Heading 1 2 2 2 7 3 5 2 3" xfId="11735"/>
    <cellStyle name="Heading 1 2 2 2 7 3 5 3" xfId="11736"/>
    <cellStyle name="Heading 1 2 2 2 7 3 5 3 2" xfId="11737"/>
    <cellStyle name="Heading 1 2 2 2 7 3 5 3 2 2" xfId="11738"/>
    <cellStyle name="Heading 1 2 2 2 7 3 5 3 3" xfId="11739"/>
    <cellStyle name="Heading 1 2 2 2 7 3 5 4" xfId="11740"/>
    <cellStyle name="Heading 1 2 2 2 7 3 5 4 2" xfId="11741"/>
    <cellStyle name="Heading 1 2 2 2 7 3 5 4 2 2" xfId="11742"/>
    <cellStyle name="Heading 1 2 2 2 7 3 5 4 3" xfId="11743"/>
    <cellStyle name="Heading 1 2 2 2 7 3 5 5" xfId="11744"/>
    <cellStyle name="Heading 1 2 2 2 7 3 5 5 2" xfId="11745"/>
    <cellStyle name="Heading 1 2 2 2 7 3 5 5 2 2" xfId="11746"/>
    <cellStyle name="Heading 1 2 2 2 7 3 5 5 3" xfId="11747"/>
    <cellStyle name="Heading 1 2 2 2 7 3 5 6" xfId="11748"/>
    <cellStyle name="Heading 1 2 2 2 7 3 5 6 2" xfId="11749"/>
    <cellStyle name="Heading 1 2 2 2 7 3 5 6 2 2" xfId="11750"/>
    <cellStyle name="Heading 1 2 2 2 7 3 5 6 3" xfId="11751"/>
    <cellStyle name="Heading 1 2 2 2 7 3 5 7" xfId="11752"/>
    <cellStyle name="Heading 1 2 2 2 7 3 5 7 2" xfId="11753"/>
    <cellStyle name="Heading 1 2 2 2 7 3 5 7 2 2" xfId="11754"/>
    <cellStyle name="Heading 1 2 2 2 7 3 5 7 3" xfId="11755"/>
    <cellStyle name="Heading 1 2 2 2 7 3 5 8" xfId="11756"/>
    <cellStyle name="Heading 1 2 2 2 7 3 5 8 2" xfId="11757"/>
    <cellStyle name="Heading 1 2 2 2 7 3 5 9" xfId="11758"/>
    <cellStyle name="Heading 1 2 2 2 7 3 6" xfId="11759"/>
    <cellStyle name="Heading 1 2 2 2 7 3 6 2" xfId="11760"/>
    <cellStyle name="Heading 1 2 2 2 7 3 6 2 2" xfId="11761"/>
    <cellStyle name="Heading 1 2 2 2 7 3 6 2 2 2" xfId="11762"/>
    <cellStyle name="Heading 1 2 2 2 7 3 6 2 3" xfId="11763"/>
    <cellStyle name="Heading 1 2 2 2 7 3 6 3" xfId="11764"/>
    <cellStyle name="Heading 1 2 2 2 7 3 6 3 2" xfId="11765"/>
    <cellStyle name="Heading 1 2 2 2 7 3 6 3 2 2" xfId="11766"/>
    <cellStyle name="Heading 1 2 2 2 7 3 6 3 3" xfId="11767"/>
    <cellStyle name="Heading 1 2 2 2 7 3 6 4" xfId="11768"/>
    <cellStyle name="Heading 1 2 2 2 7 3 6 4 2" xfId="11769"/>
    <cellStyle name="Heading 1 2 2 2 7 3 6 4 2 2" xfId="11770"/>
    <cellStyle name="Heading 1 2 2 2 7 3 6 4 3" xfId="11771"/>
    <cellStyle name="Heading 1 2 2 2 7 3 6 5" xfId="11772"/>
    <cellStyle name="Heading 1 2 2 2 7 3 6 5 2" xfId="11773"/>
    <cellStyle name="Heading 1 2 2 2 7 3 6 5 2 2" xfId="11774"/>
    <cellStyle name="Heading 1 2 2 2 7 3 6 5 3" xfId="11775"/>
    <cellStyle name="Heading 1 2 2 2 7 3 6 6" xfId="11776"/>
    <cellStyle name="Heading 1 2 2 2 7 3 6 6 2" xfId="11777"/>
    <cellStyle name="Heading 1 2 2 2 7 3 6 6 2 2" xfId="11778"/>
    <cellStyle name="Heading 1 2 2 2 7 3 6 6 3" xfId="11779"/>
    <cellStyle name="Heading 1 2 2 2 7 3 6 7" xfId="11780"/>
    <cellStyle name="Heading 1 2 2 2 7 3 6 7 2" xfId="11781"/>
    <cellStyle name="Heading 1 2 2 2 7 3 6 7 2 2" xfId="11782"/>
    <cellStyle name="Heading 1 2 2 2 7 3 6 7 3" xfId="11783"/>
    <cellStyle name="Heading 1 2 2 2 7 3 6 8" xfId="11784"/>
    <cellStyle name="Heading 1 2 2 2 7 3 6 8 2" xfId="11785"/>
    <cellStyle name="Heading 1 2 2 2 7 3 6 9" xfId="11786"/>
    <cellStyle name="Heading 1 2 2 2 7 3 7" xfId="11787"/>
    <cellStyle name="Heading 1 2 2 2 7 3 7 2" xfId="11788"/>
    <cellStyle name="Heading 1 2 2 2 7 3 7 2 2" xfId="11789"/>
    <cellStyle name="Heading 1 2 2 2 7 3 7 2 2 2" xfId="11790"/>
    <cellStyle name="Heading 1 2 2 2 7 3 7 2 3" xfId="11791"/>
    <cellStyle name="Heading 1 2 2 2 7 3 7 3" xfId="11792"/>
    <cellStyle name="Heading 1 2 2 2 7 3 7 3 2" xfId="11793"/>
    <cellStyle name="Heading 1 2 2 2 7 3 7 3 2 2" xfId="11794"/>
    <cellStyle name="Heading 1 2 2 2 7 3 7 3 3" xfId="11795"/>
    <cellStyle name="Heading 1 2 2 2 7 3 7 4" xfId="11796"/>
    <cellStyle name="Heading 1 2 2 2 7 3 7 4 2" xfId="11797"/>
    <cellStyle name="Heading 1 2 2 2 7 3 7 4 2 2" xfId="11798"/>
    <cellStyle name="Heading 1 2 2 2 7 3 7 4 3" xfId="11799"/>
    <cellStyle name="Heading 1 2 2 2 7 3 7 5" xfId="11800"/>
    <cellStyle name="Heading 1 2 2 2 7 3 7 5 2" xfId="11801"/>
    <cellStyle name="Heading 1 2 2 2 7 3 7 5 2 2" xfId="11802"/>
    <cellStyle name="Heading 1 2 2 2 7 3 7 5 3" xfId="11803"/>
    <cellStyle name="Heading 1 2 2 2 7 3 7 6" xfId="11804"/>
    <cellStyle name="Heading 1 2 2 2 7 3 7 6 2" xfId="11805"/>
    <cellStyle name="Heading 1 2 2 2 7 3 7 6 2 2" xfId="11806"/>
    <cellStyle name="Heading 1 2 2 2 7 3 7 6 3" xfId="11807"/>
    <cellStyle name="Heading 1 2 2 2 7 3 7 7" xfId="11808"/>
    <cellStyle name="Heading 1 2 2 2 7 3 7 7 2" xfId="11809"/>
    <cellStyle name="Heading 1 2 2 2 7 3 7 7 2 2" xfId="11810"/>
    <cellStyle name="Heading 1 2 2 2 7 3 7 7 3" xfId="11811"/>
    <cellStyle name="Heading 1 2 2 2 7 3 7 8" xfId="11812"/>
    <cellStyle name="Heading 1 2 2 2 7 3 7 8 2" xfId="11813"/>
    <cellStyle name="Heading 1 2 2 2 7 3 7 9" xfId="11814"/>
    <cellStyle name="Heading 1 2 2 2 7 3 8" xfId="11815"/>
    <cellStyle name="Heading 1 2 2 2 7 3 8 2" xfId="11816"/>
    <cellStyle name="Heading 1 2 2 2 7 3 8 2 2" xfId="11817"/>
    <cellStyle name="Heading 1 2 2 2 7 3 8 2 2 2" xfId="11818"/>
    <cellStyle name="Heading 1 2 2 2 7 3 8 2 3" xfId="11819"/>
    <cellStyle name="Heading 1 2 2 2 7 3 8 3" xfId="11820"/>
    <cellStyle name="Heading 1 2 2 2 7 3 8 3 2" xfId="11821"/>
    <cellStyle name="Heading 1 2 2 2 7 3 8 3 2 2" xfId="11822"/>
    <cellStyle name="Heading 1 2 2 2 7 3 8 3 3" xfId="11823"/>
    <cellStyle name="Heading 1 2 2 2 7 3 8 4" xfId="11824"/>
    <cellStyle name="Heading 1 2 2 2 7 3 8 4 2" xfId="11825"/>
    <cellStyle name="Heading 1 2 2 2 7 3 8 4 2 2" xfId="11826"/>
    <cellStyle name="Heading 1 2 2 2 7 3 8 4 3" xfId="11827"/>
    <cellStyle name="Heading 1 2 2 2 7 3 8 5" xfId="11828"/>
    <cellStyle name="Heading 1 2 2 2 7 3 8 5 2" xfId="11829"/>
    <cellStyle name="Heading 1 2 2 2 7 3 8 5 2 2" xfId="11830"/>
    <cellStyle name="Heading 1 2 2 2 7 3 8 5 3" xfId="11831"/>
    <cellStyle name="Heading 1 2 2 2 7 3 8 6" xfId="11832"/>
    <cellStyle name="Heading 1 2 2 2 7 3 8 6 2" xfId="11833"/>
    <cellStyle name="Heading 1 2 2 2 7 3 8 6 2 2" xfId="11834"/>
    <cellStyle name="Heading 1 2 2 2 7 3 8 6 3" xfId="11835"/>
    <cellStyle name="Heading 1 2 2 2 7 3 8 7" xfId="11836"/>
    <cellStyle name="Heading 1 2 2 2 7 3 8 7 2" xfId="11837"/>
    <cellStyle name="Heading 1 2 2 2 7 3 8 7 2 2" xfId="11838"/>
    <cellStyle name="Heading 1 2 2 2 7 3 8 7 3" xfId="11839"/>
    <cellStyle name="Heading 1 2 2 2 7 3 8 8" xfId="11840"/>
    <cellStyle name="Heading 1 2 2 2 7 3 8 8 2" xfId="11841"/>
    <cellStyle name="Heading 1 2 2 2 7 3 8 9" xfId="11842"/>
    <cellStyle name="Heading 1 2 2 2 7 3 9" xfId="11843"/>
    <cellStyle name="Heading 1 2 2 2 7 3 9 2" xfId="11844"/>
    <cellStyle name="Heading 1 2 2 2 7 3 9 2 2" xfId="11845"/>
    <cellStyle name="Heading 1 2 2 2 7 3 9 3" xfId="11846"/>
    <cellStyle name="Heading 1 2 2 2 7 4" xfId="11847"/>
    <cellStyle name="Heading 1 2 2 2 7 4 2" xfId="11848"/>
    <cellStyle name="Heading 1 2 2 2 7 4 2 2" xfId="11849"/>
    <cellStyle name="Heading 1 2 2 2 7 4 3" xfId="11850"/>
    <cellStyle name="Heading 1 2 2 2 7 5" xfId="11851"/>
    <cellStyle name="Heading 1 2 2 2 7 5 2" xfId="11852"/>
    <cellStyle name="Heading 1 2 2 2 7 6" xfId="11853"/>
    <cellStyle name="Heading 1 2 2 2 8" xfId="11854"/>
    <cellStyle name="Heading 1 2 2 2 8 10" xfId="11855"/>
    <cellStyle name="Heading 1 2 2 2 8 10 2" xfId="11856"/>
    <cellStyle name="Heading 1 2 2 2 8 10 2 2" xfId="11857"/>
    <cellStyle name="Heading 1 2 2 2 8 10 3" xfId="11858"/>
    <cellStyle name="Heading 1 2 2 2 8 11" xfId="11859"/>
    <cellStyle name="Heading 1 2 2 2 8 11 2" xfId="11860"/>
    <cellStyle name="Heading 1 2 2 2 8 11 2 2" xfId="11861"/>
    <cellStyle name="Heading 1 2 2 2 8 11 3" xfId="11862"/>
    <cellStyle name="Heading 1 2 2 2 8 12" xfId="11863"/>
    <cellStyle name="Heading 1 2 2 2 8 12 2" xfId="11864"/>
    <cellStyle name="Heading 1 2 2 2 8 12 2 2" xfId="11865"/>
    <cellStyle name="Heading 1 2 2 2 8 12 3" xfId="11866"/>
    <cellStyle name="Heading 1 2 2 2 8 13" xfId="11867"/>
    <cellStyle name="Heading 1 2 2 2 8 13 2" xfId="11868"/>
    <cellStyle name="Heading 1 2 2 2 8 13 2 2" xfId="11869"/>
    <cellStyle name="Heading 1 2 2 2 8 13 3" xfId="11870"/>
    <cellStyle name="Heading 1 2 2 2 8 14" xfId="11871"/>
    <cellStyle name="Heading 1 2 2 2 8 14 2" xfId="11872"/>
    <cellStyle name="Heading 1 2 2 2 8 14 2 2" xfId="11873"/>
    <cellStyle name="Heading 1 2 2 2 8 14 3" xfId="11874"/>
    <cellStyle name="Heading 1 2 2 2 8 15" xfId="11875"/>
    <cellStyle name="Heading 1 2 2 2 8 15 2" xfId="11876"/>
    <cellStyle name="Heading 1 2 2 2 8 15 2 2" xfId="11877"/>
    <cellStyle name="Heading 1 2 2 2 8 15 3" xfId="11878"/>
    <cellStyle name="Heading 1 2 2 2 8 16" xfId="11879"/>
    <cellStyle name="Heading 1 2 2 2 8 16 2" xfId="11880"/>
    <cellStyle name="Heading 1 2 2 2 8 16 2 2" xfId="11881"/>
    <cellStyle name="Heading 1 2 2 2 8 16 3" xfId="11882"/>
    <cellStyle name="Heading 1 2 2 2 8 17" xfId="11883"/>
    <cellStyle name="Heading 1 2 2 2 8 17 2" xfId="11884"/>
    <cellStyle name="Heading 1 2 2 2 8 17 2 2" xfId="11885"/>
    <cellStyle name="Heading 1 2 2 2 8 17 3" xfId="11886"/>
    <cellStyle name="Heading 1 2 2 2 8 18" xfId="11887"/>
    <cellStyle name="Heading 1 2 2 2 8 18 2" xfId="11888"/>
    <cellStyle name="Heading 1 2 2 2 8 18 2 2" xfId="11889"/>
    <cellStyle name="Heading 1 2 2 2 8 18 3" xfId="11890"/>
    <cellStyle name="Heading 1 2 2 2 8 19" xfId="11891"/>
    <cellStyle name="Heading 1 2 2 2 8 19 2" xfId="11892"/>
    <cellStyle name="Heading 1 2 2 2 8 19 2 2" xfId="11893"/>
    <cellStyle name="Heading 1 2 2 2 8 19 3" xfId="11894"/>
    <cellStyle name="Heading 1 2 2 2 8 2" xfId="11895"/>
    <cellStyle name="Heading 1 2 2 2 8 2 10" xfId="11896"/>
    <cellStyle name="Heading 1 2 2 2 8 2 10 2" xfId="11897"/>
    <cellStyle name="Heading 1 2 2 2 8 2 10 2 2" xfId="11898"/>
    <cellStyle name="Heading 1 2 2 2 8 2 10 3" xfId="11899"/>
    <cellStyle name="Heading 1 2 2 2 8 2 11" xfId="11900"/>
    <cellStyle name="Heading 1 2 2 2 8 2 11 2" xfId="11901"/>
    <cellStyle name="Heading 1 2 2 2 8 2 11 2 2" xfId="11902"/>
    <cellStyle name="Heading 1 2 2 2 8 2 11 3" xfId="11903"/>
    <cellStyle name="Heading 1 2 2 2 8 2 12" xfId="11904"/>
    <cellStyle name="Heading 1 2 2 2 8 2 12 2" xfId="11905"/>
    <cellStyle name="Heading 1 2 2 2 8 2 12 2 2" xfId="11906"/>
    <cellStyle name="Heading 1 2 2 2 8 2 12 3" xfId="11907"/>
    <cellStyle name="Heading 1 2 2 2 8 2 13" xfId="11908"/>
    <cellStyle name="Heading 1 2 2 2 8 2 13 2" xfId="11909"/>
    <cellStyle name="Heading 1 2 2 2 8 2 13 2 2" xfId="11910"/>
    <cellStyle name="Heading 1 2 2 2 8 2 13 3" xfId="11911"/>
    <cellStyle name="Heading 1 2 2 2 8 2 14" xfId="11912"/>
    <cellStyle name="Heading 1 2 2 2 8 2 14 2" xfId="11913"/>
    <cellStyle name="Heading 1 2 2 2 8 2 14 2 2" xfId="11914"/>
    <cellStyle name="Heading 1 2 2 2 8 2 14 3" xfId="11915"/>
    <cellStyle name="Heading 1 2 2 2 8 2 15" xfId="11916"/>
    <cellStyle name="Heading 1 2 2 2 8 2 15 2" xfId="11917"/>
    <cellStyle name="Heading 1 2 2 2 8 2 15 2 2" xfId="11918"/>
    <cellStyle name="Heading 1 2 2 2 8 2 15 3" xfId="11919"/>
    <cellStyle name="Heading 1 2 2 2 8 2 16" xfId="11920"/>
    <cellStyle name="Heading 1 2 2 2 8 2 16 2" xfId="11921"/>
    <cellStyle name="Heading 1 2 2 2 8 2 16 2 2" xfId="11922"/>
    <cellStyle name="Heading 1 2 2 2 8 2 16 3" xfId="11923"/>
    <cellStyle name="Heading 1 2 2 2 8 2 17" xfId="11924"/>
    <cellStyle name="Heading 1 2 2 2 8 2 17 2" xfId="11925"/>
    <cellStyle name="Heading 1 2 2 2 8 2 17 2 2" xfId="11926"/>
    <cellStyle name="Heading 1 2 2 2 8 2 17 3" xfId="11927"/>
    <cellStyle name="Heading 1 2 2 2 8 2 18" xfId="11928"/>
    <cellStyle name="Heading 1 2 2 2 8 2 18 2" xfId="11929"/>
    <cellStyle name="Heading 1 2 2 2 8 2 18 2 2" xfId="11930"/>
    <cellStyle name="Heading 1 2 2 2 8 2 18 3" xfId="11931"/>
    <cellStyle name="Heading 1 2 2 2 8 2 19" xfId="11932"/>
    <cellStyle name="Heading 1 2 2 2 8 2 19 2" xfId="11933"/>
    <cellStyle name="Heading 1 2 2 2 8 2 2" xfId="11934"/>
    <cellStyle name="Heading 1 2 2 2 8 2 2 2" xfId="11935"/>
    <cellStyle name="Heading 1 2 2 2 8 2 2 2 2" xfId="11936"/>
    <cellStyle name="Heading 1 2 2 2 8 2 2 2 2 2" xfId="11937"/>
    <cellStyle name="Heading 1 2 2 2 8 2 2 2 3" xfId="11938"/>
    <cellStyle name="Heading 1 2 2 2 8 2 2 3" xfId="11939"/>
    <cellStyle name="Heading 1 2 2 2 8 2 2 3 2" xfId="11940"/>
    <cellStyle name="Heading 1 2 2 2 8 2 2 3 2 2" xfId="11941"/>
    <cellStyle name="Heading 1 2 2 2 8 2 2 3 3" xfId="11942"/>
    <cellStyle name="Heading 1 2 2 2 8 2 2 4" xfId="11943"/>
    <cellStyle name="Heading 1 2 2 2 8 2 2 4 2" xfId="11944"/>
    <cellStyle name="Heading 1 2 2 2 8 2 2 4 2 2" xfId="11945"/>
    <cellStyle name="Heading 1 2 2 2 8 2 2 4 3" xfId="11946"/>
    <cellStyle name="Heading 1 2 2 2 8 2 2 5" xfId="11947"/>
    <cellStyle name="Heading 1 2 2 2 8 2 2 5 2" xfId="11948"/>
    <cellStyle name="Heading 1 2 2 2 8 2 2 5 2 2" xfId="11949"/>
    <cellStyle name="Heading 1 2 2 2 8 2 2 5 3" xfId="11950"/>
    <cellStyle name="Heading 1 2 2 2 8 2 2 6" xfId="11951"/>
    <cellStyle name="Heading 1 2 2 2 8 2 2 6 2" xfId="11952"/>
    <cellStyle name="Heading 1 2 2 2 8 2 2 6 2 2" xfId="11953"/>
    <cellStyle name="Heading 1 2 2 2 8 2 2 6 3" xfId="11954"/>
    <cellStyle name="Heading 1 2 2 2 8 2 2 7" xfId="11955"/>
    <cellStyle name="Heading 1 2 2 2 8 2 2 7 2" xfId="11956"/>
    <cellStyle name="Heading 1 2 2 2 8 2 2 7 2 2" xfId="11957"/>
    <cellStyle name="Heading 1 2 2 2 8 2 2 7 3" xfId="11958"/>
    <cellStyle name="Heading 1 2 2 2 8 2 2 8" xfId="11959"/>
    <cellStyle name="Heading 1 2 2 2 8 2 2 8 2" xfId="11960"/>
    <cellStyle name="Heading 1 2 2 2 8 2 2 9" xfId="11961"/>
    <cellStyle name="Heading 1 2 2 2 8 2 20" xfId="11962"/>
    <cellStyle name="Heading 1 2 2 2 8 2 20 2" xfId="11963"/>
    <cellStyle name="Heading 1 2 2 2 8 2 21" xfId="11964"/>
    <cellStyle name="Heading 1 2 2 2 8 2 21 2" xfId="11965"/>
    <cellStyle name="Heading 1 2 2 2 8 2 22" xfId="11966"/>
    <cellStyle name="Heading 1 2 2 2 8 2 3" xfId="11967"/>
    <cellStyle name="Heading 1 2 2 2 8 2 3 2" xfId="11968"/>
    <cellStyle name="Heading 1 2 2 2 8 2 3 2 2" xfId="11969"/>
    <cellStyle name="Heading 1 2 2 2 8 2 3 2 2 2" xfId="11970"/>
    <cellStyle name="Heading 1 2 2 2 8 2 3 2 3" xfId="11971"/>
    <cellStyle name="Heading 1 2 2 2 8 2 3 3" xfId="11972"/>
    <cellStyle name="Heading 1 2 2 2 8 2 3 3 2" xfId="11973"/>
    <cellStyle name="Heading 1 2 2 2 8 2 3 3 2 2" xfId="11974"/>
    <cellStyle name="Heading 1 2 2 2 8 2 3 3 3" xfId="11975"/>
    <cellStyle name="Heading 1 2 2 2 8 2 3 4" xfId="11976"/>
    <cellStyle name="Heading 1 2 2 2 8 2 3 4 2" xfId="11977"/>
    <cellStyle name="Heading 1 2 2 2 8 2 3 4 2 2" xfId="11978"/>
    <cellStyle name="Heading 1 2 2 2 8 2 3 4 3" xfId="11979"/>
    <cellStyle name="Heading 1 2 2 2 8 2 3 5" xfId="11980"/>
    <cellStyle name="Heading 1 2 2 2 8 2 3 5 2" xfId="11981"/>
    <cellStyle name="Heading 1 2 2 2 8 2 3 5 2 2" xfId="11982"/>
    <cellStyle name="Heading 1 2 2 2 8 2 3 5 3" xfId="11983"/>
    <cellStyle name="Heading 1 2 2 2 8 2 3 6" xfId="11984"/>
    <cellStyle name="Heading 1 2 2 2 8 2 3 6 2" xfId="11985"/>
    <cellStyle name="Heading 1 2 2 2 8 2 3 6 2 2" xfId="11986"/>
    <cellStyle name="Heading 1 2 2 2 8 2 3 6 3" xfId="11987"/>
    <cellStyle name="Heading 1 2 2 2 8 2 3 7" xfId="11988"/>
    <cellStyle name="Heading 1 2 2 2 8 2 3 7 2" xfId="11989"/>
    <cellStyle name="Heading 1 2 2 2 8 2 3 7 2 2" xfId="11990"/>
    <cellStyle name="Heading 1 2 2 2 8 2 3 7 3" xfId="11991"/>
    <cellStyle name="Heading 1 2 2 2 8 2 3 8" xfId="11992"/>
    <cellStyle name="Heading 1 2 2 2 8 2 3 8 2" xfId="11993"/>
    <cellStyle name="Heading 1 2 2 2 8 2 3 9" xfId="11994"/>
    <cellStyle name="Heading 1 2 2 2 8 2 4" xfId="11995"/>
    <cellStyle name="Heading 1 2 2 2 8 2 4 2" xfId="11996"/>
    <cellStyle name="Heading 1 2 2 2 8 2 4 2 2" xfId="11997"/>
    <cellStyle name="Heading 1 2 2 2 8 2 4 2 2 2" xfId="11998"/>
    <cellStyle name="Heading 1 2 2 2 8 2 4 2 3" xfId="11999"/>
    <cellStyle name="Heading 1 2 2 2 8 2 4 3" xfId="12000"/>
    <cellStyle name="Heading 1 2 2 2 8 2 4 3 2" xfId="12001"/>
    <cellStyle name="Heading 1 2 2 2 8 2 4 3 2 2" xfId="12002"/>
    <cellStyle name="Heading 1 2 2 2 8 2 4 3 3" xfId="12003"/>
    <cellStyle name="Heading 1 2 2 2 8 2 4 4" xfId="12004"/>
    <cellStyle name="Heading 1 2 2 2 8 2 4 4 2" xfId="12005"/>
    <cellStyle name="Heading 1 2 2 2 8 2 4 4 2 2" xfId="12006"/>
    <cellStyle name="Heading 1 2 2 2 8 2 4 4 3" xfId="12007"/>
    <cellStyle name="Heading 1 2 2 2 8 2 4 5" xfId="12008"/>
    <cellStyle name="Heading 1 2 2 2 8 2 4 5 2" xfId="12009"/>
    <cellStyle name="Heading 1 2 2 2 8 2 4 5 2 2" xfId="12010"/>
    <cellStyle name="Heading 1 2 2 2 8 2 4 5 3" xfId="12011"/>
    <cellStyle name="Heading 1 2 2 2 8 2 4 6" xfId="12012"/>
    <cellStyle name="Heading 1 2 2 2 8 2 4 6 2" xfId="12013"/>
    <cellStyle name="Heading 1 2 2 2 8 2 4 6 2 2" xfId="12014"/>
    <cellStyle name="Heading 1 2 2 2 8 2 4 6 3" xfId="12015"/>
    <cellStyle name="Heading 1 2 2 2 8 2 4 7" xfId="12016"/>
    <cellStyle name="Heading 1 2 2 2 8 2 4 7 2" xfId="12017"/>
    <cellStyle name="Heading 1 2 2 2 8 2 4 7 2 2" xfId="12018"/>
    <cellStyle name="Heading 1 2 2 2 8 2 4 7 3" xfId="12019"/>
    <cellStyle name="Heading 1 2 2 2 8 2 4 8" xfId="12020"/>
    <cellStyle name="Heading 1 2 2 2 8 2 4 8 2" xfId="12021"/>
    <cellStyle name="Heading 1 2 2 2 8 2 4 9" xfId="12022"/>
    <cellStyle name="Heading 1 2 2 2 8 2 5" xfId="12023"/>
    <cellStyle name="Heading 1 2 2 2 8 2 5 2" xfId="12024"/>
    <cellStyle name="Heading 1 2 2 2 8 2 5 2 2" xfId="12025"/>
    <cellStyle name="Heading 1 2 2 2 8 2 5 2 2 2" xfId="12026"/>
    <cellStyle name="Heading 1 2 2 2 8 2 5 2 3" xfId="12027"/>
    <cellStyle name="Heading 1 2 2 2 8 2 5 3" xfId="12028"/>
    <cellStyle name="Heading 1 2 2 2 8 2 5 3 2" xfId="12029"/>
    <cellStyle name="Heading 1 2 2 2 8 2 5 3 2 2" xfId="12030"/>
    <cellStyle name="Heading 1 2 2 2 8 2 5 3 3" xfId="12031"/>
    <cellStyle name="Heading 1 2 2 2 8 2 5 4" xfId="12032"/>
    <cellStyle name="Heading 1 2 2 2 8 2 5 4 2" xfId="12033"/>
    <cellStyle name="Heading 1 2 2 2 8 2 5 4 2 2" xfId="12034"/>
    <cellStyle name="Heading 1 2 2 2 8 2 5 4 3" xfId="12035"/>
    <cellStyle name="Heading 1 2 2 2 8 2 5 5" xfId="12036"/>
    <cellStyle name="Heading 1 2 2 2 8 2 5 5 2" xfId="12037"/>
    <cellStyle name="Heading 1 2 2 2 8 2 5 5 2 2" xfId="12038"/>
    <cellStyle name="Heading 1 2 2 2 8 2 5 5 3" xfId="12039"/>
    <cellStyle name="Heading 1 2 2 2 8 2 5 6" xfId="12040"/>
    <cellStyle name="Heading 1 2 2 2 8 2 5 6 2" xfId="12041"/>
    <cellStyle name="Heading 1 2 2 2 8 2 5 6 2 2" xfId="12042"/>
    <cellStyle name="Heading 1 2 2 2 8 2 5 6 3" xfId="12043"/>
    <cellStyle name="Heading 1 2 2 2 8 2 5 7" xfId="12044"/>
    <cellStyle name="Heading 1 2 2 2 8 2 5 7 2" xfId="12045"/>
    <cellStyle name="Heading 1 2 2 2 8 2 5 7 2 2" xfId="12046"/>
    <cellStyle name="Heading 1 2 2 2 8 2 5 7 3" xfId="12047"/>
    <cellStyle name="Heading 1 2 2 2 8 2 5 8" xfId="12048"/>
    <cellStyle name="Heading 1 2 2 2 8 2 5 8 2" xfId="12049"/>
    <cellStyle name="Heading 1 2 2 2 8 2 5 9" xfId="12050"/>
    <cellStyle name="Heading 1 2 2 2 8 2 6" xfId="12051"/>
    <cellStyle name="Heading 1 2 2 2 8 2 6 2" xfId="12052"/>
    <cellStyle name="Heading 1 2 2 2 8 2 6 2 2" xfId="12053"/>
    <cellStyle name="Heading 1 2 2 2 8 2 6 2 2 2" xfId="12054"/>
    <cellStyle name="Heading 1 2 2 2 8 2 6 2 3" xfId="12055"/>
    <cellStyle name="Heading 1 2 2 2 8 2 6 3" xfId="12056"/>
    <cellStyle name="Heading 1 2 2 2 8 2 6 3 2" xfId="12057"/>
    <cellStyle name="Heading 1 2 2 2 8 2 6 3 2 2" xfId="12058"/>
    <cellStyle name="Heading 1 2 2 2 8 2 6 3 3" xfId="12059"/>
    <cellStyle name="Heading 1 2 2 2 8 2 6 4" xfId="12060"/>
    <cellStyle name="Heading 1 2 2 2 8 2 6 4 2" xfId="12061"/>
    <cellStyle name="Heading 1 2 2 2 8 2 6 4 2 2" xfId="12062"/>
    <cellStyle name="Heading 1 2 2 2 8 2 6 4 3" xfId="12063"/>
    <cellStyle name="Heading 1 2 2 2 8 2 6 5" xfId="12064"/>
    <cellStyle name="Heading 1 2 2 2 8 2 6 5 2" xfId="12065"/>
    <cellStyle name="Heading 1 2 2 2 8 2 6 5 2 2" xfId="12066"/>
    <cellStyle name="Heading 1 2 2 2 8 2 6 5 3" xfId="12067"/>
    <cellStyle name="Heading 1 2 2 2 8 2 6 6" xfId="12068"/>
    <cellStyle name="Heading 1 2 2 2 8 2 6 6 2" xfId="12069"/>
    <cellStyle name="Heading 1 2 2 2 8 2 6 6 2 2" xfId="12070"/>
    <cellStyle name="Heading 1 2 2 2 8 2 6 6 3" xfId="12071"/>
    <cellStyle name="Heading 1 2 2 2 8 2 6 7" xfId="12072"/>
    <cellStyle name="Heading 1 2 2 2 8 2 6 7 2" xfId="12073"/>
    <cellStyle name="Heading 1 2 2 2 8 2 6 7 2 2" xfId="12074"/>
    <cellStyle name="Heading 1 2 2 2 8 2 6 7 3" xfId="12075"/>
    <cellStyle name="Heading 1 2 2 2 8 2 6 8" xfId="12076"/>
    <cellStyle name="Heading 1 2 2 2 8 2 6 8 2" xfId="12077"/>
    <cellStyle name="Heading 1 2 2 2 8 2 6 9" xfId="12078"/>
    <cellStyle name="Heading 1 2 2 2 8 2 7" xfId="12079"/>
    <cellStyle name="Heading 1 2 2 2 8 2 7 2" xfId="12080"/>
    <cellStyle name="Heading 1 2 2 2 8 2 7 2 2" xfId="12081"/>
    <cellStyle name="Heading 1 2 2 2 8 2 7 2 2 2" xfId="12082"/>
    <cellStyle name="Heading 1 2 2 2 8 2 7 2 3" xfId="12083"/>
    <cellStyle name="Heading 1 2 2 2 8 2 7 3" xfId="12084"/>
    <cellStyle name="Heading 1 2 2 2 8 2 7 3 2" xfId="12085"/>
    <cellStyle name="Heading 1 2 2 2 8 2 7 3 2 2" xfId="12086"/>
    <cellStyle name="Heading 1 2 2 2 8 2 7 3 3" xfId="12087"/>
    <cellStyle name="Heading 1 2 2 2 8 2 7 4" xfId="12088"/>
    <cellStyle name="Heading 1 2 2 2 8 2 7 4 2" xfId="12089"/>
    <cellStyle name="Heading 1 2 2 2 8 2 7 4 2 2" xfId="12090"/>
    <cellStyle name="Heading 1 2 2 2 8 2 7 4 3" xfId="12091"/>
    <cellStyle name="Heading 1 2 2 2 8 2 7 5" xfId="12092"/>
    <cellStyle name="Heading 1 2 2 2 8 2 7 5 2" xfId="12093"/>
    <cellStyle name="Heading 1 2 2 2 8 2 7 5 2 2" xfId="12094"/>
    <cellStyle name="Heading 1 2 2 2 8 2 7 5 3" xfId="12095"/>
    <cellStyle name="Heading 1 2 2 2 8 2 7 6" xfId="12096"/>
    <cellStyle name="Heading 1 2 2 2 8 2 7 6 2" xfId="12097"/>
    <cellStyle name="Heading 1 2 2 2 8 2 7 6 2 2" xfId="12098"/>
    <cellStyle name="Heading 1 2 2 2 8 2 7 6 3" xfId="12099"/>
    <cellStyle name="Heading 1 2 2 2 8 2 7 7" xfId="12100"/>
    <cellStyle name="Heading 1 2 2 2 8 2 7 7 2" xfId="12101"/>
    <cellStyle name="Heading 1 2 2 2 8 2 7 7 2 2" xfId="12102"/>
    <cellStyle name="Heading 1 2 2 2 8 2 7 7 3" xfId="12103"/>
    <cellStyle name="Heading 1 2 2 2 8 2 7 8" xfId="12104"/>
    <cellStyle name="Heading 1 2 2 2 8 2 7 8 2" xfId="12105"/>
    <cellStyle name="Heading 1 2 2 2 8 2 7 9" xfId="12106"/>
    <cellStyle name="Heading 1 2 2 2 8 2 8" xfId="12107"/>
    <cellStyle name="Heading 1 2 2 2 8 2 8 2" xfId="12108"/>
    <cellStyle name="Heading 1 2 2 2 8 2 8 2 2" xfId="12109"/>
    <cellStyle name="Heading 1 2 2 2 8 2 8 2 2 2" xfId="12110"/>
    <cellStyle name="Heading 1 2 2 2 8 2 8 2 3" xfId="12111"/>
    <cellStyle name="Heading 1 2 2 2 8 2 8 3" xfId="12112"/>
    <cellStyle name="Heading 1 2 2 2 8 2 8 3 2" xfId="12113"/>
    <cellStyle name="Heading 1 2 2 2 8 2 8 3 2 2" xfId="12114"/>
    <cellStyle name="Heading 1 2 2 2 8 2 8 3 3" xfId="12115"/>
    <cellStyle name="Heading 1 2 2 2 8 2 8 4" xfId="12116"/>
    <cellStyle name="Heading 1 2 2 2 8 2 8 4 2" xfId="12117"/>
    <cellStyle name="Heading 1 2 2 2 8 2 8 4 2 2" xfId="12118"/>
    <cellStyle name="Heading 1 2 2 2 8 2 8 4 3" xfId="12119"/>
    <cellStyle name="Heading 1 2 2 2 8 2 8 5" xfId="12120"/>
    <cellStyle name="Heading 1 2 2 2 8 2 8 5 2" xfId="12121"/>
    <cellStyle name="Heading 1 2 2 2 8 2 8 5 2 2" xfId="12122"/>
    <cellStyle name="Heading 1 2 2 2 8 2 8 5 3" xfId="12123"/>
    <cellStyle name="Heading 1 2 2 2 8 2 8 6" xfId="12124"/>
    <cellStyle name="Heading 1 2 2 2 8 2 8 6 2" xfId="12125"/>
    <cellStyle name="Heading 1 2 2 2 8 2 8 6 2 2" xfId="12126"/>
    <cellStyle name="Heading 1 2 2 2 8 2 8 6 3" xfId="12127"/>
    <cellStyle name="Heading 1 2 2 2 8 2 8 7" xfId="12128"/>
    <cellStyle name="Heading 1 2 2 2 8 2 8 7 2" xfId="12129"/>
    <cellStyle name="Heading 1 2 2 2 8 2 8 7 2 2" xfId="12130"/>
    <cellStyle name="Heading 1 2 2 2 8 2 8 7 3" xfId="12131"/>
    <cellStyle name="Heading 1 2 2 2 8 2 8 8" xfId="12132"/>
    <cellStyle name="Heading 1 2 2 2 8 2 8 8 2" xfId="12133"/>
    <cellStyle name="Heading 1 2 2 2 8 2 8 9" xfId="12134"/>
    <cellStyle name="Heading 1 2 2 2 8 2 9" xfId="12135"/>
    <cellStyle name="Heading 1 2 2 2 8 2 9 2" xfId="12136"/>
    <cellStyle name="Heading 1 2 2 2 8 2 9 2 2" xfId="12137"/>
    <cellStyle name="Heading 1 2 2 2 8 2 9 3" xfId="12138"/>
    <cellStyle name="Heading 1 2 2 2 8 20" xfId="12139"/>
    <cellStyle name="Heading 1 2 2 2 8 20 2" xfId="12140"/>
    <cellStyle name="Heading 1 2 2 2 8 21" xfId="12141"/>
    <cellStyle name="Heading 1 2 2 2 8 21 2" xfId="12142"/>
    <cellStyle name="Heading 1 2 2 2 8 22" xfId="12143"/>
    <cellStyle name="Heading 1 2 2 2 8 22 2" xfId="12144"/>
    <cellStyle name="Heading 1 2 2 2 8 23" xfId="12145"/>
    <cellStyle name="Heading 1 2 2 2 8 3" xfId="12146"/>
    <cellStyle name="Heading 1 2 2 2 8 3 2" xfId="12147"/>
    <cellStyle name="Heading 1 2 2 2 8 3 2 2" xfId="12148"/>
    <cellStyle name="Heading 1 2 2 2 8 3 2 2 2" xfId="12149"/>
    <cellStyle name="Heading 1 2 2 2 8 3 2 3" xfId="12150"/>
    <cellStyle name="Heading 1 2 2 2 8 3 3" xfId="12151"/>
    <cellStyle name="Heading 1 2 2 2 8 3 3 2" xfId="12152"/>
    <cellStyle name="Heading 1 2 2 2 8 3 3 2 2" xfId="12153"/>
    <cellStyle name="Heading 1 2 2 2 8 3 3 3" xfId="12154"/>
    <cellStyle name="Heading 1 2 2 2 8 3 4" xfId="12155"/>
    <cellStyle name="Heading 1 2 2 2 8 3 4 2" xfId="12156"/>
    <cellStyle name="Heading 1 2 2 2 8 3 4 2 2" xfId="12157"/>
    <cellStyle name="Heading 1 2 2 2 8 3 4 3" xfId="12158"/>
    <cellStyle name="Heading 1 2 2 2 8 3 5" xfId="12159"/>
    <cellStyle name="Heading 1 2 2 2 8 3 5 2" xfId="12160"/>
    <cellStyle name="Heading 1 2 2 2 8 3 5 2 2" xfId="12161"/>
    <cellStyle name="Heading 1 2 2 2 8 3 5 3" xfId="12162"/>
    <cellStyle name="Heading 1 2 2 2 8 3 6" xfId="12163"/>
    <cellStyle name="Heading 1 2 2 2 8 3 6 2" xfId="12164"/>
    <cellStyle name="Heading 1 2 2 2 8 3 6 2 2" xfId="12165"/>
    <cellStyle name="Heading 1 2 2 2 8 3 6 3" xfId="12166"/>
    <cellStyle name="Heading 1 2 2 2 8 3 7" xfId="12167"/>
    <cellStyle name="Heading 1 2 2 2 8 3 7 2" xfId="12168"/>
    <cellStyle name="Heading 1 2 2 2 8 3 7 2 2" xfId="12169"/>
    <cellStyle name="Heading 1 2 2 2 8 3 7 3" xfId="12170"/>
    <cellStyle name="Heading 1 2 2 2 8 3 8" xfId="12171"/>
    <cellStyle name="Heading 1 2 2 2 8 3 8 2" xfId="12172"/>
    <cellStyle name="Heading 1 2 2 2 8 3 9" xfId="12173"/>
    <cellStyle name="Heading 1 2 2 2 8 4" xfId="12174"/>
    <cellStyle name="Heading 1 2 2 2 8 4 2" xfId="12175"/>
    <cellStyle name="Heading 1 2 2 2 8 4 2 2" xfId="12176"/>
    <cellStyle name="Heading 1 2 2 2 8 4 2 2 2" xfId="12177"/>
    <cellStyle name="Heading 1 2 2 2 8 4 2 3" xfId="12178"/>
    <cellStyle name="Heading 1 2 2 2 8 4 3" xfId="12179"/>
    <cellStyle name="Heading 1 2 2 2 8 4 3 2" xfId="12180"/>
    <cellStyle name="Heading 1 2 2 2 8 4 3 2 2" xfId="12181"/>
    <cellStyle name="Heading 1 2 2 2 8 4 3 3" xfId="12182"/>
    <cellStyle name="Heading 1 2 2 2 8 4 4" xfId="12183"/>
    <cellStyle name="Heading 1 2 2 2 8 4 4 2" xfId="12184"/>
    <cellStyle name="Heading 1 2 2 2 8 4 4 2 2" xfId="12185"/>
    <cellStyle name="Heading 1 2 2 2 8 4 4 3" xfId="12186"/>
    <cellStyle name="Heading 1 2 2 2 8 4 5" xfId="12187"/>
    <cellStyle name="Heading 1 2 2 2 8 4 5 2" xfId="12188"/>
    <cellStyle name="Heading 1 2 2 2 8 4 5 2 2" xfId="12189"/>
    <cellStyle name="Heading 1 2 2 2 8 4 5 3" xfId="12190"/>
    <cellStyle name="Heading 1 2 2 2 8 4 6" xfId="12191"/>
    <cellStyle name="Heading 1 2 2 2 8 4 6 2" xfId="12192"/>
    <cellStyle name="Heading 1 2 2 2 8 4 6 2 2" xfId="12193"/>
    <cellStyle name="Heading 1 2 2 2 8 4 6 3" xfId="12194"/>
    <cellStyle name="Heading 1 2 2 2 8 4 7" xfId="12195"/>
    <cellStyle name="Heading 1 2 2 2 8 4 7 2" xfId="12196"/>
    <cellStyle name="Heading 1 2 2 2 8 4 7 2 2" xfId="12197"/>
    <cellStyle name="Heading 1 2 2 2 8 4 7 3" xfId="12198"/>
    <cellStyle name="Heading 1 2 2 2 8 4 8" xfId="12199"/>
    <cellStyle name="Heading 1 2 2 2 8 4 8 2" xfId="12200"/>
    <cellStyle name="Heading 1 2 2 2 8 4 9" xfId="12201"/>
    <cellStyle name="Heading 1 2 2 2 8 5" xfId="12202"/>
    <cellStyle name="Heading 1 2 2 2 8 5 2" xfId="12203"/>
    <cellStyle name="Heading 1 2 2 2 8 5 2 2" xfId="12204"/>
    <cellStyle name="Heading 1 2 2 2 8 5 2 2 2" xfId="12205"/>
    <cellStyle name="Heading 1 2 2 2 8 5 2 3" xfId="12206"/>
    <cellStyle name="Heading 1 2 2 2 8 5 3" xfId="12207"/>
    <cellStyle name="Heading 1 2 2 2 8 5 3 2" xfId="12208"/>
    <cellStyle name="Heading 1 2 2 2 8 5 3 2 2" xfId="12209"/>
    <cellStyle name="Heading 1 2 2 2 8 5 3 3" xfId="12210"/>
    <cellStyle name="Heading 1 2 2 2 8 5 4" xfId="12211"/>
    <cellStyle name="Heading 1 2 2 2 8 5 4 2" xfId="12212"/>
    <cellStyle name="Heading 1 2 2 2 8 5 4 2 2" xfId="12213"/>
    <cellStyle name="Heading 1 2 2 2 8 5 4 3" xfId="12214"/>
    <cellStyle name="Heading 1 2 2 2 8 5 5" xfId="12215"/>
    <cellStyle name="Heading 1 2 2 2 8 5 5 2" xfId="12216"/>
    <cellStyle name="Heading 1 2 2 2 8 5 5 2 2" xfId="12217"/>
    <cellStyle name="Heading 1 2 2 2 8 5 5 3" xfId="12218"/>
    <cellStyle name="Heading 1 2 2 2 8 5 6" xfId="12219"/>
    <cellStyle name="Heading 1 2 2 2 8 5 6 2" xfId="12220"/>
    <cellStyle name="Heading 1 2 2 2 8 5 6 2 2" xfId="12221"/>
    <cellStyle name="Heading 1 2 2 2 8 5 6 3" xfId="12222"/>
    <cellStyle name="Heading 1 2 2 2 8 5 7" xfId="12223"/>
    <cellStyle name="Heading 1 2 2 2 8 5 7 2" xfId="12224"/>
    <cellStyle name="Heading 1 2 2 2 8 5 7 2 2" xfId="12225"/>
    <cellStyle name="Heading 1 2 2 2 8 5 7 3" xfId="12226"/>
    <cellStyle name="Heading 1 2 2 2 8 5 8" xfId="12227"/>
    <cellStyle name="Heading 1 2 2 2 8 5 8 2" xfId="12228"/>
    <cellStyle name="Heading 1 2 2 2 8 5 9" xfId="12229"/>
    <cellStyle name="Heading 1 2 2 2 8 6" xfId="12230"/>
    <cellStyle name="Heading 1 2 2 2 8 6 2" xfId="12231"/>
    <cellStyle name="Heading 1 2 2 2 8 6 2 2" xfId="12232"/>
    <cellStyle name="Heading 1 2 2 2 8 6 2 2 2" xfId="12233"/>
    <cellStyle name="Heading 1 2 2 2 8 6 2 3" xfId="12234"/>
    <cellStyle name="Heading 1 2 2 2 8 6 3" xfId="12235"/>
    <cellStyle name="Heading 1 2 2 2 8 6 3 2" xfId="12236"/>
    <cellStyle name="Heading 1 2 2 2 8 6 3 2 2" xfId="12237"/>
    <cellStyle name="Heading 1 2 2 2 8 6 3 3" xfId="12238"/>
    <cellStyle name="Heading 1 2 2 2 8 6 4" xfId="12239"/>
    <cellStyle name="Heading 1 2 2 2 8 6 4 2" xfId="12240"/>
    <cellStyle name="Heading 1 2 2 2 8 6 4 2 2" xfId="12241"/>
    <cellStyle name="Heading 1 2 2 2 8 6 4 3" xfId="12242"/>
    <cellStyle name="Heading 1 2 2 2 8 6 5" xfId="12243"/>
    <cellStyle name="Heading 1 2 2 2 8 6 5 2" xfId="12244"/>
    <cellStyle name="Heading 1 2 2 2 8 6 5 2 2" xfId="12245"/>
    <cellStyle name="Heading 1 2 2 2 8 6 5 3" xfId="12246"/>
    <cellStyle name="Heading 1 2 2 2 8 6 6" xfId="12247"/>
    <cellStyle name="Heading 1 2 2 2 8 6 6 2" xfId="12248"/>
    <cellStyle name="Heading 1 2 2 2 8 6 6 2 2" xfId="12249"/>
    <cellStyle name="Heading 1 2 2 2 8 6 6 3" xfId="12250"/>
    <cellStyle name="Heading 1 2 2 2 8 6 7" xfId="12251"/>
    <cellStyle name="Heading 1 2 2 2 8 6 7 2" xfId="12252"/>
    <cellStyle name="Heading 1 2 2 2 8 6 7 2 2" xfId="12253"/>
    <cellStyle name="Heading 1 2 2 2 8 6 7 3" xfId="12254"/>
    <cellStyle name="Heading 1 2 2 2 8 6 8" xfId="12255"/>
    <cellStyle name="Heading 1 2 2 2 8 6 8 2" xfId="12256"/>
    <cellStyle name="Heading 1 2 2 2 8 6 9" xfId="12257"/>
    <cellStyle name="Heading 1 2 2 2 8 7" xfId="12258"/>
    <cellStyle name="Heading 1 2 2 2 8 7 2" xfId="12259"/>
    <cellStyle name="Heading 1 2 2 2 8 7 2 2" xfId="12260"/>
    <cellStyle name="Heading 1 2 2 2 8 7 2 2 2" xfId="12261"/>
    <cellStyle name="Heading 1 2 2 2 8 7 2 3" xfId="12262"/>
    <cellStyle name="Heading 1 2 2 2 8 7 3" xfId="12263"/>
    <cellStyle name="Heading 1 2 2 2 8 7 3 2" xfId="12264"/>
    <cellStyle name="Heading 1 2 2 2 8 7 3 2 2" xfId="12265"/>
    <cellStyle name="Heading 1 2 2 2 8 7 3 3" xfId="12266"/>
    <cellStyle name="Heading 1 2 2 2 8 7 4" xfId="12267"/>
    <cellStyle name="Heading 1 2 2 2 8 7 4 2" xfId="12268"/>
    <cellStyle name="Heading 1 2 2 2 8 7 4 2 2" xfId="12269"/>
    <cellStyle name="Heading 1 2 2 2 8 7 4 3" xfId="12270"/>
    <cellStyle name="Heading 1 2 2 2 8 7 5" xfId="12271"/>
    <cellStyle name="Heading 1 2 2 2 8 7 5 2" xfId="12272"/>
    <cellStyle name="Heading 1 2 2 2 8 7 5 2 2" xfId="12273"/>
    <cellStyle name="Heading 1 2 2 2 8 7 5 3" xfId="12274"/>
    <cellStyle name="Heading 1 2 2 2 8 7 6" xfId="12275"/>
    <cellStyle name="Heading 1 2 2 2 8 7 6 2" xfId="12276"/>
    <cellStyle name="Heading 1 2 2 2 8 7 6 2 2" xfId="12277"/>
    <cellStyle name="Heading 1 2 2 2 8 7 6 3" xfId="12278"/>
    <cellStyle name="Heading 1 2 2 2 8 7 7" xfId="12279"/>
    <cellStyle name="Heading 1 2 2 2 8 7 7 2" xfId="12280"/>
    <cellStyle name="Heading 1 2 2 2 8 7 7 2 2" xfId="12281"/>
    <cellStyle name="Heading 1 2 2 2 8 7 7 3" xfId="12282"/>
    <cellStyle name="Heading 1 2 2 2 8 7 8" xfId="12283"/>
    <cellStyle name="Heading 1 2 2 2 8 7 8 2" xfId="12284"/>
    <cellStyle name="Heading 1 2 2 2 8 7 9" xfId="12285"/>
    <cellStyle name="Heading 1 2 2 2 8 8" xfId="12286"/>
    <cellStyle name="Heading 1 2 2 2 8 8 2" xfId="12287"/>
    <cellStyle name="Heading 1 2 2 2 8 8 2 2" xfId="12288"/>
    <cellStyle name="Heading 1 2 2 2 8 8 2 2 2" xfId="12289"/>
    <cellStyle name="Heading 1 2 2 2 8 8 2 3" xfId="12290"/>
    <cellStyle name="Heading 1 2 2 2 8 8 3" xfId="12291"/>
    <cellStyle name="Heading 1 2 2 2 8 8 3 2" xfId="12292"/>
    <cellStyle name="Heading 1 2 2 2 8 8 3 2 2" xfId="12293"/>
    <cellStyle name="Heading 1 2 2 2 8 8 3 3" xfId="12294"/>
    <cellStyle name="Heading 1 2 2 2 8 8 4" xfId="12295"/>
    <cellStyle name="Heading 1 2 2 2 8 8 4 2" xfId="12296"/>
    <cellStyle name="Heading 1 2 2 2 8 8 4 2 2" xfId="12297"/>
    <cellStyle name="Heading 1 2 2 2 8 8 4 3" xfId="12298"/>
    <cellStyle name="Heading 1 2 2 2 8 8 5" xfId="12299"/>
    <cellStyle name="Heading 1 2 2 2 8 8 5 2" xfId="12300"/>
    <cellStyle name="Heading 1 2 2 2 8 8 5 2 2" xfId="12301"/>
    <cellStyle name="Heading 1 2 2 2 8 8 5 3" xfId="12302"/>
    <cellStyle name="Heading 1 2 2 2 8 8 6" xfId="12303"/>
    <cellStyle name="Heading 1 2 2 2 8 8 6 2" xfId="12304"/>
    <cellStyle name="Heading 1 2 2 2 8 8 6 2 2" xfId="12305"/>
    <cellStyle name="Heading 1 2 2 2 8 8 6 3" xfId="12306"/>
    <cellStyle name="Heading 1 2 2 2 8 8 7" xfId="12307"/>
    <cellStyle name="Heading 1 2 2 2 8 8 7 2" xfId="12308"/>
    <cellStyle name="Heading 1 2 2 2 8 8 7 2 2" xfId="12309"/>
    <cellStyle name="Heading 1 2 2 2 8 8 7 3" xfId="12310"/>
    <cellStyle name="Heading 1 2 2 2 8 8 8" xfId="12311"/>
    <cellStyle name="Heading 1 2 2 2 8 8 8 2" xfId="12312"/>
    <cellStyle name="Heading 1 2 2 2 8 8 9" xfId="12313"/>
    <cellStyle name="Heading 1 2 2 2 8 9" xfId="12314"/>
    <cellStyle name="Heading 1 2 2 2 8 9 2" xfId="12315"/>
    <cellStyle name="Heading 1 2 2 2 8 9 2 2" xfId="12316"/>
    <cellStyle name="Heading 1 2 2 2 8 9 2 2 2" xfId="12317"/>
    <cellStyle name="Heading 1 2 2 2 8 9 2 3" xfId="12318"/>
    <cellStyle name="Heading 1 2 2 2 8 9 3" xfId="12319"/>
    <cellStyle name="Heading 1 2 2 2 8 9 3 2" xfId="12320"/>
    <cellStyle name="Heading 1 2 2 2 8 9 3 2 2" xfId="12321"/>
    <cellStyle name="Heading 1 2 2 2 8 9 3 3" xfId="12322"/>
    <cellStyle name="Heading 1 2 2 2 8 9 4" xfId="12323"/>
    <cellStyle name="Heading 1 2 2 2 8 9 4 2" xfId="12324"/>
    <cellStyle name="Heading 1 2 2 2 8 9 4 2 2" xfId="12325"/>
    <cellStyle name="Heading 1 2 2 2 8 9 4 3" xfId="12326"/>
    <cellStyle name="Heading 1 2 2 2 8 9 5" xfId="12327"/>
    <cellStyle name="Heading 1 2 2 2 8 9 5 2" xfId="12328"/>
    <cellStyle name="Heading 1 2 2 2 8 9 5 2 2" xfId="12329"/>
    <cellStyle name="Heading 1 2 2 2 8 9 5 3" xfId="12330"/>
    <cellStyle name="Heading 1 2 2 2 8 9 6" xfId="12331"/>
    <cellStyle name="Heading 1 2 2 2 8 9 6 2" xfId="12332"/>
    <cellStyle name="Heading 1 2 2 2 8 9 6 2 2" xfId="12333"/>
    <cellStyle name="Heading 1 2 2 2 8 9 6 3" xfId="12334"/>
    <cellStyle name="Heading 1 2 2 2 8 9 7" xfId="12335"/>
    <cellStyle name="Heading 1 2 2 2 8 9 7 2" xfId="12336"/>
    <cellStyle name="Heading 1 2 2 2 8 9 7 2 2" xfId="12337"/>
    <cellStyle name="Heading 1 2 2 2 8 9 7 3" xfId="12338"/>
    <cellStyle name="Heading 1 2 2 2 8 9 8" xfId="12339"/>
    <cellStyle name="Heading 1 2 2 2 8 9 8 2" xfId="12340"/>
    <cellStyle name="Heading 1 2 2 2 8 9 9" xfId="12341"/>
    <cellStyle name="Heading 1 2 2 2 9" xfId="12342"/>
    <cellStyle name="Heading 1 2 2 2 9 2" xfId="12343"/>
    <cellStyle name="Heading 1 2 2 2 9 2 2" xfId="12344"/>
    <cellStyle name="Heading 1 2 2 2 9 3" xfId="12345"/>
    <cellStyle name="Heading 1 2 2 2 9 3 2" xfId="12346"/>
    <cellStyle name="Heading 1 2 2 2 9 4" xfId="12347"/>
    <cellStyle name="Heading 1 2 2 2 9 4 2" xfId="12348"/>
    <cellStyle name="Heading 1 2 2 2 9 5" xfId="12349"/>
    <cellStyle name="Heading 1 2 2 3" xfId="12350"/>
    <cellStyle name="Heading 1 2 2 3 2" xfId="12351"/>
    <cellStyle name="Heading 1 2 2 3 2 10" xfId="12352"/>
    <cellStyle name="Heading 1 2 2 3 2 10 2" xfId="12353"/>
    <cellStyle name="Heading 1 2 2 3 2 10 2 2" xfId="12354"/>
    <cellStyle name="Heading 1 2 2 3 2 10 3" xfId="12355"/>
    <cellStyle name="Heading 1 2 2 3 2 11" xfId="12356"/>
    <cellStyle name="Heading 1 2 2 3 2 11 2" xfId="12357"/>
    <cellStyle name="Heading 1 2 2 3 2 11 2 2" xfId="12358"/>
    <cellStyle name="Heading 1 2 2 3 2 11 3" xfId="12359"/>
    <cellStyle name="Heading 1 2 2 3 2 12" xfId="12360"/>
    <cellStyle name="Heading 1 2 2 3 2 12 2" xfId="12361"/>
    <cellStyle name="Heading 1 2 2 3 2 12 2 2" xfId="12362"/>
    <cellStyle name="Heading 1 2 2 3 2 12 3" xfId="12363"/>
    <cellStyle name="Heading 1 2 2 3 2 13" xfId="12364"/>
    <cellStyle name="Heading 1 2 2 3 2 13 2" xfId="12365"/>
    <cellStyle name="Heading 1 2 2 3 2 13 2 2" xfId="12366"/>
    <cellStyle name="Heading 1 2 2 3 2 13 3" xfId="12367"/>
    <cellStyle name="Heading 1 2 2 3 2 14" xfId="12368"/>
    <cellStyle name="Heading 1 2 2 3 2 14 2" xfId="12369"/>
    <cellStyle name="Heading 1 2 2 3 2 14 2 2" xfId="12370"/>
    <cellStyle name="Heading 1 2 2 3 2 14 3" xfId="12371"/>
    <cellStyle name="Heading 1 2 2 3 2 15" xfId="12372"/>
    <cellStyle name="Heading 1 2 2 3 2 15 2" xfId="12373"/>
    <cellStyle name="Heading 1 2 2 3 2 15 2 2" xfId="12374"/>
    <cellStyle name="Heading 1 2 2 3 2 15 3" xfId="12375"/>
    <cellStyle name="Heading 1 2 2 3 2 16" xfId="12376"/>
    <cellStyle name="Heading 1 2 2 3 2 16 2" xfId="12377"/>
    <cellStyle name="Heading 1 2 2 3 2 16 2 2" xfId="12378"/>
    <cellStyle name="Heading 1 2 2 3 2 16 3" xfId="12379"/>
    <cellStyle name="Heading 1 2 2 3 2 17" xfId="12380"/>
    <cellStyle name="Heading 1 2 2 3 2 17 2" xfId="12381"/>
    <cellStyle name="Heading 1 2 2 3 2 17 2 2" xfId="12382"/>
    <cellStyle name="Heading 1 2 2 3 2 17 3" xfId="12383"/>
    <cellStyle name="Heading 1 2 2 3 2 18" xfId="12384"/>
    <cellStyle name="Heading 1 2 2 3 2 18 2" xfId="12385"/>
    <cellStyle name="Heading 1 2 2 3 2 18 2 2" xfId="12386"/>
    <cellStyle name="Heading 1 2 2 3 2 18 3" xfId="12387"/>
    <cellStyle name="Heading 1 2 2 3 2 19" xfId="12388"/>
    <cellStyle name="Heading 1 2 2 3 2 19 2" xfId="12389"/>
    <cellStyle name="Heading 1 2 2 3 2 19 2 2" xfId="12390"/>
    <cellStyle name="Heading 1 2 2 3 2 19 3" xfId="12391"/>
    <cellStyle name="Heading 1 2 2 3 2 2" xfId="12392"/>
    <cellStyle name="Heading 1 2 2 3 2 2 10" xfId="12393"/>
    <cellStyle name="Heading 1 2 2 3 2 2 10 2" xfId="12394"/>
    <cellStyle name="Heading 1 2 2 3 2 2 10 2 2" xfId="12395"/>
    <cellStyle name="Heading 1 2 2 3 2 2 10 3" xfId="12396"/>
    <cellStyle name="Heading 1 2 2 3 2 2 11" xfId="12397"/>
    <cellStyle name="Heading 1 2 2 3 2 2 11 2" xfId="12398"/>
    <cellStyle name="Heading 1 2 2 3 2 2 11 2 2" xfId="12399"/>
    <cellStyle name="Heading 1 2 2 3 2 2 11 3" xfId="12400"/>
    <cellStyle name="Heading 1 2 2 3 2 2 12" xfId="12401"/>
    <cellStyle name="Heading 1 2 2 3 2 2 12 2" xfId="12402"/>
    <cellStyle name="Heading 1 2 2 3 2 2 12 2 2" xfId="12403"/>
    <cellStyle name="Heading 1 2 2 3 2 2 12 3" xfId="12404"/>
    <cellStyle name="Heading 1 2 2 3 2 2 13" xfId="12405"/>
    <cellStyle name="Heading 1 2 2 3 2 2 13 2" xfId="12406"/>
    <cellStyle name="Heading 1 2 2 3 2 2 13 2 2" xfId="12407"/>
    <cellStyle name="Heading 1 2 2 3 2 2 13 3" xfId="12408"/>
    <cellStyle name="Heading 1 2 2 3 2 2 14" xfId="12409"/>
    <cellStyle name="Heading 1 2 2 3 2 2 14 2" xfId="12410"/>
    <cellStyle name="Heading 1 2 2 3 2 2 14 2 2" xfId="12411"/>
    <cellStyle name="Heading 1 2 2 3 2 2 14 3" xfId="12412"/>
    <cellStyle name="Heading 1 2 2 3 2 2 15" xfId="12413"/>
    <cellStyle name="Heading 1 2 2 3 2 2 15 2" xfId="12414"/>
    <cellStyle name="Heading 1 2 2 3 2 2 15 2 2" xfId="12415"/>
    <cellStyle name="Heading 1 2 2 3 2 2 15 3" xfId="12416"/>
    <cellStyle name="Heading 1 2 2 3 2 2 16" xfId="12417"/>
    <cellStyle name="Heading 1 2 2 3 2 2 16 2" xfId="12418"/>
    <cellStyle name="Heading 1 2 2 3 2 2 16 2 2" xfId="12419"/>
    <cellStyle name="Heading 1 2 2 3 2 2 16 3" xfId="12420"/>
    <cellStyle name="Heading 1 2 2 3 2 2 17" xfId="12421"/>
    <cellStyle name="Heading 1 2 2 3 2 2 17 2" xfId="12422"/>
    <cellStyle name="Heading 1 2 2 3 2 2 17 2 2" xfId="12423"/>
    <cellStyle name="Heading 1 2 2 3 2 2 17 3" xfId="12424"/>
    <cellStyle name="Heading 1 2 2 3 2 2 18" xfId="12425"/>
    <cellStyle name="Heading 1 2 2 3 2 2 18 2" xfId="12426"/>
    <cellStyle name="Heading 1 2 2 3 2 2 18 2 2" xfId="12427"/>
    <cellStyle name="Heading 1 2 2 3 2 2 18 3" xfId="12428"/>
    <cellStyle name="Heading 1 2 2 3 2 2 19" xfId="12429"/>
    <cellStyle name="Heading 1 2 2 3 2 2 19 2" xfId="12430"/>
    <cellStyle name="Heading 1 2 2 3 2 2 2" xfId="12431"/>
    <cellStyle name="Heading 1 2 2 3 2 2 2 2" xfId="12432"/>
    <cellStyle name="Heading 1 2 2 3 2 2 2 2 2" xfId="12433"/>
    <cellStyle name="Heading 1 2 2 3 2 2 2 2 2 2" xfId="12434"/>
    <cellStyle name="Heading 1 2 2 3 2 2 2 2 3" xfId="12435"/>
    <cellStyle name="Heading 1 2 2 3 2 2 2 3" xfId="12436"/>
    <cellStyle name="Heading 1 2 2 3 2 2 2 3 2" xfId="12437"/>
    <cellStyle name="Heading 1 2 2 3 2 2 2 3 2 2" xfId="12438"/>
    <cellStyle name="Heading 1 2 2 3 2 2 2 3 3" xfId="12439"/>
    <cellStyle name="Heading 1 2 2 3 2 2 2 4" xfId="12440"/>
    <cellStyle name="Heading 1 2 2 3 2 2 2 4 2" xfId="12441"/>
    <cellStyle name="Heading 1 2 2 3 2 2 2 4 2 2" xfId="12442"/>
    <cellStyle name="Heading 1 2 2 3 2 2 2 4 3" xfId="12443"/>
    <cellStyle name="Heading 1 2 2 3 2 2 2 5" xfId="12444"/>
    <cellStyle name="Heading 1 2 2 3 2 2 2 5 2" xfId="12445"/>
    <cellStyle name="Heading 1 2 2 3 2 2 2 5 2 2" xfId="12446"/>
    <cellStyle name="Heading 1 2 2 3 2 2 2 5 3" xfId="12447"/>
    <cellStyle name="Heading 1 2 2 3 2 2 2 6" xfId="12448"/>
    <cellStyle name="Heading 1 2 2 3 2 2 2 6 2" xfId="12449"/>
    <cellStyle name="Heading 1 2 2 3 2 2 2 6 2 2" xfId="12450"/>
    <cellStyle name="Heading 1 2 2 3 2 2 2 6 3" xfId="12451"/>
    <cellStyle name="Heading 1 2 2 3 2 2 2 7" xfId="12452"/>
    <cellStyle name="Heading 1 2 2 3 2 2 2 7 2" xfId="12453"/>
    <cellStyle name="Heading 1 2 2 3 2 2 2 7 2 2" xfId="12454"/>
    <cellStyle name="Heading 1 2 2 3 2 2 2 7 3" xfId="12455"/>
    <cellStyle name="Heading 1 2 2 3 2 2 2 8" xfId="12456"/>
    <cellStyle name="Heading 1 2 2 3 2 2 2 8 2" xfId="12457"/>
    <cellStyle name="Heading 1 2 2 3 2 2 2 9" xfId="12458"/>
    <cellStyle name="Heading 1 2 2 3 2 2 20" xfId="12459"/>
    <cellStyle name="Heading 1 2 2 3 2 2 20 2" xfId="12460"/>
    <cellStyle name="Heading 1 2 2 3 2 2 21" xfId="12461"/>
    <cellStyle name="Heading 1 2 2 3 2 2 21 2" xfId="12462"/>
    <cellStyle name="Heading 1 2 2 3 2 2 22" xfId="12463"/>
    <cellStyle name="Heading 1 2 2 3 2 2 3" xfId="12464"/>
    <cellStyle name="Heading 1 2 2 3 2 2 3 2" xfId="12465"/>
    <cellStyle name="Heading 1 2 2 3 2 2 3 2 2" xfId="12466"/>
    <cellStyle name="Heading 1 2 2 3 2 2 3 2 2 2" xfId="12467"/>
    <cellStyle name="Heading 1 2 2 3 2 2 3 2 3" xfId="12468"/>
    <cellStyle name="Heading 1 2 2 3 2 2 3 3" xfId="12469"/>
    <cellStyle name="Heading 1 2 2 3 2 2 3 3 2" xfId="12470"/>
    <cellStyle name="Heading 1 2 2 3 2 2 3 3 2 2" xfId="12471"/>
    <cellStyle name="Heading 1 2 2 3 2 2 3 3 3" xfId="12472"/>
    <cellStyle name="Heading 1 2 2 3 2 2 3 4" xfId="12473"/>
    <cellStyle name="Heading 1 2 2 3 2 2 3 4 2" xfId="12474"/>
    <cellStyle name="Heading 1 2 2 3 2 2 3 4 2 2" xfId="12475"/>
    <cellStyle name="Heading 1 2 2 3 2 2 3 4 3" xfId="12476"/>
    <cellStyle name="Heading 1 2 2 3 2 2 3 5" xfId="12477"/>
    <cellStyle name="Heading 1 2 2 3 2 2 3 5 2" xfId="12478"/>
    <cellStyle name="Heading 1 2 2 3 2 2 3 5 2 2" xfId="12479"/>
    <cellStyle name="Heading 1 2 2 3 2 2 3 5 3" xfId="12480"/>
    <cellStyle name="Heading 1 2 2 3 2 2 3 6" xfId="12481"/>
    <cellStyle name="Heading 1 2 2 3 2 2 3 6 2" xfId="12482"/>
    <cellStyle name="Heading 1 2 2 3 2 2 3 6 2 2" xfId="12483"/>
    <cellStyle name="Heading 1 2 2 3 2 2 3 6 3" xfId="12484"/>
    <cellStyle name="Heading 1 2 2 3 2 2 3 7" xfId="12485"/>
    <cellStyle name="Heading 1 2 2 3 2 2 3 7 2" xfId="12486"/>
    <cellStyle name="Heading 1 2 2 3 2 2 3 7 2 2" xfId="12487"/>
    <cellStyle name="Heading 1 2 2 3 2 2 3 7 3" xfId="12488"/>
    <cellStyle name="Heading 1 2 2 3 2 2 3 8" xfId="12489"/>
    <cellStyle name="Heading 1 2 2 3 2 2 3 8 2" xfId="12490"/>
    <cellStyle name="Heading 1 2 2 3 2 2 3 9" xfId="12491"/>
    <cellStyle name="Heading 1 2 2 3 2 2 4" xfId="12492"/>
    <cellStyle name="Heading 1 2 2 3 2 2 4 2" xfId="12493"/>
    <cellStyle name="Heading 1 2 2 3 2 2 4 2 2" xfId="12494"/>
    <cellStyle name="Heading 1 2 2 3 2 2 4 2 2 2" xfId="12495"/>
    <cellStyle name="Heading 1 2 2 3 2 2 4 2 3" xfId="12496"/>
    <cellStyle name="Heading 1 2 2 3 2 2 4 3" xfId="12497"/>
    <cellStyle name="Heading 1 2 2 3 2 2 4 3 2" xfId="12498"/>
    <cellStyle name="Heading 1 2 2 3 2 2 4 3 2 2" xfId="12499"/>
    <cellStyle name="Heading 1 2 2 3 2 2 4 3 3" xfId="12500"/>
    <cellStyle name="Heading 1 2 2 3 2 2 4 4" xfId="12501"/>
    <cellStyle name="Heading 1 2 2 3 2 2 4 4 2" xfId="12502"/>
    <cellStyle name="Heading 1 2 2 3 2 2 4 4 2 2" xfId="12503"/>
    <cellStyle name="Heading 1 2 2 3 2 2 4 4 3" xfId="12504"/>
    <cellStyle name="Heading 1 2 2 3 2 2 4 5" xfId="12505"/>
    <cellStyle name="Heading 1 2 2 3 2 2 4 5 2" xfId="12506"/>
    <cellStyle name="Heading 1 2 2 3 2 2 4 5 2 2" xfId="12507"/>
    <cellStyle name="Heading 1 2 2 3 2 2 4 5 3" xfId="12508"/>
    <cellStyle name="Heading 1 2 2 3 2 2 4 6" xfId="12509"/>
    <cellStyle name="Heading 1 2 2 3 2 2 4 6 2" xfId="12510"/>
    <cellStyle name="Heading 1 2 2 3 2 2 4 6 2 2" xfId="12511"/>
    <cellStyle name="Heading 1 2 2 3 2 2 4 6 3" xfId="12512"/>
    <cellStyle name="Heading 1 2 2 3 2 2 4 7" xfId="12513"/>
    <cellStyle name="Heading 1 2 2 3 2 2 4 7 2" xfId="12514"/>
    <cellStyle name="Heading 1 2 2 3 2 2 4 7 2 2" xfId="12515"/>
    <cellStyle name="Heading 1 2 2 3 2 2 4 7 3" xfId="12516"/>
    <cellStyle name="Heading 1 2 2 3 2 2 4 8" xfId="12517"/>
    <cellStyle name="Heading 1 2 2 3 2 2 4 8 2" xfId="12518"/>
    <cellStyle name="Heading 1 2 2 3 2 2 4 9" xfId="12519"/>
    <cellStyle name="Heading 1 2 2 3 2 2 5" xfId="12520"/>
    <cellStyle name="Heading 1 2 2 3 2 2 5 2" xfId="12521"/>
    <cellStyle name="Heading 1 2 2 3 2 2 5 2 2" xfId="12522"/>
    <cellStyle name="Heading 1 2 2 3 2 2 5 2 2 2" xfId="12523"/>
    <cellStyle name="Heading 1 2 2 3 2 2 5 2 3" xfId="12524"/>
    <cellStyle name="Heading 1 2 2 3 2 2 5 3" xfId="12525"/>
    <cellStyle name="Heading 1 2 2 3 2 2 5 3 2" xfId="12526"/>
    <cellStyle name="Heading 1 2 2 3 2 2 5 3 2 2" xfId="12527"/>
    <cellStyle name="Heading 1 2 2 3 2 2 5 3 3" xfId="12528"/>
    <cellStyle name="Heading 1 2 2 3 2 2 5 4" xfId="12529"/>
    <cellStyle name="Heading 1 2 2 3 2 2 5 4 2" xfId="12530"/>
    <cellStyle name="Heading 1 2 2 3 2 2 5 4 2 2" xfId="12531"/>
    <cellStyle name="Heading 1 2 2 3 2 2 5 4 3" xfId="12532"/>
    <cellStyle name="Heading 1 2 2 3 2 2 5 5" xfId="12533"/>
    <cellStyle name="Heading 1 2 2 3 2 2 5 5 2" xfId="12534"/>
    <cellStyle name="Heading 1 2 2 3 2 2 5 5 2 2" xfId="12535"/>
    <cellStyle name="Heading 1 2 2 3 2 2 5 5 3" xfId="12536"/>
    <cellStyle name="Heading 1 2 2 3 2 2 5 6" xfId="12537"/>
    <cellStyle name="Heading 1 2 2 3 2 2 5 6 2" xfId="12538"/>
    <cellStyle name="Heading 1 2 2 3 2 2 5 6 2 2" xfId="12539"/>
    <cellStyle name="Heading 1 2 2 3 2 2 5 6 3" xfId="12540"/>
    <cellStyle name="Heading 1 2 2 3 2 2 5 7" xfId="12541"/>
    <cellStyle name="Heading 1 2 2 3 2 2 5 7 2" xfId="12542"/>
    <cellStyle name="Heading 1 2 2 3 2 2 5 7 2 2" xfId="12543"/>
    <cellStyle name="Heading 1 2 2 3 2 2 5 7 3" xfId="12544"/>
    <cellStyle name="Heading 1 2 2 3 2 2 5 8" xfId="12545"/>
    <cellStyle name="Heading 1 2 2 3 2 2 5 8 2" xfId="12546"/>
    <cellStyle name="Heading 1 2 2 3 2 2 5 9" xfId="12547"/>
    <cellStyle name="Heading 1 2 2 3 2 2 6" xfId="12548"/>
    <cellStyle name="Heading 1 2 2 3 2 2 6 2" xfId="12549"/>
    <cellStyle name="Heading 1 2 2 3 2 2 6 2 2" xfId="12550"/>
    <cellStyle name="Heading 1 2 2 3 2 2 6 2 2 2" xfId="12551"/>
    <cellStyle name="Heading 1 2 2 3 2 2 6 2 3" xfId="12552"/>
    <cellStyle name="Heading 1 2 2 3 2 2 6 3" xfId="12553"/>
    <cellStyle name="Heading 1 2 2 3 2 2 6 3 2" xfId="12554"/>
    <cellStyle name="Heading 1 2 2 3 2 2 6 3 2 2" xfId="12555"/>
    <cellStyle name="Heading 1 2 2 3 2 2 6 3 3" xfId="12556"/>
    <cellStyle name="Heading 1 2 2 3 2 2 6 4" xfId="12557"/>
    <cellStyle name="Heading 1 2 2 3 2 2 6 4 2" xfId="12558"/>
    <cellStyle name="Heading 1 2 2 3 2 2 6 4 2 2" xfId="12559"/>
    <cellStyle name="Heading 1 2 2 3 2 2 6 4 3" xfId="12560"/>
    <cellStyle name="Heading 1 2 2 3 2 2 6 5" xfId="12561"/>
    <cellStyle name="Heading 1 2 2 3 2 2 6 5 2" xfId="12562"/>
    <cellStyle name="Heading 1 2 2 3 2 2 6 5 2 2" xfId="12563"/>
    <cellStyle name="Heading 1 2 2 3 2 2 6 5 3" xfId="12564"/>
    <cellStyle name="Heading 1 2 2 3 2 2 6 6" xfId="12565"/>
    <cellStyle name="Heading 1 2 2 3 2 2 6 6 2" xfId="12566"/>
    <cellStyle name="Heading 1 2 2 3 2 2 6 6 2 2" xfId="12567"/>
    <cellStyle name="Heading 1 2 2 3 2 2 6 6 3" xfId="12568"/>
    <cellStyle name="Heading 1 2 2 3 2 2 6 7" xfId="12569"/>
    <cellStyle name="Heading 1 2 2 3 2 2 6 7 2" xfId="12570"/>
    <cellStyle name="Heading 1 2 2 3 2 2 6 7 2 2" xfId="12571"/>
    <cellStyle name="Heading 1 2 2 3 2 2 6 7 3" xfId="12572"/>
    <cellStyle name="Heading 1 2 2 3 2 2 6 8" xfId="12573"/>
    <cellStyle name="Heading 1 2 2 3 2 2 6 8 2" xfId="12574"/>
    <cellStyle name="Heading 1 2 2 3 2 2 6 9" xfId="12575"/>
    <cellStyle name="Heading 1 2 2 3 2 2 7" xfId="12576"/>
    <cellStyle name="Heading 1 2 2 3 2 2 7 2" xfId="12577"/>
    <cellStyle name="Heading 1 2 2 3 2 2 7 2 2" xfId="12578"/>
    <cellStyle name="Heading 1 2 2 3 2 2 7 2 2 2" xfId="12579"/>
    <cellStyle name="Heading 1 2 2 3 2 2 7 2 3" xfId="12580"/>
    <cellStyle name="Heading 1 2 2 3 2 2 7 3" xfId="12581"/>
    <cellStyle name="Heading 1 2 2 3 2 2 7 3 2" xfId="12582"/>
    <cellStyle name="Heading 1 2 2 3 2 2 7 3 2 2" xfId="12583"/>
    <cellStyle name="Heading 1 2 2 3 2 2 7 3 3" xfId="12584"/>
    <cellStyle name="Heading 1 2 2 3 2 2 7 4" xfId="12585"/>
    <cellStyle name="Heading 1 2 2 3 2 2 7 4 2" xfId="12586"/>
    <cellStyle name="Heading 1 2 2 3 2 2 7 4 2 2" xfId="12587"/>
    <cellStyle name="Heading 1 2 2 3 2 2 7 4 3" xfId="12588"/>
    <cellStyle name="Heading 1 2 2 3 2 2 7 5" xfId="12589"/>
    <cellStyle name="Heading 1 2 2 3 2 2 7 5 2" xfId="12590"/>
    <cellStyle name="Heading 1 2 2 3 2 2 7 5 2 2" xfId="12591"/>
    <cellStyle name="Heading 1 2 2 3 2 2 7 5 3" xfId="12592"/>
    <cellStyle name="Heading 1 2 2 3 2 2 7 6" xfId="12593"/>
    <cellStyle name="Heading 1 2 2 3 2 2 7 6 2" xfId="12594"/>
    <cellStyle name="Heading 1 2 2 3 2 2 7 6 2 2" xfId="12595"/>
    <cellStyle name="Heading 1 2 2 3 2 2 7 6 3" xfId="12596"/>
    <cellStyle name="Heading 1 2 2 3 2 2 7 7" xfId="12597"/>
    <cellStyle name="Heading 1 2 2 3 2 2 7 7 2" xfId="12598"/>
    <cellStyle name="Heading 1 2 2 3 2 2 7 7 2 2" xfId="12599"/>
    <cellStyle name="Heading 1 2 2 3 2 2 7 7 3" xfId="12600"/>
    <cellStyle name="Heading 1 2 2 3 2 2 7 8" xfId="12601"/>
    <cellStyle name="Heading 1 2 2 3 2 2 7 8 2" xfId="12602"/>
    <cellStyle name="Heading 1 2 2 3 2 2 7 9" xfId="12603"/>
    <cellStyle name="Heading 1 2 2 3 2 2 8" xfId="12604"/>
    <cellStyle name="Heading 1 2 2 3 2 2 8 2" xfId="12605"/>
    <cellStyle name="Heading 1 2 2 3 2 2 8 2 2" xfId="12606"/>
    <cellStyle name="Heading 1 2 2 3 2 2 8 2 2 2" xfId="12607"/>
    <cellStyle name="Heading 1 2 2 3 2 2 8 2 3" xfId="12608"/>
    <cellStyle name="Heading 1 2 2 3 2 2 8 3" xfId="12609"/>
    <cellStyle name="Heading 1 2 2 3 2 2 8 3 2" xfId="12610"/>
    <cellStyle name="Heading 1 2 2 3 2 2 8 3 2 2" xfId="12611"/>
    <cellStyle name="Heading 1 2 2 3 2 2 8 3 3" xfId="12612"/>
    <cellStyle name="Heading 1 2 2 3 2 2 8 4" xfId="12613"/>
    <cellStyle name="Heading 1 2 2 3 2 2 8 4 2" xfId="12614"/>
    <cellStyle name="Heading 1 2 2 3 2 2 8 4 2 2" xfId="12615"/>
    <cellStyle name="Heading 1 2 2 3 2 2 8 4 3" xfId="12616"/>
    <cellStyle name="Heading 1 2 2 3 2 2 8 5" xfId="12617"/>
    <cellStyle name="Heading 1 2 2 3 2 2 8 5 2" xfId="12618"/>
    <cellStyle name="Heading 1 2 2 3 2 2 8 5 2 2" xfId="12619"/>
    <cellStyle name="Heading 1 2 2 3 2 2 8 5 3" xfId="12620"/>
    <cellStyle name="Heading 1 2 2 3 2 2 8 6" xfId="12621"/>
    <cellStyle name="Heading 1 2 2 3 2 2 8 6 2" xfId="12622"/>
    <cellStyle name="Heading 1 2 2 3 2 2 8 6 2 2" xfId="12623"/>
    <cellStyle name="Heading 1 2 2 3 2 2 8 6 3" xfId="12624"/>
    <cellStyle name="Heading 1 2 2 3 2 2 8 7" xfId="12625"/>
    <cellStyle name="Heading 1 2 2 3 2 2 8 7 2" xfId="12626"/>
    <cellStyle name="Heading 1 2 2 3 2 2 8 7 2 2" xfId="12627"/>
    <cellStyle name="Heading 1 2 2 3 2 2 8 7 3" xfId="12628"/>
    <cellStyle name="Heading 1 2 2 3 2 2 8 8" xfId="12629"/>
    <cellStyle name="Heading 1 2 2 3 2 2 8 8 2" xfId="12630"/>
    <cellStyle name="Heading 1 2 2 3 2 2 8 9" xfId="12631"/>
    <cellStyle name="Heading 1 2 2 3 2 2 9" xfId="12632"/>
    <cellStyle name="Heading 1 2 2 3 2 2 9 2" xfId="12633"/>
    <cellStyle name="Heading 1 2 2 3 2 2 9 2 2" xfId="12634"/>
    <cellStyle name="Heading 1 2 2 3 2 2 9 3" xfId="12635"/>
    <cellStyle name="Heading 1 2 2 3 2 20" xfId="12636"/>
    <cellStyle name="Heading 1 2 2 3 2 20 2" xfId="12637"/>
    <cellStyle name="Heading 1 2 2 3 2 21" xfId="12638"/>
    <cellStyle name="Heading 1 2 2 3 2 21 2" xfId="12639"/>
    <cellStyle name="Heading 1 2 2 3 2 22" xfId="12640"/>
    <cellStyle name="Heading 1 2 2 3 2 22 2" xfId="12641"/>
    <cellStyle name="Heading 1 2 2 3 2 23" xfId="12642"/>
    <cellStyle name="Heading 1 2 2 3 2 3" xfId="12643"/>
    <cellStyle name="Heading 1 2 2 3 2 3 2" xfId="12644"/>
    <cellStyle name="Heading 1 2 2 3 2 3 2 2" xfId="12645"/>
    <cellStyle name="Heading 1 2 2 3 2 3 2 2 2" xfId="12646"/>
    <cellStyle name="Heading 1 2 2 3 2 3 2 3" xfId="12647"/>
    <cellStyle name="Heading 1 2 2 3 2 3 3" xfId="12648"/>
    <cellStyle name="Heading 1 2 2 3 2 3 3 2" xfId="12649"/>
    <cellStyle name="Heading 1 2 2 3 2 3 3 2 2" xfId="12650"/>
    <cellStyle name="Heading 1 2 2 3 2 3 3 3" xfId="12651"/>
    <cellStyle name="Heading 1 2 2 3 2 3 4" xfId="12652"/>
    <cellStyle name="Heading 1 2 2 3 2 3 4 2" xfId="12653"/>
    <cellStyle name="Heading 1 2 2 3 2 3 4 2 2" xfId="12654"/>
    <cellStyle name="Heading 1 2 2 3 2 3 4 3" xfId="12655"/>
    <cellStyle name="Heading 1 2 2 3 2 3 5" xfId="12656"/>
    <cellStyle name="Heading 1 2 2 3 2 3 5 2" xfId="12657"/>
    <cellStyle name="Heading 1 2 2 3 2 3 5 2 2" xfId="12658"/>
    <cellStyle name="Heading 1 2 2 3 2 3 5 3" xfId="12659"/>
    <cellStyle name="Heading 1 2 2 3 2 3 6" xfId="12660"/>
    <cellStyle name="Heading 1 2 2 3 2 3 6 2" xfId="12661"/>
    <cellStyle name="Heading 1 2 2 3 2 3 6 2 2" xfId="12662"/>
    <cellStyle name="Heading 1 2 2 3 2 3 6 3" xfId="12663"/>
    <cellStyle name="Heading 1 2 2 3 2 3 7" xfId="12664"/>
    <cellStyle name="Heading 1 2 2 3 2 3 7 2" xfId="12665"/>
    <cellStyle name="Heading 1 2 2 3 2 3 7 2 2" xfId="12666"/>
    <cellStyle name="Heading 1 2 2 3 2 3 7 3" xfId="12667"/>
    <cellStyle name="Heading 1 2 2 3 2 3 8" xfId="12668"/>
    <cellStyle name="Heading 1 2 2 3 2 3 8 2" xfId="12669"/>
    <cellStyle name="Heading 1 2 2 3 2 3 9" xfId="12670"/>
    <cellStyle name="Heading 1 2 2 3 2 4" xfId="12671"/>
    <cellStyle name="Heading 1 2 2 3 2 4 2" xfId="12672"/>
    <cellStyle name="Heading 1 2 2 3 2 4 2 2" xfId="12673"/>
    <cellStyle name="Heading 1 2 2 3 2 4 2 2 2" xfId="12674"/>
    <cellStyle name="Heading 1 2 2 3 2 4 2 3" xfId="12675"/>
    <cellStyle name="Heading 1 2 2 3 2 4 3" xfId="12676"/>
    <cellStyle name="Heading 1 2 2 3 2 4 3 2" xfId="12677"/>
    <cellStyle name="Heading 1 2 2 3 2 4 3 2 2" xfId="12678"/>
    <cellStyle name="Heading 1 2 2 3 2 4 3 3" xfId="12679"/>
    <cellStyle name="Heading 1 2 2 3 2 4 4" xfId="12680"/>
    <cellStyle name="Heading 1 2 2 3 2 4 4 2" xfId="12681"/>
    <cellStyle name="Heading 1 2 2 3 2 4 4 2 2" xfId="12682"/>
    <cellStyle name="Heading 1 2 2 3 2 4 4 3" xfId="12683"/>
    <cellStyle name="Heading 1 2 2 3 2 4 5" xfId="12684"/>
    <cellStyle name="Heading 1 2 2 3 2 4 5 2" xfId="12685"/>
    <cellStyle name="Heading 1 2 2 3 2 4 5 2 2" xfId="12686"/>
    <cellStyle name="Heading 1 2 2 3 2 4 5 3" xfId="12687"/>
    <cellStyle name="Heading 1 2 2 3 2 4 6" xfId="12688"/>
    <cellStyle name="Heading 1 2 2 3 2 4 6 2" xfId="12689"/>
    <cellStyle name="Heading 1 2 2 3 2 4 6 2 2" xfId="12690"/>
    <cellStyle name="Heading 1 2 2 3 2 4 6 3" xfId="12691"/>
    <cellStyle name="Heading 1 2 2 3 2 4 7" xfId="12692"/>
    <cellStyle name="Heading 1 2 2 3 2 4 7 2" xfId="12693"/>
    <cellStyle name="Heading 1 2 2 3 2 4 7 2 2" xfId="12694"/>
    <cellStyle name="Heading 1 2 2 3 2 4 7 3" xfId="12695"/>
    <cellStyle name="Heading 1 2 2 3 2 4 8" xfId="12696"/>
    <cellStyle name="Heading 1 2 2 3 2 4 8 2" xfId="12697"/>
    <cellStyle name="Heading 1 2 2 3 2 4 9" xfId="12698"/>
    <cellStyle name="Heading 1 2 2 3 2 5" xfId="12699"/>
    <cellStyle name="Heading 1 2 2 3 2 5 2" xfId="12700"/>
    <cellStyle name="Heading 1 2 2 3 2 5 2 2" xfId="12701"/>
    <cellStyle name="Heading 1 2 2 3 2 5 2 2 2" xfId="12702"/>
    <cellStyle name="Heading 1 2 2 3 2 5 2 3" xfId="12703"/>
    <cellStyle name="Heading 1 2 2 3 2 5 3" xfId="12704"/>
    <cellStyle name="Heading 1 2 2 3 2 5 3 2" xfId="12705"/>
    <cellStyle name="Heading 1 2 2 3 2 5 3 2 2" xfId="12706"/>
    <cellStyle name="Heading 1 2 2 3 2 5 3 3" xfId="12707"/>
    <cellStyle name="Heading 1 2 2 3 2 5 4" xfId="12708"/>
    <cellStyle name="Heading 1 2 2 3 2 5 4 2" xfId="12709"/>
    <cellStyle name="Heading 1 2 2 3 2 5 4 2 2" xfId="12710"/>
    <cellStyle name="Heading 1 2 2 3 2 5 4 3" xfId="12711"/>
    <cellStyle name="Heading 1 2 2 3 2 5 5" xfId="12712"/>
    <cellStyle name="Heading 1 2 2 3 2 5 5 2" xfId="12713"/>
    <cellStyle name="Heading 1 2 2 3 2 5 5 2 2" xfId="12714"/>
    <cellStyle name="Heading 1 2 2 3 2 5 5 3" xfId="12715"/>
    <cellStyle name="Heading 1 2 2 3 2 5 6" xfId="12716"/>
    <cellStyle name="Heading 1 2 2 3 2 5 6 2" xfId="12717"/>
    <cellStyle name="Heading 1 2 2 3 2 5 6 2 2" xfId="12718"/>
    <cellStyle name="Heading 1 2 2 3 2 5 6 3" xfId="12719"/>
    <cellStyle name="Heading 1 2 2 3 2 5 7" xfId="12720"/>
    <cellStyle name="Heading 1 2 2 3 2 5 7 2" xfId="12721"/>
    <cellStyle name="Heading 1 2 2 3 2 5 7 2 2" xfId="12722"/>
    <cellStyle name="Heading 1 2 2 3 2 5 7 3" xfId="12723"/>
    <cellStyle name="Heading 1 2 2 3 2 5 8" xfId="12724"/>
    <cellStyle name="Heading 1 2 2 3 2 5 8 2" xfId="12725"/>
    <cellStyle name="Heading 1 2 2 3 2 5 9" xfId="12726"/>
    <cellStyle name="Heading 1 2 2 3 2 6" xfId="12727"/>
    <cellStyle name="Heading 1 2 2 3 2 6 2" xfId="12728"/>
    <cellStyle name="Heading 1 2 2 3 2 6 2 2" xfId="12729"/>
    <cellStyle name="Heading 1 2 2 3 2 6 2 2 2" xfId="12730"/>
    <cellStyle name="Heading 1 2 2 3 2 6 2 3" xfId="12731"/>
    <cellStyle name="Heading 1 2 2 3 2 6 3" xfId="12732"/>
    <cellStyle name="Heading 1 2 2 3 2 6 3 2" xfId="12733"/>
    <cellStyle name="Heading 1 2 2 3 2 6 3 2 2" xfId="12734"/>
    <cellStyle name="Heading 1 2 2 3 2 6 3 3" xfId="12735"/>
    <cellStyle name="Heading 1 2 2 3 2 6 4" xfId="12736"/>
    <cellStyle name="Heading 1 2 2 3 2 6 4 2" xfId="12737"/>
    <cellStyle name="Heading 1 2 2 3 2 6 4 2 2" xfId="12738"/>
    <cellStyle name="Heading 1 2 2 3 2 6 4 3" xfId="12739"/>
    <cellStyle name="Heading 1 2 2 3 2 6 5" xfId="12740"/>
    <cellStyle name="Heading 1 2 2 3 2 6 5 2" xfId="12741"/>
    <cellStyle name="Heading 1 2 2 3 2 6 5 2 2" xfId="12742"/>
    <cellStyle name="Heading 1 2 2 3 2 6 5 3" xfId="12743"/>
    <cellStyle name="Heading 1 2 2 3 2 6 6" xfId="12744"/>
    <cellStyle name="Heading 1 2 2 3 2 6 6 2" xfId="12745"/>
    <cellStyle name="Heading 1 2 2 3 2 6 6 2 2" xfId="12746"/>
    <cellStyle name="Heading 1 2 2 3 2 6 6 3" xfId="12747"/>
    <cellStyle name="Heading 1 2 2 3 2 6 7" xfId="12748"/>
    <cellStyle name="Heading 1 2 2 3 2 6 7 2" xfId="12749"/>
    <cellStyle name="Heading 1 2 2 3 2 6 7 2 2" xfId="12750"/>
    <cellStyle name="Heading 1 2 2 3 2 6 7 3" xfId="12751"/>
    <cellStyle name="Heading 1 2 2 3 2 6 8" xfId="12752"/>
    <cellStyle name="Heading 1 2 2 3 2 6 8 2" xfId="12753"/>
    <cellStyle name="Heading 1 2 2 3 2 6 9" xfId="12754"/>
    <cellStyle name="Heading 1 2 2 3 2 7" xfId="12755"/>
    <cellStyle name="Heading 1 2 2 3 2 7 2" xfId="12756"/>
    <cellStyle name="Heading 1 2 2 3 2 7 2 2" xfId="12757"/>
    <cellStyle name="Heading 1 2 2 3 2 7 2 2 2" xfId="12758"/>
    <cellStyle name="Heading 1 2 2 3 2 7 2 3" xfId="12759"/>
    <cellStyle name="Heading 1 2 2 3 2 7 3" xfId="12760"/>
    <cellStyle name="Heading 1 2 2 3 2 7 3 2" xfId="12761"/>
    <cellStyle name="Heading 1 2 2 3 2 7 3 2 2" xfId="12762"/>
    <cellStyle name="Heading 1 2 2 3 2 7 3 3" xfId="12763"/>
    <cellStyle name="Heading 1 2 2 3 2 7 4" xfId="12764"/>
    <cellStyle name="Heading 1 2 2 3 2 7 4 2" xfId="12765"/>
    <cellStyle name="Heading 1 2 2 3 2 7 4 2 2" xfId="12766"/>
    <cellStyle name="Heading 1 2 2 3 2 7 4 3" xfId="12767"/>
    <cellStyle name="Heading 1 2 2 3 2 7 5" xfId="12768"/>
    <cellStyle name="Heading 1 2 2 3 2 7 5 2" xfId="12769"/>
    <cellStyle name="Heading 1 2 2 3 2 7 5 2 2" xfId="12770"/>
    <cellStyle name="Heading 1 2 2 3 2 7 5 3" xfId="12771"/>
    <cellStyle name="Heading 1 2 2 3 2 7 6" xfId="12772"/>
    <cellStyle name="Heading 1 2 2 3 2 7 6 2" xfId="12773"/>
    <cellStyle name="Heading 1 2 2 3 2 7 6 2 2" xfId="12774"/>
    <cellStyle name="Heading 1 2 2 3 2 7 6 3" xfId="12775"/>
    <cellStyle name="Heading 1 2 2 3 2 7 7" xfId="12776"/>
    <cellStyle name="Heading 1 2 2 3 2 7 7 2" xfId="12777"/>
    <cellStyle name="Heading 1 2 2 3 2 7 7 2 2" xfId="12778"/>
    <cellStyle name="Heading 1 2 2 3 2 7 7 3" xfId="12779"/>
    <cellStyle name="Heading 1 2 2 3 2 7 8" xfId="12780"/>
    <cellStyle name="Heading 1 2 2 3 2 7 8 2" xfId="12781"/>
    <cellStyle name="Heading 1 2 2 3 2 7 9" xfId="12782"/>
    <cellStyle name="Heading 1 2 2 3 2 8" xfId="12783"/>
    <cellStyle name="Heading 1 2 2 3 2 8 2" xfId="12784"/>
    <cellStyle name="Heading 1 2 2 3 2 8 2 2" xfId="12785"/>
    <cellStyle name="Heading 1 2 2 3 2 8 2 2 2" xfId="12786"/>
    <cellStyle name="Heading 1 2 2 3 2 8 2 3" xfId="12787"/>
    <cellStyle name="Heading 1 2 2 3 2 8 3" xfId="12788"/>
    <cellStyle name="Heading 1 2 2 3 2 8 3 2" xfId="12789"/>
    <cellStyle name="Heading 1 2 2 3 2 8 3 2 2" xfId="12790"/>
    <cellStyle name="Heading 1 2 2 3 2 8 3 3" xfId="12791"/>
    <cellStyle name="Heading 1 2 2 3 2 8 4" xfId="12792"/>
    <cellStyle name="Heading 1 2 2 3 2 8 4 2" xfId="12793"/>
    <cellStyle name="Heading 1 2 2 3 2 8 4 2 2" xfId="12794"/>
    <cellStyle name="Heading 1 2 2 3 2 8 4 3" xfId="12795"/>
    <cellStyle name="Heading 1 2 2 3 2 8 5" xfId="12796"/>
    <cellStyle name="Heading 1 2 2 3 2 8 5 2" xfId="12797"/>
    <cellStyle name="Heading 1 2 2 3 2 8 5 2 2" xfId="12798"/>
    <cellStyle name="Heading 1 2 2 3 2 8 5 3" xfId="12799"/>
    <cellStyle name="Heading 1 2 2 3 2 8 6" xfId="12800"/>
    <cellStyle name="Heading 1 2 2 3 2 8 6 2" xfId="12801"/>
    <cellStyle name="Heading 1 2 2 3 2 8 6 2 2" xfId="12802"/>
    <cellStyle name="Heading 1 2 2 3 2 8 6 3" xfId="12803"/>
    <cellStyle name="Heading 1 2 2 3 2 8 7" xfId="12804"/>
    <cellStyle name="Heading 1 2 2 3 2 8 7 2" xfId="12805"/>
    <cellStyle name="Heading 1 2 2 3 2 8 7 2 2" xfId="12806"/>
    <cellStyle name="Heading 1 2 2 3 2 8 7 3" xfId="12807"/>
    <cellStyle name="Heading 1 2 2 3 2 8 8" xfId="12808"/>
    <cellStyle name="Heading 1 2 2 3 2 8 8 2" xfId="12809"/>
    <cellStyle name="Heading 1 2 2 3 2 8 9" xfId="12810"/>
    <cellStyle name="Heading 1 2 2 3 2 9" xfId="12811"/>
    <cellStyle name="Heading 1 2 2 3 2 9 2" xfId="12812"/>
    <cellStyle name="Heading 1 2 2 3 2 9 2 2" xfId="12813"/>
    <cellStyle name="Heading 1 2 2 3 2 9 2 2 2" xfId="12814"/>
    <cellStyle name="Heading 1 2 2 3 2 9 2 3" xfId="12815"/>
    <cellStyle name="Heading 1 2 2 3 2 9 3" xfId="12816"/>
    <cellStyle name="Heading 1 2 2 3 2 9 3 2" xfId="12817"/>
    <cellStyle name="Heading 1 2 2 3 2 9 3 2 2" xfId="12818"/>
    <cellStyle name="Heading 1 2 2 3 2 9 3 3" xfId="12819"/>
    <cellStyle name="Heading 1 2 2 3 2 9 4" xfId="12820"/>
    <cellStyle name="Heading 1 2 2 3 2 9 4 2" xfId="12821"/>
    <cellStyle name="Heading 1 2 2 3 2 9 4 2 2" xfId="12822"/>
    <cellStyle name="Heading 1 2 2 3 2 9 4 3" xfId="12823"/>
    <cellStyle name="Heading 1 2 2 3 2 9 5" xfId="12824"/>
    <cellStyle name="Heading 1 2 2 3 2 9 5 2" xfId="12825"/>
    <cellStyle name="Heading 1 2 2 3 2 9 5 2 2" xfId="12826"/>
    <cellStyle name="Heading 1 2 2 3 2 9 5 3" xfId="12827"/>
    <cellStyle name="Heading 1 2 2 3 2 9 6" xfId="12828"/>
    <cellStyle name="Heading 1 2 2 3 2 9 6 2" xfId="12829"/>
    <cellStyle name="Heading 1 2 2 3 2 9 6 2 2" xfId="12830"/>
    <cellStyle name="Heading 1 2 2 3 2 9 6 3" xfId="12831"/>
    <cellStyle name="Heading 1 2 2 3 2 9 7" xfId="12832"/>
    <cellStyle name="Heading 1 2 2 3 2 9 7 2" xfId="12833"/>
    <cellStyle name="Heading 1 2 2 3 2 9 7 2 2" xfId="12834"/>
    <cellStyle name="Heading 1 2 2 3 2 9 7 3" xfId="12835"/>
    <cellStyle name="Heading 1 2 2 3 2 9 8" xfId="12836"/>
    <cellStyle name="Heading 1 2 2 3 2 9 8 2" xfId="12837"/>
    <cellStyle name="Heading 1 2 2 3 2 9 9" xfId="12838"/>
    <cellStyle name="Heading 1 2 2 3 3" xfId="12839"/>
    <cellStyle name="Heading 1 2 2 3 3 10" xfId="12840"/>
    <cellStyle name="Heading 1 2 2 3 3 10 2" xfId="12841"/>
    <cellStyle name="Heading 1 2 2 3 3 10 2 2" xfId="12842"/>
    <cellStyle name="Heading 1 2 2 3 3 10 3" xfId="12843"/>
    <cellStyle name="Heading 1 2 2 3 3 11" xfId="12844"/>
    <cellStyle name="Heading 1 2 2 3 3 11 2" xfId="12845"/>
    <cellStyle name="Heading 1 2 2 3 3 11 2 2" xfId="12846"/>
    <cellStyle name="Heading 1 2 2 3 3 11 3" xfId="12847"/>
    <cellStyle name="Heading 1 2 2 3 3 12" xfId="12848"/>
    <cellStyle name="Heading 1 2 2 3 3 12 2" xfId="12849"/>
    <cellStyle name="Heading 1 2 2 3 3 12 2 2" xfId="12850"/>
    <cellStyle name="Heading 1 2 2 3 3 12 3" xfId="12851"/>
    <cellStyle name="Heading 1 2 2 3 3 13" xfId="12852"/>
    <cellStyle name="Heading 1 2 2 3 3 13 2" xfId="12853"/>
    <cellStyle name="Heading 1 2 2 3 3 13 2 2" xfId="12854"/>
    <cellStyle name="Heading 1 2 2 3 3 13 3" xfId="12855"/>
    <cellStyle name="Heading 1 2 2 3 3 14" xfId="12856"/>
    <cellStyle name="Heading 1 2 2 3 3 14 2" xfId="12857"/>
    <cellStyle name="Heading 1 2 2 3 3 14 2 2" xfId="12858"/>
    <cellStyle name="Heading 1 2 2 3 3 14 3" xfId="12859"/>
    <cellStyle name="Heading 1 2 2 3 3 15" xfId="12860"/>
    <cellStyle name="Heading 1 2 2 3 3 15 2" xfId="12861"/>
    <cellStyle name="Heading 1 2 2 3 3 15 2 2" xfId="12862"/>
    <cellStyle name="Heading 1 2 2 3 3 15 3" xfId="12863"/>
    <cellStyle name="Heading 1 2 2 3 3 16" xfId="12864"/>
    <cellStyle name="Heading 1 2 2 3 3 16 2" xfId="12865"/>
    <cellStyle name="Heading 1 2 2 3 3 16 2 2" xfId="12866"/>
    <cellStyle name="Heading 1 2 2 3 3 16 3" xfId="12867"/>
    <cellStyle name="Heading 1 2 2 3 3 17" xfId="12868"/>
    <cellStyle name="Heading 1 2 2 3 3 17 2" xfId="12869"/>
    <cellStyle name="Heading 1 2 2 3 3 17 2 2" xfId="12870"/>
    <cellStyle name="Heading 1 2 2 3 3 17 3" xfId="12871"/>
    <cellStyle name="Heading 1 2 2 3 3 18" xfId="12872"/>
    <cellStyle name="Heading 1 2 2 3 3 18 2" xfId="12873"/>
    <cellStyle name="Heading 1 2 2 3 3 18 2 2" xfId="12874"/>
    <cellStyle name="Heading 1 2 2 3 3 18 3" xfId="12875"/>
    <cellStyle name="Heading 1 2 2 3 3 19" xfId="12876"/>
    <cellStyle name="Heading 1 2 2 3 3 19 2" xfId="12877"/>
    <cellStyle name="Heading 1 2 2 3 3 2" xfId="12878"/>
    <cellStyle name="Heading 1 2 2 3 3 2 2" xfId="12879"/>
    <cellStyle name="Heading 1 2 2 3 3 2 2 2" xfId="12880"/>
    <cellStyle name="Heading 1 2 2 3 3 2 2 2 2" xfId="12881"/>
    <cellStyle name="Heading 1 2 2 3 3 2 2 3" xfId="12882"/>
    <cellStyle name="Heading 1 2 2 3 3 2 3" xfId="12883"/>
    <cellStyle name="Heading 1 2 2 3 3 2 3 2" xfId="12884"/>
    <cellStyle name="Heading 1 2 2 3 3 2 3 2 2" xfId="12885"/>
    <cellStyle name="Heading 1 2 2 3 3 2 3 3" xfId="12886"/>
    <cellStyle name="Heading 1 2 2 3 3 2 4" xfId="12887"/>
    <cellStyle name="Heading 1 2 2 3 3 2 4 2" xfId="12888"/>
    <cellStyle name="Heading 1 2 2 3 3 2 4 2 2" xfId="12889"/>
    <cellStyle name="Heading 1 2 2 3 3 2 4 3" xfId="12890"/>
    <cellStyle name="Heading 1 2 2 3 3 2 5" xfId="12891"/>
    <cellStyle name="Heading 1 2 2 3 3 2 5 2" xfId="12892"/>
    <cellStyle name="Heading 1 2 2 3 3 2 5 2 2" xfId="12893"/>
    <cellStyle name="Heading 1 2 2 3 3 2 5 3" xfId="12894"/>
    <cellStyle name="Heading 1 2 2 3 3 2 6" xfId="12895"/>
    <cellStyle name="Heading 1 2 2 3 3 2 6 2" xfId="12896"/>
    <cellStyle name="Heading 1 2 2 3 3 2 6 2 2" xfId="12897"/>
    <cellStyle name="Heading 1 2 2 3 3 2 6 3" xfId="12898"/>
    <cellStyle name="Heading 1 2 2 3 3 2 7" xfId="12899"/>
    <cellStyle name="Heading 1 2 2 3 3 2 7 2" xfId="12900"/>
    <cellStyle name="Heading 1 2 2 3 3 2 7 2 2" xfId="12901"/>
    <cellStyle name="Heading 1 2 2 3 3 2 7 3" xfId="12902"/>
    <cellStyle name="Heading 1 2 2 3 3 2 8" xfId="12903"/>
    <cellStyle name="Heading 1 2 2 3 3 2 8 2" xfId="12904"/>
    <cellStyle name="Heading 1 2 2 3 3 2 9" xfId="12905"/>
    <cellStyle name="Heading 1 2 2 3 3 20" xfId="12906"/>
    <cellStyle name="Heading 1 2 2 3 3 20 2" xfId="12907"/>
    <cellStyle name="Heading 1 2 2 3 3 21" xfId="12908"/>
    <cellStyle name="Heading 1 2 2 3 3 21 2" xfId="12909"/>
    <cellStyle name="Heading 1 2 2 3 3 22" xfId="12910"/>
    <cellStyle name="Heading 1 2 2 3 3 3" xfId="12911"/>
    <cellStyle name="Heading 1 2 2 3 3 3 2" xfId="12912"/>
    <cellStyle name="Heading 1 2 2 3 3 3 2 2" xfId="12913"/>
    <cellStyle name="Heading 1 2 2 3 3 3 2 2 2" xfId="12914"/>
    <cellStyle name="Heading 1 2 2 3 3 3 2 3" xfId="12915"/>
    <cellStyle name="Heading 1 2 2 3 3 3 3" xfId="12916"/>
    <cellStyle name="Heading 1 2 2 3 3 3 3 2" xfId="12917"/>
    <cellStyle name="Heading 1 2 2 3 3 3 3 2 2" xfId="12918"/>
    <cellStyle name="Heading 1 2 2 3 3 3 3 3" xfId="12919"/>
    <cellStyle name="Heading 1 2 2 3 3 3 4" xfId="12920"/>
    <cellStyle name="Heading 1 2 2 3 3 3 4 2" xfId="12921"/>
    <cellStyle name="Heading 1 2 2 3 3 3 4 2 2" xfId="12922"/>
    <cellStyle name="Heading 1 2 2 3 3 3 4 3" xfId="12923"/>
    <cellStyle name="Heading 1 2 2 3 3 3 5" xfId="12924"/>
    <cellStyle name="Heading 1 2 2 3 3 3 5 2" xfId="12925"/>
    <cellStyle name="Heading 1 2 2 3 3 3 5 2 2" xfId="12926"/>
    <cellStyle name="Heading 1 2 2 3 3 3 5 3" xfId="12927"/>
    <cellStyle name="Heading 1 2 2 3 3 3 6" xfId="12928"/>
    <cellStyle name="Heading 1 2 2 3 3 3 6 2" xfId="12929"/>
    <cellStyle name="Heading 1 2 2 3 3 3 6 2 2" xfId="12930"/>
    <cellStyle name="Heading 1 2 2 3 3 3 6 3" xfId="12931"/>
    <cellStyle name="Heading 1 2 2 3 3 3 7" xfId="12932"/>
    <cellStyle name="Heading 1 2 2 3 3 3 7 2" xfId="12933"/>
    <cellStyle name="Heading 1 2 2 3 3 3 7 2 2" xfId="12934"/>
    <cellStyle name="Heading 1 2 2 3 3 3 7 3" xfId="12935"/>
    <cellStyle name="Heading 1 2 2 3 3 3 8" xfId="12936"/>
    <cellStyle name="Heading 1 2 2 3 3 3 8 2" xfId="12937"/>
    <cellStyle name="Heading 1 2 2 3 3 3 9" xfId="12938"/>
    <cellStyle name="Heading 1 2 2 3 3 4" xfId="12939"/>
    <cellStyle name="Heading 1 2 2 3 3 4 2" xfId="12940"/>
    <cellStyle name="Heading 1 2 2 3 3 4 2 2" xfId="12941"/>
    <cellStyle name="Heading 1 2 2 3 3 4 2 2 2" xfId="12942"/>
    <cellStyle name="Heading 1 2 2 3 3 4 2 3" xfId="12943"/>
    <cellStyle name="Heading 1 2 2 3 3 4 3" xfId="12944"/>
    <cellStyle name="Heading 1 2 2 3 3 4 3 2" xfId="12945"/>
    <cellStyle name="Heading 1 2 2 3 3 4 3 2 2" xfId="12946"/>
    <cellStyle name="Heading 1 2 2 3 3 4 3 3" xfId="12947"/>
    <cellStyle name="Heading 1 2 2 3 3 4 4" xfId="12948"/>
    <cellStyle name="Heading 1 2 2 3 3 4 4 2" xfId="12949"/>
    <cellStyle name="Heading 1 2 2 3 3 4 4 2 2" xfId="12950"/>
    <cellStyle name="Heading 1 2 2 3 3 4 4 3" xfId="12951"/>
    <cellStyle name="Heading 1 2 2 3 3 4 5" xfId="12952"/>
    <cellStyle name="Heading 1 2 2 3 3 4 5 2" xfId="12953"/>
    <cellStyle name="Heading 1 2 2 3 3 4 5 2 2" xfId="12954"/>
    <cellStyle name="Heading 1 2 2 3 3 4 5 3" xfId="12955"/>
    <cellStyle name="Heading 1 2 2 3 3 4 6" xfId="12956"/>
    <cellStyle name="Heading 1 2 2 3 3 4 6 2" xfId="12957"/>
    <cellStyle name="Heading 1 2 2 3 3 4 6 2 2" xfId="12958"/>
    <cellStyle name="Heading 1 2 2 3 3 4 6 3" xfId="12959"/>
    <cellStyle name="Heading 1 2 2 3 3 4 7" xfId="12960"/>
    <cellStyle name="Heading 1 2 2 3 3 4 7 2" xfId="12961"/>
    <cellStyle name="Heading 1 2 2 3 3 4 7 2 2" xfId="12962"/>
    <cellStyle name="Heading 1 2 2 3 3 4 7 3" xfId="12963"/>
    <cellStyle name="Heading 1 2 2 3 3 4 8" xfId="12964"/>
    <cellStyle name="Heading 1 2 2 3 3 4 8 2" xfId="12965"/>
    <cellStyle name="Heading 1 2 2 3 3 4 9" xfId="12966"/>
    <cellStyle name="Heading 1 2 2 3 3 5" xfId="12967"/>
    <cellStyle name="Heading 1 2 2 3 3 5 2" xfId="12968"/>
    <cellStyle name="Heading 1 2 2 3 3 5 2 2" xfId="12969"/>
    <cellStyle name="Heading 1 2 2 3 3 5 2 2 2" xfId="12970"/>
    <cellStyle name="Heading 1 2 2 3 3 5 2 3" xfId="12971"/>
    <cellStyle name="Heading 1 2 2 3 3 5 3" xfId="12972"/>
    <cellStyle name="Heading 1 2 2 3 3 5 3 2" xfId="12973"/>
    <cellStyle name="Heading 1 2 2 3 3 5 3 2 2" xfId="12974"/>
    <cellStyle name="Heading 1 2 2 3 3 5 3 3" xfId="12975"/>
    <cellStyle name="Heading 1 2 2 3 3 5 4" xfId="12976"/>
    <cellStyle name="Heading 1 2 2 3 3 5 4 2" xfId="12977"/>
    <cellStyle name="Heading 1 2 2 3 3 5 4 2 2" xfId="12978"/>
    <cellStyle name="Heading 1 2 2 3 3 5 4 3" xfId="12979"/>
    <cellStyle name="Heading 1 2 2 3 3 5 5" xfId="12980"/>
    <cellStyle name="Heading 1 2 2 3 3 5 5 2" xfId="12981"/>
    <cellStyle name="Heading 1 2 2 3 3 5 5 2 2" xfId="12982"/>
    <cellStyle name="Heading 1 2 2 3 3 5 5 3" xfId="12983"/>
    <cellStyle name="Heading 1 2 2 3 3 5 6" xfId="12984"/>
    <cellStyle name="Heading 1 2 2 3 3 5 6 2" xfId="12985"/>
    <cellStyle name="Heading 1 2 2 3 3 5 6 2 2" xfId="12986"/>
    <cellStyle name="Heading 1 2 2 3 3 5 6 3" xfId="12987"/>
    <cellStyle name="Heading 1 2 2 3 3 5 7" xfId="12988"/>
    <cellStyle name="Heading 1 2 2 3 3 5 7 2" xfId="12989"/>
    <cellStyle name="Heading 1 2 2 3 3 5 7 2 2" xfId="12990"/>
    <cellStyle name="Heading 1 2 2 3 3 5 7 3" xfId="12991"/>
    <cellStyle name="Heading 1 2 2 3 3 5 8" xfId="12992"/>
    <cellStyle name="Heading 1 2 2 3 3 5 8 2" xfId="12993"/>
    <cellStyle name="Heading 1 2 2 3 3 5 9" xfId="12994"/>
    <cellStyle name="Heading 1 2 2 3 3 6" xfId="12995"/>
    <cellStyle name="Heading 1 2 2 3 3 6 2" xfId="12996"/>
    <cellStyle name="Heading 1 2 2 3 3 6 2 2" xfId="12997"/>
    <cellStyle name="Heading 1 2 2 3 3 6 2 2 2" xfId="12998"/>
    <cellStyle name="Heading 1 2 2 3 3 6 2 3" xfId="12999"/>
    <cellStyle name="Heading 1 2 2 3 3 6 3" xfId="13000"/>
    <cellStyle name="Heading 1 2 2 3 3 6 3 2" xfId="13001"/>
    <cellStyle name="Heading 1 2 2 3 3 6 3 2 2" xfId="13002"/>
    <cellStyle name="Heading 1 2 2 3 3 6 3 3" xfId="13003"/>
    <cellStyle name="Heading 1 2 2 3 3 6 4" xfId="13004"/>
    <cellStyle name="Heading 1 2 2 3 3 6 4 2" xfId="13005"/>
    <cellStyle name="Heading 1 2 2 3 3 6 4 2 2" xfId="13006"/>
    <cellStyle name="Heading 1 2 2 3 3 6 4 3" xfId="13007"/>
    <cellStyle name="Heading 1 2 2 3 3 6 5" xfId="13008"/>
    <cellStyle name="Heading 1 2 2 3 3 6 5 2" xfId="13009"/>
    <cellStyle name="Heading 1 2 2 3 3 6 5 2 2" xfId="13010"/>
    <cellStyle name="Heading 1 2 2 3 3 6 5 3" xfId="13011"/>
    <cellStyle name="Heading 1 2 2 3 3 6 6" xfId="13012"/>
    <cellStyle name="Heading 1 2 2 3 3 6 6 2" xfId="13013"/>
    <cellStyle name="Heading 1 2 2 3 3 6 6 2 2" xfId="13014"/>
    <cellStyle name="Heading 1 2 2 3 3 6 6 3" xfId="13015"/>
    <cellStyle name="Heading 1 2 2 3 3 6 7" xfId="13016"/>
    <cellStyle name="Heading 1 2 2 3 3 6 7 2" xfId="13017"/>
    <cellStyle name="Heading 1 2 2 3 3 6 7 2 2" xfId="13018"/>
    <cellStyle name="Heading 1 2 2 3 3 6 7 3" xfId="13019"/>
    <cellStyle name="Heading 1 2 2 3 3 6 8" xfId="13020"/>
    <cellStyle name="Heading 1 2 2 3 3 6 8 2" xfId="13021"/>
    <cellStyle name="Heading 1 2 2 3 3 6 9" xfId="13022"/>
    <cellStyle name="Heading 1 2 2 3 3 7" xfId="13023"/>
    <cellStyle name="Heading 1 2 2 3 3 7 2" xfId="13024"/>
    <cellStyle name="Heading 1 2 2 3 3 7 2 2" xfId="13025"/>
    <cellStyle name="Heading 1 2 2 3 3 7 2 2 2" xfId="13026"/>
    <cellStyle name="Heading 1 2 2 3 3 7 2 3" xfId="13027"/>
    <cellStyle name="Heading 1 2 2 3 3 7 3" xfId="13028"/>
    <cellStyle name="Heading 1 2 2 3 3 7 3 2" xfId="13029"/>
    <cellStyle name="Heading 1 2 2 3 3 7 3 2 2" xfId="13030"/>
    <cellStyle name="Heading 1 2 2 3 3 7 3 3" xfId="13031"/>
    <cellStyle name="Heading 1 2 2 3 3 7 4" xfId="13032"/>
    <cellStyle name="Heading 1 2 2 3 3 7 4 2" xfId="13033"/>
    <cellStyle name="Heading 1 2 2 3 3 7 4 2 2" xfId="13034"/>
    <cellStyle name="Heading 1 2 2 3 3 7 4 3" xfId="13035"/>
    <cellStyle name="Heading 1 2 2 3 3 7 5" xfId="13036"/>
    <cellStyle name="Heading 1 2 2 3 3 7 5 2" xfId="13037"/>
    <cellStyle name="Heading 1 2 2 3 3 7 5 2 2" xfId="13038"/>
    <cellStyle name="Heading 1 2 2 3 3 7 5 3" xfId="13039"/>
    <cellStyle name="Heading 1 2 2 3 3 7 6" xfId="13040"/>
    <cellStyle name="Heading 1 2 2 3 3 7 6 2" xfId="13041"/>
    <cellStyle name="Heading 1 2 2 3 3 7 6 2 2" xfId="13042"/>
    <cellStyle name="Heading 1 2 2 3 3 7 6 3" xfId="13043"/>
    <cellStyle name="Heading 1 2 2 3 3 7 7" xfId="13044"/>
    <cellStyle name="Heading 1 2 2 3 3 7 7 2" xfId="13045"/>
    <cellStyle name="Heading 1 2 2 3 3 7 7 2 2" xfId="13046"/>
    <cellStyle name="Heading 1 2 2 3 3 7 7 3" xfId="13047"/>
    <cellStyle name="Heading 1 2 2 3 3 7 8" xfId="13048"/>
    <cellStyle name="Heading 1 2 2 3 3 7 8 2" xfId="13049"/>
    <cellStyle name="Heading 1 2 2 3 3 7 9" xfId="13050"/>
    <cellStyle name="Heading 1 2 2 3 3 8" xfId="13051"/>
    <cellStyle name="Heading 1 2 2 3 3 8 2" xfId="13052"/>
    <cellStyle name="Heading 1 2 2 3 3 8 2 2" xfId="13053"/>
    <cellStyle name="Heading 1 2 2 3 3 8 2 2 2" xfId="13054"/>
    <cellStyle name="Heading 1 2 2 3 3 8 2 3" xfId="13055"/>
    <cellStyle name="Heading 1 2 2 3 3 8 3" xfId="13056"/>
    <cellStyle name="Heading 1 2 2 3 3 8 3 2" xfId="13057"/>
    <cellStyle name="Heading 1 2 2 3 3 8 3 2 2" xfId="13058"/>
    <cellStyle name="Heading 1 2 2 3 3 8 3 3" xfId="13059"/>
    <cellStyle name="Heading 1 2 2 3 3 8 4" xfId="13060"/>
    <cellStyle name="Heading 1 2 2 3 3 8 4 2" xfId="13061"/>
    <cellStyle name="Heading 1 2 2 3 3 8 4 2 2" xfId="13062"/>
    <cellStyle name="Heading 1 2 2 3 3 8 4 3" xfId="13063"/>
    <cellStyle name="Heading 1 2 2 3 3 8 5" xfId="13064"/>
    <cellStyle name="Heading 1 2 2 3 3 8 5 2" xfId="13065"/>
    <cellStyle name="Heading 1 2 2 3 3 8 5 2 2" xfId="13066"/>
    <cellStyle name="Heading 1 2 2 3 3 8 5 3" xfId="13067"/>
    <cellStyle name="Heading 1 2 2 3 3 8 6" xfId="13068"/>
    <cellStyle name="Heading 1 2 2 3 3 8 6 2" xfId="13069"/>
    <cellStyle name="Heading 1 2 2 3 3 8 6 2 2" xfId="13070"/>
    <cellStyle name="Heading 1 2 2 3 3 8 6 3" xfId="13071"/>
    <cellStyle name="Heading 1 2 2 3 3 8 7" xfId="13072"/>
    <cellStyle name="Heading 1 2 2 3 3 8 7 2" xfId="13073"/>
    <cellStyle name="Heading 1 2 2 3 3 8 7 2 2" xfId="13074"/>
    <cellStyle name="Heading 1 2 2 3 3 8 7 3" xfId="13075"/>
    <cellStyle name="Heading 1 2 2 3 3 8 8" xfId="13076"/>
    <cellStyle name="Heading 1 2 2 3 3 8 8 2" xfId="13077"/>
    <cellStyle name="Heading 1 2 2 3 3 8 9" xfId="13078"/>
    <cellStyle name="Heading 1 2 2 3 3 9" xfId="13079"/>
    <cellStyle name="Heading 1 2 2 3 3 9 2" xfId="13080"/>
    <cellStyle name="Heading 1 2 2 3 3 9 2 2" xfId="13081"/>
    <cellStyle name="Heading 1 2 2 3 3 9 3" xfId="13082"/>
    <cellStyle name="Heading 1 2 2 3 4" xfId="13083"/>
    <cellStyle name="Heading 1 2 2 3 4 2" xfId="13084"/>
    <cellStyle name="Heading 1 2 2 3 4 2 2" xfId="13085"/>
    <cellStyle name="Heading 1 2 2 3 4 3" xfId="13086"/>
    <cellStyle name="Heading 1 2 2 3 5" xfId="13087"/>
    <cellStyle name="Heading 1 2 2 3 5 2" xfId="13088"/>
    <cellStyle name="Heading 1 2 2 3 6" xfId="13089"/>
    <cellStyle name="Heading 1 2 2 4" xfId="13090"/>
    <cellStyle name="Heading 1 2 2 4 2" xfId="13091"/>
    <cellStyle name="Heading 1 2 2 4 2 10" xfId="13092"/>
    <cellStyle name="Heading 1 2 2 4 2 10 2" xfId="13093"/>
    <cellStyle name="Heading 1 2 2 4 2 10 2 2" xfId="13094"/>
    <cellStyle name="Heading 1 2 2 4 2 10 3" xfId="13095"/>
    <cellStyle name="Heading 1 2 2 4 2 11" xfId="13096"/>
    <cellStyle name="Heading 1 2 2 4 2 11 2" xfId="13097"/>
    <cellStyle name="Heading 1 2 2 4 2 11 2 2" xfId="13098"/>
    <cellStyle name="Heading 1 2 2 4 2 11 3" xfId="13099"/>
    <cellStyle name="Heading 1 2 2 4 2 12" xfId="13100"/>
    <cellStyle name="Heading 1 2 2 4 2 12 2" xfId="13101"/>
    <cellStyle name="Heading 1 2 2 4 2 12 2 2" xfId="13102"/>
    <cellStyle name="Heading 1 2 2 4 2 12 3" xfId="13103"/>
    <cellStyle name="Heading 1 2 2 4 2 13" xfId="13104"/>
    <cellStyle name="Heading 1 2 2 4 2 13 2" xfId="13105"/>
    <cellStyle name="Heading 1 2 2 4 2 13 2 2" xfId="13106"/>
    <cellStyle name="Heading 1 2 2 4 2 13 3" xfId="13107"/>
    <cellStyle name="Heading 1 2 2 4 2 14" xfId="13108"/>
    <cellStyle name="Heading 1 2 2 4 2 14 2" xfId="13109"/>
    <cellStyle name="Heading 1 2 2 4 2 14 2 2" xfId="13110"/>
    <cellStyle name="Heading 1 2 2 4 2 14 3" xfId="13111"/>
    <cellStyle name="Heading 1 2 2 4 2 15" xfId="13112"/>
    <cellStyle name="Heading 1 2 2 4 2 15 2" xfId="13113"/>
    <cellStyle name="Heading 1 2 2 4 2 15 2 2" xfId="13114"/>
    <cellStyle name="Heading 1 2 2 4 2 15 3" xfId="13115"/>
    <cellStyle name="Heading 1 2 2 4 2 16" xfId="13116"/>
    <cellStyle name="Heading 1 2 2 4 2 16 2" xfId="13117"/>
    <cellStyle name="Heading 1 2 2 4 2 16 2 2" xfId="13118"/>
    <cellStyle name="Heading 1 2 2 4 2 16 3" xfId="13119"/>
    <cellStyle name="Heading 1 2 2 4 2 17" xfId="13120"/>
    <cellStyle name="Heading 1 2 2 4 2 17 2" xfId="13121"/>
    <cellStyle name="Heading 1 2 2 4 2 17 2 2" xfId="13122"/>
    <cellStyle name="Heading 1 2 2 4 2 17 3" xfId="13123"/>
    <cellStyle name="Heading 1 2 2 4 2 18" xfId="13124"/>
    <cellStyle name="Heading 1 2 2 4 2 18 2" xfId="13125"/>
    <cellStyle name="Heading 1 2 2 4 2 18 2 2" xfId="13126"/>
    <cellStyle name="Heading 1 2 2 4 2 18 3" xfId="13127"/>
    <cellStyle name="Heading 1 2 2 4 2 19" xfId="13128"/>
    <cellStyle name="Heading 1 2 2 4 2 19 2" xfId="13129"/>
    <cellStyle name="Heading 1 2 2 4 2 19 2 2" xfId="13130"/>
    <cellStyle name="Heading 1 2 2 4 2 19 3" xfId="13131"/>
    <cellStyle name="Heading 1 2 2 4 2 2" xfId="13132"/>
    <cellStyle name="Heading 1 2 2 4 2 2 10" xfId="13133"/>
    <cellStyle name="Heading 1 2 2 4 2 2 10 2" xfId="13134"/>
    <cellStyle name="Heading 1 2 2 4 2 2 10 2 2" xfId="13135"/>
    <cellStyle name="Heading 1 2 2 4 2 2 10 3" xfId="13136"/>
    <cellStyle name="Heading 1 2 2 4 2 2 11" xfId="13137"/>
    <cellStyle name="Heading 1 2 2 4 2 2 11 2" xfId="13138"/>
    <cellStyle name="Heading 1 2 2 4 2 2 11 2 2" xfId="13139"/>
    <cellStyle name="Heading 1 2 2 4 2 2 11 3" xfId="13140"/>
    <cellStyle name="Heading 1 2 2 4 2 2 12" xfId="13141"/>
    <cellStyle name="Heading 1 2 2 4 2 2 12 2" xfId="13142"/>
    <cellStyle name="Heading 1 2 2 4 2 2 12 2 2" xfId="13143"/>
    <cellStyle name="Heading 1 2 2 4 2 2 12 3" xfId="13144"/>
    <cellStyle name="Heading 1 2 2 4 2 2 13" xfId="13145"/>
    <cellStyle name="Heading 1 2 2 4 2 2 13 2" xfId="13146"/>
    <cellStyle name="Heading 1 2 2 4 2 2 13 2 2" xfId="13147"/>
    <cellStyle name="Heading 1 2 2 4 2 2 13 3" xfId="13148"/>
    <cellStyle name="Heading 1 2 2 4 2 2 14" xfId="13149"/>
    <cellStyle name="Heading 1 2 2 4 2 2 14 2" xfId="13150"/>
    <cellStyle name="Heading 1 2 2 4 2 2 14 2 2" xfId="13151"/>
    <cellStyle name="Heading 1 2 2 4 2 2 14 3" xfId="13152"/>
    <cellStyle name="Heading 1 2 2 4 2 2 15" xfId="13153"/>
    <cellStyle name="Heading 1 2 2 4 2 2 15 2" xfId="13154"/>
    <cellStyle name="Heading 1 2 2 4 2 2 15 2 2" xfId="13155"/>
    <cellStyle name="Heading 1 2 2 4 2 2 15 3" xfId="13156"/>
    <cellStyle name="Heading 1 2 2 4 2 2 16" xfId="13157"/>
    <cellStyle name="Heading 1 2 2 4 2 2 16 2" xfId="13158"/>
    <cellStyle name="Heading 1 2 2 4 2 2 16 2 2" xfId="13159"/>
    <cellStyle name="Heading 1 2 2 4 2 2 16 3" xfId="13160"/>
    <cellStyle name="Heading 1 2 2 4 2 2 17" xfId="13161"/>
    <cellStyle name="Heading 1 2 2 4 2 2 17 2" xfId="13162"/>
    <cellStyle name="Heading 1 2 2 4 2 2 17 2 2" xfId="13163"/>
    <cellStyle name="Heading 1 2 2 4 2 2 17 3" xfId="13164"/>
    <cellStyle name="Heading 1 2 2 4 2 2 18" xfId="13165"/>
    <cellStyle name="Heading 1 2 2 4 2 2 18 2" xfId="13166"/>
    <cellStyle name="Heading 1 2 2 4 2 2 18 2 2" xfId="13167"/>
    <cellStyle name="Heading 1 2 2 4 2 2 18 3" xfId="13168"/>
    <cellStyle name="Heading 1 2 2 4 2 2 19" xfId="13169"/>
    <cellStyle name="Heading 1 2 2 4 2 2 19 2" xfId="13170"/>
    <cellStyle name="Heading 1 2 2 4 2 2 2" xfId="13171"/>
    <cellStyle name="Heading 1 2 2 4 2 2 2 2" xfId="13172"/>
    <cellStyle name="Heading 1 2 2 4 2 2 2 2 2" xfId="13173"/>
    <cellStyle name="Heading 1 2 2 4 2 2 2 2 2 2" xfId="13174"/>
    <cellStyle name="Heading 1 2 2 4 2 2 2 2 3" xfId="13175"/>
    <cellStyle name="Heading 1 2 2 4 2 2 2 3" xfId="13176"/>
    <cellStyle name="Heading 1 2 2 4 2 2 2 3 2" xfId="13177"/>
    <cellStyle name="Heading 1 2 2 4 2 2 2 3 2 2" xfId="13178"/>
    <cellStyle name="Heading 1 2 2 4 2 2 2 3 3" xfId="13179"/>
    <cellStyle name="Heading 1 2 2 4 2 2 2 4" xfId="13180"/>
    <cellStyle name="Heading 1 2 2 4 2 2 2 4 2" xfId="13181"/>
    <cellStyle name="Heading 1 2 2 4 2 2 2 4 2 2" xfId="13182"/>
    <cellStyle name="Heading 1 2 2 4 2 2 2 4 3" xfId="13183"/>
    <cellStyle name="Heading 1 2 2 4 2 2 2 5" xfId="13184"/>
    <cellStyle name="Heading 1 2 2 4 2 2 2 5 2" xfId="13185"/>
    <cellStyle name="Heading 1 2 2 4 2 2 2 5 2 2" xfId="13186"/>
    <cellStyle name="Heading 1 2 2 4 2 2 2 5 3" xfId="13187"/>
    <cellStyle name="Heading 1 2 2 4 2 2 2 6" xfId="13188"/>
    <cellStyle name="Heading 1 2 2 4 2 2 2 6 2" xfId="13189"/>
    <cellStyle name="Heading 1 2 2 4 2 2 2 6 2 2" xfId="13190"/>
    <cellStyle name="Heading 1 2 2 4 2 2 2 6 3" xfId="13191"/>
    <cellStyle name="Heading 1 2 2 4 2 2 2 7" xfId="13192"/>
    <cellStyle name="Heading 1 2 2 4 2 2 2 7 2" xfId="13193"/>
    <cellStyle name="Heading 1 2 2 4 2 2 2 7 2 2" xfId="13194"/>
    <cellStyle name="Heading 1 2 2 4 2 2 2 7 3" xfId="13195"/>
    <cellStyle name="Heading 1 2 2 4 2 2 2 8" xfId="13196"/>
    <cellStyle name="Heading 1 2 2 4 2 2 2 8 2" xfId="13197"/>
    <cellStyle name="Heading 1 2 2 4 2 2 2 9" xfId="13198"/>
    <cellStyle name="Heading 1 2 2 4 2 2 20" xfId="13199"/>
    <cellStyle name="Heading 1 2 2 4 2 2 20 2" xfId="13200"/>
    <cellStyle name="Heading 1 2 2 4 2 2 21" xfId="13201"/>
    <cellStyle name="Heading 1 2 2 4 2 2 21 2" xfId="13202"/>
    <cellStyle name="Heading 1 2 2 4 2 2 22" xfId="13203"/>
    <cellStyle name="Heading 1 2 2 4 2 2 3" xfId="13204"/>
    <cellStyle name="Heading 1 2 2 4 2 2 3 2" xfId="13205"/>
    <cellStyle name="Heading 1 2 2 4 2 2 3 2 2" xfId="13206"/>
    <cellStyle name="Heading 1 2 2 4 2 2 3 2 2 2" xfId="13207"/>
    <cellStyle name="Heading 1 2 2 4 2 2 3 2 3" xfId="13208"/>
    <cellStyle name="Heading 1 2 2 4 2 2 3 3" xfId="13209"/>
    <cellStyle name="Heading 1 2 2 4 2 2 3 3 2" xfId="13210"/>
    <cellStyle name="Heading 1 2 2 4 2 2 3 3 2 2" xfId="13211"/>
    <cellStyle name="Heading 1 2 2 4 2 2 3 3 3" xfId="13212"/>
    <cellStyle name="Heading 1 2 2 4 2 2 3 4" xfId="13213"/>
    <cellStyle name="Heading 1 2 2 4 2 2 3 4 2" xfId="13214"/>
    <cellStyle name="Heading 1 2 2 4 2 2 3 4 2 2" xfId="13215"/>
    <cellStyle name="Heading 1 2 2 4 2 2 3 4 3" xfId="13216"/>
    <cellStyle name="Heading 1 2 2 4 2 2 3 5" xfId="13217"/>
    <cellStyle name="Heading 1 2 2 4 2 2 3 5 2" xfId="13218"/>
    <cellStyle name="Heading 1 2 2 4 2 2 3 5 2 2" xfId="13219"/>
    <cellStyle name="Heading 1 2 2 4 2 2 3 5 3" xfId="13220"/>
    <cellStyle name="Heading 1 2 2 4 2 2 3 6" xfId="13221"/>
    <cellStyle name="Heading 1 2 2 4 2 2 3 6 2" xfId="13222"/>
    <cellStyle name="Heading 1 2 2 4 2 2 3 6 2 2" xfId="13223"/>
    <cellStyle name="Heading 1 2 2 4 2 2 3 6 3" xfId="13224"/>
    <cellStyle name="Heading 1 2 2 4 2 2 3 7" xfId="13225"/>
    <cellStyle name="Heading 1 2 2 4 2 2 3 7 2" xfId="13226"/>
    <cellStyle name="Heading 1 2 2 4 2 2 3 7 2 2" xfId="13227"/>
    <cellStyle name="Heading 1 2 2 4 2 2 3 7 3" xfId="13228"/>
    <cellStyle name="Heading 1 2 2 4 2 2 3 8" xfId="13229"/>
    <cellStyle name="Heading 1 2 2 4 2 2 3 8 2" xfId="13230"/>
    <cellStyle name="Heading 1 2 2 4 2 2 3 9" xfId="13231"/>
    <cellStyle name="Heading 1 2 2 4 2 2 4" xfId="13232"/>
    <cellStyle name="Heading 1 2 2 4 2 2 4 2" xfId="13233"/>
    <cellStyle name="Heading 1 2 2 4 2 2 4 2 2" xfId="13234"/>
    <cellStyle name="Heading 1 2 2 4 2 2 4 2 2 2" xfId="13235"/>
    <cellStyle name="Heading 1 2 2 4 2 2 4 2 3" xfId="13236"/>
    <cellStyle name="Heading 1 2 2 4 2 2 4 3" xfId="13237"/>
    <cellStyle name="Heading 1 2 2 4 2 2 4 3 2" xfId="13238"/>
    <cellStyle name="Heading 1 2 2 4 2 2 4 3 2 2" xfId="13239"/>
    <cellStyle name="Heading 1 2 2 4 2 2 4 3 3" xfId="13240"/>
    <cellStyle name="Heading 1 2 2 4 2 2 4 4" xfId="13241"/>
    <cellStyle name="Heading 1 2 2 4 2 2 4 4 2" xfId="13242"/>
    <cellStyle name="Heading 1 2 2 4 2 2 4 4 2 2" xfId="13243"/>
    <cellStyle name="Heading 1 2 2 4 2 2 4 4 3" xfId="13244"/>
    <cellStyle name="Heading 1 2 2 4 2 2 4 5" xfId="13245"/>
    <cellStyle name="Heading 1 2 2 4 2 2 4 5 2" xfId="13246"/>
    <cellStyle name="Heading 1 2 2 4 2 2 4 5 2 2" xfId="13247"/>
    <cellStyle name="Heading 1 2 2 4 2 2 4 5 3" xfId="13248"/>
    <cellStyle name="Heading 1 2 2 4 2 2 4 6" xfId="13249"/>
    <cellStyle name="Heading 1 2 2 4 2 2 4 6 2" xfId="13250"/>
    <cellStyle name="Heading 1 2 2 4 2 2 4 6 2 2" xfId="13251"/>
    <cellStyle name="Heading 1 2 2 4 2 2 4 6 3" xfId="13252"/>
    <cellStyle name="Heading 1 2 2 4 2 2 4 7" xfId="13253"/>
    <cellStyle name="Heading 1 2 2 4 2 2 4 7 2" xfId="13254"/>
    <cellStyle name="Heading 1 2 2 4 2 2 4 7 2 2" xfId="13255"/>
    <cellStyle name="Heading 1 2 2 4 2 2 4 7 3" xfId="13256"/>
    <cellStyle name="Heading 1 2 2 4 2 2 4 8" xfId="13257"/>
    <cellStyle name="Heading 1 2 2 4 2 2 4 8 2" xfId="13258"/>
    <cellStyle name="Heading 1 2 2 4 2 2 4 9" xfId="13259"/>
    <cellStyle name="Heading 1 2 2 4 2 2 5" xfId="13260"/>
    <cellStyle name="Heading 1 2 2 4 2 2 5 2" xfId="13261"/>
    <cellStyle name="Heading 1 2 2 4 2 2 5 2 2" xfId="13262"/>
    <cellStyle name="Heading 1 2 2 4 2 2 5 2 2 2" xfId="13263"/>
    <cellStyle name="Heading 1 2 2 4 2 2 5 2 3" xfId="13264"/>
    <cellStyle name="Heading 1 2 2 4 2 2 5 3" xfId="13265"/>
    <cellStyle name="Heading 1 2 2 4 2 2 5 3 2" xfId="13266"/>
    <cellStyle name="Heading 1 2 2 4 2 2 5 3 2 2" xfId="13267"/>
    <cellStyle name="Heading 1 2 2 4 2 2 5 3 3" xfId="13268"/>
    <cellStyle name="Heading 1 2 2 4 2 2 5 4" xfId="13269"/>
    <cellStyle name="Heading 1 2 2 4 2 2 5 4 2" xfId="13270"/>
    <cellStyle name="Heading 1 2 2 4 2 2 5 4 2 2" xfId="13271"/>
    <cellStyle name="Heading 1 2 2 4 2 2 5 4 3" xfId="13272"/>
    <cellStyle name="Heading 1 2 2 4 2 2 5 5" xfId="13273"/>
    <cellStyle name="Heading 1 2 2 4 2 2 5 5 2" xfId="13274"/>
    <cellStyle name="Heading 1 2 2 4 2 2 5 5 2 2" xfId="13275"/>
    <cellStyle name="Heading 1 2 2 4 2 2 5 5 3" xfId="13276"/>
    <cellStyle name="Heading 1 2 2 4 2 2 5 6" xfId="13277"/>
    <cellStyle name="Heading 1 2 2 4 2 2 5 6 2" xfId="13278"/>
    <cellStyle name="Heading 1 2 2 4 2 2 5 6 2 2" xfId="13279"/>
    <cellStyle name="Heading 1 2 2 4 2 2 5 6 3" xfId="13280"/>
    <cellStyle name="Heading 1 2 2 4 2 2 5 7" xfId="13281"/>
    <cellStyle name="Heading 1 2 2 4 2 2 5 7 2" xfId="13282"/>
    <cellStyle name="Heading 1 2 2 4 2 2 5 7 2 2" xfId="13283"/>
    <cellStyle name="Heading 1 2 2 4 2 2 5 7 3" xfId="13284"/>
    <cellStyle name="Heading 1 2 2 4 2 2 5 8" xfId="13285"/>
    <cellStyle name="Heading 1 2 2 4 2 2 5 8 2" xfId="13286"/>
    <cellStyle name="Heading 1 2 2 4 2 2 5 9" xfId="13287"/>
    <cellStyle name="Heading 1 2 2 4 2 2 6" xfId="13288"/>
    <cellStyle name="Heading 1 2 2 4 2 2 6 2" xfId="13289"/>
    <cellStyle name="Heading 1 2 2 4 2 2 6 2 2" xfId="13290"/>
    <cellStyle name="Heading 1 2 2 4 2 2 6 2 2 2" xfId="13291"/>
    <cellStyle name="Heading 1 2 2 4 2 2 6 2 3" xfId="13292"/>
    <cellStyle name="Heading 1 2 2 4 2 2 6 3" xfId="13293"/>
    <cellStyle name="Heading 1 2 2 4 2 2 6 3 2" xfId="13294"/>
    <cellStyle name="Heading 1 2 2 4 2 2 6 3 2 2" xfId="13295"/>
    <cellStyle name="Heading 1 2 2 4 2 2 6 3 3" xfId="13296"/>
    <cellStyle name="Heading 1 2 2 4 2 2 6 4" xfId="13297"/>
    <cellStyle name="Heading 1 2 2 4 2 2 6 4 2" xfId="13298"/>
    <cellStyle name="Heading 1 2 2 4 2 2 6 4 2 2" xfId="13299"/>
    <cellStyle name="Heading 1 2 2 4 2 2 6 4 3" xfId="13300"/>
    <cellStyle name="Heading 1 2 2 4 2 2 6 5" xfId="13301"/>
    <cellStyle name="Heading 1 2 2 4 2 2 6 5 2" xfId="13302"/>
    <cellStyle name="Heading 1 2 2 4 2 2 6 5 2 2" xfId="13303"/>
    <cellStyle name="Heading 1 2 2 4 2 2 6 5 3" xfId="13304"/>
    <cellStyle name="Heading 1 2 2 4 2 2 6 6" xfId="13305"/>
    <cellStyle name="Heading 1 2 2 4 2 2 6 6 2" xfId="13306"/>
    <cellStyle name="Heading 1 2 2 4 2 2 6 6 2 2" xfId="13307"/>
    <cellStyle name="Heading 1 2 2 4 2 2 6 6 3" xfId="13308"/>
    <cellStyle name="Heading 1 2 2 4 2 2 6 7" xfId="13309"/>
    <cellStyle name="Heading 1 2 2 4 2 2 6 7 2" xfId="13310"/>
    <cellStyle name="Heading 1 2 2 4 2 2 6 7 2 2" xfId="13311"/>
    <cellStyle name="Heading 1 2 2 4 2 2 6 7 3" xfId="13312"/>
    <cellStyle name="Heading 1 2 2 4 2 2 6 8" xfId="13313"/>
    <cellStyle name="Heading 1 2 2 4 2 2 6 8 2" xfId="13314"/>
    <cellStyle name="Heading 1 2 2 4 2 2 6 9" xfId="13315"/>
    <cellStyle name="Heading 1 2 2 4 2 2 7" xfId="13316"/>
    <cellStyle name="Heading 1 2 2 4 2 2 7 2" xfId="13317"/>
    <cellStyle name="Heading 1 2 2 4 2 2 7 2 2" xfId="13318"/>
    <cellStyle name="Heading 1 2 2 4 2 2 7 2 2 2" xfId="13319"/>
    <cellStyle name="Heading 1 2 2 4 2 2 7 2 3" xfId="13320"/>
    <cellStyle name="Heading 1 2 2 4 2 2 7 3" xfId="13321"/>
    <cellStyle name="Heading 1 2 2 4 2 2 7 3 2" xfId="13322"/>
    <cellStyle name="Heading 1 2 2 4 2 2 7 3 2 2" xfId="13323"/>
    <cellStyle name="Heading 1 2 2 4 2 2 7 3 3" xfId="13324"/>
    <cellStyle name="Heading 1 2 2 4 2 2 7 4" xfId="13325"/>
    <cellStyle name="Heading 1 2 2 4 2 2 7 4 2" xfId="13326"/>
    <cellStyle name="Heading 1 2 2 4 2 2 7 4 2 2" xfId="13327"/>
    <cellStyle name="Heading 1 2 2 4 2 2 7 4 3" xfId="13328"/>
    <cellStyle name="Heading 1 2 2 4 2 2 7 5" xfId="13329"/>
    <cellStyle name="Heading 1 2 2 4 2 2 7 5 2" xfId="13330"/>
    <cellStyle name="Heading 1 2 2 4 2 2 7 5 2 2" xfId="13331"/>
    <cellStyle name="Heading 1 2 2 4 2 2 7 5 3" xfId="13332"/>
    <cellStyle name="Heading 1 2 2 4 2 2 7 6" xfId="13333"/>
    <cellStyle name="Heading 1 2 2 4 2 2 7 6 2" xfId="13334"/>
    <cellStyle name="Heading 1 2 2 4 2 2 7 6 2 2" xfId="13335"/>
    <cellStyle name="Heading 1 2 2 4 2 2 7 6 3" xfId="13336"/>
    <cellStyle name="Heading 1 2 2 4 2 2 7 7" xfId="13337"/>
    <cellStyle name="Heading 1 2 2 4 2 2 7 7 2" xfId="13338"/>
    <cellStyle name="Heading 1 2 2 4 2 2 7 7 2 2" xfId="13339"/>
    <cellStyle name="Heading 1 2 2 4 2 2 7 7 3" xfId="13340"/>
    <cellStyle name="Heading 1 2 2 4 2 2 7 8" xfId="13341"/>
    <cellStyle name="Heading 1 2 2 4 2 2 7 8 2" xfId="13342"/>
    <cellStyle name="Heading 1 2 2 4 2 2 7 9" xfId="13343"/>
    <cellStyle name="Heading 1 2 2 4 2 2 8" xfId="13344"/>
    <cellStyle name="Heading 1 2 2 4 2 2 8 2" xfId="13345"/>
    <cellStyle name="Heading 1 2 2 4 2 2 8 2 2" xfId="13346"/>
    <cellStyle name="Heading 1 2 2 4 2 2 8 2 2 2" xfId="13347"/>
    <cellStyle name="Heading 1 2 2 4 2 2 8 2 3" xfId="13348"/>
    <cellStyle name="Heading 1 2 2 4 2 2 8 3" xfId="13349"/>
    <cellStyle name="Heading 1 2 2 4 2 2 8 3 2" xfId="13350"/>
    <cellStyle name="Heading 1 2 2 4 2 2 8 3 2 2" xfId="13351"/>
    <cellStyle name="Heading 1 2 2 4 2 2 8 3 3" xfId="13352"/>
    <cellStyle name="Heading 1 2 2 4 2 2 8 4" xfId="13353"/>
    <cellStyle name="Heading 1 2 2 4 2 2 8 4 2" xfId="13354"/>
    <cellStyle name="Heading 1 2 2 4 2 2 8 4 2 2" xfId="13355"/>
    <cellStyle name="Heading 1 2 2 4 2 2 8 4 3" xfId="13356"/>
    <cellStyle name="Heading 1 2 2 4 2 2 8 5" xfId="13357"/>
    <cellStyle name="Heading 1 2 2 4 2 2 8 5 2" xfId="13358"/>
    <cellStyle name="Heading 1 2 2 4 2 2 8 5 2 2" xfId="13359"/>
    <cellStyle name="Heading 1 2 2 4 2 2 8 5 3" xfId="13360"/>
    <cellStyle name="Heading 1 2 2 4 2 2 8 6" xfId="13361"/>
    <cellStyle name="Heading 1 2 2 4 2 2 8 6 2" xfId="13362"/>
    <cellStyle name="Heading 1 2 2 4 2 2 8 6 2 2" xfId="13363"/>
    <cellStyle name="Heading 1 2 2 4 2 2 8 6 3" xfId="13364"/>
    <cellStyle name="Heading 1 2 2 4 2 2 8 7" xfId="13365"/>
    <cellStyle name="Heading 1 2 2 4 2 2 8 7 2" xfId="13366"/>
    <cellStyle name="Heading 1 2 2 4 2 2 8 7 2 2" xfId="13367"/>
    <cellStyle name="Heading 1 2 2 4 2 2 8 7 3" xfId="13368"/>
    <cellStyle name="Heading 1 2 2 4 2 2 8 8" xfId="13369"/>
    <cellStyle name="Heading 1 2 2 4 2 2 8 8 2" xfId="13370"/>
    <cellStyle name="Heading 1 2 2 4 2 2 8 9" xfId="13371"/>
    <cellStyle name="Heading 1 2 2 4 2 2 9" xfId="13372"/>
    <cellStyle name="Heading 1 2 2 4 2 2 9 2" xfId="13373"/>
    <cellStyle name="Heading 1 2 2 4 2 2 9 2 2" xfId="13374"/>
    <cellStyle name="Heading 1 2 2 4 2 2 9 3" xfId="13375"/>
    <cellStyle name="Heading 1 2 2 4 2 20" xfId="13376"/>
    <cellStyle name="Heading 1 2 2 4 2 20 2" xfId="13377"/>
    <cellStyle name="Heading 1 2 2 4 2 21" xfId="13378"/>
    <cellStyle name="Heading 1 2 2 4 2 21 2" xfId="13379"/>
    <cellStyle name="Heading 1 2 2 4 2 22" xfId="13380"/>
    <cellStyle name="Heading 1 2 2 4 2 22 2" xfId="13381"/>
    <cellStyle name="Heading 1 2 2 4 2 23" xfId="13382"/>
    <cellStyle name="Heading 1 2 2 4 2 3" xfId="13383"/>
    <cellStyle name="Heading 1 2 2 4 2 3 2" xfId="13384"/>
    <cellStyle name="Heading 1 2 2 4 2 3 2 2" xfId="13385"/>
    <cellStyle name="Heading 1 2 2 4 2 3 2 2 2" xfId="13386"/>
    <cellStyle name="Heading 1 2 2 4 2 3 2 3" xfId="13387"/>
    <cellStyle name="Heading 1 2 2 4 2 3 3" xfId="13388"/>
    <cellStyle name="Heading 1 2 2 4 2 3 3 2" xfId="13389"/>
    <cellStyle name="Heading 1 2 2 4 2 3 3 2 2" xfId="13390"/>
    <cellStyle name="Heading 1 2 2 4 2 3 3 3" xfId="13391"/>
    <cellStyle name="Heading 1 2 2 4 2 3 4" xfId="13392"/>
    <cellStyle name="Heading 1 2 2 4 2 3 4 2" xfId="13393"/>
    <cellStyle name="Heading 1 2 2 4 2 3 4 2 2" xfId="13394"/>
    <cellStyle name="Heading 1 2 2 4 2 3 4 3" xfId="13395"/>
    <cellStyle name="Heading 1 2 2 4 2 3 5" xfId="13396"/>
    <cellStyle name="Heading 1 2 2 4 2 3 5 2" xfId="13397"/>
    <cellStyle name="Heading 1 2 2 4 2 3 5 2 2" xfId="13398"/>
    <cellStyle name="Heading 1 2 2 4 2 3 5 3" xfId="13399"/>
    <cellStyle name="Heading 1 2 2 4 2 3 6" xfId="13400"/>
    <cellStyle name="Heading 1 2 2 4 2 3 6 2" xfId="13401"/>
    <cellStyle name="Heading 1 2 2 4 2 3 6 2 2" xfId="13402"/>
    <cellStyle name="Heading 1 2 2 4 2 3 6 3" xfId="13403"/>
    <cellStyle name="Heading 1 2 2 4 2 3 7" xfId="13404"/>
    <cellStyle name="Heading 1 2 2 4 2 3 7 2" xfId="13405"/>
    <cellStyle name="Heading 1 2 2 4 2 3 7 2 2" xfId="13406"/>
    <cellStyle name="Heading 1 2 2 4 2 3 7 3" xfId="13407"/>
    <cellStyle name="Heading 1 2 2 4 2 3 8" xfId="13408"/>
    <cellStyle name="Heading 1 2 2 4 2 3 8 2" xfId="13409"/>
    <cellStyle name="Heading 1 2 2 4 2 3 9" xfId="13410"/>
    <cellStyle name="Heading 1 2 2 4 2 4" xfId="13411"/>
    <cellStyle name="Heading 1 2 2 4 2 4 2" xfId="13412"/>
    <cellStyle name="Heading 1 2 2 4 2 4 2 2" xfId="13413"/>
    <cellStyle name="Heading 1 2 2 4 2 4 2 2 2" xfId="13414"/>
    <cellStyle name="Heading 1 2 2 4 2 4 2 3" xfId="13415"/>
    <cellStyle name="Heading 1 2 2 4 2 4 3" xfId="13416"/>
    <cellStyle name="Heading 1 2 2 4 2 4 3 2" xfId="13417"/>
    <cellStyle name="Heading 1 2 2 4 2 4 3 2 2" xfId="13418"/>
    <cellStyle name="Heading 1 2 2 4 2 4 3 3" xfId="13419"/>
    <cellStyle name="Heading 1 2 2 4 2 4 4" xfId="13420"/>
    <cellStyle name="Heading 1 2 2 4 2 4 4 2" xfId="13421"/>
    <cellStyle name="Heading 1 2 2 4 2 4 4 2 2" xfId="13422"/>
    <cellStyle name="Heading 1 2 2 4 2 4 4 3" xfId="13423"/>
    <cellStyle name="Heading 1 2 2 4 2 4 5" xfId="13424"/>
    <cellStyle name="Heading 1 2 2 4 2 4 5 2" xfId="13425"/>
    <cellStyle name="Heading 1 2 2 4 2 4 5 2 2" xfId="13426"/>
    <cellStyle name="Heading 1 2 2 4 2 4 5 3" xfId="13427"/>
    <cellStyle name="Heading 1 2 2 4 2 4 6" xfId="13428"/>
    <cellStyle name="Heading 1 2 2 4 2 4 6 2" xfId="13429"/>
    <cellStyle name="Heading 1 2 2 4 2 4 6 2 2" xfId="13430"/>
    <cellStyle name="Heading 1 2 2 4 2 4 6 3" xfId="13431"/>
    <cellStyle name="Heading 1 2 2 4 2 4 7" xfId="13432"/>
    <cellStyle name="Heading 1 2 2 4 2 4 7 2" xfId="13433"/>
    <cellStyle name="Heading 1 2 2 4 2 4 7 2 2" xfId="13434"/>
    <cellStyle name="Heading 1 2 2 4 2 4 7 3" xfId="13435"/>
    <cellStyle name="Heading 1 2 2 4 2 4 8" xfId="13436"/>
    <cellStyle name="Heading 1 2 2 4 2 4 8 2" xfId="13437"/>
    <cellStyle name="Heading 1 2 2 4 2 4 9" xfId="13438"/>
    <cellStyle name="Heading 1 2 2 4 2 5" xfId="13439"/>
    <cellStyle name="Heading 1 2 2 4 2 5 2" xfId="13440"/>
    <cellStyle name="Heading 1 2 2 4 2 5 2 2" xfId="13441"/>
    <cellStyle name="Heading 1 2 2 4 2 5 2 2 2" xfId="13442"/>
    <cellStyle name="Heading 1 2 2 4 2 5 2 3" xfId="13443"/>
    <cellStyle name="Heading 1 2 2 4 2 5 3" xfId="13444"/>
    <cellStyle name="Heading 1 2 2 4 2 5 3 2" xfId="13445"/>
    <cellStyle name="Heading 1 2 2 4 2 5 3 2 2" xfId="13446"/>
    <cellStyle name="Heading 1 2 2 4 2 5 3 3" xfId="13447"/>
    <cellStyle name="Heading 1 2 2 4 2 5 4" xfId="13448"/>
    <cellStyle name="Heading 1 2 2 4 2 5 4 2" xfId="13449"/>
    <cellStyle name="Heading 1 2 2 4 2 5 4 2 2" xfId="13450"/>
    <cellStyle name="Heading 1 2 2 4 2 5 4 3" xfId="13451"/>
    <cellStyle name="Heading 1 2 2 4 2 5 5" xfId="13452"/>
    <cellStyle name="Heading 1 2 2 4 2 5 5 2" xfId="13453"/>
    <cellStyle name="Heading 1 2 2 4 2 5 5 2 2" xfId="13454"/>
    <cellStyle name="Heading 1 2 2 4 2 5 5 3" xfId="13455"/>
    <cellStyle name="Heading 1 2 2 4 2 5 6" xfId="13456"/>
    <cellStyle name="Heading 1 2 2 4 2 5 6 2" xfId="13457"/>
    <cellStyle name="Heading 1 2 2 4 2 5 6 2 2" xfId="13458"/>
    <cellStyle name="Heading 1 2 2 4 2 5 6 3" xfId="13459"/>
    <cellStyle name="Heading 1 2 2 4 2 5 7" xfId="13460"/>
    <cellStyle name="Heading 1 2 2 4 2 5 7 2" xfId="13461"/>
    <cellStyle name="Heading 1 2 2 4 2 5 7 2 2" xfId="13462"/>
    <cellStyle name="Heading 1 2 2 4 2 5 7 3" xfId="13463"/>
    <cellStyle name="Heading 1 2 2 4 2 5 8" xfId="13464"/>
    <cellStyle name="Heading 1 2 2 4 2 5 8 2" xfId="13465"/>
    <cellStyle name="Heading 1 2 2 4 2 5 9" xfId="13466"/>
    <cellStyle name="Heading 1 2 2 4 2 6" xfId="13467"/>
    <cellStyle name="Heading 1 2 2 4 2 6 2" xfId="13468"/>
    <cellStyle name="Heading 1 2 2 4 2 6 2 2" xfId="13469"/>
    <cellStyle name="Heading 1 2 2 4 2 6 2 2 2" xfId="13470"/>
    <cellStyle name="Heading 1 2 2 4 2 6 2 3" xfId="13471"/>
    <cellStyle name="Heading 1 2 2 4 2 6 3" xfId="13472"/>
    <cellStyle name="Heading 1 2 2 4 2 6 3 2" xfId="13473"/>
    <cellStyle name="Heading 1 2 2 4 2 6 3 2 2" xfId="13474"/>
    <cellStyle name="Heading 1 2 2 4 2 6 3 3" xfId="13475"/>
    <cellStyle name="Heading 1 2 2 4 2 6 4" xfId="13476"/>
    <cellStyle name="Heading 1 2 2 4 2 6 4 2" xfId="13477"/>
    <cellStyle name="Heading 1 2 2 4 2 6 4 2 2" xfId="13478"/>
    <cellStyle name="Heading 1 2 2 4 2 6 4 3" xfId="13479"/>
    <cellStyle name="Heading 1 2 2 4 2 6 5" xfId="13480"/>
    <cellStyle name="Heading 1 2 2 4 2 6 5 2" xfId="13481"/>
    <cellStyle name="Heading 1 2 2 4 2 6 5 2 2" xfId="13482"/>
    <cellStyle name="Heading 1 2 2 4 2 6 5 3" xfId="13483"/>
    <cellStyle name="Heading 1 2 2 4 2 6 6" xfId="13484"/>
    <cellStyle name="Heading 1 2 2 4 2 6 6 2" xfId="13485"/>
    <cellStyle name="Heading 1 2 2 4 2 6 6 2 2" xfId="13486"/>
    <cellStyle name="Heading 1 2 2 4 2 6 6 3" xfId="13487"/>
    <cellStyle name="Heading 1 2 2 4 2 6 7" xfId="13488"/>
    <cellStyle name="Heading 1 2 2 4 2 6 7 2" xfId="13489"/>
    <cellStyle name="Heading 1 2 2 4 2 6 7 2 2" xfId="13490"/>
    <cellStyle name="Heading 1 2 2 4 2 6 7 3" xfId="13491"/>
    <cellStyle name="Heading 1 2 2 4 2 6 8" xfId="13492"/>
    <cellStyle name="Heading 1 2 2 4 2 6 8 2" xfId="13493"/>
    <cellStyle name="Heading 1 2 2 4 2 6 9" xfId="13494"/>
    <cellStyle name="Heading 1 2 2 4 2 7" xfId="13495"/>
    <cellStyle name="Heading 1 2 2 4 2 7 2" xfId="13496"/>
    <cellStyle name="Heading 1 2 2 4 2 7 2 2" xfId="13497"/>
    <cellStyle name="Heading 1 2 2 4 2 7 2 2 2" xfId="13498"/>
    <cellStyle name="Heading 1 2 2 4 2 7 2 3" xfId="13499"/>
    <cellStyle name="Heading 1 2 2 4 2 7 3" xfId="13500"/>
    <cellStyle name="Heading 1 2 2 4 2 7 3 2" xfId="13501"/>
    <cellStyle name="Heading 1 2 2 4 2 7 3 2 2" xfId="13502"/>
    <cellStyle name="Heading 1 2 2 4 2 7 3 3" xfId="13503"/>
    <cellStyle name="Heading 1 2 2 4 2 7 4" xfId="13504"/>
    <cellStyle name="Heading 1 2 2 4 2 7 4 2" xfId="13505"/>
    <cellStyle name="Heading 1 2 2 4 2 7 4 2 2" xfId="13506"/>
    <cellStyle name="Heading 1 2 2 4 2 7 4 3" xfId="13507"/>
    <cellStyle name="Heading 1 2 2 4 2 7 5" xfId="13508"/>
    <cellStyle name="Heading 1 2 2 4 2 7 5 2" xfId="13509"/>
    <cellStyle name="Heading 1 2 2 4 2 7 5 2 2" xfId="13510"/>
    <cellStyle name="Heading 1 2 2 4 2 7 5 3" xfId="13511"/>
    <cellStyle name="Heading 1 2 2 4 2 7 6" xfId="13512"/>
    <cellStyle name="Heading 1 2 2 4 2 7 6 2" xfId="13513"/>
    <cellStyle name="Heading 1 2 2 4 2 7 6 2 2" xfId="13514"/>
    <cellStyle name="Heading 1 2 2 4 2 7 6 3" xfId="13515"/>
    <cellStyle name="Heading 1 2 2 4 2 7 7" xfId="13516"/>
    <cellStyle name="Heading 1 2 2 4 2 7 7 2" xfId="13517"/>
    <cellStyle name="Heading 1 2 2 4 2 7 7 2 2" xfId="13518"/>
    <cellStyle name="Heading 1 2 2 4 2 7 7 3" xfId="13519"/>
    <cellStyle name="Heading 1 2 2 4 2 7 8" xfId="13520"/>
    <cellStyle name="Heading 1 2 2 4 2 7 8 2" xfId="13521"/>
    <cellStyle name="Heading 1 2 2 4 2 7 9" xfId="13522"/>
    <cellStyle name="Heading 1 2 2 4 2 8" xfId="13523"/>
    <cellStyle name="Heading 1 2 2 4 2 8 2" xfId="13524"/>
    <cellStyle name="Heading 1 2 2 4 2 8 2 2" xfId="13525"/>
    <cellStyle name="Heading 1 2 2 4 2 8 2 2 2" xfId="13526"/>
    <cellStyle name="Heading 1 2 2 4 2 8 2 3" xfId="13527"/>
    <cellStyle name="Heading 1 2 2 4 2 8 3" xfId="13528"/>
    <cellStyle name="Heading 1 2 2 4 2 8 3 2" xfId="13529"/>
    <cellStyle name="Heading 1 2 2 4 2 8 3 2 2" xfId="13530"/>
    <cellStyle name="Heading 1 2 2 4 2 8 3 3" xfId="13531"/>
    <cellStyle name="Heading 1 2 2 4 2 8 4" xfId="13532"/>
    <cellStyle name="Heading 1 2 2 4 2 8 4 2" xfId="13533"/>
    <cellStyle name="Heading 1 2 2 4 2 8 4 2 2" xfId="13534"/>
    <cellStyle name="Heading 1 2 2 4 2 8 4 3" xfId="13535"/>
    <cellStyle name="Heading 1 2 2 4 2 8 5" xfId="13536"/>
    <cellStyle name="Heading 1 2 2 4 2 8 5 2" xfId="13537"/>
    <cellStyle name="Heading 1 2 2 4 2 8 5 2 2" xfId="13538"/>
    <cellStyle name="Heading 1 2 2 4 2 8 5 3" xfId="13539"/>
    <cellStyle name="Heading 1 2 2 4 2 8 6" xfId="13540"/>
    <cellStyle name="Heading 1 2 2 4 2 8 6 2" xfId="13541"/>
    <cellStyle name="Heading 1 2 2 4 2 8 6 2 2" xfId="13542"/>
    <cellStyle name="Heading 1 2 2 4 2 8 6 3" xfId="13543"/>
    <cellStyle name="Heading 1 2 2 4 2 8 7" xfId="13544"/>
    <cellStyle name="Heading 1 2 2 4 2 8 7 2" xfId="13545"/>
    <cellStyle name="Heading 1 2 2 4 2 8 7 2 2" xfId="13546"/>
    <cellStyle name="Heading 1 2 2 4 2 8 7 3" xfId="13547"/>
    <cellStyle name="Heading 1 2 2 4 2 8 8" xfId="13548"/>
    <cellStyle name="Heading 1 2 2 4 2 8 8 2" xfId="13549"/>
    <cellStyle name="Heading 1 2 2 4 2 8 9" xfId="13550"/>
    <cellStyle name="Heading 1 2 2 4 2 9" xfId="13551"/>
    <cellStyle name="Heading 1 2 2 4 2 9 2" xfId="13552"/>
    <cellStyle name="Heading 1 2 2 4 2 9 2 2" xfId="13553"/>
    <cellStyle name="Heading 1 2 2 4 2 9 2 2 2" xfId="13554"/>
    <cellStyle name="Heading 1 2 2 4 2 9 2 3" xfId="13555"/>
    <cellStyle name="Heading 1 2 2 4 2 9 3" xfId="13556"/>
    <cellStyle name="Heading 1 2 2 4 2 9 3 2" xfId="13557"/>
    <cellStyle name="Heading 1 2 2 4 2 9 3 2 2" xfId="13558"/>
    <cellStyle name="Heading 1 2 2 4 2 9 3 3" xfId="13559"/>
    <cellStyle name="Heading 1 2 2 4 2 9 4" xfId="13560"/>
    <cellStyle name="Heading 1 2 2 4 2 9 4 2" xfId="13561"/>
    <cellStyle name="Heading 1 2 2 4 2 9 4 2 2" xfId="13562"/>
    <cellStyle name="Heading 1 2 2 4 2 9 4 3" xfId="13563"/>
    <cellStyle name="Heading 1 2 2 4 2 9 5" xfId="13564"/>
    <cellStyle name="Heading 1 2 2 4 2 9 5 2" xfId="13565"/>
    <cellStyle name="Heading 1 2 2 4 2 9 5 2 2" xfId="13566"/>
    <cellStyle name="Heading 1 2 2 4 2 9 5 3" xfId="13567"/>
    <cellStyle name="Heading 1 2 2 4 2 9 6" xfId="13568"/>
    <cellStyle name="Heading 1 2 2 4 2 9 6 2" xfId="13569"/>
    <cellStyle name="Heading 1 2 2 4 2 9 6 2 2" xfId="13570"/>
    <cellStyle name="Heading 1 2 2 4 2 9 6 3" xfId="13571"/>
    <cellStyle name="Heading 1 2 2 4 2 9 7" xfId="13572"/>
    <cellStyle name="Heading 1 2 2 4 2 9 7 2" xfId="13573"/>
    <cellStyle name="Heading 1 2 2 4 2 9 7 2 2" xfId="13574"/>
    <cellStyle name="Heading 1 2 2 4 2 9 7 3" xfId="13575"/>
    <cellStyle name="Heading 1 2 2 4 2 9 8" xfId="13576"/>
    <cellStyle name="Heading 1 2 2 4 2 9 8 2" xfId="13577"/>
    <cellStyle name="Heading 1 2 2 4 2 9 9" xfId="13578"/>
    <cellStyle name="Heading 1 2 2 4 3" xfId="13579"/>
    <cellStyle name="Heading 1 2 2 4 3 10" xfId="13580"/>
    <cellStyle name="Heading 1 2 2 4 3 10 2" xfId="13581"/>
    <cellStyle name="Heading 1 2 2 4 3 10 2 2" xfId="13582"/>
    <cellStyle name="Heading 1 2 2 4 3 10 3" xfId="13583"/>
    <cellStyle name="Heading 1 2 2 4 3 11" xfId="13584"/>
    <cellStyle name="Heading 1 2 2 4 3 11 2" xfId="13585"/>
    <cellStyle name="Heading 1 2 2 4 3 11 2 2" xfId="13586"/>
    <cellStyle name="Heading 1 2 2 4 3 11 3" xfId="13587"/>
    <cellStyle name="Heading 1 2 2 4 3 12" xfId="13588"/>
    <cellStyle name="Heading 1 2 2 4 3 12 2" xfId="13589"/>
    <cellStyle name="Heading 1 2 2 4 3 12 2 2" xfId="13590"/>
    <cellStyle name="Heading 1 2 2 4 3 12 3" xfId="13591"/>
    <cellStyle name="Heading 1 2 2 4 3 13" xfId="13592"/>
    <cellStyle name="Heading 1 2 2 4 3 13 2" xfId="13593"/>
    <cellStyle name="Heading 1 2 2 4 3 13 2 2" xfId="13594"/>
    <cellStyle name="Heading 1 2 2 4 3 13 3" xfId="13595"/>
    <cellStyle name="Heading 1 2 2 4 3 14" xfId="13596"/>
    <cellStyle name="Heading 1 2 2 4 3 14 2" xfId="13597"/>
    <cellStyle name="Heading 1 2 2 4 3 14 2 2" xfId="13598"/>
    <cellStyle name="Heading 1 2 2 4 3 14 3" xfId="13599"/>
    <cellStyle name="Heading 1 2 2 4 3 15" xfId="13600"/>
    <cellStyle name="Heading 1 2 2 4 3 15 2" xfId="13601"/>
    <cellStyle name="Heading 1 2 2 4 3 15 2 2" xfId="13602"/>
    <cellStyle name="Heading 1 2 2 4 3 15 3" xfId="13603"/>
    <cellStyle name="Heading 1 2 2 4 3 16" xfId="13604"/>
    <cellStyle name="Heading 1 2 2 4 3 16 2" xfId="13605"/>
    <cellStyle name="Heading 1 2 2 4 3 16 2 2" xfId="13606"/>
    <cellStyle name="Heading 1 2 2 4 3 16 3" xfId="13607"/>
    <cellStyle name="Heading 1 2 2 4 3 17" xfId="13608"/>
    <cellStyle name="Heading 1 2 2 4 3 17 2" xfId="13609"/>
    <cellStyle name="Heading 1 2 2 4 3 17 2 2" xfId="13610"/>
    <cellStyle name="Heading 1 2 2 4 3 17 3" xfId="13611"/>
    <cellStyle name="Heading 1 2 2 4 3 18" xfId="13612"/>
    <cellStyle name="Heading 1 2 2 4 3 18 2" xfId="13613"/>
    <cellStyle name="Heading 1 2 2 4 3 18 2 2" xfId="13614"/>
    <cellStyle name="Heading 1 2 2 4 3 18 3" xfId="13615"/>
    <cellStyle name="Heading 1 2 2 4 3 19" xfId="13616"/>
    <cellStyle name="Heading 1 2 2 4 3 19 2" xfId="13617"/>
    <cellStyle name="Heading 1 2 2 4 3 2" xfId="13618"/>
    <cellStyle name="Heading 1 2 2 4 3 2 2" xfId="13619"/>
    <cellStyle name="Heading 1 2 2 4 3 2 2 2" xfId="13620"/>
    <cellStyle name="Heading 1 2 2 4 3 2 2 2 2" xfId="13621"/>
    <cellStyle name="Heading 1 2 2 4 3 2 2 3" xfId="13622"/>
    <cellStyle name="Heading 1 2 2 4 3 2 3" xfId="13623"/>
    <cellStyle name="Heading 1 2 2 4 3 2 3 2" xfId="13624"/>
    <cellStyle name="Heading 1 2 2 4 3 2 3 2 2" xfId="13625"/>
    <cellStyle name="Heading 1 2 2 4 3 2 3 3" xfId="13626"/>
    <cellStyle name="Heading 1 2 2 4 3 2 4" xfId="13627"/>
    <cellStyle name="Heading 1 2 2 4 3 2 4 2" xfId="13628"/>
    <cellStyle name="Heading 1 2 2 4 3 2 4 2 2" xfId="13629"/>
    <cellStyle name="Heading 1 2 2 4 3 2 4 3" xfId="13630"/>
    <cellStyle name="Heading 1 2 2 4 3 2 5" xfId="13631"/>
    <cellStyle name="Heading 1 2 2 4 3 2 5 2" xfId="13632"/>
    <cellStyle name="Heading 1 2 2 4 3 2 5 2 2" xfId="13633"/>
    <cellStyle name="Heading 1 2 2 4 3 2 5 3" xfId="13634"/>
    <cellStyle name="Heading 1 2 2 4 3 2 6" xfId="13635"/>
    <cellStyle name="Heading 1 2 2 4 3 2 6 2" xfId="13636"/>
    <cellStyle name="Heading 1 2 2 4 3 2 6 2 2" xfId="13637"/>
    <cellStyle name="Heading 1 2 2 4 3 2 6 3" xfId="13638"/>
    <cellStyle name="Heading 1 2 2 4 3 2 7" xfId="13639"/>
    <cellStyle name="Heading 1 2 2 4 3 2 7 2" xfId="13640"/>
    <cellStyle name="Heading 1 2 2 4 3 2 7 2 2" xfId="13641"/>
    <cellStyle name="Heading 1 2 2 4 3 2 7 3" xfId="13642"/>
    <cellStyle name="Heading 1 2 2 4 3 2 8" xfId="13643"/>
    <cellStyle name="Heading 1 2 2 4 3 2 8 2" xfId="13644"/>
    <cellStyle name="Heading 1 2 2 4 3 2 9" xfId="13645"/>
    <cellStyle name="Heading 1 2 2 4 3 20" xfId="13646"/>
    <cellStyle name="Heading 1 2 2 4 3 20 2" xfId="13647"/>
    <cellStyle name="Heading 1 2 2 4 3 21" xfId="13648"/>
    <cellStyle name="Heading 1 2 2 4 3 21 2" xfId="13649"/>
    <cellStyle name="Heading 1 2 2 4 3 22" xfId="13650"/>
    <cellStyle name="Heading 1 2 2 4 3 3" xfId="13651"/>
    <cellStyle name="Heading 1 2 2 4 3 3 2" xfId="13652"/>
    <cellStyle name="Heading 1 2 2 4 3 3 2 2" xfId="13653"/>
    <cellStyle name="Heading 1 2 2 4 3 3 2 2 2" xfId="13654"/>
    <cellStyle name="Heading 1 2 2 4 3 3 2 3" xfId="13655"/>
    <cellStyle name="Heading 1 2 2 4 3 3 3" xfId="13656"/>
    <cellStyle name="Heading 1 2 2 4 3 3 3 2" xfId="13657"/>
    <cellStyle name="Heading 1 2 2 4 3 3 3 2 2" xfId="13658"/>
    <cellStyle name="Heading 1 2 2 4 3 3 3 3" xfId="13659"/>
    <cellStyle name="Heading 1 2 2 4 3 3 4" xfId="13660"/>
    <cellStyle name="Heading 1 2 2 4 3 3 4 2" xfId="13661"/>
    <cellStyle name="Heading 1 2 2 4 3 3 4 2 2" xfId="13662"/>
    <cellStyle name="Heading 1 2 2 4 3 3 4 3" xfId="13663"/>
    <cellStyle name="Heading 1 2 2 4 3 3 5" xfId="13664"/>
    <cellStyle name="Heading 1 2 2 4 3 3 5 2" xfId="13665"/>
    <cellStyle name="Heading 1 2 2 4 3 3 5 2 2" xfId="13666"/>
    <cellStyle name="Heading 1 2 2 4 3 3 5 3" xfId="13667"/>
    <cellStyle name="Heading 1 2 2 4 3 3 6" xfId="13668"/>
    <cellStyle name="Heading 1 2 2 4 3 3 6 2" xfId="13669"/>
    <cellStyle name="Heading 1 2 2 4 3 3 6 2 2" xfId="13670"/>
    <cellStyle name="Heading 1 2 2 4 3 3 6 3" xfId="13671"/>
    <cellStyle name="Heading 1 2 2 4 3 3 7" xfId="13672"/>
    <cellStyle name="Heading 1 2 2 4 3 3 7 2" xfId="13673"/>
    <cellStyle name="Heading 1 2 2 4 3 3 7 2 2" xfId="13674"/>
    <cellStyle name="Heading 1 2 2 4 3 3 7 3" xfId="13675"/>
    <cellStyle name="Heading 1 2 2 4 3 3 8" xfId="13676"/>
    <cellStyle name="Heading 1 2 2 4 3 3 8 2" xfId="13677"/>
    <cellStyle name="Heading 1 2 2 4 3 3 9" xfId="13678"/>
    <cellStyle name="Heading 1 2 2 4 3 4" xfId="13679"/>
    <cellStyle name="Heading 1 2 2 4 3 4 2" xfId="13680"/>
    <cellStyle name="Heading 1 2 2 4 3 4 2 2" xfId="13681"/>
    <cellStyle name="Heading 1 2 2 4 3 4 2 2 2" xfId="13682"/>
    <cellStyle name="Heading 1 2 2 4 3 4 2 3" xfId="13683"/>
    <cellStyle name="Heading 1 2 2 4 3 4 3" xfId="13684"/>
    <cellStyle name="Heading 1 2 2 4 3 4 3 2" xfId="13685"/>
    <cellStyle name="Heading 1 2 2 4 3 4 3 2 2" xfId="13686"/>
    <cellStyle name="Heading 1 2 2 4 3 4 3 3" xfId="13687"/>
    <cellStyle name="Heading 1 2 2 4 3 4 4" xfId="13688"/>
    <cellStyle name="Heading 1 2 2 4 3 4 4 2" xfId="13689"/>
    <cellStyle name="Heading 1 2 2 4 3 4 4 2 2" xfId="13690"/>
    <cellStyle name="Heading 1 2 2 4 3 4 4 3" xfId="13691"/>
    <cellStyle name="Heading 1 2 2 4 3 4 5" xfId="13692"/>
    <cellStyle name="Heading 1 2 2 4 3 4 5 2" xfId="13693"/>
    <cellStyle name="Heading 1 2 2 4 3 4 5 2 2" xfId="13694"/>
    <cellStyle name="Heading 1 2 2 4 3 4 5 3" xfId="13695"/>
    <cellStyle name="Heading 1 2 2 4 3 4 6" xfId="13696"/>
    <cellStyle name="Heading 1 2 2 4 3 4 6 2" xfId="13697"/>
    <cellStyle name="Heading 1 2 2 4 3 4 6 2 2" xfId="13698"/>
    <cellStyle name="Heading 1 2 2 4 3 4 6 3" xfId="13699"/>
    <cellStyle name="Heading 1 2 2 4 3 4 7" xfId="13700"/>
    <cellStyle name="Heading 1 2 2 4 3 4 7 2" xfId="13701"/>
    <cellStyle name="Heading 1 2 2 4 3 4 7 2 2" xfId="13702"/>
    <cellStyle name="Heading 1 2 2 4 3 4 7 3" xfId="13703"/>
    <cellStyle name="Heading 1 2 2 4 3 4 8" xfId="13704"/>
    <cellStyle name="Heading 1 2 2 4 3 4 8 2" xfId="13705"/>
    <cellStyle name="Heading 1 2 2 4 3 4 9" xfId="13706"/>
    <cellStyle name="Heading 1 2 2 4 3 5" xfId="13707"/>
    <cellStyle name="Heading 1 2 2 4 3 5 2" xfId="13708"/>
    <cellStyle name="Heading 1 2 2 4 3 5 2 2" xfId="13709"/>
    <cellStyle name="Heading 1 2 2 4 3 5 2 2 2" xfId="13710"/>
    <cellStyle name="Heading 1 2 2 4 3 5 2 3" xfId="13711"/>
    <cellStyle name="Heading 1 2 2 4 3 5 3" xfId="13712"/>
    <cellStyle name="Heading 1 2 2 4 3 5 3 2" xfId="13713"/>
    <cellStyle name="Heading 1 2 2 4 3 5 3 2 2" xfId="13714"/>
    <cellStyle name="Heading 1 2 2 4 3 5 3 3" xfId="13715"/>
    <cellStyle name="Heading 1 2 2 4 3 5 4" xfId="13716"/>
    <cellStyle name="Heading 1 2 2 4 3 5 4 2" xfId="13717"/>
    <cellStyle name="Heading 1 2 2 4 3 5 4 2 2" xfId="13718"/>
    <cellStyle name="Heading 1 2 2 4 3 5 4 3" xfId="13719"/>
    <cellStyle name="Heading 1 2 2 4 3 5 5" xfId="13720"/>
    <cellStyle name="Heading 1 2 2 4 3 5 5 2" xfId="13721"/>
    <cellStyle name="Heading 1 2 2 4 3 5 5 2 2" xfId="13722"/>
    <cellStyle name="Heading 1 2 2 4 3 5 5 3" xfId="13723"/>
    <cellStyle name="Heading 1 2 2 4 3 5 6" xfId="13724"/>
    <cellStyle name="Heading 1 2 2 4 3 5 6 2" xfId="13725"/>
    <cellStyle name="Heading 1 2 2 4 3 5 6 2 2" xfId="13726"/>
    <cellStyle name="Heading 1 2 2 4 3 5 6 3" xfId="13727"/>
    <cellStyle name="Heading 1 2 2 4 3 5 7" xfId="13728"/>
    <cellStyle name="Heading 1 2 2 4 3 5 7 2" xfId="13729"/>
    <cellStyle name="Heading 1 2 2 4 3 5 7 2 2" xfId="13730"/>
    <cellStyle name="Heading 1 2 2 4 3 5 7 3" xfId="13731"/>
    <cellStyle name="Heading 1 2 2 4 3 5 8" xfId="13732"/>
    <cellStyle name="Heading 1 2 2 4 3 5 8 2" xfId="13733"/>
    <cellStyle name="Heading 1 2 2 4 3 5 9" xfId="13734"/>
    <cellStyle name="Heading 1 2 2 4 3 6" xfId="13735"/>
    <cellStyle name="Heading 1 2 2 4 3 6 2" xfId="13736"/>
    <cellStyle name="Heading 1 2 2 4 3 6 2 2" xfId="13737"/>
    <cellStyle name="Heading 1 2 2 4 3 6 2 2 2" xfId="13738"/>
    <cellStyle name="Heading 1 2 2 4 3 6 2 3" xfId="13739"/>
    <cellStyle name="Heading 1 2 2 4 3 6 3" xfId="13740"/>
    <cellStyle name="Heading 1 2 2 4 3 6 3 2" xfId="13741"/>
    <cellStyle name="Heading 1 2 2 4 3 6 3 2 2" xfId="13742"/>
    <cellStyle name="Heading 1 2 2 4 3 6 3 3" xfId="13743"/>
    <cellStyle name="Heading 1 2 2 4 3 6 4" xfId="13744"/>
    <cellStyle name="Heading 1 2 2 4 3 6 4 2" xfId="13745"/>
    <cellStyle name="Heading 1 2 2 4 3 6 4 2 2" xfId="13746"/>
    <cellStyle name="Heading 1 2 2 4 3 6 4 3" xfId="13747"/>
    <cellStyle name="Heading 1 2 2 4 3 6 5" xfId="13748"/>
    <cellStyle name="Heading 1 2 2 4 3 6 5 2" xfId="13749"/>
    <cellStyle name="Heading 1 2 2 4 3 6 5 2 2" xfId="13750"/>
    <cellStyle name="Heading 1 2 2 4 3 6 5 3" xfId="13751"/>
    <cellStyle name="Heading 1 2 2 4 3 6 6" xfId="13752"/>
    <cellStyle name="Heading 1 2 2 4 3 6 6 2" xfId="13753"/>
    <cellStyle name="Heading 1 2 2 4 3 6 6 2 2" xfId="13754"/>
    <cellStyle name="Heading 1 2 2 4 3 6 6 3" xfId="13755"/>
    <cellStyle name="Heading 1 2 2 4 3 6 7" xfId="13756"/>
    <cellStyle name="Heading 1 2 2 4 3 6 7 2" xfId="13757"/>
    <cellStyle name="Heading 1 2 2 4 3 6 7 2 2" xfId="13758"/>
    <cellStyle name="Heading 1 2 2 4 3 6 7 3" xfId="13759"/>
    <cellStyle name="Heading 1 2 2 4 3 6 8" xfId="13760"/>
    <cellStyle name="Heading 1 2 2 4 3 6 8 2" xfId="13761"/>
    <cellStyle name="Heading 1 2 2 4 3 6 9" xfId="13762"/>
    <cellStyle name="Heading 1 2 2 4 3 7" xfId="13763"/>
    <cellStyle name="Heading 1 2 2 4 3 7 2" xfId="13764"/>
    <cellStyle name="Heading 1 2 2 4 3 7 2 2" xfId="13765"/>
    <cellStyle name="Heading 1 2 2 4 3 7 2 2 2" xfId="13766"/>
    <cellStyle name="Heading 1 2 2 4 3 7 2 3" xfId="13767"/>
    <cellStyle name="Heading 1 2 2 4 3 7 3" xfId="13768"/>
    <cellStyle name="Heading 1 2 2 4 3 7 3 2" xfId="13769"/>
    <cellStyle name="Heading 1 2 2 4 3 7 3 2 2" xfId="13770"/>
    <cellStyle name="Heading 1 2 2 4 3 7 3 3" xfId="13771"/>
    <cellStyle name="Heading 1 2 2 4 3 7 4" xfId="13772"/>
    <cellStyle name="Heading 1 2 2 4 3 7 4 2" xfId="13773"/>
    <cellStyle name="Heading 1 2 2 4 3 7 4 2 2" xfId="13774"/>
    <cellStyle name="Heading 1 2 2 4 3 7 4 3" xfId="13775"/>
    <cellStyle name="Heading 1 2 2 4 3 7 5" xfId="13776"/>
    <cellStyle name="Heading 1 2 2 4 3 7 5 2" xfId="13777"/>
    <cellStyle name="Heading 1 2 2 4 3 7 5 2 2" xfId="13778"/>
    <cellStyle name="Heading 1 2 2 4 3 7 5 3" xfId="13779"/>
    <cellStyle name="Heading 1 2 2 4 3 7 6" xfId="13780"/>
    <cellStyle name="Heading 1 2 2 4 3 7 6 2" xfId="13781"/>
    <cellStyle name="Heading 1 2 2 4 3 7 6 2 2" xfId="13782"/>
    <cellStyle name="Heading 1 2 2 4 3 7 6 3" xfId="13783"/>
    <cellStyle name="Heading 1 2 2 4 3 7 7" xfId="13784"/>
    <cellStyle name="Heading 1 2 2 4 3 7 7 2" xfId="13785"/>
    <cellStyle name="Heading 1 2 2 4 3 7 7 2 2" xfId="13786"/>
    <cellStyle name="Heading 1 2 2 4 3 7 7 3" xfId="13787"/>
    <cellStyle name="Heading 1 2 2 4 3 7 8" xfId="13788"/>
    <cellStyle name="Heading 1 2 2 4 3 7 8 2" xfId="13789"/>
    <cellStyle name="Heading 1 2 2 4 3 7 9" xfId="13790"/>
    <cellStyle name="Heading 1 2 2 4 3 8" xfId="13791"/>
    <cellStyle name="Heading 1 2 2 4 3 8 2" xfId="13792"/>
    <cellStyle name="Heading 1 2 2 4 3 8 2 2" xfId="13793"/>
    <cellStyle name="Heading 1 2 2 4 3 8 2 2 2" xfId="13794"/>
    <cellStyle name="Heading 1 2 2 4 3 8 2 3" xfId="13795"/>
    <cellStyle name="Heading 1 2 2 4 3 8 3" xfId="13796"/>
    <cellStyle name="Heading 1 2 2 4 3 8 3 2" xfId="13797"/>
    <cellStyle name="Heading 1 2 2 4 3 8 3 2 2" xfId="13798"/>
    <cellStyle name="Heading 1 2 2 4 3 8 3 3" xfId="13799"/>
    <cellStyle name="Heading 1 2 2 4 3 8 4" xfId="13800"/>
    <cellStyle name="Heading 1 2 2 4 3 8 4 2" xfId="13801"/>
    <cellStyle name="Heading 1 2 2 4 3 8 4 2 2" xfId="13802"/>
    <cellStyle name="Heading 1 2 2 4 3 8 4 3" xfId="13803"/>
    <cellStyle name="Heading 1 2 2 4 3 8 5" xfId="13804"/>
    <cellStyle name="Heading 1 2 2 4 3 8 5 2" xfId="13805"/>
    <cellStyle name="Heading 1 2 2 4 3 8 5 2 2" xfId="13806"/>
    <cellStyle name="Heading 1 2 2 4 3 8 5 3" xfId="13807"/>
    <cellStyle name="Heading 1 2 2 4 3 8 6" xfId="13808"/>
    <cellStyle name="Heading 1 2 2 4 3 8 6 2" xfId="13809"/>
    <cellStyle name="Heading 1 2 2 4 3 8 6 2 2" xfId="13810"/>
    <cellStyle name="Heading 1 2 2 4 3 8 6 3" xfId="13811"/>
    <cellStyle name="Heading 1 2 2 4 3 8 7" xfId="13812"/>
    <cellStyle name="Heading 1 2 2 4 3 8 7 2" xfId="13813"/>
    <cellStyle name="Heading 1 2 2 4 3 8 7 2 2" xfId="13814"/>
    <cellStyle name="Heading 1 2 2 4 3 8 7 3" xfId="13815"/>
    <cellStyle name="Heading 1 2 2 4 3 8 8" xfId="13816"/>
    <cellStyle name="Heading 1 2 2 4 3 8 8 2" xfId="13817"/>
    <cellStyle name="Heading 1 2 2 4 3 8 9" xfId="13818"/>
    <cellStyle name="Heading 1 2 2 4 3 9" xfId="13819"/>
    <cellStyle name="Heading 1 2 2 4 3 9 2" xfId="13820"/>
    <cellStyle name="Heading 1 2 2 4 3 9 2 2" xfId="13821"/>
    <cellStyle name="Heading 1 2 2 4 3 9 3" xfId="13822"/>
    <cellStyle name="Heading 1 2 2 4 4" xfId="13823"/>
    <cellStyle name="Heading 1 2 2 4 4 2" xfId="13824"/>
    <cellStyle name="Heading 1 2 2 4 4 2 2" xfId="13825"/>
    <cellStyle name="Heading 1 2 2 4 4 3" xfId="13826"/>
    <cellStyle name="Heading 1 2 2 4 5" xfId="13827"/>
    <cellStyle name="Heading 1 2 2 4 5 2" xfId="13828"/>
    <cellStyle name="Heading 1 2 2 4 6" xfId="13829"/>
    <cellStyle name="Heading 1 2 2 5" xfId="13830"/>
    <cellStyle name="Heading 1 2 2 5 2" xfId="13831"/>
    <cellStyle name="Heading 1 2 2 5 2 10" xfId="13832"/>
    <cellStyle name="Heading 1 2 2 5 2 10 2" xfId="13833"/>
    <cellStyle name="Heading 1 2 2 5 2 10 2 2" xfId="13834"/>
    <cellStyle name="Heading 1 2 2 5 2 10 3" xfId="13835"/>
    <cellStyle name="Heading 1 2 2 5 2 11" xfId="13836"/>
    <cellStyle name="Heading 1 2 2 5 2 11 2" xfId="13837"/>
    <cellStyle name="Heading 1 2 2 5 2 11 2 2" xfId="13838"/>
    <cellStyle name="Heading 1 2 2 5 2 11 3" xfId="13839"/>
    <cellStyle name="Heading 1 2 2 5 2 12" xfId="13840"/>
    <cellStyle name="Heading 1 2 2 5 2 12 2" xfId="13841"/>
    <cellStyle name="Heading 1 2 2 5 2 12 2 2" xfId="13842"/>
    <cellStyle name="Heading 1 2 2 5 2 12 3" xfId="13843"/>
    <cellStyle name="Heading 1 2 2 5 2 13" xfId="13844"/>
    <cellStyle name="Heading 1 2 2 5 2 13 2" xfId="13845"/>
    <cellStyle name="Heading 1 2 2 5 2 13 2 2" xfId="13846"/>
    <cellStyle name="Heading 1 2 2 5 2 13 3" xfId="13847"/>
    <cellStyle name="Heading 1 2 2 5 2 14" xfId="13848"/>
    <cellStyle name="Heading 1 2 2 5 2 14 2" xfId="13849"/>
    <cellStyle name="Heading 1 2 2 5 2 14 2 2" xfId="13850"/>
    <cellStyle name="Heading 1 2 2 5 2 14 3" xfId="13851"/>
    <cellStyle name="Heading 1 2 2 5 2 15" xfId="13852"/>
    <cellStyle name="Heading 1 2 2 5 2 15 2" xfId="13853"/>
    <cellStyle name="Heading 1 2 2 5 2 15 2 2" xfId="13854"/>
    <cellStyle name="Heading 1 2 2 5 2 15 3" xfId="13855"/>
    <cellStyle name="Heading 1 2 2 5 2 16" xfId="13856"/>
    <cellStyle name="Heading 1 2 2 5 2 16 2" xfId="13857"/>
    <cellStyle name="Heading 1 2 2 5 2 16 2 2" xfId="13858"/>
    <cellStyle name="Heading 1 2 2 5 2 16 3" xfId="13859"/>
    <cellStyle name="Heading 1 2 2 5 2 17" xfId="13860"/>
    <cellStyle name="Heading 1 2 2 5 2 17 2" xfId="13861"/>
    <cellStyle name="Heading 1 2 2 5 2 17 2 2" xfId="13862"/>
    <cellStyle name="Heading 1 2 2 5 2 17 3" xfId="13863"/>
    <cellStyle name="Heading 1 2 2 5 2 18" xfId="13864"/>
    <cellStyle name="Heading 1 2 2 5 2 18 2" xfId="13865"/>
    <cellStyle name="Heading 1 2 2 5 2 18 2 2" xfId="13866"/>
    <cellStyle name="Heading 1 2 2 5 2 18 3" xfId="13867"/>
    <cellStyle name="Heading 1 2 2 5 2 19" xfId="13868"/>
    <cellStyle name="Heading 1 2 2 5 2 19 2" xfId="13869"/>
    <cellStyle name="Heading 1 2 2 5 2 19 2 2" xfId="13870"/>
    <cellStyle name="Heading 1 2 2 5 2 19 3" xfId="13871"/>
    <cellStyle name="Heading 1 2 2 5 2 2" xfId="13872"/>
    <cellStyle name="Heading 1 2 2 5 2 2 10" xfId="13873"/>
    <cellStyle name="Heading 1 2 2 5 2 2 10 2" xfId="13874"/>
    <cellStyle name="Heading 1 2 2 5 2 2 10 2 2" xfId="13875"/>
    <cellStyle name="Heading 1 2 2 5 2 2 10 3" xfId="13876"/>
    <cellStyle name="Heading 1 2 2 5 2 2 11" xfId="13877"/>
    <cellStyle name="Heading 1 2 2 5 2 2 11 2" xfId="13878"/>
    <cellStyle name="Heading 1 2 2 5 2 2 11 2 2" xfId="13879"/>
    <cellStyle name="Heading 1 2 2 5 2 2 11 3" xfId="13880"/>
    <cellStyle name="Heading 1 2 2 5 2 2 12" xfId="13881"/>
    <cellStyle name="Heading 1 2 2 5 2 2 12 2" xfId="13882"/>
    <cellStyle name="Heading 1 2 2 5 2 2 12 2 2" xfId="13883"/>
    <cellStyle name="Heading 1 2 2 5 2 2 12 3" xfId="13884"/>
    <cellStyle name="Heading 1 2 2 5 2 2 13" xfId="13885"/>
    <cellStyle name="Heading 1 2 2 5 2 2 13 2" xfId="13886"/>
    <cellStyle name="Heading 1 2 2 5 2 2 13 2 2" xfId="13887"/>
    <cellStyle name="Heading 1 2 2 5 2 2 13 3" xfId="13888"/>
    <cellStyle name="Heading 1 2 2 5 2 2 14" xfId="13889"/>
    <cellStyle name="Heading 1 2 2 5 2 2 14 2" xfId="13890"/>
    <cellStyle name="Heading 1 2 2 5 2 2 14 2 2" xfId="13891"/>
    <cellStyle name="Heading 1 2 2 5 2 2 14 3" xfId="13892"/>
    <cellStyle name="Heading 1 2 2 5 2 2 15" xfId="13893"/>
    <cellStyle name="Heading 1 2 2 5 2 2 15 2" xfId="13894"/>
    <cellStyle name="Heading 1 2 2 5 2 2 15 2 2" xfId="13895"/>
    <cellStyle name="Heading 1 2 2 5 2 2 15 3" xfId="13896"/>
    <cellStyle name="Heading 1 2 2 5 2 2 16" xfId="13897"/>
    <cellStyle name="Heading 1 2 2 5 2 2 16 2" xfId="13898"/>
    <cellStyle name="Heading 1 2 2 5 2 2 16 2 2" xfId="13899"/>
    <cellStyle name="Heading 1 2 2 5 2 2 16 3" xfId="13900"/>
    <cellStyle name="Heading 1 2 2 5 2 2 17" xfId="13901"/>
    <cellStyle name="Heading 1 2 2 5 2 2 17 2" xfId="13902"/>
    <cellStyle name="Heading 1 2 2 5 2 2 17 2 2" xfId="13903"/>
    <cellStyle name="Heading 1 2 2 5 2 2 17 3" xfId="13904"/>
    <cellStyle name="Heading 1 2 2 5 2 2 18" xfId="13905"/>
    <cellStyle name="Heading 1 2 2 5 2 2 18 2" xfId="13906"/>
    <cellStyle name="Heading 1 2 2 5 2 2 18 2 2" xfId="13907"/>
    <cellStyle name="Heading 1 2 2 5 2 2 18 3" xfId="13908"/>
    <cellStyle name="Heading 1 2 2 5 2 2 19" xfId="13909"/>
    <cellStyle name="Heading 1 2 2 5 2 2 19 2" xfId="13910"/>
    <cellStyle name="Heading 1 2 2 5 2 2 2" xfId="13911"/>
    <cellStyle name="Heading 1 2 2 5 2 2 2 2" xfId="13912"/>
    <cellStyle name="Heading 1 2 2 5 2 2 2 2 2" xfId="13913"/>
    <cellStyle name="Heading 1 2 2 5 2 2 2 2 2 2" xfId="13914"/>
    <cellStyle name="Heading 1 2 2 5 2 2 2 2 3" xfId="13915"/>
    <cellStyle name="Heading 1 2 2 5 2 2 2 3" xfId="13916"/>
    <cellStyle name="Heading 1 2 2 5 2 2 2 3 2" xfId="13917"/>
    <cellStyle name="Heading 1 2 2 5 2 2 2 3 2 2" xfId="13918"/>
    <cellStyle name="Heading 1 2 2 5 2 2 2 3 3" xfId="13919"/>
    <cellStyle name="Heading 1 2 2 5 2 2 2 4" xfId="13920"/>
    <cellStyle name="Heading 1 2 2 5 2 2 2 4 2" xfId="13921"/>
    <cellStyle name="Heading 1 2 2 5 2 2 2 4 2 2" xfId="13922"/>
    <cellStyle name="Heading 1 2 2 5 2 2 2 4 3" xfId="13923"/>
    <cellStyle name="Heading 1 2 2 5 2 2 2 5" xfId="13924"/>
    <cellStyle name="Heading 1 2 2 5 2 2 2 5 2" xfId="13925"/>
    <cellStyle name="Heading 1 2 2 5 2 2 2 5 2 2" xfId="13926"/>
    <cellStyle name="Heading 1 2 2 5 2 2 2 5 3" xfId="13927"/>
    <cellStyle name="Heading 1 2 2 5 2 2 2 6" xfId="13928"/>
    <cellStyle name="Heading 1 2 2 5 2 2 2 6 2" xfId="13929"/>
    <cellStyle name="Heading 1 2 2 5 2 2 2 6 2 2" xfId="13930"/>
    <cellStyle name="Heading 1 2 2 5 2 2 2 6 3" xfId="13931"/>
    <cellStyle name="Heading 1 2 2 5 2 2 2 7" xfId="13932"/>
    <cellStyle name="Heading 1 2 2 5 2 2 2 7 2" xfId="13933"/>
    <cellStyle name="Heading 1 2 2 5 2 2 2 7 2 2" xfId="13934"/>
    <cellStyle name="Heading 1 2 2 5 2 2 2 7 3" xfId="13935"/>
    <cellStyle name="Heading 1 2 2 5 2 2 2 8" xfId="13936"/>
    <cellStyle name="Heading 1 2 2 5 2 2 2 8 2" xfId="13937"/>
    <cellStyle name="Heading 1 2 2 5 2 2 2 9" xfId="13938"/>
    <cellStyle name="Heading 1 2 2 5 2 2 20" xfId="13939"/>
    <cellStyle name="Heading 1 2 2 5 2 2 20 2" xfId="13940"/>
    <cellStyle name="Heading 1 2 2 5 2 2 21" xfId="13941"/>
    <cellStyle name="Heading 1 2 2 5 2 2 21 2" xfId="13942"/>
    <cellStyle name="Heading 1 2 2 5 2 2 22" xfId="13943"/>
    <cellStyle name="Heading 1 2 2 5 2 2 3" xfId="13944"/>
    <cellStyle name="Heading 1 2 2 5 2 2 3 2" xfId="13945"/>
    <cellStyle name="Heading 1 2 2 5 2 2 3 2 2" xfId="13946"/>
    <cellStyle name="Heading 1 2 2 5 2 2 3 2 2 2" xfId="13947"/>
    <cellStyle name="Heading 1 2 2 5 2 2 3 2 3" xfId="13948"/>
    <cellStyle name="Heading 1 2 2 5 2 2 3 3" xfId="13949"/>
    <cellStyle name="Heading 1 2 2 5 2 2 3 3 2" xfId="13950"/>
    <cellStyle name="Heading 1 2 2 5 2 2 3 3 2 2" xfId="13951"/>
    <cellStyle name="Heading 1 2 2 5 2 2 3 3 3" xfId="13952"/>
    <cellStyle name="Heading 1 2 2 5 2 2 3 4" xfId="13953"/>
    <cellStyle name="Heading 1 2 2 5 2 2 3 4 2" xfId="13954"/>
    <cellStyle name="Heading 1 2 2 5 2 2 3 4 2 2" xfId="13955"/>
    <cellStyle name="Heading 1 2 2 5 2 2 3 4 3" xfId="13956"/>
    <cellStyle name="Heading 1 2 2 5 2 2 3 5" xfId="13957"/>
    <cellStyle name="Heading 1 2 2 5 2 2 3 5 2" xfId="13958"/>
    <cellStyle name="Heading 1 2 2 5 2 2 3 5 2 2" xfId="13959"/>
    <cellStyle name="Heading 1 2 2 5 2 2 3 5 3" xfId="13960"/>
    <cellStyle name="Heading 1 2 2 5 2 2 3 6" xfId="13961"/>
    <cellStyle name="Heading 1 2 2 5 2 2 3 6 2" xfId="13962"/>
    <cellStyle name="Heading 1 2 2 5 2 2 3 6 2 2" xfId="13963"/>
    <cellStyle name="Heading 1 2 2 5 2 2 3 6 3" xfId="13964"/>
    <cellStyle name="Heading 1 2 2 5 2 2 3 7" xfId="13965"/>
    <cellStyle name="Heading 1 2 2 5 2 2 3 7 2" xfId="13966"/>
    <cellStyle name="Heading 1 2 2 5 2 2 3 7 2 2" xfId="13967"/>
    <cellStyle name="Heading 1 2 2 5 2 2 3 7 3" xfId="13968"/>
    <cellStyle name="Heading 1 2 2 5 2 2 3 8" xfId="13969"/>
    <cellStyle name="Heading 1 2 2 5 2 2 3 8 2" xfId="13970"/>
    <cellStyle name="Heading 1 2 2 5 2 2 3 9" xfId="13971"/>
    <cellStyle name="Heading 1 2 2 5 2 2 4" xfId="13972"/>
    <cellStyle name="Heading 1 2 2 5 2 2 4 2" xfId="13973"/>
    <cellStyle name="Heading 1 2 2 5 2 2 4 2 2" xfId="13974"/>
    <cellStyle name="Heading 1 2 2 5 2 2 4 2 2 2" xfId="13975"/>
    <cellStyle name="Heading 1 2 2 5 2 2 4 2 3" xfId="13976"/>
    <cellStyle name="Heading 1 2 2 5 2 2 4 3" xfId="13977"/>
    <cellStyle name="Heading 1 2 2 5 2 2 4 3 2" xfId="13978"/>
    <cellStyle name="Heading 1 2 2 5 2 2 4 3 2 2" xfId="13979"/>
    <cellStyle name="Heading 1 2 2 5 2 2 4 3 3" xfId="13980"/>
    <cellStyle name="Heading 1 2 2 5 2 2 4 4" xfId="13981"/>
    <cellStyle name="Heading 1 2 2 5 2 2 4 4 2" xfId="13982"/>
    <cellStyle name="Heading 1 2 2 5 2 2 4 4 2 2" xfId="13983"/>
    <cellStyle name="Heading 1 2 2 5 2 2 4 4 3" xfId="13984"/>
    <cellStyle name="Heading 1 2 2 5 2 2 4 5" xfId="13985"/>
    <cellStyle name="Heading 1 2 2 5 2 2 4 5 2" xfId="13986"/>
    <cellStyle name="Heading 1 2 2 5 2 2 4 5 2 2" xfId="13987"/>
    <cellStyle name="Heading 1 2 2 5 2 2 4 5 3" xfId="13988"/>
    <cellStyle name="Heading 1 2 2 5 2 2 4 6" xfId="13989"/>
    <cellStyle name="Heading 1 2 2 5 2 2 4 6 2" xfId="13990"/>
    <cellStyle name="Heading 1 2 2 5 2 2 4 6 2 2" xfId="13991"/>
    <cellStyle name="Heading 1 2 2 5 2 2 4 6 3" xfId="13992"/>
    <cellStyle name="Heading 1 2 2 5 2 2 4 7" xfId="13993"/>
    <cellStyle name="Heading 1 2 2 5 2 2 4 7 2" xfId="13994"/>
    <cellStyle name="Heading 1 2 2 5 2 2 4 7 2 2" xfId="13995"/>
    <cellStyle name="Heading 1 2 2 5 2 2 4 7 3" xfId="13996"/>
    <cellStyle name="Heading 1 2 2 5 2 2 4 8" xfId="13997"/>
    <cellStyle name="Heading 1 2 2 5 2 2 4 8 2" xfId="13998"/>
    <cellStyle name="Heading 1 2 2 5 2 2 4 9" xfId="13999"/>
    <cellStyle name="Heading 1 2 2 5 2 2 5" xfId="14000"/>
    <cellStyle name="Heading 1 2 2 5 2 2 5 2" xfId="14001"/>
    <cellStyle name="Heading 1 2 2 5 2 2 5 2 2" xfId="14002"/>
    <cellStyle name="Heading 1 2 2 5 2 2 5 2 2 2" xfId="14003"/>
    <cellStyle name="Heading 1 2 2 5 2 2 5 2 3" xfId="14004"/>
    <cellStyle name="Heading 1 2 2 5 2 2 5 3" xfId="14005"/>
    <cellStyle name="Heading 1 2 2 5 2 2 5 3 2" xfId="14006"/>
    <cellStyle name="Heading 1 2 2 5 2 2 5 3 2 2" xfId="14007"/>
    <cellStyle name="Heading 1 2 2 5 2 2 5 3 3" xfId="14008"/>
    <cellStyle name="Heading 1 2 2 5 2 2 5 4" xfId="14009"/>
    <cellStyle name="Heading 1 2 2 5 2 2 5 4 2" xfId="14010"/>
    <cellStyle name="Heading 1 2 2 5 2 2 5 4 2 2" xfId="14011"/>
    <cellStyle name="Heading 1 2 2 5 2 2 5 4 3" xfId="14012"/>
    <cellStyle name="Heading 1 2 2 5 2 2 5 5" xfId="14013"/>
    <cellStyle name="Heading 1 2 2 5 2 2 5 5 2" xfId="14014"/>
    <cellStyle name="Heading 1 2 2 5 2 2 5 5 2 2" xfId="14015"/>
    <cellStyle name="Heading 1 2 2 5 2 2 5 5 3" xfId="14016"/>
    <cellStyle name="Heading 1 2 2 5 2 2 5 6" xfId="14017"/>
    <cellStyle name="Heading 1 2 2 5 2 2 5 6 2" xfId="14018"/>
    <cellStyle name="Heading 1 2 2 5 2 2 5 6 2 2" xfId="14019"/>
    <cellStyle name="Heading 1 2 2 5 2 2 5 6 3" xfId="14020"/>
    <cellStyle name="Heading 1 2 2 5 2 2 5 7" xfId="14021"/>
    <cellStyle name="Heading 1 2 2 5 2 2 5 7 2" xfId="14022"/>
    <cellStyle name="Heading 1 2 2 5 2 2 5 7 2 2" xfId="14023"/>
    <cellStyle name="Heading 1 2 2 5 2 2 5 7 3" xfId="14024"/>
    <cellStyle name="Heading 1 2 2 5 2 2 5 8" xfId="14025"/>
    <cellStyle name="Heading 1 2 2 5 2 2 5 8 2" xfId="14026"/>
    <cellStyle name="Heading 1 2 2 5 2 2 5 9" xfId="14027"/>
    <cellStyle name="Heading 1 2 2 5 2 2 6" xfId="14028"/>
    <cellStyle name="Heading 1 2 2 5 2 2 6 2" xfId="14029"/>
    <cellStyle name="Heading 1 2 2 5 2 2 6 2 2" xfId="14030"/>
    <cellStyle name="Heading 1 2 2 5 2 2 6 2 2 2" xfId="14031"/>
    <cellStyle name="Heading 1 2 2 5 2 2 6 2 3" xfId="14032"/>
    <cellStyle name="Heading 1 2 2 5 2 2 6 3" xfId="14033"/>
    <cellStyle name="Heading 1 2 2 5 2 2 6 3 2" xfId="14034"/>
    <cellStyle name="Heading 1 2 2 5 2 2 6 3 2 2" xfId="14035"/>
    <cellStyle name="Heading 1 2 2 5 2 2 6 3 3" xfId="14036"/>
    <cellStyle name="Heading 1 2 2 5 2 2 6 4" xfId="14037"/>
    <cellStyle name="Heading 1 2 2 5 2 2 6 4 2" xfId="14038"/>
    <cellStyle name="Heading 1 2 2 5 2 2 6 4 2 2" xfId="14039"/>
    <cellStyle name="Heading 1 2 2 5 2 2 6 4 3" xfId="14040"/>
    <cellStyle name="Heading 1 2 2 5 2 2 6 5" xfId="14041"/>
    <cellStyle name="Heading 1 2 2 5 2 2 6 5 2" xfId="14042"/>
    <cellStyle name="Heading 1 2 2 5 2 2 6 5 2 2" xfId="14043"/>
    <cellStyle name="Heading 1 2 2 5 2 2 6 5 3" xfId="14044"/>
    <cellStyle name="Heading 1 2 2 5 2 2 6 6" xfId="14045"/>
    <cellStyle name="Heading 1 2 2 5 2 2 6 6 2" xfId="14046"/>
    <cellStyle name="Heading 1 2 2 5 2 2 6 6 2 2" xfId="14047"/>
    <cellStyle name="Heading 1 2 2 5 2 2 6 6 3" xfId="14048"/>
    <cellStyle name="Heading 1 2 2 5 2 2 6 7" xfId="14049"/>
    <cellStyle name="Heading 1 2 2 5 2 2 6 7 2" xfId="14050"/>
    <cellStyle name="Heading 1 2 2 5 2 2 6 7 2 2" xfId="14051"/>
    <cellStyle name="Heading 1 2 2 5 2 2 6 7 3" xfId="14052"/>
    <cellStyle name="Heading 1 2 2 5 2 2 6 8" xfId="14053"/>
    <cellStyle name="Heading 1 2 2 5 2 2 6 8 2" xfId="14054"/>
    <cellStyle name="Heading 1 2 2 5 2 2 6 9" xfId="14055"/>
    <cellStyle name="Heading 1 2 2 5 2 2 7" xfId="14056"/>
    <cellStyle name="Heading 1 2 2 5 2 2 7 2" xfId="14057"/>
    <cellStyle name="Heading 1 2 2 5 2 2 7 2 2" xfId="14058"/>
    <cellStyle name="Heading 1 2 2 5 2 2 7 2 2 2" xfId="14059"/>
    <cellStyle name="Heading 1 2 2 5 2 2 7 2 3" xfId="14060"/>
    <cellStyle name="Heading 1 2 2 5 2 2 7 3" xfId="14061"/>
    <cellStyle name="Heading 1 2 2 5 2 2 7 3 2" xfId="14062"/>
    <cellStyle name="Heading 1 2 2 5 2 2 7 3 2 2" xfId="14063"/>
    <cellStyle name="Heading 1 2 2 5 2 2 7 3 3" xfId="14064"/>
    <cellStyle name="Heading 1 2 2 5 2 2 7 4" xfId="14065"/>
    <cellStyle name="Heading 1 2 2 5 2 2 7 4 2" xfId="14066"/>
    <cellStyle name="Heading 1 2 2 5 2 2 7 4 2 2" xfId="14067"/>
    <cellStyle name="Heading 1 2 2 5 2 2 7 4 3" xfId="14068"/>
    <cellStyle name="Heading 1 2 2 5 2 2 7 5" xfId="14069"/>
    <cellStyle name="Heading 1 2 2 5 2 2 7 5 2" xfId="14070"/>
    <cellStyle name="Heading 1 2 2 5 2 2 7 5 2 2" xfId="14071"/>
    <cellStyle name="Heading 1 2 2 5 2 2 7 5 3" xfId="14072"/>
    <cellStyle name="Heading 1 2 2 5 2 2 7 6" xfId="14073"/>
    <cellStyle name="Heading 1 2 2 5 2 2 7 6 2" xfId="14074"/>
    <cellStyle name="Heading 1 2 2 5 2 2 7 6 2 2" xfId="14075"/>
    <cellStyle name="Heading 1 2 2 5 2 2 7 6 3" xfId="14076"/>
    <cellStyle name="Heading 1 2 2 5 2 2 7 7" xfId="14077"/>
    <cellStyle name="Heading 1 2 2 5 2 2 7 7 2" xfId="14078"/>
    <cellStyle name="Heading 1 2 2 5 2 2 7 7 2 2" xfId="14079"/>
    <cellStyle name="Heading 1 2 2 5 2 2 7 7 3" xfId="14080"/>
    <cellStyle name="Heading 1 2 2 5 2 2 7 8" xfId="14081"/>
    <cellStyle name="Heading 1 2 2 5 2 2 7 8 2" xfId="14082"/>
    <cellStyle name="Heading 1 2 2 5 2 2 7 9" xfId="14083"/>
    <cellStyle name="Heading 1 2 2 5 2 2 8" xfId="14084"/>
    <cellStyle name="Heading 1 2 2 5 2 2 8 2" xfId="14085"/>
    <cellStyle name="Heading 1 2 2 5 2 2 8 2 2" xfId="14086"/>
    <cellStyle name="Heading 1 2 2 5 2 2 8 2 2 2" xfId="14087"/>
    <cellStyle name="Heading 1 2 2 5 2 2 8 2 3" xfId="14088"/>
    <cellStyle name="Heading 1 2 2 5 2 2 8 3" xfId="14089"/>
    <cellStyle name="Heading 1 2 2 5 2 2 8 3 2" xfId="14090"/>
    <cellStyle name="Heading 1 2 2 5 2 2 8 3 2 2" xfId="14091"/>
    <cellStyle name="Heading 1 2 2 5 2 2 8 3 3" xfId="14092"/>
    <cellStyle name="Heading 1 2 2 5 2 2 8 4" xfId="14093"/>
    <cellStyle name="Heading 1 2 2 5 2 2 8 4 2" xfId="14094"/>
    <cellStyle name="Heading 1 2 2 5 2 2 8 4 2 2" xfId="14095"/>
    <cellStyle name="Heading 1 2 2 5 2 2 8 4 3" xfId="14096"/>
    <cellStyle name="Heading 1 2 2 5 2 2 8 5" xfId="14097"/>
    <cellStyle name="Heading 1 2 2 5 2 2 8 5 2" xfId="14098"/>
    <cellStyle name="Heading 1 2 2 5 2 2 8 5 2 2" xfId="14099"/>
    <cellStyle name="Heading 1 2 2 5 2 2 8 5 3" xfId="14100"/>
    <cellStyle name="Heading 1 2 2 5 2 2 8 6" xfId="14101"/>
    <cellStyle name="Heading 1 2 2 5 2 2 8 6 2" xfId="14102"/>
    <cellStyle name="Heading 1 2 2 5 2 2 8 6 2 2" xfId="14103"/>
    <cellStyle name="Heading 1 2 2 5 2 2 8 6 3" xfId="14104"/>
    <cellStyle name="Heading 1 2 2 5 2 2 8 7" xfId="14105"/>
    <cellStyle name="Heading 1 2 2 5 2 2 8 7 2" xfId="14106"/>
    <cellStyle name="Heading 1 2 2 5 2 2 8 7 2 2" xfId="14107"/>
    <cellStyle name="Heading 1 2 2 5 2 2 8 7 3" xfId="14108"/>
    <cellStyle name="Heading 1 2 2 5 2 2 8 8" xfId="14109"/>
    <cellStyle name="Heading 1 2 2 5 2 2 8 8 2" xfId="14110"/>
    <cellStyle name="Heading 1 2 2 5 2 2 8 9" xfId="14111"/>
    <cellStyle name="Heading 1 2 2 5 2 2 9" xfId="14112"/>
    <cellStyle name="Heading 1 2 2 5 2 2 9 2" xfId="14113"/>
    <cellStyle name="Heading 1 2 2 5 2 2 9 2 2" xfId="14114"/>
    <cellStyle name="Heading 1 2 2 5 2 2 9 3" xfId="14115"/>
    <cellStyle name="Heading 1 2 2 5 2 20" xfId="14116"/>
    <cellStyle name="Heading 1 2 2 5 2 20 2" xfId="14117"/>
    <cellStyle name="Heading 1 2 2 5 2 21" xfId="14118"/>
    <cellStyle name="Heading 1 2 2 5 2 21 2" xfId="14119"/>
    <cellStyle name="Heading 1 2 2 5 2 22" xfId="14120"/>
    <cellStyle name="Heading 1 2 2 5 2 22 2" xfId="14121"/>
    <cellStyle name="Heading 1 2 2 5 2 23" xfId="14122"/>
    <cellStyle name="Heading 1 2 2 5 2 3" xfId="14123"/>
    <cellStyle name="Heading 1 2 2 5 2 3 2" xfId="14124"/>
    <cellStyle name="Heading 1 2 2 5 2 3 2 2" xfId="14125"/>
    <cellStyle name="Heading 1 2 2 5 2 3 2 2 2" xfId="14126"/>
    <cellStyle name="Heading 1 2 2 5 2 3 2 3" xfId="14127"/>
    <cellStyle name="Heading 1 2 2 5 2 3 3" xfId="14128"/>
    <cellStyle name="Heading 1 2 2 5 2 3 3 2" xfId="14129"/>
    <cellStyle name="Heading 1 2 2 5 2 3 3 2 2" xfId="14130"/>
    <cellStyle name="Heading 1 2 2 5 2 3 3 3" xfId="14131"/>
    <cellStyle name="Heading 1 2 2 5 2 3 4" xfId="14132"/>
    <cellStyle name="Heading 1 2 2 5 2 3 4 2" xfId="14133"/>
    <cellStyle name="Heading 1 2 2 5 2 3 4 2 2" xfId="14134"/>
    <cellStyle name="Heading 1 2 2 5 2 3 4 3" xfId="14135"/>
    <cellStyle name="Heading 1 2 2 5 2 3 5" xfId="14136"/>
    <cellStyle name="Heading 1 2 2 5 2 3 5 2" xfId="14137"/>
    <cellStyle name="Heading 1 2 2 5 2 3 5 2 2" xfId="14138"/>
    <cellStyle name="Heading 1 2 2 5 2 3 5 3" xfId="14139"/>
    <cellStyle name="Heading 1 2 2 5 2 3 6" xfId="14140"/>
    <cellStyle name="Heading 1 2 2 5 2 3 6 2" xfId="14141"/>
    <cellStyle name="Heading 1 2 2 5 2 3 6 2 2" xfId="14142"/>
    <cellStyle name="Heading 1 2 2 5 2 3 6 3" xfId="14143"/>
    <cellStyle name="Heading 1 2 2 5 2 3 7" xfId="14144"/>
    <cellStyle name="Heading 1 2 2 5 2 3 7 2" xfId="14145"/>
    <cellStyle name="Heading 1 2 2 5 2 3 7 2 2" xfId="14146"/>
    <cellStyle name="Heading 1 2 2 5 2 3 7 3" xfId="14147"/>
    <cellStyle name="Heading 1 2 2 5 2 3 8" xfId="14148"/>
    <cellStyle name="Heading 1 2 2 5 2 3 8 2" xfId="14149"/>
    <cellStyle name="Heading 1 2 2 5 2 3 9" xfId="14150"/>
    <cellStyle name="Heading 1 2 2 5 2 4" xfId="14151"/>
    <cellStyle name="Heading 1 2 2 5 2 4 2" xfId="14152"/>
    <cellStyle name="Heading 1 2 2 5 2 4 2 2" xfId="14153"/>
    <cellStyle name="Heading 1 2 2 5 2 4 2 2 2" xfId="14154"/>
    <cellStyle name="Heading 1 2 2 5 2 4 2 3" xfId="14155"/>
    <cellStyle name="Heading 1 2 2 5 2 4 3" xfId="14156"/>
    <cellStyle name="Heading 1 2 2 5 2 4 3 2" xfId="14157"/>
    <cellStyle name="Heading 1 2 2 5 2 4 3 2 2" xfId="14158"/>
    <cellStyle name="Heading 1 2 2 5 2 4 3 3" xfId="14159"/>
    <cellStyle name="Heading 1 2 2 5 2 4 4" xfId="14160"/>
    <cellStyle name="Heading 1 2 2 5 2 4 4 2" xfId="14161"/>
    <cellStyle name="Heading 1 2 2 5 2 4 4 2 2" xfId="14162"/>
    <cellStyle name="Heading 1 2 2 5 2 4 4 3" xfId="14163"/>
    <cellStyle name="Heading 1 2 2 5 2 4 5" xfId="14164"/>
    <cellStyle name="Heading 1 2 2 5 2 4 5 2" xfId="14165"/>
    <cellStyle name="Heading 1 2 2 5 2 4 5 2 2" xfId="14166"/>
    <cellStyle name="Heading 1 2 2 5 2 4 5 3" xfId="14167"/>
    <cellStyle name="Heading 1 2 2 5 2 4 6" xfId="14168"/>
    <cellStyle name="Heading 1 2 2 5 2 4 6 2" xfId="14169"/>
    <cellStyle name="Heading 1 2 2 5 2 4 6 2 2" xfId="14170"/>
    <cellStyle name="Heading 1 2 2 5 2 4 6 3" xfId="14171"/>
    <cellStyle name="Heading 1 2 2 5 2 4 7" xfId="14172"/>
    <cellStyle name="Heading 1 2 2 5 2 4 7 2" xfId="14173"/>
    <cellStyle name="Heading 1 2 2 5 2 4 7 2 2" xfId="14174"/>
    <cellStyle name="Heading 1 2 2 5 2 4 7 3" xfId="14175"/>
    <cellStyle name="Heading 1 2 2 5 2 4 8" xfId="14176"/>
    <cellStyle name="Heading 1 2 2 5 2 4 8 2" xfId="14177"/>
    <cellStyle name="Heading 1 2 2 5 2 4 9" xfId="14178"/>
    <cellStyle name="Heading 1 2 2 5 2 5" xfId="14179"/>
    <cellStyle name="Heading 1 2 2 5 2 5 2" xfId="14180"/>
    <cellStyle name="Heading 1 2 2 5 2 5 2 2" xfId="14181"/>
    <cellStyle name="Heading 1 2 2 5 2 5 2 2 2" xfId="14182"/>
    <cellStyle name="Heading 1 2 2 5 2 5 2 3" xfId="14183"/>
    <cellStyle name="Heading 1 2 2 5 2 5 3" xfId="14184"/>
    <cellStyle name="Heading 1 2 2 5 2 5 3 2" xfId="14185"/>
    <cellStyle name="Heading 1 2 2 5 2 5 3 2 2" xfId="14186"/>
    <cellStyle name="Heading 1 2 2 5 2 5 3 3" xfId="14187"/>
    <cellStyle name="Heading 1 2 2 5 2 5 4" xfId="14188"/>
    <cellStyle name="Heading 1 2 2 5 2 5 4 2" xfId="14189"/>
    <cellStyle name="Heading 1 2 2 5 2 5 4 2 2" xfId="14190"/>
    <cellStyle name="Heading 1 2 2 5 2 5 4 3" xfId="14191"/>
    <cellStyle name="Heading 1 2 2 5 2 5 5" xfId="14192"/>
    <cellStyle name="Heading 1 2 2 5 2 5 5 2" xfId="14193"/>
    <cellStyle name="Heading 1 2 2 5 2 5 5 2 2" xfId="14194"/>
    <cellStyle name="Heading 1 2 2 5 2 5 5 3" xfId="14195"/>
    <cellStyle name="Heading 1 2 2 5 2 5 6" xfId="14196"/>
    <cellStyle name="Heading 1 2 2 5 2 5 6 2" xfId="14197"/>
    <cellStyle name="Heading 1 2 2 5 2 5 6 2 2" xfId="14198"/>
    <cellStyle name="Heading 1 2 2 5 2 5 6 3" xfId="14199"/>
    <cellStyle name="Heading 1 2 2 5 2 5 7" xfId="14200"/>
    <cellStyle name="Heading 1 2 2 5 2 5 7 2" xfId="14201"/>
    <cellStyle name="Heading 1 2 2 5 2 5 7 2 2" xfId="14202"/>
    <cellStyle name="Heading 1 2 2 5 2 5 7 3" xfId="14203"/>
    <cellStyle name="Heading 1 2 2 5 2 5 8" xfId="14204"/>
    <cellStyle name="Heading 1 2 2 5 2 5 8 2" xfId="14205"/>
    <cellStyle name="Heading 1 2 2 5 2 5 9" xfId="14206"/>
    <cellStyle name="Heading 1 2 2 5 2 6" xfId="14207"/>
    <cellStyle name="Heading 1 2 2 5 2 6 2" xfId="14208"/>
    <cellStyle name="Heading 1 2 2 5 2 6 2 2" xfId="14209"/>
    <cellStyle name="Heading 1 2 2 5 2 6 2 2 2" xfId="14210"/>
    <cellStyle name="Heading 1 2 2 5 2 6 2 3" xfId="14211"/>
    <cellStyle name="Heading 1 2 2 5 2 6 3" xfId="14212"/>
    <cellStyle name="Heading 1 2 2 5 2 6 3 2" xfId="14213"/>
    <cellStyle name="Heading 1 2 2 5 2 6 3 2 2" xfId="14214"/>
    <cellStyle name="Heading 1 2 2 5 2 6 3 3" xfId="14215"/>
    <cellStyle name="Heading 1 2 2 5 2 6 4" xfId="14216"/>
    <cellStyle name="Heading 1 2 2 5 2 6 4 2" xfId="14217"/>
    <cellStyle name="Heading 1 2 2 5 2 6 4 2 2" xfId="14218"/>
    <cellStyle name="Heading 1 2 2 5 2 6 4 3" xfId="14219"/>
    <cellStyle name="Heading 1 2 2 5 2 6 5" xfId="14220"/>
    <cellStyle name="Heading 1 2 2 5 2 6 5 2" xfId="14221"/>
    <cellStyle name="Heading 1 2 2 5 2 6 5 2 2" xfId="14222"/>
    <cellStyle name="Heading 1 2 2 5 2 6 5 3" xfId="14223"/>
    <cellStyle name="Heading 1 2 2 5 2 6 6" xfId="14224"/>
    <cellStyle name="Heading 1 2 2 5 2 6 6 2" xfId="14225"/>
    <cellStyle name="Heading 1 2 2 5 2 6 6 2 2" xfId="14226"/>
    <cellStyle name="Heading 1 2 2 5 2 6 6 3" xfId="14227"/>
    <cellStyle name="Heading 1 2 2 5 2 6 7" xfId="14228"/>
    <cellStyle name="Heading 1 2 2 5 2 6 7 2" xfId="14229"/>
    <cellStyle name="Heading 1 2 2 5 2 6 7 2 2" xfId="14230"/>
    <cellStyle name="Heading 1 2 2 5 2 6 7 3" xfId="14231"/>
    <cellStyle name="Heading 1 2 2 5 2 6 8" xfId="14232"/>
    <cellStyle name="Heading 1 2 2 5 2 6 8 2" xfId="14233"/>
    <cellStyle name="Heading 1 2 2 5 2 6 9" xfId="14234"/>
    <cellStyle name="Heading 1 2 2 5 2 7" xfId="14235"/>
    <cellStyle name="Heading 1 2 2 5 2 7 2" xfId="14236"/>
    <cellStyle name="Heading 1 2 2 5 2 7 2 2" xfId="14237"/>
    <cellStyle name="Heading 1 2 2 5 2 7 2 2 2" xfId="14238"/>
    <cellStyle name="Heading 1 2 2 5 2 7 2 3" xfId="14239"/>
    <cellStyle name="Heading 1 2 2 5 2 7 3" xfId="14240"/>
    <cellStyle name="Heading 1 2 2 5 2 7 3 2" xfId="14241"/>
    <cellStyle name="Heading 1 2 2 5 2 7 3 2 2" xfId="14242"/>
    <cellStyle name="Heading 1 2 2 5 2 7 3 3" xfId="14243"/>
    <cellStyle name="Heading 1 2 2 5 2 7 4" xfId="14244"/>
    <cellStyle name="Heading 1 2 2 5 2 7 4 2" xfId="14245"/>
    <cellStyle name="Heading 1 2 2 5 2 7 4 2 2" xfId="14246"/>
    <cellStyle name="Heading 1 2 2 5 2 7 4 3" xfId="14247"/>
    <cellStyle name="Heading 1 2 2 5 2 7 5" xfId="14248"/>
    <cellStyle name="Heading 1 2 2 5 2 7 5 2" xfId="14249"/>
    <cellStyle name="Heading 1 2 2 5 2 7 5 2 2" xfId="14250"/>
    <cellStyle name="Heading 1 2 2 5 2 7 5 3" xfId="14251"/>
    <cellStyle name="Heading 1 2 2 5 2 7 6" xfId="14252"/>
    <cellStyle name="Heading 1 2 2 5 2 7 6 2" xfId="14253"/>
    <cellStyle name="Heading 1 2 2 5 2 7 6 2 2" xfId="14254"/>
    <cellStyle name="Heading 1 2 2 5 2 7 6 3" xfId="14255"/>
    <cellStyle name="Heading 1 2 2 5 2 7 7" xfId="14256"/>
    <cellStyle name="Heading 1 2 2 5 2 7 7 2" xfId="14257"/>
    <cellStyle name="Heading 1 2 2 5 2 7 7 2 2" xfId="14258"/>
    <cellStyle name="Heading 1 2 2 5 2 7 7 3" xfId="14259"/>
    <cellStyle name="Heading 1 2 2 5 2 7 8" xfId="14260"/>
    <cellStyle name="Heading 1 2 2 5 2 7 8 2" xfId="14261"/>
    <cellStyle name="Heading 1 2 2 5 2 7 9" xfId="14262"/>
    <cellStyle name="Heading 1 2 2 5 2 8" xfId="14263"/>
    <cellStyle name="Heading 1 2 2 5 2 8 2" xfId="14264"/>
    <cellStyle name="Heading 1 2 2 5 2 8 2 2" xfId="14265"/>
    <cellStyle name="Heading 1 2 2 5 2 8 2 2 2" xfId="14266"/>
    <cellStyle name="Heading 1 2 2 5 2 8 2 3" xfId="14267"/>
    <cellStyle name="Heading 1 2 2 5 2 8 3" xfId="14268"/>
    <cellStyle name="Heading 1 2 2 5 2 8 3 2" xfId="14269"/>
    <cellStyle name="Heading 1 2 2 5 2 8 3 2 2" xfId="14270"/>
    <cellStyle name="Heading 1 2 2 5 2 8 3 3" xfId="14271"/>
    <cellStyle name="Heading 1 2 2 5 2 8 4" xfId="14272"/>
    <cellStyle name="Heading 1 2 2 5 2 8 4 2" xfId="14273"/>
    <cellStyle name="Heading 1 2 2 5 2 8 4 2 2" xfId="14274"/>
    <cellStyle name="Heading 1 2 2 5 2 8 4 3" xfId="14275"/>
    <cellStyle name="Heading 1 2 2 5 2 8 5" xfId="14276"/>
    <cellStyle name="Heading 1 2 2 5 2 8 5 2" xfId="14277"/>
    <cellStyle name="Heading 1 2 2 5 2 8 5 2 2" xfId="14278"/>
    <cellStyle name="Heading 1 2 2 5 2 8 5 3" xfId="14279"/>
    <cellStyle name="Heading 1 2 2 5 2 8 6" xfId="14280"/>
    <cellStyle name="Heading 1 2 2 5 2 8 6 2" xfId="14281"/>
    <cellStyle name="Heading 1 2 2 5 2 8 6 2 2" xfId="14282"/>
    <cellStyle name="Heading 1 2 2 5 2 8 6 3" xfId="14283"/>
    <cellStyle name="Heading 1 2 2 5 2 8 7" xfId="14284"/>
    <cellStyle name="Heading 1 2 2 5 2 8 7 2" xfId="14285"/>
    <cellStyle name="Heading 1 2 2 5 2 8 7 2 2" xfId="14286"/>
    <cellStyle name="Heading 1 2 2 5 2 8 7 3" xfId="14287"/>
    <cellStyle name="Heading 1 2 2 5 2 8 8" xfId="14288"/>
    <cellStyle name="Heading 1 2 2 5 2 8 8 2" xfId="14289"/>
    <cellStyle name="Heading 1 2 2 5 2 8 9" xfId="14290"/>
    <cellStyle name="Heading 1 2 2 5 2 9" xfId="14291"/>
    <cellStyle name="Heading 1 2 2 5 2 9 2" xfId="14292"/>
    <cellStyle name="Heading 1 2 2 5 2 9 2 2" xfId="14293"/>
    <cellStyle name="Heading 1 2 2 5 2 9 2 2 2" xfId="14294"/>
    <cellStyle name="Heading 1 2 2 5 2 9 2 3" xfId="14295"/>
    <cellStyle name="Heading 1 2 2 5 2 9 3" xfId="14296"/>
    <cellStyle name="Heading 1 2 2 5 2 9 3 2" xfId="14297"/>
    <cellStyle name="Heading 1 2 2 5 2 9 3 2 2" xfId="14298"/>
    <cellStyle name="Heading 1 2 2 5 2 9 3 3" xfId="14299"/>
    <cellStyle name="Heading 1 2 2 5 2 9 4" xfId="14300"/>
    <cellStyle name="Heading 1 2 2 5 2 9 4 2" xfId="14301"/>
    <cellStyle name="Heading 1 2 2 5 2 9 4 2 2" xfId="14302"/>
    <cellStyle name="Heading 1 2 2 5 2 9 4 3" xfId="14303"/>
    <cellStyle name="Heading 1 2 2 5 2 9 5" xfId="14304"/>
    <cellStyle name="Heading 1 2 2 5 2 9 5 2" xfId="14305"/>
    <cellStyle name="Heading 1 2 2 5 2 9 5 2 2" xfId="14306"/>
    <cellStyle name="Heading 1 2 2 5 2 9 5 3" xfId="14307"/>
    <cellStyle name="Heading 1 2 2 5 2 9 6" xfId="14308"/>
    <cellStyle name="Heading 1 2 2 5 2 9 6 2" xfId="14309"/>
    <cellStyle name="Heading 1 2 2 5 2 9 6 2 2" xfId="14310"/>
    <cellStyle name="Heading 1 2 2 5 2 9 6 3" xfId="14311"/>
    <cellStyle name="Heading 1 2 2 5 2 9 7" xfId="14312"/>
    <cellStyle name="Heading 1 2 2 5 2 9 7 2" xfId="14313"/>
    <cellStyle name="Heading 1 2 2 5 2 9 7 2 2" xfId="14314"/>
    <cellStyle name="Heading 1 2 2 5 2 9 7 3" xfId="14315"/>
    <cellStyle name="Heading 1 2 2 5 2 9 8" xfId="14316"/>
    <cellStyle name="Heading 1 2 2 5 2 9 8 2" xfId="14317"/>
    <cellStyle name="Heading 1 2 2 5 2 9 9" xfId="14318"/>
    <cellStyle name="Heading 1 2 2 5 3" xfId="14319"/>
    <cellStyle name="Heading 1 2 2 5 3 10" xfId="14320"/>
    <cellStyle name="Heading 1 2 2 5 3 10 2" xfId="14321"/>
    <cellStyle name="Heading 1 2 2 5 3 10 2 2" xfId="14322"/>
    <cellStyle name="Heading 1 2 2 5 3 10 3" xfId="14323"/>
    <cellStyle name="Heading 1 2 2 5 3 11" xfId="14324"/>
    <cellStyle name="Heading 1 2 2 5 3 11 2" xfId="14325"/>
    <cellStyle name="Heading 1 2 2 5 3 11 2 2" xfId="14326"/>
    <cellStyle name="Heading 1 2 2 5 3 11 3" xfId="14327"/>
    <cellStyle name="Heading 1 2 2 5 3 12" xfId="14328"/>
    <cellStyle name="Heading 1 2 2 5 3 12 2" xfId="14329"/>
    <cellStyle name="Heading 1 2 2 5 3 12 2 2" xfId="14330"/>
    <cellStyle name="Heading 1 2 2 5 3 12 3" xfId="14331"/>
    <cellStyle name="Heading 1 2 2 5 3 13" xfId="14332"/>
    <cellStyle name="Heading 1 2 2 5 3 13 2" xfId="14333"/>
    <cellStyle name="Heading 1 2 2 5 3 13 2 2" xfId="14334"/>
    <cellStyle name="Heading 1 2 2 5 3 13 3" xfId="14335"/>
    <cellStyle name="Heading 1 2 2 5 3 14" xfId="14336"/>
    <cellStyle name="Heading 1 2 2 5 3 14 2" xfId="14337"/>
    <cellStyle name="Heading 1 2 2 5 3 14 2 2" xfId="14338"/>
    <cellStyle name="Heading 1 2 2 5 3 14 3" xfId="14339"/>
    <cellStyle name="Heading 1 2 2 5 3 15" xfId="14340"/>
    <cellStyle name="Heading 1 2 2 5 3 15 2" xfId="14341"/>
    <cellStyle name="Heading 1 2 2 5 3 15 2 2" xfId="14342"/>
    <cellStyle name="Heading 1 2 2 5 3 15 3" xfId="14343"/>
    <cellStyle name="Heading 1 2 2 5 3 16" xfId="14344"/>
    <cellStyle name="Heading 1 2 2 5 3 16 2" xfId="14345"/>
    <cellStyle name="Heading 1 2 2 5 3 16 2 2" xfId="14346"/>
    <cellStyle name="Heading 1 2 2 5 3 16 3" xfId="14347"/>
    <cellStyle name="Heading 1 2 2 5 3 17" xfId="14348"/>
    <cellStyle name="Heading 1 2 2 5 3 17 2" xfId="14349"/>
    <cellStyle name="Heading 1 2 2 5 3 17 2 2" xfId="14350"/>
    <cellStyle name="Heading 1 2 2 5 3 17 3" xfId="14351"/>
    <cellStyle name="Heading 1 2 2 5 3 18" xfId="14352"/>
    <cellStyle name="Heading 1 2 2 5 3 18 2" xfId="14353"/>
    <cellStyle name="Heading 1 2 2 5 3 18 2 2" xfId="14354"/>
    <cellStyle name="Heading 1 2 2 5 3 18 3" xfId="14355"/>
    <cellStyle name="Heading 1 2 2 5 3 19" xfId="14356"/>
    <cellStyle name="Heading 1 2 2 5 3 19 2" xfId="14357"/>
    <cellStyle name="Heading 1 2 2 5 3 2" xfId="14358"/>
    <cellStyle name="Heading 1 2 2 5 3 2 2" xfId="14359"/>
    <cellStyle name="Heading 1 2 2 5 3 2 2 2" xfId="14360"/>
    <cellStyle name="Heading 1 2 2 5 3 2 2 2 2" xfId="14361"/>
    <cellStyle name="Heading 1 2 2 5 3 2 2 3" xfId="14362"/>
    <cellStyle name="Heading 1 2 2 5 3 2 3" xfId="14363"/>
    <cellStyle name="Heading 1 2 2 5 3 2 3 2" xfId="14364"/>
    <cellStyle name="Heading 1 2 2 5 3 2 3 2 2" xfId="14365"/>
    <cellStyle name="Heading 1 2 2 5 3 2 3 3" xfId="14366"/>
    <cellStyle name="Heading 1 2 2 5 3 2 4" xfId="14367"/>
    <cellStyle name="Heading 1 2 2 5 3 2 4 2" xfId="14368"/>
    <cellStyle name="Heading 1 2 2 5 3 2 4 2 2" xfId="14369"/>
    <cellStyle name="Heading 1 2 2 5 3 2 4 3" xfId="14370"/>
    <cellStyle name="Heading 1 2 2 5 3 2 5" xfId="14371"/>
    <cellStyle name="Heading 1 2 2 5 3 2 5 2" xfId="14372"/>
    <cellStyle name="Heading 1 2 2 5 3 2 5 2 2" xfId="14373"/>
    <cellStyle name="Heading 1 2 2 5 3 2 5 3" xfId="14374"/>
    <cellStyle name="Heading 1 2 2 5 3 2 6" xfId="14375"/>
    <cellStyle name="Heading 1 2 2 5 3 2 6 2" xfId="14376"/>
    <cellStyle name="Heading 1 2 2 5 3 2 6 2 2" xfId="14377"/>
    <cellStyle name="Heading 1 2 2 5 3 2 6 3" xfId="14378"/>
    <cellStyle name="Heading 1 2 2 5 3 2 7" xfId="14379"/>
    <cellStyle name="Heading 1 2 2 5 3 2 7 2" xfId="14380"/>
    <cellStyle name="Heading 1 2 2 5 3 2 7 2 2" xfId="14381"/>
    <cellStyle name="Heading 1 2 2 5 3 2 7 3" xfId="14382"/>
    <cellStyle name="Heading 1 2 2 5 3 2 8" xfId="14383"/>
    <cellStyle name="Heading 1 2 2 5 3 2 8 2" xfId="14384"/>
    <cellStyle name="Heading 1 2 2 5 3 2 9" xfId="14385"/>
    <cellStyle name="Heading 1 2 2 5 3 20" xfId="14386"/>
    <cellStyle name="Heading 1 2 2 5 3 20 2" xfId="14387"/>
    <cellStyle name="Heading 1 2 2 5 3 21" xfId="14388"/>
    <cellStyle name="Heading 1 2 2 5 3 21 2" xfId="14389"/>
    <cellStyle name="Heading 1 2 2 5 3 22" xfId="14390"/>
    <cellStyle name="Heading 1 2 2 5 3 3" xfId="14391"/>
    <cellStyle name="Heading 1 2 2 5 3 3 2" xfId="14392"/>
    <cellStyle name="Heading 1 2 2 5 3 3 2 2" xfId="14393"/>
    <cellStyle name="Heading 1 2 2 5 3 3 2 2 2" xfId="14394"/>
    <cellStyle name="Heading 1 2 2 5 3 3 2 3" xfId="14395"/>
    <cellStyle name="Heading 1 2 2 5 3 3 3" xfId="14396"/>
    <cellStyle name="Heading 1 2 2 5 3 3 3 2" xfId="14397"/>
    <cellStyle name="Heading 1 2 2 5 3 3 3 2 2" xfId="14398"/>
    <cellStyle name="Heading 1 2 2 5 3 3 3 3" xfId="14399"/>
    <cellStyle name="Heading 1 2 2 5 3 3 4" xfId="14400"/>
    <cellStyle name="Heading 1 2 2 5 3 3 4 2" xfId="14401"/>
    <cellStyle name="Heading 1 2 2 5 3 3 4 2 2" xfId="14402"/>
    <cellStyle name="Heading 1 2 2 5 3 3 4 3" xfId="14403"/>
    <cellStyle name="Heading 1 2 2 5 3 3 5" xfId="14404"/>
    <cellStyle name="Heading 1 2 2 5 3 3 5 2" xfId="14405"/>
    <cellStyle name="Heading 1 2 2 5 3 3 5 2 2" xfId="14406"/>
    <cellStyle name="Heading 1 2 2 5 3 3 5 3" xfId="14407"/>
    <cellStyle name="Heading 1 2 2 5 3 3 6" xfId="14408"/>
    <cellStyle name="Heading 1 2 2 5 3 3 6 2" xfId="14409"/>
    <cellStyle name="Heading 1 2 2 5 3 3 6 2 2" xfId="14410"/>
    <cellStyle name="Heading 1 2 2 5 3 3 6 3" xfId="14411"/>
    <cellStyle name="Heading 1 2 2 5 3 3 7" xfId="14412"/>
    <cellStyle name="Heading 1 2 2 5 3 3 7 2" xfId="14413"/>
    <cellStyle name="Heading 1 2 2 5 3 3 7 2 2" xfId="14414"/>
    <cellStyle name="Heading 1 2 2 5 3 3 7 3" xfId="14415"/>
    <cellStyle name="Heading 1 2 2 5 3 3 8" xfId="14416"/>
    <cellStyle name="Heading 1 2 2 5 3 3 8 2" xfId="14417"/>
    <cellStyle name="Heading 1 2 2 5 3 3 9" xfId="14418"/>
    <cellStyle name="Heading 1 2 2 5 3 4" xfId="14419"/>
    <cellStyle name="Heading 1 2 2 5 3 4 2" xfId="14420"/>
    <cellStyle name="Heading 1 2 2 5 3 4 2 2" xfId="14421"/>
    <cellStyle name="Heading 1 2 2 5 3 4 2 2 2" xfId="14422"/>
    <cellStyle name="Heading 1 2 2 5 3 4 2 3" xfId="14423"/>
    <cellStyle name="Heading 1 2 2 5 3 4 3" xfId="14424"/>
    <cellStyle name="Heading 1 2 2 5 3 4 3 2" xfId="14425"/>
    <cellStyle name="Heading 1 2 2 5 3 4 3 2 2" xfId="14426"/>
    <cellStyle name="Heading 1 2 2 5 3 4 3 3" xfId="14427"/>
    <cellStyle name="Heading 1 2 2 5 3 4 4" xfId="14428"/>
    <cellStyle name="Heading 1 2 2 5 3 4 4 2" xfId="14429"/>
    <cellStyle name="Heading 1 2 2 5 3 4 4 2 2" xfId="14430"/>
    <cellStyle name="Heading 1 2 2 5 3 4 4 3" xfId="14431"/>
    <cellStyle name="Heading 1 2 2 5 3 4 5" xfId="14432"/>
    <cellStyle name="Heading 1 2 2 5 3 4 5 2" xfId="14433"/>
    <cellStyle name="Heading 1 2 2 5 3 4 5 2 2" xfId="14434"/>
    <cellStyle name="Heading 1 2 2 5 3 4 5 3" xfId="14435"/>
    <cellStyle name="Heading 1 2 2 5 3 4 6" xfId="14436"/>
    <cellStyle name="Heading 1 2 2 5 3 4 6 2" xfId="14437"/>
    <cellStyle name="Heading 1 2 2 5 3 4 6 2 2" xfId="14438"/>
    <cellStyle name="Heading 1 2 2 5 3 4 6 3" xfId="14439"/>
    <cellStyle name="Heading 1 2 2 5 3 4 7" xfId="14440"/>
    <cellStyle name="Heading 1 2 2 5 3 4 7 2" xfId="14441"/>
    <cellStyle name="Heading 1 2 2 5 3 4 7 2 2" xfId="14442"/>
    <cellStyle name="Heading 1 2 2 5 3 4 7 3" xfId="14443"/>
    <cellStyle name="Heading 1 2 2 5 3 4 8" xfId="14444"/>
    <cellStyle name="Heading 1 2 2 5 3 4 8 2" xfId="14445"/>
    <cellStyle name="Heading 1 2 2 5 3 4 9" xfId="14446"/>
    <cellStyle name="Heading 1 2 2 5 3 5" xfId="14447"/>
    <cellStyle name="Heading 1 2 2 5 3 5 2" xfId="14448"/>
    <cellStyle name="Heading 1 2 2 5 3 5 2 2" xfId="14449"/>
    <cellStyle name="Heading 1 2 2 5 3 5 2 2 2" xfId="14450"/>
    <cellStyle name="Heading 1 2 2 5 3 5 2 3" xfId="14451"/>
    <cellStyle name="Heading 1 2 2 5 3 5 3" xfId="14452"/>
    <cellStyle name="Heading 1 2 2 5 3 5 3 2" xfId="14453"/>
    <cellStyle name="Heading 1 2 2 5 3 5 3 2 2" xfId="14454"/>
    <cellStyle name="Heading 1 2 2 5 3 5 3 3" xfId="14455"/>
    <cellStyle name="Heading 1 2 2 5 3 5 4" xfId="14456"/>
    <cellStyle name="Heading 1 2 2 5 3 5 4 2" xfId="14457"/>
    <cellStyle name="Heading 1 2 2 5 3 5 4 2 2" xfId="14458"/>
    <cellStyle name="Heading 1 2 2 5 3 5 4 3" xfId="14459"/>
    <cellStyle name="Heading 1 2 2 5 3 5 5" xfId="14460"/>
    <cellStyle name="Heading 1 2 2 5 3 5 5 2" xfId="14461"/>
    <cellStyle name="Heading 1 2 2 5 3 5 5 2 2" xfId="14462"/>
    <cellStyle name="Heading 1 2 2 5 3 5 5 3" xfId="14463"/>
    <cellStyle name="Heading 1 2 2 5 3 5 6" xfId="14464"/>
    <cellStyle name="Heading 1 2 2 5 3 5 6 2" xfId="14465"/>
    <cellStyle name="Heading 1 2 2 5 3 5 6 2 2" xfId="14466"/>
    <cellStyle name="Heading 1 2 2 5 3 5 6 3" xfId="14467"/>
    <cellStyle name="Heading 1 2 2 5 3 5 7" xfId="14468"/>
    <cellStyle name="Heading 1 2 2 5 3 5 7 2" xfId="14469"/>
    <cellStyle name="Heading 1 2 2 5 3 5 7 2 2" xfId="14470"/>
    <cellStyle name="Heading 1 2 2 5 3 5 7 3" xfId="14471"/>
    <cellStyle name="Heading 1 2 2 5 3 5 8" xfId="14472"/>
    <cellStyle name="Heading 1 2 2 5 3 5 8 2" xfId="14473"/>
    <cellStyle name="Heading 1 2 2 5 3 5 9" xfId="14474"/>
    <cellStyle name="Heading 1 2 2 5 3 6" xfId="14475"/>
    <cellStyle name="Heading 1 2 2 5 3 6 2" xfId="14476"/>
    <cellStyle name="Heading 1 2 2 5 3 6 2 2" xfId="14477"/>
    <cellStyle name="Heading 1 2 2 5 3 6 2 2 2" xfId="14478"/>
    <cellStyle name="Heading 1 2 2 5 3 6 2 3" xfId="14479"/>
    <cellStyle name="Heading 1 2 2 5 3 6 3" xfId="14480"/>
    <cellStyle name="Heading 1 2 2 5 3 6 3 2" xfId="14481"/>
    <cellStyle name="Heading 1 2 2 5 3 6 3 2 2" xfId="14482"/>
    <cellStyle name="Heading 1 2 2 5 3 6 3 3" xfId="14483"/>
    <cellStyle name="Heading 1 2 2 5 3 6 4" xfId="14484"/>
    <cellStyle name="Heading 1 2 2 5 3 6 4 2" xfId="14485"/>
    <cellStyle name="Heading 1 2 2 5 3 6 4 2 2" xfId="14486"/>
    <cellStyle name="Heading 1 2 2 5 3 6 4 3" xfId="14487"/>
    <cellStyle name="Heading 1 2 2 5 3 6 5" xfId="14488"/>
    <cellStyle name="Heading 1 2 2 5 3 6 5 2" xfId="14489"/>
    <cellStyle name="Heading 1 2 2 5 3 6 5 2 2" xfId="14490"/>
    <cellStyle name="Heading 1 2 2 5 3 6 5 3" xfId="14491"/>
    <cellStyle name="Heading 1 2 2 5 3 6 6" xfId="14492"/>
    <cellStyle name="Heading 1 2 2 5 3 6 6 2" xfId="14493"/>
    <cellStyle name="Heading 1 2 2 5 3 6 6 2 2" xfId="14494"/>
    <cellStyle name="Heading 1 2 2 5 3 6 6 3" xfId="14495"/>
    <cellStyle name="Heading 1 2 2 5 3 6 7" xfId="14496"/>
    <cellStyle name="Heading 1 2 2 5 3 6 7 2" xfId="14497"/>
    <cellStyle name="Heading 1 2 2 5 3 6 7 2 2" xfId="14498"/>
    <cellStyle name="Heading 1 2 2 5 3 6 7 3" xfId="14499"/>
    <cellStyle name="Heading 1 2 2 5 3 6 8" xfId="14500"/>
    <cellStyle name="Heading 1 2 2 5 3 6 8 2" xfId="14501"/>
    <cellStyle name="Heading 1 2 2 5 3 6 9" xfId="14502"/>
    <cellStyle name="Heading 1 2 2 5 3 7" xfId="14503"/>
    <cellStyle name="Heading 1 2 2 5 3 7 2" xfId="14504"/>
    <cellStyle name="Heading 1 2 2 5 3 7 2 2" xfId="14505"/>
    <cellStyle name="Heading 1 2 2 5 3 7 2 2 2" xfId="14506"/>
    <cellStyle name="Heading 1 2 2 5 3 7 2 3" xfId="14507"/>
    <cellStyle name="Heading 1 2 2 5 3 7 3" xfId="14508"/>
    <cellStyle name="Heading 1 2 2 5 3 7 3 2" xfId="14509"/>
    <cellStyle name="Heading 1 2 2 5 3 7 3 2 2" xfId="14510"/>
    <cellStyle name="Heading 1 2 2 5 3 7 3 3" xfId="14511"/>
    <cellStyle name="Heading 1 2 2 5 3 7 4" xfId="14512"/>
    <cellStyle name="Heading 1 2 2 5 3 7 4 2" xfId="14513"/>
    <cellStyle name="Heading 1 2 2 5 3 7 4 2 2" xfId="14514"/>
    <cellStyle name="Heading 1 2 2 5 3 7 4 3" xfId="14515"/>
    <cellStyle name="Heading 1 2 2 5 3 7 5" xfId="14516"/>
    <cellStyle name="Heading 1 2 2 5 3 7 5 2" xfId="14517"/>
    <cellStyle name="Heading 1 2 2 5 3 7 5 2 2" xfId="14518"/>
    <cellStyle name="Heading 1 2 2 5 3 7 5 3" xfId="14519"/>
    <cellStyle name="Heading 1 2 2 5 3 7 6" xfId="14520"/>
    <cellStyle name="Heading 1 2 2 5 3 7 6 2" xfId="14521"/>
    <cellStyle name="Heading 1 2 2 5 3 7 6 2 2" xfId="14522"/>
    <cellStyle name="Heading 1 2 2 5 3 7 6 3" xfId="14523"/>
    <cellStyle name="Heading 1 2 2 5 3 7 7" xfId="14524"/>
    <cellStyle name="Heading 1 2 2 5 3 7 7 2" xfId="14525"/>
    <cellStyle name="Heading 1 2 2 5 3 7 7 2 2" xfId="14526"/>
    <cellStyle name="Heading 1 2 2 5 3 7 7 3" xfId="14527"/>
    <cellStyle name="Heading 1 2 2 5 3 7 8" xfId="14528"/>
    <cellStyle name="Heading 1 2 2 5 3 7 8 2" xfId="14529"/>
    <cellStyle name="Heading 1 2 2 5 3 7 9" xfId="14530"/>
    <cellStyle name="Heading 1 2 2 5 3 8" xfId="14531"/>
    <cellStyle name="Heading 1 2 2 5 3 8 2" xfId="14532"/>
    <cellStyle name="Heading 1 2 2 5 3 8 2 2" xfId="14533"/>
    <cellStyle name="Heading 1 2 2 5 3 8 2 2 2" xfId="14534"/>
    <cellStyle name="Heading 1 2 2 5 3 8 2 3" xfId="14535"/>
    <cellStyle name="Heading 1 2 2 5 3 8 3" xfId="14536"/>
    <cellStyle name="Heading 1 2 2 5 3 8 3 2" xfId="14537"/>
    <cellStyle name="Heading 1 2 2 5 3 8 3 2 2" xfId="14538"/>
    <cellStyle name="Heading 1 2 2 5 3 8 3 3" xfId="14539"/>
    <cellStyle name="Heading 1 2 2 5 3 8 4" xfId="14540"/>
    <cellStyle name="Heading 1 2 2 5 3 8 4 2" xfId="14541"/>
    <cellStyle name="Heading 1 2 2 5 3 8 4 2 2" xfId="14542"/>
    <cellStyle name="Heading 1 2 2 5 3 8 4 3" xfId="14543"/>
    <cellStyle name="Heading 1 2 2 5 3 8 5" xfId="14544"/>
    <cellStyle name="Heading 1 2 2 5 3 8 5 2" xfId="14545"/>
    <cellStyle name="Heading 1 2 2 5 3 8 5 2 2" xfId="14546"/>
    <cellStyle name="Heading 1 2 2 5 3 8 5 3" xfId="14547"/>
    <cellStyle name="Heading 1 2 2 5 3 8 6" xfId="14548"/>
    <cellStyle name="Heading 1 2 2 5 3 8 6 2" xfId="14549"/>
    <cellStyle name="Heading 1 2 2 5 3 8 6 2 2" xfId="14550"/>
    <cellStyle name="Heading 1 2 2 5 3 8 6 3" xfId="14551"/>
    <cellStyle name="Heading 1 2 2 5 3 8 7" xfId="14552"/>
    <cellStyle name="Heading 1 2 2 5 3 8 7 2" xfId="14553"/>
    <cellStyle name="Heading 1 2 2 5 3 8 7 2 2" xfId="14554"/>
    <cellStyle name="Heading 1 2 2 5 3 8 7 3" xfId="14555"/>
    <cellStyle name="Heading 1 2 2 5 3 8 8" xfId="14556"/>
    <cellStyle name="Heading 1 2 2 5 3 8 8 2" xfId="14557"/>
    <cellStyle name="Heading 1 2 2 5 3 8 9" xfId="14558"/>
    <cellStyle name="Heading 1 2 2 5 3 9" xfId="14559"/>
    <cellStyle name="Heading 1 2 2 5 3 9 2" xfId="14560"/>
    <cellStyle name="Heading 1 2 2 5 3 9 2 2" xfId="14561"/>
    <cellStyle name="Heading 1 2 2 5 3 9 3" xfId="14562"/>
    <cellStyle name="Heading 1 2 2 5 4" xfId="14563"/>
    <cellStyle name="Heading 1 2 2 5 4 2" xfId="14564"/>
    <cellStyle name="Heading 1 2 2 5 4 2 2" xfId="14565"/>
    <cellStyle name="Heading 1 2 2 5 4 3" xfId="14566"/>
    <cellStyle name="Heading 1 2 2 5 5" xfId="14567"/>
    <cellStyle name="Heading 1 2 2 5 5 2" xfId="14568"/>
    <cellStyle name="Heading 1 2 2 5 6" xfId="14569"/>
    <cellStyle name="Heading 1 2 2 6" xfId="14570"/>
    <cellStyle name="Heading 1 2 2 6 2" xfId="14571"/>
    <cellStyle name="Heading 1 2 2 6 2 10" xfId="14572"/>
    <cellStyle name="Heading 1 2 2 6 2 10 2" xfId="14573"/>
    <cellStyle name="Heading 1 2 2 6 2 10 2 2" xfId="14574"/>
    <cellStyle name="Heading 1 2 2 6 2 10 3" xfId="14575"/>
    <cellStyle name="Heading 1 2 2 6 2 11" xfId="14576"/>
    <cellStyle name="Heading 1 2 2 6 2 11 2" xfId="14577"/>
    <cellStyle name="Heading 1 2 2 6 2 11 2 2" xfId="14578"/>
    <cellStyle name="Heading 1 2 2 6 2 11 3" xfId="14579"/>
    <cellStyle name="Heading 1 2 2 6 2 12" xfId="14580"/>
    <cellStyle name="Heading 1 2 2 6 2 12 2" xfId="14581"/>
    <cellStyle name="Heading 1 2 2 6 2 12 2 2" xfId="14582"/>
    <cellStyle name="Heading 1 2 2 6 2 12 3" xfId="14583"/>
    <cellStyle name="Heading 1 2 2 6 2 13" xfId="14584"/>
    <cellStyle name="Heading 1 2 2 6 2 13 2" xfId="14585"/>
    <cellStyle name="Heading 1 2 2 6 2 13 2 2" xfId="14586"/>
    <cellStyle name="Heading 1 2 2 6 2 13 3" xfId="14587"/>
    <cellStyle name="Heading 1 2 2 6 2 14" xfId="14588"/>
    <cellStyle name="Heading 1 2 2 6 2 14 2" xfId="14589"/>
    <cellStyle name="Heading 1 2 2 6 2 14 2 2" xfId="14590"/>
    <cellStyle name="Heading 1 2 2 6 2 14 3" xfId="14591"/>
    <cellStyle name="Heading 1 2 2 6 2 15" xfId="14592"/>
    <cellStyle name="Heading 1 2 2 6 2 15 2" xfId="14593"/>
    <cellStyle name="Heading 1 2 2 6 2 15 2 2" xfId="14594"/>
    <cellStyle name="Heading 1 2 2 6 2 15 3" xfId="14595"/>
    <cellStyle name="Heading 1 2 2 6 2 16" xfId="14596"/>
    <cellStyle name="Heading 1 2 2 6 2 16 2" xfId="14597"/>
    <cellStyle name="Heading 1 2 2 6 2 16 2 2" xfId="14598"/>
    <cellStyle name="Heading 1 2 2 6 2 16 3" xfId="14599"/>
    <cellStyle name="Heading 1 2 2 6 2 17" xfId="14600"/>
    <cellStyle name="Heading 1 2 2 6 2 17 2" xfId="14601"/>
    <cellStyle name="Heading 1 2 2 6 2 17 2 2" xfId="14602"/>
    <cellStyle name="Heading 1 2 2 6 2 17 3" xfId="14603"/>
    <cellStyle name="Heading 1 2 2 6 2 18" xfId="14604"/>
    <cellStyle name="Heading 1 2 2 6 2 18 2" xfId="14605"/>
    <cellStyle name="Heading 1 2 2 6 2 18 2 2" xfId="14606"/>
    <cellStyle name="Heading 1 2 2 6 2 18 3" xfId="14607"/>
    <cellStyle name="Heading 1 2 2 6 2 19" xfId="14608"/>
    <cellStyle name="Heading 1 2 2 6 2 19 2" xfId="14609"/>
    <cellStyle name="Heading 1 2 2 6 2 19 2 2" xfId="14610"/>
    <cellStyle name="Heading 1 2 2 6 2 19 3" xfId="14611"/>
    <cellStyle name="Heading 1 2 2 6 2 2" xfId="14612"/>
    <cellStyle name="Heading 1 2 2 6 2 2 10" xfId="14613"/>
    <cellStyle name="Heading 1 2 2 6 2 2 10 2" xfId="14614"/>
    <cellStyle name="Heading 1 2 2 6 2 2 10 2 2" xfId="14615"/>
    <cellStyle name="Heading 1 2 2 6 2 2 10 3" xfId="14616"/>
    <cellStyle name="Heading 1 2 2 6 2 2 11" xfId="14617"/>
    <cellStyle name="Heading 1 2 2 6 2 2 11 2" xfId="14618"/>
    <cellStyle name="Heading 1 2 2 6 2 2 11 2 2" xfId="14619"/>
    <cellStyle name="Heading 1 2 2 6 2 2 11 3" xfId="14620"/>
    <cellStyle name="Heading 1 2 2 6 2 2 12" xfId="14621"/>
    <cellStyle name="Heading 1 2 2 6 2 2 12 2" xfId="14622"/>
    <cellStyle name="Heading 1 2 2 6 2 2 12 2 2" xfId="14623"/>
    <cellStyle name="Heading 1 2 2 6 2 2 12 3" xfId="14624"/>
    <cellStyle name="Heading 1 2 2 6 2 2 13" xfId="14625"/>
    <cellStyle name="Heading 1 2 2 6 2 2 13 2" xfId="14626"/>
    <cellStyle name="Heading 1 2 2 6 2 2 13 2 2" xfId="14627"/>
    <cellStyle name="Heading 1 2 2 6 2 2 13 3" xfId="14628"/>
    <cellStyle name="Heading 1 2 2 6 2 2 14" xfId="14629"/>
    <cellStyle name="Heading 1 2 2 6 2 2 14 2" xfId="14630"/>
    <cellStyle name="Heading 1 2 2 6 2 2 14 2 2" xfId="14631"/>
    <cellStyle name="Heading 1 2 2 6 2 2 14 3" xfId="14632"/>
    <cellStyle name="Heading 1 2 2 6 2 2 15" xfId="14633"/>
    <cellStyle name="Heading 1 2 2 6 2 2 15 2" xfId="14634"/>
    <cellStyle name="Heading 1 2 2 6 2 2 15 2 2" xfId="14635"/>
    <cellStyle name="Heading 1 2 2 6 2 2 15 3" xfId="14636"/>
    <cellStyle name="Heading 1 2 2 6 2 2 16" xfId="14637"/>
    <cellStyle name="Heading 1 2 2 6 2 2 16 2" xfId="14638"/>
    <cellStyle name="Heading 1 2 2 6 2 2 16 2 2" xfId="14639"/>
    <cellStyle name="Heading 1 2 2 6 2 2 16 3" xfId="14640"/>
    <cellStyle name="Heading 1 2 2 6 2 2 17" xfId="14641"/>
    <cellStyle name="Heading 1 2 2 6 2 2 17 2" xfId="14642"/>
    <cellStyle name="Heading 1 2 2 6 2 2 17 2 2" xfId="14643"/>
    <cellStyle name="Heading 1 2 2 6 2 2 17 3" xfId="14644"/>
    <cellStyle name="Heading 1 2 2 6 2 2 18" xfId="14645"/>
    <cellStyle name="Heading 1 2 2 6 2 2 18 2" xfId="14646"/>
    <cellStyle name="Heading 1 2 2 6 2 2 18 2 2" xfId="14647"/>
    <cellStyle name="Heading 1 2 2 6 2 2 18 3" xfId="14648"/>
    <cellStyle name="Heading 1 2 2 6 2 2 19" xfId="14649"/>
    <cellStyle name="Heading 1 2 2 6 2 2 19 2" xfId="14650"/>
    <cellStyle name="Heading 1 2 2 6 2 2 2" xfId="14651"/>
    <cellStyle name="Heading 1 2 2 6 2 2 2 2" xfId="14652"/>
    <cellStyle name="Heading 1 2 2 6 2 2 2 2 2" xfId="14653"/>
    <cellStyle name="Heading 1 2 2 6 2 2 2 2 2 2" xfId="14654"/>
    <cellStyle name="Heading 1 2 2 6 2 2 2 2 3" xfId="14655"/>
    <cellStyle name="Heading 1 2 2 6 2 2 2 3" xfId="14656"/>
    <cellStyle name="Heading 1 2 2 6 2 2 2 3 2" xfId="14657"/>
    <cellStyle name="Heading 1 2 2 6 2 2 2 3 2 2" xfId="14658"/>
    <cellStyle name="Heading 1 2 2 6 2 2 2 3 3" xfId="14659"/>
    <cellStyle name="Heading 1 2 2 6 2 2 2 4" xfId="14660"/>
    <cellStyle name="Heading 1 2 2 6 2 2 2 4 2" xfId="14661"/>
    <cellStyle name="Heading 1 2 2 6 2 2 2 4 2 2" xfId="14662"/>
    <cellStyle name="Heading 1 2 2 6 2 2 2 4 3" xfId="14663"/>
    <cellStyle name="Heading 1 2 2 6 2 2 2 5" xfId="14664"/>
    <cellStyle name="Heading 1 2 2 6 2 2 2 5 2" xfId="14665"/>
    <cellStyle name="Heading 1 2 2 6 2 2 2 5 2 2" xfId="14666"/>
    <cellStyle name="Heading 1 2 2 6 2 2 2 5 3" xfId="14667"/>
    <cellStyle name="Heading 1 2 2 6 2 2 2 6" xfId="14668"/>
    <cellStyle name="Heading 1 2 2 6 2 2 2 6 2" xfId="14669"/>
    <cellStyle name="Heading 1 2 2 6 2 2 2 6 2 2" xfId="14670"/>
    <cellStyle name="Heading 1 2 2 6 2 2 2 6 3" xfId="14671"/>
    <cellStyle name="Heading 1 2 2 6 2 2 2 7" xfId="14672"/>
    <cellStyle name="Heading 1 2 2 6 2 2 2 7 2" xfId="14673"/>
    <cellStyle name="Heading 1 2 2 6 2 2 2 7 2 2" xfId="14674"/>
    <cellStyle name="Heading 1 2 2 6 2 2 2 7 3" xfId="14675"/>
    <cellStyle name="Heading 1 2 2 6 2 2 2 8" xfId="14676"/>
    <cellStyle name="Heading 1 2 2 6 2 2 2 8 2" xfId="14677"/>
    <cellStyle name="Heading 1 2 2 6 2 2 2 9" xfId="14678"/>
    <cellStyle name="Heading 1 2 2 6 2 2 20" xfId="14679"/>
    <cellStyle name="Heading 1 2 2 6 2 2 20 2" xfId="14680"/>
    <cellStyle name="Heading 1 2 2 6 2 2 21" xfId="14681"/>
    <cellStyle name="Heading 1 2 2 6 2 2 21 2" xfId="14682"/>
    <cellStyle name="Heading 1 2 2 6 2 2 22" xfId="14683"/>
    <cellStyle name="Heading 1 2 2 6 2 2 3" xfId="14684"/>
    <cellStyle name="Heading 1 2 2 6 2 2 3 2" xfId="14685"/>
    <cellStyle name="Heading 1 2 2 6 2 2 3 2 2" xfId="14686"/>
    <cellStyle name="Heading 1 2 2 6 2 2 3 2 2 2" xfId="14687"/>
    <cellStyle name="Heading 1 2 2 6 2 2 3 2 3" xfId="14688"/>
    <cellStyle name="Heading 1 2 2 6 2 2 3 3" xfId="14689"/>
    <cellStyle name="Heading 1 2 2 6 2 2 3 3 2" xfId="14690"/>
    <cellStyle name="Heading 1 2 2 6 2 2 3 3 2 2" xfId="14691"/>
    <cellStyle name="Heading 1 2 2 6 2 2 3 3 3" xfId="14692"/>
    <cellStyle name="Heading 1 2 2 6 2 2 3 4" xfId="14693"/>
    <cellStyle name="Heading 1 2 2 6 2 2 3 4 2" xfId="14694"/>
    <cellStyle name="Heading 1 2 2 6 2 2 3 4 2 2" xfId="14695"/>
    <cellStyle name="Heading 1 2 2 6 2 2 3 4 3" xfId="14696"/>
    <cellStyle name="Heading 1 2 2 6 2 2 3 5" xfId="14697"/>
    <cellStyle name="Heading 1 2 2 6 2 2 3 5 2" xfId="14698"/>
    <cellStyle name="Heading 1 2 2 6 2 2 3 5 2 2" xfId="14699"/>
    <cellStyle name="Heading 1 2 2 6 2 2 3 5 3" xfId="14700"/>
    <cellStyle name="Heading 1 2 2 6 2 2 3 6" xfId="14701"/>
    <cellStyle name="Heading 1 2 2 6 2 2 3 6 2" xfId="14702"/>
    <cellStyle name="Heading 1 2 2 6 2 2 3 6 2 2" xfId="14703"/>
    <cellStyle name="Heading 1 2 2 6 2 2 3 6 3" xfId="14704"/>
    <cellStyle name="Heading 1 2 2 6 2 2 3 7" xfId="14705"/>
    <cellStyle name="Heading 1 2 2 6 2 2 3 7 2" xfId="14706"/>
    <cellStyle name="Heading 1 2 2 6 2 2 3 7 2 2" xfId="14707"/>
    <cellStyle name="Heading 1 2 2 6 2 2 3 7 3" xfId="14708"/>
    <cellStyle name="Heading 1 2 2 6 2 2 3 8" xfId="14709"/>
    <cellStyle name="Heading 1 2 2 6 2 2 3 8 2" xfId="14710"/>
    <cellStyle name="Heading 1 2 2 6 2 2 3 9" xfId="14711"/>
    <cellStyle name="Heading 1 2 2 6 2 2 4" xfId="14712"/>
    <cellStyle name="Heading 1 2 2 6 2 2 4 2" xfId="14713"/>
    <cellStyle name="Heading 1 2 2 6 2 2 4 2 2" xfId="14714"/>
    <cellStyle name="Heading 1 2 2 6 2 2 4 2 2 2" xfId="14715"/>
    <cellStyle name="Heading 1 2 2 6 2 2 4 2 3" xfId="14716"/>
    <cellStyle name="Heading 1 2 2 6 2 2 4 3" xfId="14717"/>
    <cellStyle name="Heading 1 2 2 6 2 2 4 3 2" xfId="14718"/>
    <cellStyle name="Heading 1 2 2 6 2 2 4 3 2 2" xfId="14719"/>
    <cellStyle name="Heading 1 2 2 6 2 2 4 3 3" xfId="14720"/>
    <cellStyle name="Heading 1 2 2 6 2 2 4 4" xfId="14721"/>
    <cellStyle name="Heading 1 2 2 6 2 2 4 4 2" xfId="14722"/>
    <cellStyle name="Heading 1 2 2 6 2 2 4 4 2 2" xfId="14723"/>
    <cellStyle name="Heading 1 2 2 6 2 2 4 4 3" xfId="14724"/>
    <cellStyle name="Heading 1 2 2 6 2 2 4 5" xfId="14725"/>
    <cellStyle name="Heading 1 2 2 6 2 2 4 5 2" xfId="14726"/>
    <cellStyle name="Heading 1 2 2 6 2 2 4 5 2 2" xfId="14727"/>
    <cellStyle name="Heading 1 2 2 6 2 2 4 5 3" xfId="14728"/>
    <cellStyle name="Heading 1 2 2 6 2 2 4 6" xfId="14729"/>
    <cellStyle name="Heading 1 2 2 6 2 2 4 6 2" xfId="14730"/>
    <cellStyle name="Heading 1 2 2 6 2 2 4 6 2 2" xfId="14731"/>
    <cellStyle name="Heading 1 2 2 6 2 2 4 6 3" xfId="14732"/>
    <cellStyle name="Heading 1 2 2 6 2 2 4 7" xfId="14733"/>
    <cellStyle name="Heading 1 2 2 6 2 2 4 7 2" xfId="14734"/>
    <cellStyle name="Heading 1 2 2 6 2 2 4 7 2 2" xfId="14735"/>
    <cellStyle name="Heading 1 2 2 6 2 2 4 7 3" xfId="14736"/>
    <cellStyle name="Heading 1 2 2 6 2 2 4 8" xfId="14737"/>
    <cellStyle name="Heading 1 2 2 6 2 2 4 8 2" xfId="14738"/>
    <cellStyle name="Heading 1 2 2 6 2 2 4 9" xfId="14739"/>
    <cellStyle name="Heading 1 2 2 6 2 2 5" xfId="14740"/>
    <cellStyle name="Heading 1 2 2 6 2 2 5 2" xfId="14741"/>
    <cellStyle name="Heading 1 2 2 6 2 2 5 2 2" xfId="14742"/>
    <cellStyle name="Heading 1 2 2 6 2 2 5 2 2 2" xfId="14743"/>
    <cellStyle name="Heading 1 2 2 6 2 2 5 2 3" xfId="14744"/>
    <cellStyle name="Heading 1 2 2 6 2 2 5 3" xfId="14745"/>
    <cellStyle name="Heading 1 2 2 6 2 2 5 3 2" xfId="14746"/>
    <cellStyle name="Heading 1 2 2 6 2 2 5 3 2 2" xfId="14747"/>
    <cellStyle name="Heading 1 2 2 6 2 2 5 3 3" xfId="14748"/>
    <cellStyle name="Heading 1 2 2 6 2 2 5 4" xfId="14749"/>
    <cellStyle name="Heading 1 2 2 6 2 2 5 4 2" xfId="14750"/>
    <cellStyle name="Heading 1 2 2 6 2 2 5 4 2 2" xfId="14751"/>
    <cellStyle name="Heading 1 2 2 6 2 2 5 4 3" xfId="14752"/>
    <cellStyle name="Heading 1 2 2 6 2 2 5 5" xfId="14753"/>
    <cellStyle name="Heading 1 2 2 6 2 2 5 5 2" xfId="14754"/>
    <cellStyle name="Heading 1 2 2 6 2 2 5 5 2 2" xfId="14755"/>
    <cellStyle name="Heading 1 2 2 6 2 2 5 5 3" xfId="14756"/>
    <cellStyle name="Heading 1 2 2 6 2 2 5 6" xfId="14757"/>
    <cellStyle name="Heading 1 2 2 6 2 2 5 6 2" xfId="14758"/>
    <cellStyle name="Heading 1 2 2 6 2 2 5 6 2 2" xfId="14759"/>
    <cellStyle name="Heading 1 2 2 6 2 2 5 6 3" xfId="14760"/>
    <cellStyle name="Heading 1 2 2 6 2 2 5 7" xfId="14761"/>
    <cellStyle name="Heading 1 2 2 6 2 2 5 7 2" xfId="14762"/>
    <cellStyle name="Heading 1 2 2 6 2 2 5 7 2 2" xfId="14763"/>
    <cellStyle name="Heading 1 2 2 6 2 2 5 7 3" xfId="14764"/>
    <cellStyle name="Heading 1 2 2 6 2 2 5 8" xfId="14765"/>
    <cellStyle name="Heading 1 2 2 6 2 2 5 8 2" xfId="14766"/>
    <cellStyle name="Heading 1 2 2 6 2 2 5 9" xfId="14767"/>
    <cellStyle name="Heading 1 2 2 6 2 2 6" xfId="14768"/>
    <cellStyle name="Heading 1 2 2 6 2 2 6 2" xfId="14769"/>
    <cellStyle name="Heading 1 2 2 6 2 2 6 2 2" xfId="14770"/>
    <cellStyle name="Heading 1 2 2 6 2 2 6 2 2 2" xfId="14771"/>
    <cellStyle name="Heading 1 2 2 6 2 2 6 2 3" xfId="14772"/>
    <cellStyle name="Heading 1 2 2 6 2 2 6 3" xfId="14773"/>
    <cellStyle name="Heading 1 2 2 6 2 2 6 3 2" xfId="14774"/>
    <cellStyle name="Heading 1 2 2 6 2 2 6 3 2 2" xfId="14775"/>
    <cellStyle name="Heading 1 2 2 6 2 2 6 3 3" xfId="14776"/>
    <cellStyle name="Heading 1 2 2 6 2 2 6 4" xfId="14777"/>
    <cellStyle name="Heading 1 2 2 6 2 2 6 4 2" xfId="14778"/>
    <cellStyle name="Heading 1 2 2 6 2 2 6 4 2 2" xfId="14779"/>
    <cellStyle name="Heading 1 2 2 6 2 2 6 4 3" xfId="14780"/>
    <cellStyle name="Heading 1 2 2 6 2 2 6 5" xfId="14781"/>
    <cellStyle name="Heading 1 2 2 6 2 2 6 5 2" xfId="14782"/>
    <cellStyle name="Heading 1 2 2 6 2 2 6 5 2 2" xfId="14783"/>
    <cellStyle name="Heading 1 2 2 6 2 2 6 5 3" xfId="14784"/>
    <cellStyle name="Heading 1 2 2 6 2 2 6 6" xfId="14785"/>
    <cellStyle name="Heading 1 2 2 6 2 2 6 6 2" xfId="14786"/>
    <cellStyle name="Heading 1 2 2 6 2 2 6 6 2 2" xfId="14787"/>
    <cellStyle name="Heading 1 2 2 6 2 2 6 6 3" xfId="14788"/>
    <cellStyle name="Heading 1 2 2 6 2 2 6 7" xfId="14789"/>
    <cellStyle name="Heading 1 2 2 6 2 2 6 7 2" xfId="14790"/>
    <cellStyle name="Heading 1 2 2 6 2 2 6 7 2 2" xfId="14791"/>
    <cellStyle name="Heading 1 2 2 6 2 2 6 7 3" xfId="14792"/>
    <cellStyle name="Heading 1 2 2 6 2 2 6 8" xfId="14793"/>
    <cellStyle name="Heading 1 2 2 6 2 2 6 8 2" xfId="14794"/>
    <cellStyle name="Heading 1 2 2 6 2 2 6 9" xfId="14795"/>
    <cellStyle name="Heading 1 2 2 6 2 2 7" xfId="14796"/>
    <cellStyle name="Heading 1 2 2 6 2 2 7 2" xfId="14797"/>
    <cellStyle name="Heading 1 2 2 6 2 2 7 2 2" xfId="14798"/>
    <cellStyle name="Heading 1 2 2 6 2 2 7 2 2 2" xfId="14799"/>
    <cellStyle name="Heading 1 2 2 6 2 2 7 2 3" xfId="14800"/>
    <cellStyle name="Heading 1 2 2 6 2 2 7 3" xfId="14801"/>
    <cellStyle name="Heading 1 2 2 6 2 2 7 3 2" xfId="14802"/>
    <cellStyle name="Heading 1 2 2 6 2 2 7 3 2 2" xfId="14803"/>
    <cellStyle name="Heading 1 2 2 6 2 2 7 3 3" xfId="14804"/>
    <cellStyle name="Heading 1 2 2 6 2 2 7 4" xfId="14805"/>
    <cellStyle name="Heading 1 2 2 6 2 2 7 4 2" xfId="14806"/>
    <cellStyle name="Heading 1 2 2 6 2 2 7 4 2 2" xfId="14807"/>
    <cellStyle name="Heading 1 2 2 6 2 2 7 4 3" xfId="14808"/>
    <cellStyle name="Heading 1 2 2 6 2 2 7 5" xfId="14809"/>
    <cellStyle name="Heading 1 2 2 6 2 2 7 5 2" xfId="14810"/>
    <cellStyle name="Heading 1 2 2 6 2 2 7 5 2 2" xfId="14811"/>
    <cellStyle name="Heading 1 2 2 6 2 2 7 5 3" xfId="14812"/>
    <cellStyle name="Heading 1 2 2 6 2 2 7 6" xfId="14813"/>
    <cellStyle name="Heading 1 2 2 6 2 2 7 6 2" xfId="14814"/>
    <cellStyle name="Heading 1 2 2 6 2 2 7 6 2 2" xfId="14815"/>
    <cellStyle name="Heading 1 2 2 6 2 2 7 6 3" xfId="14816"/>
    <cellStyle name="Heading 1 2 2 6 2 2 7 7" xfId="14817"/>
    <cellStyle name="Heading 1 2 2 6 2 2 7 7 2" xfId="14818"/>
    <cellStyle name="Heading 1 2 2 6 2 2 7 7 2 2" xfId="14819"/>
    <cellStyle name="Heading 1 2 2 6 2 2 7 7 3" xfId="14820"/>
    <cellStyle name="Heading 1 2 2 6 2 2 7 8" xfId="14821"/>
    <cellStyle name="Heading 1 2 2 6 2 2 7 8 2" xfId="14822"/>
    <cellStyle name="Heading 1 2 2 6 2 2 7 9" xfId="14823"/>
    <cellStyle name="Heading 1 2 2 6 2 2 8" xfId="14824"/>
    <cellStyle name="Heading 1 2 2 6 2 2 8 2" xfId="14825"/>
    <cellStyle name="Heading 1 2 2 6 2 2 8 2 2" xfId="14826"/>
    <cellStyle name="Heading 1 2 2 6 2 2 8 2 2 2" xfId="14827"/>
    <cellStyle name="Heading 1 2 2 6 2 2 8 2 3" xfId="14828"/>
    <cellStyle name="Heading 1 2 2 6 2 2 8 3" xfId="14829"/>
    <cellStyle name="Heading 1 2 2 6 2 2 8 3 2" xfId="14830"/>
    <cellStyle name="Heading 1 2 2 6 2 2 8 3 2 2" xfId="14831"/>
    <cellStyle name="Heading 1 2 2 6 2 2 8 3 3" xfId="14832"/>
    <cellStyle name="Heading 1 2 2 6 2 2 8 4" xfId="14833"/>
    <cellStyle name="Heading 1 2 2 6 2 2 8 4 2" xfId="14834"/>
    <cellStyle name="Heading 1 2 2 6 2 2 8 4 2 2" xfId="14835"/>
    <cellStyle name="Heading 1 2 2 6 2 2 8 4 3" xfId="14836"/>
    <cellStyle name="Heading 1 2 2 6 2 2 8 5" xfId="14837"/>
    <cellStyle name="Heading 1 2 2 6 2 2 8 5 2" xfId="14838"/>
    <cellStyle name="Heading 1 2 2 6 2 2 8 5 2 2" xfId="14839"/>
    <cellStyle name="Heading 1 2 2 6 2 2 8 5 3" xfId="14840"/>
    <cellStyle name="Heading 1 2 2 6 2 2 8 6" xfId="14841"/>
    <cellStyle name="Heading 1 2 2 6 2 2 8 6 2" xfId="14842"/>
    <cellStyle name="Heading 1 2 2 6 2 2 8 6 2 2" xfId="14843"/>
    <cellStyle name="Heading 1 2 2 6 2 2 8 6 3" xfId="14844"/>
    <cellStyle name="Heading 1 2 2 6 2 2 8 7" xfId="14845"/>
    <cellStyle name="Heading 1 2 2 6 2 2 8 7 2" xfId="14846"/>
    <cellStyle name="Heading 1 2 2 6 2 2 8 7 2 2" xfId="14847"/>
    <cellStyle name="Heading 1 2 2 6 2 2 8 7 3" xfId="14848"/>
    <cellStyle name="Heading 1 2 2 6 2 2 8 8" xfId="14849"/>
    <cellStyle name="Heading 1 2 2 6 2 2 8 8 2" xfId="14850"/>
    <cellStyle name="Heading 1 2 2 6 2 2 8 9" xfId="14851"/>
    <cellStyle name="Heading 1 2 2 6 2 2 9" xfId="14852"/>
    <cellStyle name="Heading 1 2 2 6 2 2 9 2" xfId="14853"/>
    <cellStyle name="Heading 1 2 2 6 2 2 9 2 2" xfId="14854"/>
    <cellStyle name="Heading 1 2 2 6 2 2 9 3" xfId="14855"/>
    <cellStyle name="Heading 1 2 2 6 2 20" xfId="14856"/>
    <cellStyle name="Heading 1 2 2 6 2 20 2" xfId="14857"/>
    <cellStyle name="Heading 1 2 2 6 2 21" xfId="14858"/>
    <cellStyle name="Heading 1 2 2 6 2 21 2" xfId="14859"/>
    <cellStyle name="Heading 1 2 2 6 2 22" xfId="14860"/>
    <cellStyle name="Heading 1 2 2 6 2 22 2" xfId="14861"/>
    <cellStyle name="Heading 1 2 2 6 2 23" xfId="14862"/>
    <cellStyle name="Heading 1 2 2 6 2 3" xfId="14863"/>
    <cellStyle name="Heading 1 2 2 6 2 3 2" xfId="14864"/>
    <cellStyle name="Heading 1 2 2 6 2 3 2 2" xfId="14865"/>
    <cellStyle name="Heading 1 2 2 6 2 3 2 2 2" xfId="14866"/>
    <cellStyle name="Heading 1 2 2 6 2 3 2 3" xfId="14867"/>
    <cellStyle name="Heading 1 2 2 6 2 3 3" xfId="14868"/>
    <cellStyle name="Heading 1 2 2 6 2 3 3 2" xfId="14869"/>
    <cellStyle name="Heading 1 2 2 6 2 3 3 2 2" xfId="14870"/>
    <cellStyle name="Heading 1 2 2 6 2 3 3 3" xfId="14871"/>
    <cellStyle name="Heading 1 2 2 6 2 3 4" xfId="14872"/>
    <cellStyle name="Heading 1 2 2 6 2 3 4 2" xfId="14873"/>
    <cellStyle name="Heading 1 2 2 6 2 3 4 2 2" xfId="14874"/>
    <cellStyle name="Heading 1 2 2 6 2 3 4 3" xfId="14875"/>
    <cellStyle name="Heading 1 2 2 6 2 3 5" xfId="14876"/>
    <cellStyle name="Heading 1 2 2 6 2 3 5 2" xfId="14877"/>
    <cellStyle name="Heading 1 2 2 6 2 3 5 2 2" xfId="14878"/>
    <cellStyle name="Heading 1 2 2 6 2 3 5 3" xfId="14879"/>
    <cellStyle name="Heading 1 2 2 6 2 3 6" xfId="14880"/>
    <cellStyle name="Heading 1 2 2 6 2 3 6 2" xfId="14881"/>
    <cellStyle name="Heading 1 2 2 6 2 3 6 2 2" xfId="14882"/>
    <cellStyle name="Heading 1 2 2 6 2 3 6 3" xfId="14883"/>
    <cellStyle name="Heading 1 2 2 6 2 3 7" xfId="14884"/>
    <cellStyle name="Heading 1 2 2 6 2 3 7 2" xfId="14885"/>
    <cellStyle name="Heading 1 2 2 6 2 3 7 2 2" xfId="14886"/>
    <cellStyle name="Heading 1 2 2 6 2 3 7 3" xfId="14887"/>
    <cellStyle name="Heading 1 2 2 6 2 3 8" xfId="14888"/>
    <cellStyle name="Heading 1 2 2 6 2 3 8 2" xfId="14889"/>
    <cellStyle name="Heading 1 2 2 6 2 3 9" xfId="14890"/>
    <cellStyle name="Heading 1 2 2 6 2 4" xfId="14891"/>
    <cellStyle name="Heading 1 2 2 6 2 4 2" xfId="14892"/>
    <cellStyle name="Heading 1 2 2 6 2 4 2 2" xfId="14893"/>
    <cellStyle name="Heading 1 2 2 6 2 4 2 2 2" xfId="14894"/>
    <cellStyle name="Heading 1 2 2 6 2 4 2 3" xfId="14895"/>
    <cellStyle name="Heading 1 2 2 6 2 4 3" xfId="14896"/>
    <cellStyle name="Heading 1 2 2 6 2 4 3 2" xfId="14897"/>
    <cellStyle name="Heading 1 2 2 6 2 4 3 2 2" xfId="14898"/>
    <cellStyle name="Heading 1 2 2 6 2 4 3 3" xfId="14899"/>
    <cellStyle name="Heading 1 2 2 6 2 4 4" xfId="14900"/>
    <cellStyle name="Heading 1 2 2 6 2 4 4 2" xfId="14901"/>
    <cellStyle name="Heading 1 2 2 6 2 4 4 2 2" xfId="14902"/>
    <cellStyle name="Heading 1 2 2 6 2 4 4 3" xfId="14903"/>
    <cellStyle name="Heading 1 2 2 6 2 4 5" xfId="14904"/>
    <cellStyle name="Heading 1 2 2 6 2 4 5 2" xfId="14905"/>
    <cellStyle name="Heading 1 2 2 6 2 4 5 2 2" xfId="14906"/>
    <cellStyle name="Heading 1 2 2 6 2 4 5 3" xfId="14907"/>
    <cellStyle name="Heading 1 2 2 6 2 4 6" xfId="14908"/>
    <cellStyle name="Heading 1 2 2 6 2 4 6 2" xfId="14909"/>
    <cellStyle name="Heading 1 2 2 6 2 4 6 2 2" xfId="14910"/>
    <cellStyle name="Heading 1 2 2 6 2 4 6 3" xfId="14911"/>
    <cellStyle name="Heading 1 2 2 6 2 4 7" xfId="14912"/>
    <cellStyle name="Heading 1 2 2 6 2 4 7 2" xfId="14913"/>
    <cellStyle name="Heading 1 2 2 6 2 4 7 2 2" xfId="14914"/>
    <cellStyle name="Heading 1 2 2 6 2 4 7 3" xfId="14915"/>
    <cellStyle name="Heading 1 2 2 6 2 4 8" xfId="14916"/>
    <cellStyle name="Heading 1 2 2 6 2 4 8 2" xfId="14917"/>
    <cellStyle name="Heading 1 2 2 6 2 4 9" xfId="14918"/>
    <cellStyle name="Heading 1 2 2 6 2 5" xfId="14919"/>
    <cellStyle name="Heading 1 2 2 6 2 5 2" xfId="14920"/>
    <cellStyle name="Heading 1 2 2 6 2 5 2 2" xfId="14921"/>
    <cellStyle name="Heading 1 2 2 6 2 5 2 2 2" xfId="14922"/>
    <cellStyle name="Heading 1 2 2 6 2 5 2 3" xfId="14923"/>
    <cellStyle name="Heading 1 2 2 6 2 5 3" xfId="14924"/>
    <cellStyle name="Heading 1 2 2 6 2 5 3 2" xfId="14925"/>
    <cellStyle name="Heading 1 2 2 6 2 5 3 2 2" xfId="14926"/>
    <cellStyle name="Heading 1 2 2 6 2 5 3 3" xfId="14927"/>
    <cellStyle name="Heading 1 2 2 6 2 5 4" xfId="14928"/>
    <cellStyle name="Heading 1 2 2 6 2 5 4 2" xfId="14929"/>
    <cellStyle name="Heading 1 2 2 6 2 5 4 2 2" xfId="14930"/>
    <cellStyle name="Heading 1 2 2 6 2 5 4 3" xfId="14931"/>
    <cellStyle name="Heading 1 2 2 6 2 5 5" xfId="14932"/>
    <cellStyle name="Heading 1 2 2 6 2 5 5 2" xfId="14933"/>
    <cellStyle name="Heading 1 2 2 6 2 5 5 2 2" xfId="14934"/>
    <cellStyle name="Heading 1 2 2 6 2 5 5 3" xfId="14935"/>
    <cellStyle name="Heading 1 2 2 6 2 5 6" xfId="14936"/>
    <cellStyle name="Heading 1 2 2 6 2 5 6 2" xfId="14937"/>
    <cellStyle name="Heading 1 2 2 6 2 5 6 2 2" xfId="14938"/>
    <cellStyle name="Heading 1 2 2 6 2 5 6 3" xfId="14939"/>
    <cellStyle name="Heading 1 2 2 6 2 5 7" xfId="14940"/>
    <cellStyle name="Heading 1 2 2 6 2 5 7 2" xfId="14941"/>
    <cellStyle name="Heading 1 2 2 6 2 5 7 2 2" xfId="14942"/>
    <cellStyle name="Heading 1 2 2 6 2 5 7 3" xfId="14943"/>
    <cellStyle name="Heading 1 2 2 6 2 5 8" xfId="14944"/>
    <cellStyle name="Heading 1 2 2 6 2 5 8 2" xfId="14945"/>
    <cellStyle name="Heading 1 2 2 6 2 5 9" xfId="14946"/>
    <cellStyle name="Heading 1 2 2 6 2 6" xfId="14947"/>
    <cellStyle name="Heading 1 2 2 6 2 6 2" xfId="14948"/>
    <cellStyle name="Heading 1 2 2 6 2 6 2 2" xfId="14949"/>
    <cellStyle name="Heading 1 2 2 6 2 6 2 2 2" xfId="14950"/>
    <cellStyle name="Heading 1 2 2 6 2 6 2 3" xfId="14951"/>
    <cellStyle name="Heading 1 2 2 6 2 6 3" xfId="14952"/>
    <cellStyle name="Heading 1 2 2 6 2 6 3 2" xfId="14953"/>
    <cellStyle name="Heading 1 2 2 6 2 6 3 2 2" xfId="14954"/>
    <cellStyle name="Heading 1 2 2 6 2 6 3 3" xfId="14955"/>
    <cellStyle name="Heading 1 2 2 6 2 6 4" xfId="14956"/>
    <cellStyle name="Heading 1 2 2 6 2 6 4 2" xfId="14957"/>
    <cellStyle name="Heading 1 2 2 6 2 6 4 2 2" xfId="14958"/>
    <cellStyle name="Heading 1 2 2 6 2 6 4 3" xfId="14959"/>
    <cellStyle name="Heading 1 2 2 6 2 6 5" xfId="14960"/>
    <cellStyle name="Heading 1 2 2 6 2 6 5 2" xfId="14961"/>
    <cellStyle name="Heading 1 2 2 6 2 6 5 2 2" xfId="14962"/>
    <cellStyle name="Heading 1 2 2 6 2 6 5 3" xfId="14963"/>
    <cellStyle name="Heading 1 2 2 6 2 6 6" xfId="14964"/>
    <cellStyle name="Heading 1 2 2 6 2 6 6 2" xfId="14965"/>
    <cellStyle name="Heading 1 2 2 6 2 6 6 2 2" xfId="14966"/>
    <cellStyle name="Heading 1 2 2 6 2 6 6 3" xfId="14967"/>
    <cellStyle name="Heading 1 2 2 6 2 6 7" xfId="14968"/>
    <cellStyle name="Heading 1 2 2 6 2 6 7 2" xfId="14969"/>
    <cellStyle name="Heading 1 2 2 6 2 6 7 2 2" xfId="14970"/>
    <cellStyle name="Heading 1 2 2 6 2 6 7 3" xfId="14971"/>
    <cellStyle name="Heading 1 2 2 6 2 6 8" xfId="14972"/>
    <cellStyle name="Heading 1 2 2 6 2 6 8 2" xfId="14973"/>
    <cellStyle name="Heading 1 2 2 6 2 6 9" xfId="14974"/>
    <cellStyle name="Heading 1 2 2 6 2 7" xfId="14975"/>
    <cellStyle name="Heading 1 2 2 6 2 7 2" xfId="14976"/>
    <cellStyle name="Heading 1 2 2 6 2 7 2 2" xfId="14977"/>
    <cellStyle name="Heading 1 2 2 6 2 7 2 2 2" xfId="14978"/>
    <cellStyle name="Heading 1 2 2 6 2 7 2 3" xfId="14979"/>
    <cellStyle name="Heading 1 2 2 6 2 7 3" xfId="14980"/>
    <cellStyle name="Heading 1 2 2 6 2 7 3 2" xfId="14981"/>
    <cellStyle name="Heading 1 2 2 6 2 7 3 2 2" xfId="14982"/>
    <cellStyle name="Heading 1 2 2 6 2 7 3 3" xfId="14983"/>
    <cellStyle name="Heading 1 2 2 6 2 7 4" xfId="14984"/>
    <cellStyle name="Heading 1 2 2 6 2 7 4 2" xfId="14985"/>
    <cellStyle name="Heading 1 2 2 6 2 7 4 2 2" xfId="14986"/>
    <cellStyle name="Heading 1 2 2 6 2 7 4 3" xfId="14987"/>
    <cellStyle name="Heading 1 2 2 6 2 7 5" xfId="14988"/>
    <cellStyle name="Heading 1 2 2 6 2 7 5 2" xfId="14989"/>
    <cellStyle name="Heading 1 2 2 6 2 7 5 2 2" xfId="14990"/>
    <cellStyle name="Heading 1 2 2 6 2 7 5 3" xfId="14991"/>
    <cellStyle name="Heading 1 2 2 6 2 7 6" xfId="14992"/>
    <cellStyle name="Heading 1 2 2 6 2 7 6 2" xfId="14993"/>
    <cellStyle name="Heading 1 2 2 6 2 7 6 2 2" xfId="14994"/>
    <cellStyle name="Heading 1 2 2 6 2 7 6 3" xfId="14995"/>
    <cellStyle name="Heading 1 2 2 6 2 7 7" xfId="14996"/>
    <cellStyle name="Heading 1 2 2 6 2 7 7 2" xfId="14997"/>
    <cellStyle name="Heading 1 2 2 6 2 7 7 2 2" xfId="14998"/>
    <cellStyle name="Heading 1 2 2 6 2 7 7 3" xfId="14999"/>
    <cellStyle name="Heading 1 2 2 6 2 7 8" xfId="15000"/>
    <cellStyle name="Heading 1 2 2 6 2 7 8 2" xfId="15001"/>
    <cellStyle name="Heading 1 2 2 6 2 7 9" xfId="15002"/>
    <cellStyle name="Heading 1 2 2 6 2 8" xfId="15003"/>
    <cellStyle name="Heading 1 2 2 6 2 8 2" xfId="15004"/>
    <cellStyle name="Heading 1 2 2 6 2 8 2 2" xfId="15005"/>
    <cellStyle name="Heading 1 2 2 6 2 8 2 2 2" xfId="15006"/>
    <cellStyle name="Heading 1 2 2 6 2 8 2 3" xfId="15007"/>
    <cellStyle name="Heading 1 2 2 6 2 8 3" xfId="15008"/>
    <cellStyle name="Heading 1 2 2 6 2 8 3 2" xfId="15009"/>
    <cellStyle name="Heading 1 2 2 6 2 8 3 2 2" xfId="15010"/>
    <cellStyle name="Heading 1 2 2 6 2 8 3 3" xfId="15011"/>
    <cellStyle name="Heading 1 2 2 6 2 8 4" xfId="15012"/>
    <cellStyle name="Heading 1 2 2 6 2 8 4 2" xfId="15013"/>
    <cellStyle name="Heading 1 2 2 6 2 8 4 2 2" xfId="15014"/>
    <cellStyle name="Heading 1 2 2 6 2 8 4 3" xfId="15015"/>
    <cellStyle name="Heading 1 2 2 6 2 8 5" xfId="15016"/>
    <cellStyle name="Heading 1 2 2 6 2 8 5 2" xfId="15017"/>
    <cellStyle name="Heading 1 2 2 6 2 8 5 2 2" xfId="15018"/>
    <cellStyle name="Heading 1 2 2 6 2 8 5 3" xfId="15019"/>
    <cellStyle name="Heading 1 2 2 6 2 8 6" xfId="15020"/>
    <cellStyle name="Heading 1 2 2 6 2 8 6 2" xfId="15021"/>
    <cellStyle name="Heading 1 2 2 6 2 8 6 2 2" xfId="15022"/>
    <cellStyle name="Heading 1 2 2 6 2 8 6 3" xfId="15023"/>
    <cellStyle name="Heading 1 2 2 6 2 8 7" xfId="15024"/>
    <cellStyle name="Heading 1 2 2 6 2 8 7 2" xfId="15025"/>
    <cellStyle name="Heading 1 2 2 6 2 8 7 2 2" xfId="15026"/>
    <cellStyle name="Heading 1 2 2 6 2 8 7 3" xfId="15027"/>
    <cellStyle name="Heading 1 2 2 6 2 8 8" xfId="15028"/>
    <cellStyle name="Heading 1 2 2 6 2 8 8 2" xfId="15029"/>
    <cellStyle name="Heading 1 2 2 6 2 8 9" xfId="15030"/>
    <cellStyle name="Heading 1 2 2 6 2 9" xfId="15031"/>
    <cellStyle name="Heading 1 2 2 6 2 9 2" xfId="15032"/>
    <cellStyle name="Heading 1 2 2 6 2 9 2 2" xfId="15033"/>
    <cellStyle name="Heading 1 2 2 6 2 9 2 2 2" xfId="15034"/>
    <cellStyle name="Heading 1 2 2 6 2 9 2 3" xfId="15035"/>
    <cellStyle name="Heading 1 2 2 6 2 9 3" xfId="15036"/>
    <cellStyle name="Heading 1 2 2 6 2 9 3 2" xfId="15037"/>
    <cellStyle name="Heading 1 2 2 6 2 9 3 2 2" xfId="15038"/>
    <cellStyle name="Heading 1 2 2 6 2 9 3 3" xfId="15039"/>
    <cellStyle name="Heading 1 2 2 6 2 9 4" xfId="15040"/>
    <cellStyle name="Heading 1 2 2 6 2 9 4 2" xfId="15041"/>
    <cellStyle name="Heading 1 2 2 6 2 9 4 2 2" xfId="15042"/>
    <cellStyle name="Heading 1 2 2 6 2 9 4 3" xfId="15043"/>
    <cellStyle name="Heading 1 2 2 6 2 9 5" xfId="15044"/>
    <cellStyle name="Heading 1 2 2 6 2 9 5 2" xfId="15045"/>
    <cellStyle name="Heading 1 2 2 6 2 9 5 2 2" xfId="15046"/>
    <cellStyle name="Heading 1 2 2 6 2 9 5 3" xfId="15047"/>
    <cellStyle name="Heading 1 2 2 6 2 9 6" xfId="15048"/>
    <cellStyle name="Heading 1 2 2 6 2 9 6 2" xfId="15049"/>
    <cellStyle name="Heading 1 2 2 6 2 9 6 2 2" xfId="15050"/>
    <cellStyle name="Heading 1 2 2 6 2 9 6 3" xfId="15051"/>
    <cellStyle name="Heading 1 2 2 6 2 9 7" xfId="15052"/>
    <cellStyle name="Heading 1 2 2 6 2 9 7 2" xfId="15053"/>
    <cellStyle name="Heading 1 2 2 6 2 9 7 2 2" xfId="15054"/>
    <cellStyle name="Heading 1 2 2 6 2 9 7 3" xfId="15055"/>
    <cellStyle name="Heading 1 2 2 6 2 9 8" xfId="15056"/>
    <cellStyle name="Heading 1 2 2 6 2 9 8 2" xfId="15057"/>
    <cellStyle name="Heading 1 2 2 6 2 9 9" xfId="15058"/>
    <cellStyle name="Heading 1 2 2 6 3" xfId="15059"/>
    <cellStyle name="Heading 1 2 2 6 3 10" xfId="15060"/>
    <cellStyle name="Heading 1 2 2 6 3 10 2" xfId="15061"/>
    <cellStyle name="Heading 1 2 2 6 3 10 2 2" xfId="15062"/>
    <cellStyle name="Heading 1 2 2 6 3 10 3" xfId="15063"/>
    <cellStyle name="Heading 1 2 2 6 3 11" xfId="15064"/>
    <cellStyle name="Heading 1 2 2 6 3 11 2" xfId="15065"/>
    <cellStyle name="Heading 1 2 2 6 3 11 2 2" xfId="15066"/>
    <cellStyle name="Heading 1 2 2 6 3 11 3" xfId="15067"/>
    <cellStyle name="Heading 1 2 2 6 3 12" xfId="15068"/>
    <cellStyle name="Heading 1 2 2 6 3 12 2" xfId="15069"/>
    <cellStyle name="Heading 1 2 2 6 3 12 2 2" xfId="15070"/>
    <cellStyle name="Heading 1 2 2 6 3 12 3" xfId="15071"/>
    <cellStyle name="Heading 1 2 2 6 3 13" xfId="15072"/>
    <cellStyle name="Heading 1 2 2 6 3 13 2" xfId="15073"/>
    <cellStyle name="Heading 1 2 2 6 3 13 2 2" xfId="15074"/>
    <cellStyle name="Heading 1 2 2 6 3 13 3" xfId="15075"/>
    <cellStyle name="Heading 1 2 2 6 3 14" xfId="15076"/>
    <cellStyle name="Heading 1 2 2 6 3 14 2" xfId="15077"/>
    <cellStyle name="Heading 1 2 2 6 3 14 2 2" xfId="15078"/>
    <cellStyle name="Heading 1 2 2 6 3 14 3" xfId="15079"/>
    <cellStyle name="Heading 1 2 2 6 3 15" xfId="15080"/>
    <cellStyle name="Heading 1 2 2 6 3 15 2" xfId="15081"/>
    <cellStyle name="Heading 1 2 2 6 3 15 2 2" xfId="15082"/>
    <cellStyle name="Heading 1 2 2 6 3 15 3" xfId="15083"/>
    <cellStyle name="Heading 1 2 2 6 3 16" xfId="15084"/>
    <cellStyle name="Heading 1 2 2 6 3 16 2" xfId="15085"/>
    <cellStyle name="Heading 1 2 2 6 3 16 2 2" xfId="15086"/>
    <cellStyle name="Heading 1 2 2 6 3 16 3" xfId="15087"/>
    <cellStyle name="Heading 1 2 2 6 3 17" xfId="15088"/>
    <cellStyle name="Heading 1 2 2 6 3 17 2" xfId="15089"/>
    <cellStyle name="Heading 1 2 2 6 3 17 2 2" xfId="15090"/>
    <cellStyle name="Heading 1 2 2 6 3 17 3" xfId="15091"/>
    <cellStyle name="Heading 1 2 2 6 3 18" xfId="15092"/>
    <cellStyle name="Heading 1 2 2 6 3 18 2" xfId="15093"/>
    <cellStyle name="Heading 1 2 2 6 3 18 2 2" xfId="15094"/>
    <cellStyle name="Heading 1 2 2 6 3 18 3" xfId="15095"/>
    <cellStyle name="Heading 1 2 2 6 3 19" xfId="15096"/>
    <cellStyle name="Heading 1 2 2 6 3 19 2" xfId="15097"/>
    <cellStyle name="Heading 1 2 2 6 3 2" xfId="15098"/>
    <cellStyle name="Heading 1 2 2 6 3 2 2" xfId="15099"/>
    <cellStyle name="Heading 1 2 2 6 3 2 2 2" xfId="15100"/>
    <cellStyle name="Heading 1 2 2 6 3 2 2 2 2" xfId="15101"/>
    <cellStyle name="Heading 1 2 2 6 3 2 2 3" xfId="15102"/>
    <cellStyle name="Heading 1 2 2 6 3 2 3" xfId="15103"/>
    <cellStyle name="Heading 1 2 2 6 3 2 3 2" xfId="15104"/>
    <cellStyle name="Heading 1 2 2 6 3 2 3 2 2" xfId="15105"/>
    <cellStyle name="Heading 1 2 2 6 3 2 3 3" xfId="15106"/>
    <cellStyle name="Heading 1 2 2 6 3 2 4" xfId="15107"/>
    <cellStyle name="Heading 1 2 2 6 3 2 4 2" xfId="15108"/>
    <cellStyle name="Heading 1 2 2 6 3 2 4 2 2" xfId="15109"/>
    <cellStyle name="Heading 1 2 2 6 3 2 4 3" xfId="15110"/>
    <cellStyle name="Heading 1 2 2 6 3 2 5" xfId="15111"/>
    <cellStyle name="Heading 1 2 2 6 3 2 5 2" xfId="15112"/>
    <cellStyle name="Heading 1 2 2 6 3 2 5 2 2" xfId="15113"/>
    <cellStyle name="Heading 1 2 2 6 3 2 5 3" xfId="15114"/>
    <cellStyle name="Heading 1 2 2 6 3 2 6" xfId="15115"/>
    <cellStyle name="Heading 1 2 2 6 3 2 6 2" xfId="15116"/>
    <cellStyle name="Heading 1 2 2 6 3 2 6 2 2" xfId="15117"/>
    <cellStyle name="Heading 1 2 2 6 3 2 6 3" xfId="15118"/>
    <cellStyle name="Heading 1 2 2 6 3 2 7" xfId="15119"/>
    <cellStyle name="Heading 1 2 2 6 3 2 7 2" xfId="15120"/>
    <cellStyle name="Heading 1 2 2 6 3 2 7 2 2" xfId="15121"/>
    <cellStyle name="Heading 1 2 2 6 3 2 7 3" xfId="15122"/>
    <cellStyle name="Heading 1 2 2 6 3 2 8" xfId="15123"/>
    <cellStyle name="Heading 1 2 2 6 3 2 8 2" xfId="15124"/>
    <cellStyle name="Heading 1 2 2 6 3 2 9" xfId="15125"/>
    <cellStyle name="Heading 1 2 2 6 3 20" xfId="15126"/>
    <cellStyle name="Heading 1 2 2 6 3 20 2" xfId="15127"/>
    <cellStyle name="Heading 1 2 2 6 3 21" xfId="15128"/>
    <cellStyle name="Heading 1 2 2 6 3 21 2" xfId="15129"/>
    <cellStyle name="Heading 1 2 2 6 3 22" xfId="15130"/>
    <cellStyle name="Heading 1 2 2 6 3 3" xfId="15131"/>
    <cellStyle name="Heading 1 2 2 6 3 3 2" xfId="15132"/>
    <cellStyle name="Heading 1 2 2 6 3 3 2 2" xfId="15133"/>
    <cellStyle name="Heading 1 2 2 6 3 3 2 2 2" xfId="15134"/>
    <cellStyle name="Heading 1 2 2 6 3 3 2 3" xfId="15135"/>
    <cellStyle name="Heading 1 2 2 6 3 3 3" xfId="15136"/>
    <cellStyle name="Heading 1 2 2 6 3 3 3 2" xfId="15137"/>
    <cellStyle name="Heading 1 2 2 6 3 3 3 2 2" xfId="15138"/>
    <cellStyle name="Heading 1 2 2 6 3 3 3 3" xfId="15139"/>
    <cellStyle name="Heading 1 2 2 6 3 3 4" xfId="15140"/>
    <cellStyle name="Heading 1 2 2 6 3 3 4 2" xfId="15141"/>
    <cellStyle name="Heading 1 2 2 6 3 3 4 2 2" xfId="15142"/>
    <cellStyle name="Heading 1 2 2 6 3 3 4 3" xfId="15143"/>
    <cellStyle name="Heading 1 2 2 6 3 3 5" xfId="15144"/>
    <cellStyle name="Heading 1 2 2 6 3 3 5 2" xfId="15145"/>
    <cellStyle name="Heading 1 2 2 6 3 3 5 2 2" xfId="15146"/>
    <cellStyle name="Heading 1 2 2 6 3 3 5 3" xfId="15147"/>
    <cellStyle name="Heading 1 2 2 6 3 3 6" xfId="15148"/>
    <cellStyle name="Heading 1 2 2 6 3 3 6 2" xfId="15149"/>
    <cellStyle name="Heading 1 2 2 6 3 3 6 2 2" xfId="15150"/>
    <cellStyle name="Heading 1 2 2 6 3 3 6 3" xfId="15151"/>
    <cellStyle name="Heading 1 2 2 6 3 3 7" xfId="15152"/>
    <cellStyle name="Heading 1 2 2 6 3 3 7 2" xfId="15153"/>
    <cellStyle name="Heading 1 2 2 6 3 3 7 2 2" xfId="15154"/>
    <cellStyle name="Heading 1 2 2 6 3 3 7 3" xfId="15155"/>
    <cellStyle name="Heading 1 2 2 6 3 3 8" xfId="15156"/>
    <cellStyle name="Heading 1 2 2 6 3 3 8 2" xfId="15157"/>
    <cellStyle name="Heading 1 2 2 6 3 3 9" xfId="15158"/>
    <cellStyle name="Heading 1 2 2 6 3 4" xfId="15159"/>
    <cellStyle name="Heading 1 2 2 6 3 4 2" xfId="15160"/>
    <cellStyle name="Heading 1 2 2 6 3 4 2 2" xfId="15161"/>
    <cellStyle name="Heading 1 2 2 6 3 4 2 2 2" xfId="15162"/>
    <cellStyle name="Heading 1 2 2 6 3 4 2 3" xfId="15163"/>
    <cellStyle name="Heading 1 2 2 6 3 4 3" xfId="15164"/>
    <cellStyle name="Heading 1 2 2 6 3 4 3 2" xfId="15165"/>
    <cellStyle name="Heading 1 2 2 6 3 4 3 2 2" xfId="15166"/>
    <cellStyle name="Heading 1 2 2 6 3 4 3 3" xfId="15167"/>
    <cellStyle name="Heading 1 2 2 6 3 4 4" xfId="15168"/>
    <cellStyle name="Heading 1 2 2 6 3 4 4 2" xfId="15169"/>
    <cellStyle name="Heading 1 2 2 6 3 4 4 2 2" xfId="15170"/>
    <cellStyle name="Heading 1 2 2 6 3 4 4 3" xfId="15171"/>
    <cellStyle name="Heading 1 2 2 6 3 4 5" xfId="15172"/>
    <cellStyle name="Heading 1 2 2 6 3 4 5 2" xfId="15173"/>
    <cellStyle name="Heading 1 2 2 6 3 4 5 2 2" xfId="15174"/>
    <cellStyle name="Heading 1 2 2 6 3 4 5 3" xfId="15175"/>
    <cellStyle name="Heading 1 2 2 6 3 4 6" xfId="15176"/>
    <cellStyle name="Heading 1 2 2 6 3 4 6 2" xfId="15177"/>
    <cellStyle name="Heading 1 2 2 6 3 4 6 2 2" xfId="15178"/>
    <cellStyle name="Heading 1 2 2 6 3 4 6 3" xfId="15179"/>
    <cellStyle name="Heading 1 2 2 6 3 4 7" xfId="15180"/>
    <cellStyle name="Heading 1 2 2 6 3 4 7 2" xfId="15181"/>
    <cellStyle name="Heading 1 2 2 6 3 4 7 2 2" xfId="15182"/>
    <cellStyle name="Heading 1 2 2 6 3 4 7 3" xfId="15183"/>
    <cellStyle name="Heading 1 2 2 6 3 4 8" xfId="15184"/>
    <cellStyle name="Heading 1 2 2 6 3 4 8 2" xfId="15185"/>
    <cellStyle name="Heading 1 2 2 6 3 4 9" xfId="15186"/>
    <cellStyle name="Heading 1 2 2 6 3 5" xfId="15187"/>
    <cellStyle name="Heading 1 2 2 6 3 5 2" xfId="15188"/>
    <cellStyle name="Heading 1 2 2 6 3 5 2 2" xfId="15189"/>
    <cellStyle name="Heading 1 2 2 6 3 5 2 2 2" xfId="15190"/>
    <cellStyle name="Heading 1 2 2 6 3 5 2 3" xfId="15191"/>
    <cellStyle name="Heading 1 2 2 6 3 5 3" xfId="15192"/>
    <cellStyle name="Heading 1 2 2 6 3 5 3 2" xfId="15193"/>
    <cellStyle name="Heading 1 2 2 6 3 5 3 2 2" xfId="15194"/>
    <cellStyle name="Heading 1 2 2 6 3 5 3 3" xfId="15195"/>
    <cellStyle name="Heading 1 2 2 6 3 5 4" xfId="15196"/>
    <cellStyle name="Heading 1 2 2 6 3 5 4 2" xfId="15197"/>
    <cellStyle name="Heading 1 2 2 6 3 5 4 2 2" xfId="15198"/>
    <cellStyle name="Heading 1 2 2 6 3 5 4 3" xfId="15199"/>
    <cellStyle name="Heading 1 2 2 6 3 5 5" xfId="15200"/>
    <cellStyle name="Heading 1 2 2 6 3 5 5 2" xfId="15201"/>
    <cellStyle name="Heading 1 2 2 6 3 5 5 2 2" xfId="15202"/>
    <cellStyle name="Heading 1 2 2 6 3 5 5 3" xfId="15203"/>
    <cellStyle name="Heading 1 2 2 6 3 5 6" xfId="15204"/>
    <cellStyle name="Heading 1 2 2 6 3 5 6 2" xfId="15205"/>
    <cellStyle name="Heading 1 2 2 6 3 5 6 2 2" xfId="15206"/>
    <cellStyle name="Heading 1 2 2 6 3 5 6 3" xfId="15207"/>
    <cellStyle name="Heading 1 2 2 6 3 5 7" xfId="15208"/>
    <cellStyle name="Heading 1 2 2 6 3 5 7 2" xfId="15209"/>
    <cellStyle name="Heading 1 2 2 6 3 5 7 2 2" xfId="15210"/>
    <cellStyle name="Heading 1 2 2 6 3 5 7 3" xfId="15211"/>
    <cellStyle name="Heading 1 2 2 6 3 5 8" xfId="15212"/>
    <cellStyle name="Heading 1 2 2 6 3 5 8 2" xfId="15213"/>
    <cellStyle name="Heading 1 2 2 6 3 5 9" xfId="15214"/>
    <cellStyle name="Heading 1 2 2 6 3 6" xfId="15215"/>
    <cellStyle name="Heading 1 2 2 6 3 6 2" xfId="15216"/>
    <cellStyle name="Heading 1 2 2 6 3 6 2 2" xfId="15217"/>
    <cellStyle name="Heading 1 2 2 6 3 6 2 2 2" xfId="15218"/>
    <cellStyle name="Heading 1 2 2 6 3 6 2 3" xfId="15219"/>
    <cellStyle name="Heading 1 2 2 6 3 6 3" xfId="15220"/>
    <cellStyle name="Heading 1 2 2 6 3 6 3 2" xfId="15221"/>
    <cellStyle name="Heading 1 2 2 6 3 6 3 2 2" xfId="15222"/>
    <cellStyle name="Heading 1 2 2 6 3 6 3 3" xfId="15223"/>
    <cellStyle name="Heading 1 2 2 6 3 6 4" xfId="15224"/>
    <cellStyle name="Heading 1 2 2 6 3 6 4 2" xfId="15225"/>
    <cellStyle name="Heading 1 2 2 6 3 6 4 2 2" xfId="15226"/>
    <cellStyle name="Heading 1 2 2 6 3 6 4 3" xfId="15227"/>
    <cellStyle name="Heading 1 2 2 6 3 6 5" xfId="15228"/>
    <cellStyle name="Heading 1 2 2 6 3 6 5 2" xfId="15229"/>
    <cellStyle name="Heading 1 2 2 6 3 6 5 2 2" xfId="15230"/>
    <cellStyle name="Heading 1 2 2 6 3 6 5 3" xfId="15231"/>
    <cellStyle name="Heading 1 2 2 6 3 6 6" xfId="15232"/>
    <cellStyle name="Heading 1 2 2 6 3 6 6 2" xfId="15233"/>
    <cellStyle name="Heading 1 2 2 6 3 6 6 2 2" xfId="15234"/>
    <cellStyle name="Heading 1 2 2 6 3 6 6 3" xfId="15235"/>
    <cellStyle name="Heading 1 2 2 6 3 6 7" xfId="15236"/>
    <cellStyle name="Heading 1 2 2 6 3 6 7 2" xfId="15237"/>
    <cellStyle name="Heading 1 2 2 6 3 6 7 2 2" xfId="15238"/>
    <cellStyle name="Heading 1 2 2 6 3 6 7 3" xfId="15239"/>
    <cellStyle name="Heading 1 2 2 6 3 6 8" xfId="15240"/>
    <cellStyle name="Heading 1 2 2 6 3 6 8 2" xfId="15241"/>
    <cellStyle name="Heading 1 2 2 6 3 6 9" xfId="15242"/>
    <cellStyle name="Heading 1 2 2 6 3 7" xfId="15243"/>
    <cellStyle name="Heading 1 2 2 6 3 7 2" xfId="15244"/>
    <cellStyle name="Heading 1 2 2 6 3 7 2 2" xfId="15245"/>
    <cellStyle name="Heading 1 2 2 6 3 7 2 2 2" xfId="15246"/>
    <cellStyle name="Heading 1 2 2 6 3 7 2 3" xfId="15247"/>
    <cellStyle name="Heading 1 2 2 6 3 7 3" xfId="15248"/>
    <cellStyle name="Heading 1 2 2 6 3 7 3 2" xfId="15249"/>
    <cellStyle name="Heading 1 2 2 6 3 7 3 2 2" xfId="15250"/>
    <cellStyle name="Heading 1 2 2 6 3 7 3 3" xfId="15251"/>
    <cellStyle name="Heading 1 2 2 6 3 7 4" xfId="15252"/>
    <cellStyle name="Heading 1 2 2 6 3 7 4 2" xfId="15253"/>
    <cellStyle name="Heading 1 2 2 6 3 7 4 2 2" xfId="15254"/>
    <cellStyle name="Heading 1 2 2 6 3 7 4 3" xfId="15255"/>
    <cellStyle name="Heading 1 2 2 6 3 7 5" xfId="15256"/>
    <cellStyle name="Heading 1 2 2 6 3 7 5 2" xfId="15257"/>
    <cellStyle name="Heading 1 2 2 6 3 7 5 2 2" xfId="15258"/>
    <cellStyle name="Heading 1 2 2 6 3 7 5 3" xfId="15259"/>
    <cellStyle name="Heading 1 2 2 6 3 7 6" xfId="15260"/>
    <cellStyle name="Heading 1 2 2 6 3 7 6 2" xfId="15261"/>
    <cellStyle name="Heading 1 2 2 6 3 7 6 2 2" xfId="15262"/>
    <cellStyle name="Heading 1 2 2 6 3 7 6 3" xfId="15263"/>
    <cellStyle name="Heading 1 2 2 6 3 7 7" xfId="15264"/>
    <cellStyle name="Heading 1 2 2 6 3 7 7 2" xfId="15265"/>
    <cellStyle name="Heading 1 2 2 6 3 7 7 2 2" xfId="15266"/>
    <cellStyle name="Heading 1 2 2 6 3 7 7 3" xfId="15267"/>
    <cellStyle name="Heading 1 2 2 6 3 7 8" xfId="15268"/>
    <cellStyle name="Heading 1 2 2 6 3 7 8 2" xfId="15269"/>
    <cellStyle name="Heading 1 2 2 6 3 7 9" xfId="15270"/>
    <cellStyle name="Heading 1 2 2 6 3 8" xfId="15271"/>
    <cellStyle name="Heading 1 2 2 6 3 8 2" xfId="15272"/>
    <cellStyle name="Heading 1 2 2 6 3 8 2 2" xfId="15273"/>
    <cellStyle name="Heading 1 2 2 6 3 8 2 2 2" xfId="15274"/>
    <cellStyle name="Heading 1 2 2 6 3 8 2 3" xfId="15275"/>
    <cellStyle name="Heading 1 2 2 6 3 8 3" xfId="15276"/>
    <cellStyle name="Heading 1 2 2 6 3 8 3 2" xfId="15277"/>
    <cellStyle name="Heading 1 2 2 6 3 8 3 2 2" xfId="15278"/>
    <cellStyle name="Heading 1 2 2 6 3 8 3 3" xfId="15279"/>
    <cellStyle name="Heading 1 2 2 6 3 8 4" xfId="15280"/>
    <cellStyle name="Heading 1 2 2 6 3 8 4 2" xfId="15281"/>
    <cellStyle name="Heading 1 2 2 6 3 8 4 2 2" xfId="15282"/>
    <cellStyle name="Heading 1 2 2 6 3 8 4 3" xfId="15283"/>
    <cellStyle name="Heading 1 2 2 6 3 8 5" xfId="15284"/>
    <cellStyle name="Heading 1 2 2 6 3 8 5 2" xfId="15285"/>
    <cellStyle name="Heading 1 2 2 6 3 8 5 2 2" xfId="15286"/>
    <cellStyle name="Heading 1 2 2 6 3 8 5 3" xfId="15287"/>
    <cellStyle name="Heading 1 2 2 6 3 8 6" xfId="15288"/>
    <cellStyle name="Heading 1 2 2 6 3 8 6 2" xfId="15289"/>
    <cellStyle name="Heading 1 2 2 6 3 8 6 2 2" xfId="15290"/>
    <cellStyle name="Heading 1 2 2 6 3 8 6 3" xfId="15291"/>
    <cellStyle name="Heading 1 2 2 6 3 8 7" xfId="15292"/>
    <cellStyle name="Heading 1 2 2 6 3 8 7 2" xfId="15293"/>
    <cellStyle name="Heading 1 2 2 6 3 8 7 2 2" xfId="15294"/>
    <cellStyle name="Heading 1 2 2 6 3 8 7 3" xfId="15295"/>
    <cellStyle name="Heading 1 2 2 6 3 8 8" xfId="15296"/>
    <cellStyle name="Heading 1 2 2 6 3 8 8 2" xfId="15297"/>
    <cellStyle name="Heading 1 2 2 6 3 8 9" xfId="15298"/>
    <cellStyle name="Heading 1 2 2 6 3 9" xfId="15299"/>
    <cellStyle name="Heading 1 2 2 6 3 9 2" xfId="15300"/>
    <cellStyle name="Heading 1 2 2 6 3 9 2 2" xfId="15301"/>
    <cellStyle name="Heading 1 2 2 6 3 9 3" xfId="15302"/>
    <cellStyle name="Heading 1 2 2 6 4" xfId="15303"/>
    <cellStyle name="Heading 1 2 2 6 4 2" xfId="15304"/>
    <cellStyle name="Heading 1 2 2 6 4 2 2" xfId="15305"/>
    <cellStyle name="Heading 1 2 2 6 4 3" xfId="15306"/>
    <cellStyle name="Heading 1 2 2 6 5" xfId="15307"/>
    <cellStyle name="Heading 1 2 2 6 5 2" xfId="15308"/>
    <cellStyle name="Heading 1 2 2 6 6" xfId="15309"/>
    <cellStyle name="Heading 1 2 2 7" xfId="15310"/>
    <cellStyle name="Heading 1 2 2 7 2" xfId="15311"/>
    <cellStyle name="Heading 1 2 2 7 2 10" xfId="15312"/>
    <cellStyle name="Heading 1 2 2 7 2 10 2" xfId="15313"/>
    <cellStyle name="Heading 1 2 2 7 2 10 2 2" xfId="15314"/>
    <cellStyle name="Heading 1 2 2 7 2 10 3" xfId="15315"/>
    <cellStyle name="Heading 1 2 2 7 2 11" xfId="15316"/>
    <cellStyle name="Heading 1 2 2 7 2 11 2" xfId="15317"/>
    <cellStyle name="Heading 1 2 2 7 2 11 2 2" xfId="15318"/>
    <cellStyle name="Heading 1 2 2 7 2 11 3" xfId="15319"/>
    <cellStyle name="Heading 1 2 2 7 2 12" xfId="15320"/>
    <cellStyle name="Heading 1 2 2 7 2 12 2" xfId="15321"/>
    <cellStyle name="Heading 1 2 2 7 2 12 2 2" xfId="15322"/>
    <cellStyle name="Heading 1 2 2 7 2 12 3" xfId="15323"/>
    <cellStyle name="Heading 1 2 2 7 2 13" xfId="15324"/>
    <cellStyle name="Heading 1 2 2 7 2 13 2" xfId="15325"/>
    <cellStyle name="Heading 1 2 2 7 2 13 2 2" xfId="15326"/>
    <cellStyle name="Heading 1 2 2 7 2 13 3" xfId="15327"/>
    <cellStyle name="Heading 1 2 2 7 2 14" xfId="15328"/>
    <cellStyle name="Heading 1 2 2 7 2 14 2" xfId="15329"/>
    <cellStyle name="Heading 1 2 2 7 2 14 2 2" xfId="15330"/>
    <cellStyle name="Heading 1 2 2 7 2 14 3" xfId="15331"/>
    <cellStyle name="Heading 1 2 2 7 2 15" xfId="15332"/>
    <cellStyle name="Heading 1 2 2 7 2 15 2" xfId="15333"/>
    <cellStyle name="Heading 1 2 2 7 2 15 2 2" xfId="15334"/>
    <cellStyle name="Heading 1 2 2 7 2 15 3" xfId="15335"/>
    <cellStyle name="Heading 1 2 2 7 2 16" xfId="15336"/>
    <cellStyle name="Heading 1 2 2 7 2 16 2" xfId="15337"/>
    <cellStyle name="Heading 1 2 2 7 2 16 2 2" xfId="15338"/>
    <cellStyle name="Heading 1 2 2 7 2 16 3" xfId="15339"/>
    <cellStyle name="Heading 1 2 2 7 2 17" xfId="15340"/>
    <cellStyle name="Heading 1 2 2 7 2 17 2" xfId="15341"/>
    <cellStyle name="Heading 1 2 2 7 2 17 2 2" xfId="15342"/>
    <cellStyle name="Heading 1 2 2 7 2 17 3" xfId="15343"/>
    <cellStyle name="Heading 1 2 2 7 2 18" xfId="15344"/>
    <cellStyle name="Heading 1 2 2 7 2 18 2" xfId="15345"/>
    <cellStyle name="Heading 1 2 2 7 2 18 2 2" xfId="15346"/>
    <cellStyle name="Heading 1 2 2 7 2 18 3" xfId="15347"/>
    <cellStyle name="Heading 1 2 2 7 2 19" xfId="15348"/>
    <cellStyle name="Heading 1 2 2 7 2 19 2" xfId="15349"/>
    <cellStyle name="Heading 1 2 2 7 2 19 2 2" xfId="15350"/>
    <cellStyle name="Heading 1 2 2 7 2 19 3" xfId="15351"/>
    <cellStyle name="Heading 1 2 2 7 2 2" xfId="15352"/>
    <cellStyle name="Heading 1 2 2 7 2 2 10" xfId="15353"/>
    <cellStyle name="Heading 1 2 2 7 2 2 10 2" xfId="15354"/>
    <cellStyle name="Heading 1 2 2 7 2 2 10 2 2" xfId="15355"/>
    <cellStyle name="Heading 1 2 2 7 2 2 10 3" xfId="15356"/>
    <cellStyle name="Heading 1 2 2 7 2 2 11" xfId="15357"/>
    <cellStyle name="Heading 1 2 2 7 2 2 11 2" xfId="15358"/>
    <cellStyle name="Heading 1 2 2 7 2 2 11 2 2" xfId="15359"/>
    <cellStyle name="Heading 1 2 2 7 2 2 11 3" xfId="15360"/>
    <cellStyle name="Heading 1 2 2 7 2 2 12" xfId="15361"/>
    <cellStyle name="Heading 1 2 2 7 2 2 12 2" xfId="15362"/>
    <cellStyle name="Heading 1 2 2 7 2 2 12 2 2" xfId="15363"/>
    <cellStyle name="Heading 1 2 2 7 2 2 12 3" xfId="15364"/>
    <cellStyle name="Heading 1 2 2 7 2 2 13" xfId="15365"/>
    <cellStyle name="Heading 1 2 2 7 2 2 13 2" xfId="15366"/>
    <cellStyle name="Heading 1 2 2 7 2 2 13 2 2" xfId="15367"/>
    <cellStyle name="Heading 1 2 2 7 2 2 13 3" xfId="15368"/>
    <cellStyle name="Heading 1 2 2 7 2 2 14" xfId="15369"/>
    <cellStyle name="Heading 1 2 2 7 2 2 14 2" xfId="15370"/>
    <cellStyle name="Heading 1 2 2 7 2 2 14 2 2" xfId="15371"/>
    <cellStyle name="Heading 1 2 2 7 2 2 14 3" xfId="15372"/>
    <cellStyle name="Heading 1 2 2 7 2 2 15" xfId="15373"/>
    <cellStyle name="Heading 1 2 2 7 2 2 15 2" xfId="15374"/>
    <cellStyle name="Heading 1 2 2 7 2 2 15 2 2" xfId="15375"/>
    <cellStyle name="Heading 1 2 2 7 2 2 15 3" xfId="15376"/>
    <cellStyle name="Heading 1 2 2 7 2 2 16" xfId="15377"/>
    <cellStyle name="Heading 1 2 2 7 2 2 16 2" xfId="15378"/>
    <cellStyle name="Heading 1 2 2 7 2 2 16 2 2" xfId="15379"/>
    <cellStyle name="Heading 1 2 2 7 2 2 16 3" xfId="15380"/>
    <cellStyle name="Heading 1 2 2 7 2 2 17" xfId="15381"/>
    <cellStyle name="Heading 1 2 2 7 2 2 17 2" xfId="15382"/>
    <cellStyle name="Heading 1 2 2 7 2 2 17 2 2" xfId="15383"/>
    <cellStyle name="Heading 1 2 2 7 2 2 17 3" xfId="15384"/>
    <cellStyle name="Heading 1 2 2 7 2 2 18" xfId="15385"/>
    <cellStyle name="Heading 1 2 2 7 2 2 18 2" xfId="15386"/>
    <cellStyle name="Heading 1 2 2 7 2 2 18 2 2" xfId="15387"/>
    <cellStyle name="Heading 1 2 2 7 2 2 18 3" xfId="15388"/>
    <cellStyle name="Heading 1 2 2 7 2 2 19" xfId="15389"/>
    <cellStyle name="Heading 1 2 2 7 2 2 19 2" xfId="15390"/>
    <cellStyle name="Heading 1 2 2 7 2 2 2" xfId="15391"/>
    <cellStyle name="Heading 1 2 2 7 2 2 2 2" xfId="15392"/>
    <cellStyle name="Heading 1 2 2 7 2 2 2 2 2" xfId="15393"/>
    <cellStyle name="Heading 1 2 2 7 2 2 2 2 2 2" xfId="15394"/>
    <cellStyle name="Heading 1 2 2 7 2 2 2 2 3" xfId="15395"/>
    <cellStyle name="Heading 1 2 2 7 2 2 2 3" xfId="15396"/>
    <cellStyle name="Heading 1 2 2 7 2 2 2 3 2" xfId="15397"/>
    <cellStyle name="Heading 1 2 2 7 2 2 2 3 2 2" xfId="15398"/>
    <cellStyle name="Heading 1 2 2 7 2 2 2 3 3" xfId="15399"/>
    <cellStyle name="Heading 1 2 2 7 2 2 2 4" xfId="15400"/>
    <cellStyle name="Heading 1 2 2 7 2 2 2 4 2" xfId="15401"/>
    <cellStyle name="Heading 1 2 2 7 2 2 2 4 2 2" xfId="15402"/>
    <cellStyle name="Heading 1 2 2 7 2 2 2 4 3" xfId="15403"/>
    <cellStyle name="Heading 1 2 2 7 2 2 2 5" xfId="15404"/>
    <cellStyle name="Heading 1 2 2 7 2 2 2 5 2" xfId="15405"/>
    <cellStyle name="Heading 1 2 2 7 2 2 2 5 2 2" xfId="15406"/>
    <cellStyle name="Heading 1 2 2 7 2 2 2 5 3" xfId="15407"/>
    <cellStyle name="Heading 1 2 2 7 2 2 2 6" xfId="15408"/>
    <cellStyle name="Heading 1 2 2 7 2 2 2 6 2" xfId="15409"/>
    <cellStyle name="Heading 1 2 2 7 2 2 2 6 2 2" xfId="15410"/>
    <cellStyle name="Heading 1 2 2 7 2 2 2 6 3" xfId="15411"/>
    <cellStyle name="Heading 1 2 2 7 2 2 2 7" xfId="15412"/>
    <cellStyle name="Heading 1 2 2 7 2 2 2 7 2" xfId="15413"/>
    <cellStyle name="Heading 1 2 2 7 2 2 2 7 2 2" xfId="15414"/>
    <cellStyle name="Heading 1 2 2 7 2 2 2 7 3" xfId="15415"/>
    <cellStyle name="Heading 1 2 2 7 2 2 2 8" xfId="15416"/>
    <cellStyle name="Heading 1 2 2 7 2 2 2 8 2" xfId="15417"/>
    <cellStyle name="Heading 1 2 2 7 2 2 2 9" xfId="15418"/>
    <cellStyle name="Heading 1 2 2 7 2 2 20" xfId="15419"/>
    <cellStyle name="Heading 1 2 2 7 2 2 20 2" xfId="15420"/>
    <cellStyle name="Heading 1 2 2 7 2 2 21" xfId="15421"/>
    <cellStyle name="Heading 1 2 2 7 2 2 21 2" xfId="15422"/>
    <cellStyle name="Heading 1 2 2 7 2 2 22" xfId="15423"/>
    <cellStyle name="Heading 1 2 2 7 2 2 3" xfId="15424"/>
    <cellStyle name="Heading 1 2 2 7 2 2 3 2" xfId="15425"/>
    <cellStyle name="Heading 1 2 2 7 2 2 3 2 2" xfId="15426"/>
    <cellStyle name="Heading 1 2 2 7 2 2 3 2 2 2" xfId="15427"/>
    <cellStyle name="Heading 1 2 2 7 2 2 3 2 3" xfId="15428"/>
    <cellStyle name="Heading 1 2 2 7 2 2 3 3" xfId="15429"/>
    <cellStyle name="Heading 1 2 2 7 2 2 3 3 2" xfId="15430"/>
    <cellStyle name="Heading 1 2 2 7 2 2 3 3 2 2" xfId="15431"/>
    <cellStyle name="Heading 1 2 2 7 2 2 3 3 3" xfId="15432"/>
    <cellStyle name="Heading 1 2 2 7 2 2 3 4" xfId="15433"/>
    <cellStyle name="Heading 1 2 2 7 2 2 3 4 2" xfId="15434"/>
    <cellStyle name="Heading 1 2 2 7 2 2 3 4 2 2" xfId="15435"/>
    <cellStyle name="Heading 1 2 2 7 2 2 3 4 3" xfId="15436"/>
    <cellStyle name="Heading 1 2 2 7 2 2 3 5" xfId="15437"/>
    <cellStyle name="Heading 1 2 2 7 2 2 3 5 2" xfId="15438"/>
    <cellStyle name="Heading 1 2 2 7 2 2 3 5 2 2" xfId="15439"/>
    <cellStyle name="Heading 1 2 2 7 2 2 3 5 3" xfId="15440"/>
    <cellStyle name="Heading 1 2 2 7 2 2 3 6" xfId="15441"/>
    <cellStyle name="Heading 1 2 2 7 2 2 3 6 2" xfId="15442"/>
    <cellStyle name="Heading 1 2 2 7 2 2 3 6 2 2" xfId="15443"/>
    <cellStyle name="Heading 1 2 2 7 2 2 3 6 3" xfId="15444"/>
    <cellStyle name="Heading 1 2 2 7 2 2 3 7" xfId="15445"/>
    <cellStyle name="Heading 1 2 2 7 2 2 3 7 2" xfId="15446"/>
    <cellStyle name="Heading 1 2 2 7 2 2 3 7 2 2" xfId="15447"/>
    <cellStyle name="Heading 1 2 2 7 2 2 3 7 3" xfId="15448"/>
    <cellStyle name="Heading 1 2 2 7 2 2 3 8" xfId="15449"/>
    <cellStyle name="Heading 1 2 2 7 2 2 3 8 2" xfId="15450"/>
    <cellStyle name="Heading 1 2 2 7 2 2 3 9" xfId="15451"/>
    <cellStyle name="Heading 1 2 2 7 2 2 4" xfId="15452"/>
    <cellStyle name="Heading 1 2 2 7 2 2 4 2" xfId="15453"/>
    <cellStyle name="Heading 1 2 2 7 2 2 4 2 2" xfId="15454"/>
    <cellStyle name="Heading 1 2 2 7 2 2 4 2 2 2" xfId="15455"/>
    <cellStyle name="Heading 1 2 2 7 2 2 4 2 3" xfId="15456"/>
    <cellStyle name="Heading 1 2 2 7 2 2 4 3" xfId="15457"/>
    <cellStyle name="Heading 1 2 2 7 2 2 4 3 2" xfId="15458"/>
    <cellStyle name="Heading 1 2 2 7 2 2 4 3 2 2" xfId="15459"/>
    <cellStyle name="Heading 1 2 2 7 2 2 4 3 3" xfId="15460"/>
    <cellStyle name="Heading 1 2 2 7 2 2 4 4" xfId="15461"/>
    <cellStyle name="Heading 1 2 2 7 2 2 4 4 2" xfId="15462"/>
    <cellStyle name="Heading 1 2 2 7 2 2 4 4 2 2" xfId="15463"/>
    <cellStyle name="Heading 1 2 2 7 2 2 4 4 3" xfId="15464"/>
    <cellStyle name="Heading 1 2 2 7 2 2 4 5" xfId="15465"/>
    <cellStyle name="Heading 1 2 2 7 2 2 4 5 2" xfId="15466"/>
    <cellStyle name="Heading 1 2 2 7 2 2 4 5 2 2" xfId="15467"/>
    <cellStyle name="Heading 1 2 2 7 2 2 4 5 3" xfId="15468"/>
    <cellStyle name="Heading 1 2 2 7 2 2 4 6" xfId="15469"/>
    <cellStyle name="Heading 1 2 2 7 2 2 4 6 2" xfId="15470"/>
    <cellStyle name="Heading 1 2 2 7 2 2 4 6 2 2" xfId="15471"/>
    <cellStyle name="Heading 1 2 2 7 2 2 4 6 3" xfId="15472"/>
    <cellStyle name="Heading 1 2 2 7 2 2 4 7" xfId="15473"/>
    <cellStyle name="Heading 1 2 2 7 2 2 4 7 2" xfId="15474"/>
    <cellStyle name="Heading 1 2 2 7 2 2 4 7 2 2" xfId="15475"/>
    <cellStyle name="Heading 1 2 2 7 2 2 4 7 3" xfId="15476"/>
    <cellStyle name="Heading 1 2 2 7 2 2 4 8" xfId="15477"/>
    <cellStyle name="Heading 1 2 2 7 2 2 4 8 2" xfId="15478"/>
    <cellStyle name="Heading 1 2 2 7 2 2 4 9" xfId="15479"/>
    <cellStyle name="Heading 1 2 2 7 2 2 5" xfId="15480"/>
    <cellStyle name="Heading 1 2 2 7 2 2 5 2" xfId="15481"/>
    <cellStyle name="Heading 1 2 2 7 2 2 5 2 2" xfId="15482"/>
    <cellStyle name="Heading 1 2 2 7 2 2 5 2 2 2" xfId="15483"/>
    <cellStyle name="Heading 1 2 2 7 2 2 5 2 3" xfId="15484"/>
    <cellStyle name="Heading 1 2 2 7 2 2 5 3" xfId="15485"/>
    <cellStyle name="Heading 1 2 2 7 2 2 5 3 2" xfId="15486"/>
    <cellStyle name="Heading 1 2 2 7 2 2 5 3 2 2" xfId="15487"/>
    <cellStyle name="Heading 1 2 2 7 2 2 5 3 3" xfId="15488"/>
    <cellStyle name="Heading 1 2 2 7 2 2 5 4" xfId="15489"/>
    <cellStyle name="Heading 1 2 2 7 2 2 5 4 2" xfId="15490"/>
    <cellStyle name="Heading 1 2 2 7 2 2 5 4 2 2" xfId="15491"/>
    <cellStyle name="Heading 1 2 2 7 2 2 5 4 3" xfId="15492"/>
    <cellStyle name="Heading 1 2 2 7 2 2 5 5" xfId="15493"/>
    <cellStyle name="Heading 1 2 2 7 2 2 5 5 2" xfId="15494"/>
    <cellStyle name="Heading 1 2 2 7 2 2 5 5 2 2" xfId="15495"/>
    <cellStyle name="Heading 1 2 2 7 2 2 5 5 3" xfId="15496"/>
    <cellStyle name="Heading 1 2 2 7 2 2 5 6" xfId="15497"/>
    <cellStyle name="Heading 1 2 2 7 2 2 5 6 2" xfId="15498"/>
    <cellStyle name="Heading 1 2 2 7 2 2 5 6 2 2" xfId="15499"/>
    <cellStyle name="Heading 1 2 2 7 2 2 5 6 3" xfId="15500"/>
    <cellStyle name="Heading 1 2 2 7 2 2 5 7" xfId="15501"/>
    <cellStyle name="Heading 1 2 2 7 2 2 5 7 2" xfId="15502"/>
    <cellStyle name="Heading 1 2 2 7 2 2 5 7 2 2" xfId="15503"/>
    <cellStyle name="Heading 1 2 2 7 2 2 5 7 3" xfId="15504"/>
    <cellStyle name="Heading 1 2 2 7 2 2 5 8" xfId="15505"/>
    <cellStyle name="Heading 1 2 2 7 2 2 5 8 2" xfId="15506"/>
    <cellStyle name="Heading 1 2 2 7 2 2 5 9" xfId="15507"/>
    <cellStyle name="Heading 1 2 2 7 2 2 6" xfId="15508"/>
    <cellStyle name="Heading 1 2 2 7 2 2 6 2" xfId="15509"/>
    <cellStyle name="Heading 1 2 2 7 2 2 6 2 2" xfId="15510"/>
    <cellStyle name="Heading 1 2 2 7 2 2 6 2 2 2" xfId="15511"/>
    <cellStyle name="Heading 1 2 2 7 2 2 6 2 3" xfId="15512"/>
    <cellStyle name="Heading 1 2 2 7 2 2 6 3" xfId="15513"/>
    <cellStyle name="Heading 1 2 2 7 2 2 6 3 2" xfId="15514"/>
    <cellStyle name="Heading 1 2 2 7 2 2 6 3 2 2" xfId="15515"/>
    <cellStyle name="Heading 1 2 2 7 2 2 6 3 3" xfId="15516"/>
    <cellStyle name="Heading 1 2 2 7 2 2 6 4" xfId="15517"/>
    <cellStyle name="Heading 1 2 2 7 2 2 6 4 2" xfId="15518"/>
    <cellStyle name="Heading 1 2 2 7 2 2 6 4 2 2" xfId="15519"/>
    <cellStyle name="Heading 1 2 2 7 2 2 6 4 3" xfId="15520"/>
    <cellStyle name="Heading 1 2 2 7 2 2 6 5" xfId="15521"/>
    <cellStyle name="Heading 1 2 2 7 2 2 6 5 2" xfId="15522"/>
    <cellStyle name="Heading 1 2 2 7 2 2 6 5 2 2" xfId="15523"/>
    <cellStyle name="Heading 1 2 2 7 2 2 6 5 3" xfId="15524"/>
    <cellStyle name="Heading 1 2 2 7 2 2 6 6" xfId="15525"/>
    <cellStyle name="Heading 1 2 2 7 2 2 6 6 2" xfId="15526"/>
    <cellStyle name="Heading 1 2 2 7 2 2 6 6 2 2" xfId="15527"/>
    <cellStyle name="Heading 1 2 2 7 2 2 6 6 3" xfId="15528"/>
    <cellStyle name="Heading 1 2 2 7 2 2 6 7" xfId="15529"/>
    <cellStyle name="Heading 1 2 2 7 2 2 6 7 2" xfId="15530"/>
    <cellStyle name="Heading 1 2 2 7 2 2 6 7 2 2" xfId="15531"/>
    <cellStyle name="Heading 1 2 2 7 2 2 6 7 3" xfId="15532"/>
    <cellStyle name="Heading 1 2 2 7 2 2 6 8" xfId="15533"/>
    <cellStyle name="Heading 1 2 2 7 2 2 6 8 2" xfId="15534"/>
    <cellStyle name="Heading 1 2 2 7 2 2 6 9" xfId="15535"/>
    <cellStyle name="Heading 1 2 2 7 2 2 7" xfId="15536"/>
    <cellStyle name="Heading 1 2 2 7 2 2 7 2" xfId="15537"/>
    <cellStyle name="Heading 1 2 2 7 2 2 7 2 2" xfId="15538"/>
    <cellStyle name="Heading 1 2 2 7 2 2 7 2 2 2" xfId="15539"/>
    <cellStyle name="Heading 1 2 2 7 2 2 7 2 3" xfId="15540"/>
    <cellStyle name="Heading 1 2 2 7 2 2 7 3" xfId="15541"/>
    <cellStyle name="Heading 1 2 2 7 2 2 7 3 2" xfId="15542"/>
    <cellStyle name="Heading 1 2 2 7 2 2 7 3 2 2" xfId="15543"/>
    <cellStyle name="Heading 1 2 2 7 2 2 7 3 3" xfId="15544"/>
    <cellStyle name="Heading 1 2 2 7 2 2 7 4" xfId="15545"/>
    <cellStyle name="Heading 1 2 2 7 2 2 7 4 2" xfId="15546"/>
    <cellStyle name="Heading 1 2 2 7 2 2 7 4 2 2" xfId="15547"/>
    <cellStyle name="Heading 1 2 2 7 2 2 7 4 3" xfId="15548"/>
    <cellStyle name="Heading 1 2 2 7 2 2 7 5" xfId="15549"/>
    <cellStyle name="Heading 1 2 2 7 2 2 7 5 2" xfId="15550"/>
    <cellStyle name="Heading 1 2 2 7 2 2 7 5 2 2" xfId="15551"/>
    <cellStyle name="Heading 1 2 2 7 2 2 7 5 3" xfId="15552"/>
    <cellStyle name="Heading 1 2 2 7 2 2 7 6" xfId="15553"/>
    <cellStyle name="Heading 1 2 2 7 2 2 7 6 2" xfId="15554"/>
    <cellStyle name="Heading 1 2 2 7 2 2 7 6 2 2" xfId="15555"/>
    <cellStyle name="Heading 1 2 2 7 2 2 7 6 3" xfId="15556"/>
    <cellStyle name="Heading 1 2 2 7 2 2 7 7" xfId="15557"/>
    <cellStyle name="Heading 1 2 2 7 2 2 7 7 2" xfId="15558"/>
    <cellStyle name="Heading 1 2 2 7 2 2 7 7 2 2" xfId="15559"/>
    <cellStyle name="Heading 1 2 2 7 2 2 7 7 3" xfId="15560"/>
    <cellStyle name="Heading 1 2 2 7 2 2 7 8" xfId="15561"/>
    <cellStyle name="Heading 1 2 2 7 2 2 7 8 2" xfId="15562"/>
    <cellStyle name="Heading 1 2 2 7 2 2 7 9" xfId="15563"/>
    <cellStyle name="Heading 1 2 2 7 2 2 8" xfId="15564"/>
    <cellStyle name="Heading 1 2 2 7 2 2 8 2" xfId="15565"/>
    <cellStyle name="Heading 1 2 2 7 2 2 8 2 2" xfId="15566"/>
    <cellStyle name="Heading 1 2 2 7 2 2 8 2 2 2" xfId="15567"/>
    <cellStyle name="Heading 1 2 2 7 2 2 8 2 3" xfId="15568"/>
    <cellStyle name="Heading 1 2 2 7 2 2 8 3" xfId="15569"/>
    <cellStyle name="Heading 1 2 2 7 2 2 8 3 2" xfId="15570"/>
    <cellStyle name="Heading 1 2 2 7 2 2 8 3 2 2" xfId="15571"/>
    <cellStyle name="Heading 1 2 2 7 2 2 8 3 3" xfId="15572"/>
    <cellStyle name="Heading 1 2 2 7 2 2 8 4" xfId="15573"/>
    <cellStyle name="Heading 1 2 2 7 2 2 8 4 2" xfId="15574"/>
    <cellStyle name="Heading 1 2 2 7 2 2 8 4 2 2" xfId="15575"/>
    <cellStyle name="Heading 1 2 2 7 2 2 8 4 3" xfId="15576"/>
    <cellStyle name="Heading 1 2 2 7 2 2 8 5" xfId="15577"/>
    <cellStyle name="Heading 1 2 2 7 2 2 8 5 2" xfId="15578"/>
    <cellStyle name="Heading 1 2 2 7 2 2 8 5 2 2" xfId="15579"/>
    <cellStyle name="Heading 1 2 2 7 2 2 8 5 3" xfId="15580"/>
    <cellStyle name="Heading 1 2 2 7 2 2 8 6" xfId="15581"/>
    <cellStyle name="Heading 1 2 2 7 2 2 8 6 2" xfId="15582"/>
    <cellStyle name="Heading 1 2 2 7 2 2 8 6 2 2" xfId="15583"/>
    <cellStyle name="Heading 1 2 2 7 2 2 8 6 3" xfId="15584"/>
    <cellStyle name="Heading 1 2 2 7 2 2 8 7" xfId="15585"/>
    <cellStyle name="Heading 1 2 2 7 2 2 8 7 2" xfId="15586"/>
    <cellStyle name="Heading 1 2 2 7 2 2 8 7 2 2" xfId="15587"/>
    <cellStyle name="Heading 1 2 2 7 2 2 8 7 3" xfId="15588"/>
    <cellStyle name="Heading 1 2 2 7 2 2 8 8" xfId="15589"/>
    <cellStyle name="Heading 1 2 2 7 2 2 8 8 2" xfId="15590"/>
    <cellStyle name="Heading 1 2 2 7 2 2 8 9" xfId="15591"/>
    <cellStyle name="Heading 1 2 2 7 2 2 9" xfId="15592"/>
    <cellStyle name="Heading 1 2 2 7 2 2 9 2" xfId="15593"/>
    <cellStyle name="Heading 1 2 2 7 2 2 9 2 2" xfId="15594"/>
    <cellStyle name="Heading 1 2 2 7 2 2 9 3" xfId="15595"/>
    <cellStyle name="Heading 1 2 2 7 2 20" xfId="15596"/>
    <cellStyle name="Heading 1 2 2 7 2 20 2" xfId="15597"/>
    <cellStyle name="Heading 1 2 2 7 2 21" xfId="15598"/>
    <cellStyle name="Heading 1 2 2 7 2 21 2" xfId="15599"/>
    <cellStyle name="Heading 1 2 2 7 2 22" xfId="15600"/>
    <cellStyle name="Heading 1 2 2 7 2 22 2" xfId="15601"/>
    <cellStyle name="Heading 1 2 2 7 2 23" xfId="15602"/>
    <cellStyle name="Heading 1 2 2 7 2 3" xfId="15603"/>
    <cellStyle name="Heading 1 2 2 7 2 3 2" xfId="15604"/>
    <cellStyle name="Heading 1 2 2 7 2 3 2 2" xfId="15605"/>
    <cellStyle name="Heading 1 2 2 7 2 3 2 2 2" xfId="15606"/>
    <cellStyle name="Heading 1 2 2 7 2 3 2 3" xfId="15607"/>
    <cellStyle name="Heading 1 2 2 7 2 3 3" xfId="15608"/>
    <cellStyle name="Heading 1 2 2 7 2 3 3 2" xfId="15609"/>
    <cellStyle name="Heading 1 2 2 7 2 3 3 2 2" xfId="15610"/>
    <cellStyle name="Heading 1 2 2 7 2 3 3 3" xfId="15611"/>
    <cellStyle name="Heading 1 2 2 7 2 3 4" xfId="15612"/>
    <cellStyle name="Heading 1 2 2 7 2 3 4 2" xfId="15613"/>
    <cellStyle name="Heading 1 2 2 7 2 3 4 2 2" xfId="15614"/>
    <cellStyle name="Heading 1 2 2 7 2 3 4 3" xfId="15615"/>
    <cellStyle name="Heading 1 2 2 7 2 3 5" xfId="15616"/>
    <cellStyle name="Heading 1 2 2 7 2 3 5 2" xfId="15617"/>
    <cellStyle name="Heading 1 2 2 7 2 3 5 2 2" xfId="15618"/>
    <cellStyle name="Heading 1 2 2 7 2 3 5 3" xfId="15619"/>
    <cellStyle name="Heading 1 2 2 7 2 3 6" xfId="15620"/>
    <cellStyle name="Heading 1 2 2 7 2 3 6 2" xfId="15621"/>
    <cellStyle name="Heading 1 2 2 7 2 3 6 2 2" xfId="15622"/>
    <cellStyle name="Heading 1 2 2 7 2 3 6 3" xfId="15623"/>
    <cellStyle name="Heading 1 2 2 7 2 3 7" xfId="15624"/>
    <cellStyle name="Heading 1 2 2 7 2 3 7 2" xfId="15625"/>
    <cellStyle name="Heading 1 2 2 7 2 3 7 2 2" xfId="15626"/>
    <cellStyle name="Heading 1 2 2 7 2 3 7 3" xfId="15627"/>
    <cellStyle name="Heading 1 2 2 7 2 3 8" xfId="15628"/>
    <cellStyle name="Heading 1 2 2 7 2 3 8 2" xfId="15629"/>
    <cellStyle name="Heading 1 2 2 7 2 3 9" xfId="15630"/>
    <cellStyle name="Heading 1 2 2 7 2 4" xfId="15631"/>
    <cellStyle name="Heading 1 2 2 7 2 4 2" xfId="15632"/>
    <cellStyle name="Heading 1 2 2 7 2 4 2 2" xfId="15633"/>
    <cellStyle name="Heading 1 2 2 7 2 4 2 2 2" xfId="15634"/>
    <cellStyle name="Heading 1 2 2 7 2 4 2 3" xfId="15635"/>
    <cellStyle name="Heading 1 2 2 7 2 4 3" xfId="15636"/>
    <cellStyle name="Heading 1 2 2 7 2 4 3 2" xfId="15637"/>
    <cellStyle name="Heading 1 2 2 7 2 4 3 2 2" xfId="15638"/>
    <cellStyle name="Heading 1 2 2 7 2 4 3 3" xfId="15639"/>
    <cellStyle name="Heading 1 2 2 7 2 4 4" xfId="15640"/>
    <cellStyle name="Heading 1 2 2 7 2 4 4 2" xfId="15641"/>
    <cellStyle name="Heading 1 2 2 7 2 4 4 2 2" xfId="15642"/>
    <cellStyle name="Heading 1 2 2 7 2 4 4 3" xfId="15643"/>
    <cellStyle name="Heading 1 2 2 7 2 4 5" xfId="15644"/>
    <cellStyle name="Heading 1 2 2 7 2 4 5 2" xfId="15645"/>
    <cellStyle name="Heading 1 2 2 7 2 4 5 2 2" xfId="15646"/>
    <cellStyle name="Heading 1 2 2 7 2 4 5 3" xfId="15647"/>
    <cellStyle name="Heading 1 2 2 7 2 4 6" xfId="15648"/>
    <cellStyle name="Heading 1 2 2 7 2 4 6 2" xfId="15649"/>
    <cellStyle name="Heading 1 2 2 7 2 4 6 2 2" xfId="15650"/>
    <cellStyle name="Heading 1 2 2 7 2 4 6 3" xfId="15651"/>
    <cellStyle name="Heading 1 2 2 7 2 4 7" xfId="15652"/>
    <cellStyle name="Heading 1 2 2 7 2 4 7 2" xfId="15653"/>
    <cellStyle name="Heading 1 2 2 7 2 4 7 2 2" xfId="15654"/>
    <cellStyle name="Heading 1 2 2 7 2 4 7 3" xfId="15655"/>
    <cellStyle name="Heading 1 2 2 7 2 4 8" xfId="15656"/>
    <cellStyle name="Heading 1 2 2 7 2 4 8 2" xfId="15657"/>
    <cellStyle name="Heading 1 2 2 7 2 4 9" xfId="15658"/>
    <cellStyle name="Heading 1 2 2 7 2 5" xfId="15659"/>
    <cellStyle name="Heading 1 2 2 7 2 5 2" xfId="15660"/>
    <cellStyle name="Heading 1 2 2 7 2 5 2 2" xfId="15661"/>
    <cellStyle name="Heading 1 2 2 7 2 5 2 2 2" xfId="15662"/>
    <cellStyle name="Heading 1 2 2 7 2 5 2 3" xfId="15663"/>
    <cellStyle name="Heading 1 2 2 7 2 5 3" xfId="15664"/>
    <cellStyle name="Heading 1 2 2 7 2 5 3 2" xfId="15665"/>
    <cellStyle name="Heading 1 2 2 7 2 5 3 2 2" xfId="15666"/>
    <cellStyle name="Heading 1 2 2 7 2 5 3 3" xfId="15667"/>
    <cellStyle name="Heading 1 2 2 7 2 5 4" xfId="15668"/>
    <cellStyle name="Heading 1 2 2 7 2 5 4 2" xfId="15669"/>
    <cellStyle name="Heading 1 2 2 7 2 5 4 2 2" xfId="15670"/>
    <cellStyle name="Heading 1 2 2 7 2 5 4 3" xfId="15671"/>
    <cellStyle name="Heading 1 2 2 7 2 5 5" xfId="15672"/>
    <cellStyle name="Heading 1 2 2 7 2 5 5 2" xfId="15673"/>
    <cellStyle name="Heading 1 2 2 7 2 5 5 2 2" xfId="15674"/>
    <cellStyle name="Heading 1 2 2 7 2 5 5 3" xfId="15675"/>
    <cellStyle name="Heading 1 2 2 7 2 5 6" xfId="15676"/>
    <cellStyle name="Heading 1 2 2 7 2 5 6 2" xfId="15677"/>
    <cellStyle name="Heading 1 2 2 7 2 5 6 2 2" xfId="15678"/>
    <cellStyle name="Heading 1 2 2 7 2 5 6 3" xfId="15679"/>
    <cellStyle name="Heading 1 2 2 7 2 5 7" xfId="15680"/>
    <cellStyle name="Heading 1 2 2 7 2 5 7 2" xfId="15681"/>
    <cellStyle name="Heading 1 2 2 7 2 5 7 2 2" xfId="15682"/>
    <cellStyle name="Heading 1 2 2 7 2 5 7 3" xfId="15683"/>
    <cellStyle name="Heading 1 2 2 7 2 5 8" xfId="15684"/>
    <cellStyle name="Heading 1 2 2 7 2 5 8 2" xfId="15685"/>
    <cellStyle name="Heading 1 2 2 7 2 5 9" xfId="15686"/>
    <cellStyle name="Heading 1 2 2 7 2 6" xfId="15687"/>
    <cellStyle name="Heading 1 2 2 7 2 6 2" xfId="15688"/>
    <cellStyle name="Heading 1 2 2 7 2 6 2 2" xfId="15689"/>
    <cellStyle name="Heading 1 2 2 7 2 6 2 2 2" xfId="15690"/>
    <cellStyle name="Heading 1 2 2 7 2 6 2 3" xfId="15691"/>
    <cellStyle name="Heading 1 2 2 7 2 6 3" xfId="15692"/>
    <cellStyle name="Heading 1 2 2 7 2 6 3 2" xfId="15693"/>
    <cellStyle name="Heading 1 2 2 7 2 6 3 2 2" xfId="15694"/>
    <cellStyle name="Heading 1 2 2 7 2 6 3 3" xfId="15695"/>
    <cellStyle name="Heading 1 2 2 7 2 6 4" xfId="15696"/>
    <cellStyle name="Heading 1 2 2 7 2 6 4 2" xfId="15697"/>
    <cellStyle name="Heading 1 2 2 7 2 6 4 2 2" xfId="15698"/>
    <cellStyle name="Heading 1 2 2 7 2 6 4 3" xfId="15699"/>
    <cellStyle name="Heading 1 2 2 7 2 6 5" xfId="15700"/>
    <cellStyle name="Heading 1 2 2 7 2 6 5 2" xfId="15701"/>
    <cellStyle name="Heading 1 2 2 7 2 6 5 2 2" xfId="15702"/>
    <cellStyle name="Heading 1 2 2 7 2 6 5 3" xfId="15703"/>
    <cellStyle name="Heading 1 2 2 7 2 6 6" xfId="15704"/>
    <cellStyle name="Heading 1 2 2 7 2 6 6 2" xfId="15705"/>
    <cellStyle name="Heading 1 2 2 7 2 6 6 2 2" xfId="15706"/>
    <cellStyle name="Heading 1 2 2 7 2 6 6 3" xfId="15707"/>
    <cellStyle name="Heading 1 2 2 7 2 6 7" xfId="15708"/>
    <cellStyle name="Heading 1 2 2 7 2 6 7 2" xfId="15709"/>
    <cellStyle name="Heading 1 2 2 7 2 6 7 2 2" xfId="15710"/>
    <cellStyle name="Heading 1 2 2 7 2 6 7 3" xfId="15711"/>
    <cellStyle name="Heading 1 2 2 7 2 6 8" xfId="15712"/>
    <cellStyle name="Heading 1 2 2 7 2 6 8 2" xfId="15713"/>
    <cellStyle name="Heading 1 2 2 7 2 6 9" xfId="15714"/>
    <cellStyle name="Heading 1 2 2 7 2 7" xfId="15715"/>
    <cellStyle name="Heading 1 2 2 7 2 7 2" xfId="15716"/>
    <cellStyle name="Heading 1 2 2 7 2 7 2 2" xfId="15717"/>
    <cellStyle name="Heading 1 2 2 7 2 7 2 2 2" xfId="15718"/>
    <cellStyle name="Heading 1 2 2 7 2 7 2 3" xfId="15719"/>
    <cellStyle name="Heading 1 2 2 7 2 7 3" xfId="15720"/>
    <cellStyle name="Heading 1 2 2 7 2 7 3 2" xfId="15721"/>
    <cellStyle name="Heading 1 2 2 7 2 7 3 2 2" xfId="15722"/>
    <cellStyle name="Heading 1 2 2 7 2 7 3 3" xfId="15723"/>
    <cellStyle name="Heading 1 2 2 7 2 7 4" xfId="15724"/>
    <cellStyle name="Heading 1 2 2 7 2 7 4 2" xfId="15725"/>
    <cellStyle name="Heading 1 2 2 7 2 7 4 2 2" xfId="15726"/>
    <cellStyle name="Heading 1 2 2 7 2 7 4 3" xfId="15727"/>
    <cellStyle name="Heading 1 2 2 7 2 7 5" xfId="15728"/>
    <cellStyle name="Heading 1 2 2 7 2 7 5 2" xfId="15729"/>
    <cellStyle name="Heading 1 2 2 7 2 7 5 2 2" xfId="15730"/>
    <cellStyle name="Heading 1 2 2 7 2 7 5 3" xfId="15731"/>
    <cellStyle name="Heading 1 2 2 7 2 7 6" xfId="15732"/>
    <cellStyle name="Heading 1 2 2 7 2 7 6 2" xfId="15733"/>
    <cellStyle name="Heading 1 2 2 7 2 7 6 2 2" xfId="15734"/>
    <cellStyle name="Heading 1 2 2 7 2 7 6 3" xfId="15735"/>
    <cellStyle name="Heading 1 2 2 7 2 7 7" xfId="15736"/>
    <cellStyle name="Heading 1 2 2 7 2 7 7 2" xfId="15737"/>
    <cellStyle name="Heading 1 2 2 7 2 7 7 2 2" xfId="15738"/>
    <cellStyle name="Heading 1 2 2 7 2 7 7 3" xfId="15739"/>
    <cellStyle name="Heading 1 2 2 7 2 7 8" xfId="15740"/>
    <cellStyle name="Heading 1 2 2 7 2 7 8 2" xfId="15741"/>
    <cellStyle name="Heading 1 2 2 7 2 7 9" xfId="15742"/>
    <cellStyle name="Heading 1 2 2 7 2 8" xfId="15743"/>
    <cellStyle name="Heading 1 2 2 7 2 8 2" xfId="15744"/>
    <cellStyle name="Heading 1 2 2 7 2 8 2 2" xfId="15745"/>
    <cellStyle name="Heading 1 2 2 7 2 8 2 2 2" xfId="15746"/>
    <cellStyle name="Heading 1 2 2 7 2 8 2 3" xfId="15747"/>
    <cellStyle name="Heading 1 2 2 7 2 8 3" xfId="15748"/>
    <cellStyle name="Heading 1 2 2 7 2 8 3 2" xfId="15749"/>
    <cellStyle name="Heading 1 2 2 7 2 8 3 2 2" xfId="15750"/>
    <cellStyle name="Heading 1 2 2 7 2 8 3 3" xfId="15751"/>
    <cellStyle name="Heading 1 2 2 7 2 8 4" xfId="15752"/>
    <cellStyle name="Heading 1 2 2 7 2 8 4 2" xfId="15753"/>
    <cellStyle name="Heading 1 2 2 7 2 8 4 2 2" xfId="15754"/>
    <cellStyle name="Heading 1 2 2 7 2 8 4 3" xfId="15755"/>
    <cellStyle name="Heading 1 2 2 7 2 8 5" xfId="15756"/>
    <cellStyle name="Heading 1 2 2 7 2 8 5 2" xfId="15757"/>
    <cellStyle name="Heading 1 2 2 7 2 8 5 2 2" xfId="15758"/>
    <cellStyle name="Heading 1 2 2 7 2 8 5 3" xfId="15759"/>
    <cellStyle name="Heading 1 2 2 7 2 8 6" xfId="15760"/>
    <cellStyle name="Heading 1 2 2 7 2 8 6 2" xfId="15761"/>
    <cellStyle name="Heading 1 2 2 7 2 8 6 2 2" xfId="15762"/>
    <cellStyle name="Heading 1 2 2 7 2 8 6 3" xfId="15763"/>
    <cellStyle name="Heading 1 2 2 7 2 8 7" xfId="15764"/>
    <cellStyle name="Heading 1 2 2 7 2 8 7 2" xfId="15765"/>
    <cellStyle name="Heading 1 2 2 7 2 8 7 2 2" xfId="15766"/>
    <cellStyle name="Heading 1 2 2 7 2 8 7 3" xfId="15767"/>
    <cellStyle name="Heading 1 2 2 7 2 8 8" xfId="15768"/>
    <cellStyle name="Heading 1 2 2 7 2 8 8 2" xfId="15769"/>
    <cellStyle name="Heading 1 2 2 7 2 8 9" xfId="15770"/>
    <cellStyle name="Heading 1 2 2 7 2 9" xfId="15771"/>
    <cellStyle name="Heading 1 2 2 7 2 9 2" xfId="15772"/>
    <cellStyle name="Heading 1 2 2 7 2 9 2 2" xfId="15773"/>
    <cellStyle name="Heading 1 2 2 7 2 9 2 2 2" xfId="15774"/>
    <cellStyle name="Heading 1 2 2 7 2 9 2 3" xfId="15775"/>
    <cellStyle name="Heading 1 2 2 7 2 9 3" xfId="15776"/>
    <cellStyle name="Heading 1 2 2 7 2 9 3 2" xfId="15777"/>
    <cellStyle name="Heading 1 2 2 7 2 9 3 2 2" xfId="15778"/>
    <cellStyle name="Heading 1 2 2 7 2 9 3 3" xfId="15779"/>
    <cellStyle name="Heading 1 2 2 7 2 9 4" xfId="15780"/>
    <cellStyle name="Heading 1 2 2 7 2 9 4 2" xfId="15781"/>
    <cellStyle name="Heading 1 2 2 7 2 9 4 2 2" xfId="15782"/>
    <cellStyle name="Heading 1 2 2 7 2 9 4 3" xfId="15783"/>
    <cellStyle name="Heading 1 2 2 7 2 9 5" xfId="15784"/>
    <cellStyle name="Heading 1 2 2 7 2 9 5 2" xfId="15785"/>
    <cellStyle name="Heading 1 2 2 7 2 9 5 2 2" xfId="15786"/>
    <cellStyle name="Heading 1 2 2 7 2 9 5 3" xfId="15787"/>
    <cellStyle name="Heading 1 2 2 7 2 9 6" xfId="15788"/>
    <cellStyle name="Heading 1 2 2 7 2 9 6 2" xfId="15789"/>
    <cellStyle name="Heading 1 2 2 7 2 9 6 2 2" xfId="15790"/>
    <cellStyle name="Heading 1 2 2 7 2 9 6 3" xfId="15791"/>
    <cellStyle name="Heading 1 2 2 7 2 9 7" xfId="15792"/>
    <cellStyle name="Heading 1 2 2 7 2 9 7 2" xfId="15793"/>
    <cellStyle name="Heading 1 2 2 7 2 9 7 2 2" xfId="15794"/>
    <cellStyle name="Heading 1 2 2 7 2 9 7 3" xfId="15795"/>
    <cellStyle name="Heading 1 2 2 7 2 9 8" xfId="15796"/>
    <cellStyle name="Heading 1 2 2 7 2 9 8 2" xfId="15797"/>
    <cellStyle name="Heading 1 2 2 7 2 9 9" xfId="15798"/>
    <cellStyle name="Heading 1 2 2 7 3" xfId="15799"/>
    <cellStyle name="Heading 1 2 2 7 3 10" xfId="15800"/>
    <cellStyle name="Heading 1 2 2 7 3 10 2" xfId="15801"/>
    <cellStyle name="Heading 1 2 2 7 3 10 2 2" xfId="15802"/>
    <cellStyle name="Heading 1 2 2 7 3 10 3" xfId="15803"/>
    <cellStyle name="Heading 1 2 2 7 3 11" xfId="15804"/>
    <cellStyle name="Heading 1 2 2 7 3 11 2" xfId="15805"/>
    <cellStyle name="Heading 1 2 2 7 3 11 2 2" xfId="15806"/>
    <cellStyle name="Heading 1 2 2 7 3 11 3" xfId="15807"/>
    <cellStyle name="Heading 1 2 2 7 3 12" xfId="15808"/>
    <cellStyle name="Heading 1 2 2 7 3 12 2" xfId="15809"/>
    <cellStyle name="Heading 1 2 2 7 3 12 2 2" xfId="15810"/>
    <cellStyle name="Heading 1 2 2 7 3 12 3" xfId="15811"/>
    <cellStyle name="Heading 1 2 2 7 3 13" xfId="15812"/>
    <cellStyle name="Heading 1 2 2 7 3 13 2" xfId="15813"/>
    <cellStyle name="Heading 1 2 2 7 3 13 2 2" xfId="15814"/>
    <cellStyle name="Heading 1 2 2 7 3 13 3" xfId="15815"/>
    <cellStyle name="Heading 1 2 2 7 3 14" xfId="15816"/>
    <cellStyle name="Heading 1 2 2 7 3 14 2" xfId="15817"/>
    <cellStyle name="Heading 1 2 2 7 3 14 2 2" xfId="15818"/>
    <cellStyle name="Heading 1 2 2 7 3 14 3" xfId="15819"/>
    <cellStyle name="Heading 1 2 2 7 3 15" xfId="15820"/>
    <cellStyle name="Heading 1 2 2 7 3 15 2" xfId="15821"/>
    <cellStyle name="Heading 1 2 2 7 3 15 2 2" xfId="15822"/>
    <cellStyle name="Heading 1 2 2 7 3 15 3" xfId="15823"/>
    <cellStyle name="Heading 1 2 2 7 3 16" xfId="15824"/>
    <cellStyle name="Heading 1 2 2 7 3 16 2" xfId="15825"/>
    <cellStyle name="Heading 1 2 2 7 3 16 2 2" xfId="15826"/>
    <cellStyle name="Heading 1 2 2 7 3 16 3" xfId="15827"/>
    <cellStyle name="Heading 1 2 2 7 3 17" xfId="15828"/>
    <cellStyle name="Heading 1 2 2 7 3 17 2" xfId="15829"/>
    <cellStyle name="Heading 1 2 2 7 3 17 2 2" xfId="15830"/>
    <cellStyle name="Heading 1 2 2 7 3 17 3" xfId="15831"/>
    <cellStyle name="Heading 1 2 2 7 3 18" xfId="15832"/>
    <cellStyle name="Heading 1 2 2 7 3 18 2" xfId="15833"/>
    <cellStyle name="Heading 1 2 2 7 3 18 2 2" xfId="15834"/>
    <cellStyle name="Heading 1 2 2 7 3 18 3" xfId="15835"/>
    <cellStyle name="Heading 1 2 2 7 3 19" xfId="15836"/>
    <cellStyle name="Heading 1 2 2 7 3 19 2" xfId="15837"/>
    <cellStyle name="Heading 1 2 2 7 3 2" xfId="15838"/>
    <cellStyle name="Heading 1 2 2 7 3 2 2" xfId="15839"/>
    <cellStyle name="Heading 1 2 2 7 3 2 2 2" xfId="15840"/>
    <cellStyle name="Heading 1 2 2 7 3 2 2 2 2" xfId="15841"/>
    <cellStyle name="Heading 1 2 2 7 3 2 2 3" xfId="15842"/>
    <cellStyle name="Heading 1 2 2 7 3 2 3" xfId="15843"/>
    <cellStyle name="Heading 1 2 2 7 3 2 3 2" xfId="15844"/>
    <cellStyle name="Heading 1 2 2 7 3 2 3 2 2" xfId="15845"/>
    <cellStyle name="Heading 1 2 2 7 3 2 3 3" xfId="15846"/>
    <cellStyle name="Heading 1 2 2 7 3 2 4" xfId="15847"/>
    <cellStyle name="Heading 1 2 2 7 3 2 4 2" xfId="15848"/>
    <cellStyle name="Heading 1 2 2 7 3 2 4 2 2" xfId="15849"/>
    <cellStyle name="Heading 1 2 2 7 3 2 4 3" xfId="15850"/>
    <cellStyle name="Heading 1 2 2 7 3 2 5" xfId="15851"/>
    <cellStyle name="Heading 1 2 2 7 3 2 5 2" xfId="15852"/>
    <cellStyle name="Heading 1 2 2 7 3 2 5 2 2" xfId="15853"/>
    <cellStyle name="Heading 1 2 2 7 3 2 5 3" xfId="15854"/>
    <cellStyle name="Heading 1 2 2 7 3 2 6" xfId="15855"/>
    <cellStyle name="Heading 1 2 2 7 3 2 6 2" xfId="15856"/>
    <cellStyle name="Heading 1 2 2 7 3 2 6 2 2" xfId="15857"/>
    <cellStyle name="Heading 1 2 2 7 3 2 6 3" xfId="15858"/>
    <cellStyle name="Heading 1 2 2 7 3 2 7" xfId="15859"/>
    <cellStyle name="Heading 1 2 2 7 3 2 7 2" xfId="15860"/>
    <cellStyle name="Heading 1 2 2 7 3 2 7 2 2" xfId="15861"/>
    <cellStyle name="Heading 1 2 2 7 3 2 7 3" xfId="15862"/>
    <cellStyle name="Heading 1 2 2 7 3 2 8" xfId="15863"/>
    <cellStyle name="Heading 1 2 2 7 3 2 8 2" xfId="15864"/>
    <cellStyle name="Heading 1 2 2 7 3 2 9" xfId="15865"/>
    <cellStyle name="Heading 1 2 2 7 3 20" xfId="15866"/>
    <cellStyle name="Heading 1 2 2 7 3 20 2" xfId="15867"/>
    <cellStyle name="Heading 1 2 2 7 3 21" xfId="15868"/>
    <cellStyle name="Heading 1 2 2 7 3 21 2" xfId="15869"/>
    <cellStyle name="Heading 1 2 2 7 3 22" xfId="15870"/>
    <cellStyle name="Heading 1 2 2 7 3 3" xfId="15871"/>
    <cellStyle name="Heading 1 2 2 7 3 3 2" xfId="15872"/>
    <cellStyle name="Heading 1 2 2 7 3 3 2 2" xfId="15873"/>
    <cellStyle name="Heading 1 2 2 7 3 3 2 2 2" xfId="15874"/>
    <cellStyle name="Heading 1 2 2 7 3 3 2 3" xfId="15875"/>
    <cellStyle name="Heading 1 2 2 7 3 3 3" xfId="15876"/>
    <cellStyle name="Heading 1 2 2 7 3 3 3 2" xfId="15877"/>
    <cellStyle name="Heading 1 2 2 7 3 3 3 2 2" xfId="15878"/>
    <cellStyle name="Heading 1 2 2 7 3 3 3 3" xfId="15879"/>
    <cellStyle name="Heading 1 2 2 7 3 3 4" xfId="15880"/>
    <cellStyle name="Heading 1 2 2 7 3 3 4 2" xfId="15881"/>
    <cellStyle name="Heading 1 2 2 7 3 3 4 2 2" xfId="15882"/>
    <cellStyle name="Heading 1 2 2 7 3 3 4 3" xfId="15883"/>
    <cellStyle name="Heading 1 2 2 7 3 3 5" xfId="15884"/>
    <cellStyle name="Heading 1 2 2 7 3 3 5 2" xfId="15885"/>
    <cellStyle name="Heading 1 2 2 7 3 3 5 2 2" xfId="15886"/>
    <cellStyle name="Heading 1 2 2 7 3 3 5 3" xfId="15887"/>
    <cellStyle name="Heading 1 2 2 7 3 3 6" xfId="15888"/>
    <cellStyle name="Heading 1 2 2 7 3 3 6 2" xfId="15889"/>
    <cellStyle name="Heading 1 2 2 7 3 3 6 2 2" xfId="15890"/>
    <cellStyle name="Heading 1 2 2 7 3 3 6 3" xfId="15891"/>
    <cellStyle name="Heading 1 2 2 7 3 3 7" xfId="15892"/>
    <cellStyle name="Heading 1 2 2 7 3 3 7 2" xfId="15893"/>
    <cellStyle name="Heading 1 2 2 7 3 3 7 2 2" xfId="15894"/>
    <cellStyle name="Heading 1 2 2 7 3 3 7 3" xfId="15895"/>
    <cellStyle name="Heading 1 2 2 7 3 3 8" xfId="15896"/>
    <cellStyle name="Heading 1 2 2 7 3 3 8 2" xfId="15897"/>
    <cellStyle name="Heading 1 2 2 7 3 3 9" xfId="15898"/>
    <cellStyle name="Heading 1 2 2 7 3 4" xfId="15899"/>
    <cellStyle name="Heading 1 2 2 7 3 4 2" xfId="15900"/>
    <cellStyle name="Heading 1 2 2 7 3 4 2 2" xfId="15901"/>
    <cellStyle name="Heading 1 2 2 7 3 4 2 2 2" xfId="15902"/>
    <cellStyle name="Heading 1 2 2 7 3 4 2 3" xfId="15903"/>
    <cellStyle name="Heading 1 2 2 7 3 4 3" xfId="15904"/>
    <cellStyle name="Heading 1 2 2 7 3 4 3 2" xfId="15905"/>
    <cellStyle name="Heading 1 2 2 7 3 4 3 2 2" xfId="15906"/>
    <cellStyle name="Heading 1 2 2 7 3 4 3 3" xfId="15907"/>
    <cellStyle name="Heading 1 2 2 7 3 4 4" xfId="15908"/>
    <cellStyle name="Heading 1 2 2 7 3 4 4 2" xfId="15909"/>
    <cellStyle name="Heading 1 2 2 7 3 4 4 2 2" xfId="15910"/>
    <cellStyle name="Heading 1 2 2 7 3 4 4 3" xfId="15911"/>
    <cellStyle name="Heading 1 2 2 7 3 4 5" xfId="15912"/>
    <cellStyle name="Heading 1 2 2 7 3 4 5 2" xfId="15913"/>
    <cellStyle name="Heading 1 2 2 7 3 4 5 2 2" xfId="15914"/>
    <cellStyle name="Heading 1 2 2 7 3 4 5 3" xfId="15915"/>
    <cellStyle name="Heading 1 2 2 7 3 4 6" xfId="15916"/>
    <cellStyle name="Heading 1 2 2 7 3 4 6 2" xfId="15917"/>
    <cellStyle name="Heading 1 2 2 7 3 4 6 2 2" xfId="15918"/>
    <cellStyle name="Heading 1 2 2 7 3 4 6 3" xfId="15919"/>
    <cellStyle name="Heading 1 2 2 7 3 4 7" xfId="15920"/>
    <cellStyle name="Heading 1 2 2 7 3 4 7 2" xfId="15921"/>
    <cellStyle name="Heading 1 2 2 7 3 4 7 2 2" xfId="15922"/>
    <cellStyle name="Heading 1 2 2 7 3 4 7 3" xfId="15923"/>
    <cellStyle name="Heading 1 2 2 7 3 4 8" xfId="15924"/>
    <cellStyle name="Heading 1 2 2 7 3 4 8 2" xfId="15925"/>
    <cellStyle name="Heading 1 2 2 7 3 4 9" xfId="15926"/>
    <cellStyle name="Heading 1 2 2 7 3 5" xfId="15927"/>
    <cellStyle name="Heading 1 2 2 7 3 5 2" xfId="15928"/>
    <cellStyle name="Heading 1 2 2 7 3 5 2 2" xfId="15929"/>
    <cellStyle name="Heading 1 2 2 7 3 5 2 2 2" xfId="15930"/>
    <cellStyle name="Heading 1 2 2 7 3 5 2 3" xfId="15931"/>
    <cellStyle name="Heading 1 2 2 7 3 5 3" xfId="15932"/>
    <cellStyle name="Heading 1 2 2 7 3 5 3 2" xfId="15933"/>
    <cellStyle name="Heading 1 2 2 7 3 5 3 2 2" xfId="15934"/>
    <cellStyle name="Heading 1 2 2 7 3 5 3 3" xfId="15935"/>
    <cellStyle name="Heading 1 2 2 7 3 5 4" xfId="15936"/>
    <cellStyle name="Heading 1 2 2 7 3 5 4 2" xfId="15937"/>
    <cellStyle name="Heading 1 2 2 7 3 5 4 2 2" xfId="15938"/>
    <cellStyle name="Heading 1 2 2 7 3 5 4 3" xfId="15939"/>
    <cellStyle name="Heading 1 2 2 7 3 5 5" xfId="15940"/>
    <cellStyle name="Heading 1 2 2 7 3 5 5 2" xfId="15941"/>
    <cellStyle name="Heading 1 2 2 7 3 5 5 2 2" xfId="15942"/>
    <cellStyle name="Heading 1 2 2 7 3 5 5 3" xfId="15943"/>
    <cellStyle name="Heading 1 2 2 7 3 5 6" xfId="15944"/>
    <cellStyle name="Heading 1 2 2 7 3 5 6 2" xfId="15945"/>
    <cellStyle name="Heading 1 2 2 7 3 5 6 2 2" xfId="15946"/>
    <cellStyle name="Heading 1 2 2 7 3 5 6 3" xfId="15947"/>
    <cellStyle name="Heading 1 2 2 7 3 5 7" xfId="15948"/>
    <cellStyle name="Heading 1 2 2 7 3 5 7 2" xfId="15949"/>
    <cellStyle name="Heading 1 2 2 7 3 5 7 2 2" xfId="15950"/>
    <cellStyle name="Heading 1 2 2 7 3 5 7 3" xfId="15951"/>
    <cellStyle name="Heading 1 2 2 7 3 5 8" xfId="15952"/>
    <cellStyle name="Heading 1 2 2 7 3 5 8 2" xfId="15953"/>
    <cellStyle name="Heading 1 2 2 7 3 5 9" xfId="15954"/>
    <cellStyle name="Heading 1 2 2 7 3 6" xfId="15955"/>
    <cellStyle name="Heading 1 2 2 7 3 6 2" xfId="15956"/>
    <cellStyle name="Heading 1 2 2 7 3 6 2 2" xfId="15957"/>
    <cellStyle name="Heading 1 2 2 7 3 6 2 2 2" xfId="15958"/>
    <cellStyle name="Heading 1 2 2 7 3 6 2 3" xfId="15959"/>
    <cellStyle name="Heading 1 2 2 7 3 6 3" xfId="15960"/>
    <cellStyle name="Heading 1 2 2 7 3 6 3 2" xfId="15961"/>
    <cellStyle name="Heading 1 2 2 7 3 6 3 2 2" xfId="15962"/>
    <cellStyle name="Heading 1 2 2 7 3 6 3 3" xfId="15963"/>
    <cellStyle name="Heading 1 2 2 7 3 6 4" xfId="15964"/>
    <cellStyle name="Heading 1 2 2 7 3 6 4 2" xfId="15965"/>
    <cellStyle name="Heading 1 2 2 7 3 6 4 2 2" xfId="15966"/>
    <cellStyle name="Heading 1 2 2 7 3 6 4 3" xfId="15967"/>
    <cellStyle name="Heading 1 2 2 7 3 6 5" xfId="15968"/>
    <cellStyle name="Heading 1 2 2 7 3 6 5 2" xfId="15969"/>
    <cellStyle name="Heading 1 2 2 7 3 6 5 2 2" xfId="15970"/>
    <cellStyle name="Heading 1 2 2 7 3 6 5 3" xfId="15971"/>
    <cellStyle name="Heading 1 2 2 7 3 6 6" xfId="15972"/>
    <cellStyle name="Heading 1 2 2 7 3 6 6 2" xfId="15973"/>
    <cellStyle name="Heading 1 2 2 7 3 6 6 2 2" xfId="15974"/>
    <cellStyle name="Heading 1 2 2 7 3 6 6 3" xfId="15975"/>
    <cellStyle name="Heading 1 2 2 7 3 6 7" xfId="15976"/>
    <cellStyle name="Heading 1 2 2 7 3 6 7 2" xfId="15977"/>
    <cellStyle name="Heading 1 2 2 7 3 6 7 2 2" xfId="15978"/>
    <cellStyle name="Heading 1 2 2 7 3 6 7 3" xfId="15979"/>
    <cellStyle name="Heading 1 2 2 7 3 6 8" xfId="15980"/>
    <cellStyle name="Heading 1 2 2 7 3 6 8 2" xfId="15981"/>
    <cellStyle name="Heading 1 2 2 7 3 6 9" xfId="15982"/>
    <cellStyle name="Heading 1 2 2 7 3 7" xfId="15983"/>
    <cellStyle name="Heading 1 2 2 7 3 7 2" xfId="15984"/>
    <cellStyle name="Heading 1 2 2 7 3 7 2 2" xfId="15985"/>
    <cellStyle name="Heading 1 2 2 7 3 7 2 2 2" xfId="15986"/>
    <cellStyle name="Heading 1 2 2 7 3 7 2 3" xfId="15987"/>
    <cellStyle name="Heading 1 2 2 7 3 7 3" xfId="15988"/>
    <cellStyle name="Heading 1 2 2 7 3 7 3 2" xfId="15989"/>
    <cellStyle name="Heading 1 2 2 7 3 7 3 2 2" xfId="15990"/>
    <cellStyle name="Heading 1 2 2 7 3 7 3 3" xfId="15991"/>
    <cellStyle name="Heading 1 2 2 7 3 7 4" xfId="15992"/>
    <cellStyle name="Heading 1 2 2 7 3 7 4 2" xfId="15993"/>
    <cellStyle name="Heading 1 2 2 7 3 7 4 2 2" xfId="15994"/>
    <cellStyle name="Heading 1 2 2 7 3 7 4 3" xfId="15995"/>
    <cellStyle name="Heading 1 2 2 7 3 7 5" xfId="15996"/>
    <cellStyle name="Heading 1 2 2 7 3 7 5 2" xfId="15997"/>
    <cellStyle name="Heading 1 2 2 7 3 7 5 2 2" xfId="15998"/>
    <cellStyle name="Heading 1 2 2 7 3 7 5 3" xfId="15999"/>
    <cellStyle name="Heading 1 2 2 7 3 7 6" xfId="16000"/>
    <cellStyle name="Heading 1 2 2 7 3 7 6 2" xfId="16001"/>
    <cellStyle name="Heading 1 2 2 7 3 7 6 2 2" xfId="16002"/>
    <cellStyle name="Heading 1 2 2 7 3 7 6 3" xfId="16003"/>
    <cellStyle name="Heading 1 2 2 7 3 7 7" xfId="16004"/>
    <cellStyle name="Heading 1 2 2 7 3 7 7 2" xfId="16005"/>
    <cellStyle name="Heading 1 2 2 7 3 7 7 2 2" xfId="16006"/>
    <cellStyle name="Heading 1 2 2 7 3 7 7 3" xfId="16007"/>
    <cellStyle name="Heading 1 2 2 7 3 7 8" xfId="16008"/>
    <cellStyle name="Heading 1 2 2 7 3 7 8 2" xfId="16009"/>
    <cellStyle name="Heading 1 2 2 7 3 7 9" xfId="16010"/>
    <cellStyle name="Heading 1 2 2 7 3 8" xfId="16011"/>
    <cellStyle name="Heading 1 2 2 7 3 8 2" xfId="16012"/>
    <cellStyle name="Heading 1 2 2 7 3 8 2 2" xfId="16013"/>
    <cellStyle name="Heading 1 2 2 7 3 8 2 2 2" xfId="16014"/>
    <cellStyle name="Heading 1 2 2 7 3 8 2 3" xfId="16015"/>
    <cellStyle name="Heading 1 2 2 7 3 8 3" xfId="16016"/>
    <cellStyle name="Heading 1 2 2 7 3 8 3 2" xfId="16017"/>
    <cellStyle name="Heading 1 2 2 7 3 8 3 2 2" xfId="16018"/>
    <cellStyle name="Heading 1 2 2 7 3 8 3 3" xfId="16019"/>
    <cellStyle name="Heading 1 2 2 7 3 8 4" xfId="16020"/>
    <cellStyle name="Heading 1 2 2 7 3 8 4 2" xfId="16021"/>
    <cellStyle name="Heading 1 2 2 7 3 8 4 2 2" xfId="16022"/>
    <cellStyle name="Heading 1 2 2 7 3 8 4 3" xfId="16023"/>
    <cellStyle name="Heading 1 2 2 7 3 8 5" xfId="16024"/>
    <cellStyle name="Heading 1 2 2 7 3 8 5 2" xfId="16025"/>
    <cellStyle name="Heading 1 2 2 7 3 8 5 2 2" xfId="16026"/>
    <cellStyle name="Heading 1 2 2 7 3 8 5 3" xfId="16027"/>
    <cellStyle name="Heading 1 2 2 7 3 8 6" xfId="16028"/>
    <cellStyle name="Heading 1 2 2 7 3 8 6 2" xfId="16029"/>
    <cellStyle name="Heading 1 2 2 7 3 8 6 2 2" xfId="16030"/>
    <cellStyle name="Heading 1 2 2 7 3 8 6 3" xfId="16031"/>
    <cellStyle name="Heading 1 2 2 7 3 8 7" xfId="16032"/>
    <cellStyle name="Heading 1 2 2 7 3 8 7 2" xfId="16033"/>
    <cellStyle name="Heading 1 2 2 7 3 8 7 2 2" xfId="16034"/>
    <cellStyle name="Heading 1 2 2 7 3 8 7 3" xfId="16035"/>
    <cellStyle name="Heading 1 2 2 7 3 8 8" xfId="16036"/>
    <cellStyle name="Heading 1 2 2 7 3 8 8 2" xfId="16037"/>
    <cellStyle name="Heading 1 2 2 7 3 8 9" xfId="16038"/>
    <cellStyle name="Heading 1 2 2 7 3 9" xfId="16039"/>
    <cellStyle name="Heading 1 2 2 7 3 9 2" xfId="16040"/>
    <cellStyle name="Heading 1 2 2 7 3 9 2 2" xfId="16041"/>
    <cellStyle name="Heading 1 2 2 7 3 9 3" xfId="16042"/>
    <cellStyle name="Heading 1 2 2 7 4" xfId="16043"/>
    <cellStyle name="Heading 1 2 2 7 4 2" xfId="16044"/>
    <cellStyle name="Heading 1 2 2 7 4 2 2" xfId="16045"/>
    <cellStyle name="Heading 1 2 2 7 4 3" xfId="16046"/>
    <cellStyle name="Heading 1 2 2 7 5" xfId="16047"/>
    <cellStyle name="Heading 1 2 2 7 5 2" xfId="16048"/>
    <cellStyle name="Heading 1 2 2 7 6" xfId="16049"/>
    <cellStyle name="Heading 1 2 2 8" xfId="16050"/>
    <cellStyle name="Heading 1 2 2 8 2" xfId="16051"/>
    <cellStyle name="Heading 1 2 2 8 2 10" xfId="16052"/>
    <cellStyle name="Heading 1 2 2 8 2 10 2" xfId="16053"/>
    <cellStyle name="Heading 1 2 2 8 2 10 2 2" xfId="16054"/>
    <cellStyle name="Heading 1 2 2 8 2 10 3" xfId="16055"/>
    <cellStyle name="Heading 1 2 2 8 2 11" xfId="16056"/>
    <cellStyle name="Heading 1 2 2 8 2 11 2" xfId="16057"/>
    <cellStyle name="Heading 1 2 2 8 2 11 2 2" xfId="16058"/>
    <cellStyle name="Heading 1 2 2 8 2 11 3" xfId="16059"/>
    <cellStyle name="Heading 1 2 2 8 2 12" xfId="16060"/>
    <cellStyle name="Heading 1 2 2 8 2 12 2" xfId="16061"/>
    <cellStyle name="Heading 1 2 2 8 2 12 2 2" xfId="16062"/>
    <cellStyle name="Heading 1 2 2 8 2 12 3" xfId="16063"/>
    <cellStyle name="Heading 1 2 2 8 2 13" xfId="16064"/>
    <cellStyle name="Heading 1 2 2 8 2 13 2" xfId="16065"/>
    <cellStyle name="Heading 1 2 2 8 2 13 2 2" xfId="16066"/>
    <cellStyle name="Heading 1 2 2 8 2 13 3" xfId="16067"/>
    <cellStyle name="Heading 1 2 2 8 2 14" xfId="16068"/>
    <cellStyle name="Heading 1 2 2 8 2 14 2" xfId="16069"/>
    <cellStyle name="Heading 1 2 2 8 2 14 2 2" xfId="16070"/>
    <cellStyle name="Heading 1 2 2 8 2 14 3" xfId="16071"/>
    <cellStyle name="Heading 1 2 2 8 2 15" xfId="16072"/>
    <cellStyle name="Heading 1 2 2 8 2 15 2" xfId="16073"/>
    <cellStyle name="Heading 1 2 2 8 2 15 2 2" xfId="16074"/>
    <cellStyle name="Heading 1 2 2 8 2 15 3" xfId="16075"/>
    <cellStyle name="Heading 1 2 2 8 2 16" xfId="16076"/>
    <cellStyle name="Heading 1 2 2 8 2 16 2" xfId="16077"/>
    <cellStyle name="Heading 1 2 2 8 2 16 2 2" xfId="16078"/>
    <cellStyle name="Heading 1 2 2 8 2 16 3" xfId="16079"/>
    <cellStyle name="Heading 1 2 2 8 2 17" xfId="16080"/>
    <cellStyle name="Heading 1 2 2 8 2 17 2" xfId="16081"/>
    <cellStyle name="Heading 1 2 2 8 2 17 2 2" xfId="16082"/>
    <cellStyle name="Heading 1 2 2 8 2 17 3" xfId="16083"/>
    <cellStyle name="Heading 1 2 2 8 2 18" xfId="16084"/>
    <cellStyle name="Heading 1 2 2 8 2 18 2" xfId="16085"/>
    <cellStyle name="Heading 1 2 2 8 2 18 2 2" xfId="16086"/>
    <cellStyle name="Heading 1 2 2 8 2 18 3" xfId="16087"/>
    <cellStyle name="Heading 1 2 2 8 2 19" xfId="16088"/>
    <cellStyle name="Heading 1 2 2 8 2 19 2" xfId="16089"/>
    <cellStyle name="Heading 1 2 2 8 2 19 2 2" xfId="16090"/>
    <cellStyle name="Heading 1 2 2 8 2 19 3" xfId="16091"/>
    <cellStyle name="Heading 1 2 2 8 2 2" xfId="16092"/>
    <cellStyle name="Heading 1 2 2 8 2 2 10" xfId="16093"/>
    <cellStyle name="Heading 1 2 2 8 2 2 10 2" xfId="16094"/>
    <cellStyle name="Heading 1 2 2 8 2 2 10 2 2" xfId="16095"/>
    <cellStyle name="Heading 1 2 2 8 2 2 10 3" xfId="16096"/>
    <cellStyle name="Heading 1 2 2 8 2 2 11" xfId="16097"/>
    <cellStyle name="Heading 1 2 2 8 2 2 11 2" xfId="16098"/>
    <cellStyle name="Heading 1 2 2 8 2 2 11 2 2" xfId="16099"/>
    <cellStyle name="Heading 1 2 2 8 2 2 11 3" xfId="16100"/>
    <cellStyle name="Heading 1 2 2 8 2 2 12" xfId="16101"/>
    <cellStyle name="Heading 1 2 2 8 2 2 12 2" xfId="16102"/>
    <cellStyle name="Heading 1 2 2 8 2 2 12 2 2" xfId="16103"/>
    <cellStyle name="Heading 1 2 2 8 2 2 12 3" xfId="16104"/>
    <cellStyle name="Heading 1 2 2 8 2 2 13" xfId="16105"/>
    <cellStyle name="Heading 1 2 2 8 2 2 13 2" xfId="16106"/>
    <cellStyle name="Heading 1 2 2 8 2 2 13 2 2" xfId="16107"/>
    <cellStyle name="Heading 1 2 2 8 2 2 13 3" xfId="16108"/>
    <cellStyle name="Heading 1 2 2 8 2 2 14" xfId="16109"/>
    <cellStyle name="Heading 1 2 2 8 2 2 14 2" xfId="16110"/>
    <cellStyle name="Heading 1 2 2 8 2 2 14 2 2" xfId="16111"/>
    <cellStyle name="Heading 1 2 2 8 2 2 14 3" xfId="16112"/>
    <cellStyle name="Heading 1 2 2 8 2 2 15" xfId="16113"/>
    <cellStyle name="Heading 1 2 2 8 2 2 15 2" xfId="16114"/>
    <cellStyle name="Heading 1 2 2 8 2 2 15 2 2" xfId="16115"/>
    <cellStyle name="Heading 1 2 2 8 2 2 15 3" xfId="16116"/>
    <cellStyle name="Heading 1 2 2 8 2 2 16" xfId="16117"/>
    <cellStyle name="Heading 1 2 2 8 2 2 16 2" xfId="16118"/>
    <cellStyle name="Heading 1 2 2 8 2 2 16 2 2" xfId="16119"/>
    <cellStyle name="Heading 1 2 2 8 2 2 16 3" xfId="16120"/>
    <cellStyle name="Heading 1 2 2 8 2 2 17" xfId="16121"/>
    <cellStyle name="Heading 1 2 2 8 2 2 17 2" xfId="16122"/>
    <cellStyle name="Heading 1 2 2 8 2 2 17 2 2" xfId="16123"/>
    <cellStyle name="Heading 1 2 2 8 2 2 17 3" xfId="16124"/>
    <cellStyle name="Heading 1 2 2 8 2 2 18" xfId="16125"/>
    <cellStyle name="Heading 1 2 2 8 2 2 18 2" xfId="16126"/>
    <cellStyle name="Heading 1 2 2 8 2 2 18 2 2" xfId="16127"/>
    <cellStyle name="Heading 1 2 2 8 2 2 18 3" xfId="16128"/>
    <cellStyle name="Heading 1 2 2 8 2 2 19" xfId="16129"/>
    <cellStyle name="Heading 1 2 2 8 2 2 19 2" xfId="16130"/>
    <cellStyle name="Heading 1 2 2 8 2 2 2" xfId="16131"/>
    <cellStyle name="Heading 1 2 2 8 2 2 2 2" xfId="16132"/>
    <cellStyle name="Heading 1 2 2 8 2 2 2 2 2" xfId="16133"/>
    <cellStyle name="Heading 1 2 2 8 2 2 2 2 2 2" xfId="16134"/>
    <cellStyle name="Heading 1 2 2 8 2 2 2 2 3" xfId="16135"/>
    <cellStyle name="Heading 1 2 2 8 2 2 2 3" xfId="16136"/>
    <cellStyle name="Heading 1 2 2 8 2 2 2 3 2" xfId="16137"/>
    <cellStyle name="Heading 1 2 2 8 2 2 2 3 2 2" xfId="16138"/>
    <cellStyle name="Heading 1 2 2 8 2 2 2 3 3" xfId="16139"/>
    <cellStyle name="Heading 1 2 2 8 2 2 2 4" xfId="16140"/>
    <cellStyle name="Heading 1 2 2 8 2 2 2 4 2" xfId="16141"/>
    <cellStyle name="Heading 1 2 2 8 2 2 2 4 2 2" xfId="16142"/>
    <cellStyle name="Heading 1 2 2 8 2 2 2 4 3" xfId="16143"/>
    <cellStyle name="Heading 1 2 2 8 2 2 2 5" xfId="16144"/>
    <cellStyle name="Heading 1 2 2 8 2 2 2 5 2" xfId="16145"/>
    <cellStyle name="Heading 1 2 2 8 2 2 2 5 2 2" xfId="16146"/>
    <cellStyle name="Heading 1 2 2 8 2 2 2 5 3" xfId="16147"/>
    <cellStyle name="Heading 1 2 2 8 2 2 2 6" xfId="16148"/>
    <cellStyle name="Heading 1 2 2 8 2 2 2 6 2" xfId="16149"/>
    <cellStyle name="Heading 1 2 2 8 2 2 2 6 2 2" xfId="16150"/>
    <cellStyle name="Heading 1 2 2 8 2 2 2 6 3" xfId="16151"/>
    <cellStyle name="Heading 1 2 2 8 2 2 2 7" xfId="16152"/>
    <cellStyle name="Heading 1 2 2 8 2 2 2 7 2" xfId="16153"/>
    <cellStyle name="Heading 1 2 2 8 2 2 2 7 2 2" xfId="16154"/>
    <cellStyle name="Heading 1 2 2 8 2 2 2 7 3" xfId="16155"/>
    <cellStyle name="Heading 1 2 2 8 2 2 2 8" xfId="16156"/>
    <cellStyle name="Heading 1 2 2 8 2 2 2 8 2" xfId="16157"/>
    <cellStyle name="Heading 1 2 2 8 2 2 2 9" xfId="16158"/>
    <cellStyle name="Heading 1 2 2 8 2 2 20" xfId="16159"/>
    <cellStyle name="Heading 1 2 2 8 2 2 20 2" xfId="16160"/>
    <cellStyle name="Heading 1 2 2 8 2 2 21" xfId="16161"/>
    <cellStyle name="Heading 1 2 2 8 2 2 21 2" xfId="16162"/>
    <cellStyle name="Heading 1 2 2 8 2 2 22" xfId="16163"/>
    <cellStyle name="Heading 1 2 2 8 2 2 3" xfId="16164"/>
    <cellStyle name="Heading 1 2 2 8 2 2 3 2" xfId="16165"/>
    <cellStyle name="Heading 1 2 2 8 2 2 3 2 2" xfId="16166"/>
    <cellStyle name="Heading 1 2 2 8 2 2 3 2 2 2" xfId="16167"/>
    <cellStyle name="Heading 1 2 2 8 2 2 3 2 3" xfId="16168"/>
    <cellStyle name="Heading 1 2 2 8 2 2 3 3" xfId="16169"/>
    <cellStyle name="Heading 1 2 2 8 2 2 3 3 2" xfId="16170"/>
    <cellStyle name="Heading 1 2 2 8 2 2 3 3 2 2" xfId="16171"/>
    <cellStyle name="Heading 1 2 2 8 2 2 3 3 3" xfId="16172"/>
    <cellStyle name="Heading 1 2 2 8 2 2 3 4" xfId="16173"/>
    <cellStyle name="Heading 1 2 2 8 2 2 3 4 2" xfId="16174"/>
    <cellStyle name="Heading 1 2 2 8 2 2 3 4 2 2" xfId="16175"/>
    <cellStyle name="Heading 1 2 2 8 2 2 3 4 3" xfId="16176"/>
    <cellStyle name="Heading 1 2 2 8 2 2 3 5" xfId="16177"/>
    <cellStyle name="Heading 1 2 2 8 2 2 3 5 2" xfId="16178"/>
    <cellStyle name="Heading 1 2 2 8 2 2 3 5 2 2" xfId="16179"/>
    <cellStyle name="Heading 1 2 2 8 2 2 3 5 3" xfId="16180"/>
    <cellStyle name="Heading 1 2 2 8 2 2 3 6" xfId="16181"/>
    <cellStyle name="Heading 1 2 2 8 2 2 3 6 2" xfId="16182"/>
    <cellStyle name="Heading 1 2 2 8 2 2 3 6 2 2" xfId="16183"/>
    <cellStyle name="Heading 1 2 2 8 2 2 3 6 3" xfId="16184"/>
    <cellStyle name="Heading 1 2 2 8 2 2 3 7" xfId="16185"/>
    <cellStyle name="Heading 1 2 2 8 2 2 3 7 2" xfId="16186"/>
    <cellStyle name="Heading 1 2 2 8 2 2 3 7 2 2" xfId="16187"/>
    <cellStyle name="Heading 1 2 2 8 2 2 3 7 3" xfId="16188"/>
    <cellStyle name="Heading 1 2 2 8 2 2 3 8" xfId="16189"/>
    <cellStyle name="Heading 1 2 2 8 2 2 3 8 2" xfId="16190"/>
    <cellStyle name="Heading 1 2 2 8 2 2 3 9" xfId="16191"/>
    <cellStyle name="Heading 1 2 2 8 2 2 4" xfId="16192"/>
    <cellStyle name="Heading 1 2 2 8 2 2 4 2" xfId="16193"/>
    <cellStyle name="Heading 1 2 2 8 2 2 4 2 2" xfId="16194"/>
    <cellStyle name="Heading 1 2 2 8 2 2 4 2 2 2" xfId="16195"/>
    <cellStyle name="Heading 1 2 2 8 2 2 4 2 3" xfId="16196"/>
    <cellStyle name="Heading 1 2 2 8 2 2 4 3" xfId="16197"/>
    <cellStyle name="Heading 1 2 2 8 2 2 4 3 2" xfId="16198"/>
    <cellStyle name="Heading 1 2 2 8 2 2 4 3 2 2" xfId="16199"/>
    <cellStyle name="Heading 1 2 2 8 2 2 4 3 3" xfId="16200"/>
    <cellStyle name="Heading 1 2 2 8 2 2 4 4" xfId="16201"/>
    <cellStyle name="Heading 1 2 2 8 2 2 4 4 2" xfId="16202"/>
    <cellStyle name="Heading 1 2 2 8 2 2 4 4 2 2" xfId="16203"/>
    <cellStyle name="Heading 1 2 2 8 2 2 4 4 3" xfId="16204"/>
    <cellStyle name="Heading 1 2 2 8 2 2 4 5" xfId="16205"/>
    <cellStyle name="Heading 1 2 2 8 2 2 4 5 2" xfId="16206"/>
    <cellStyle name="Heading 1 2 2 8 2 2 4 5 2 2" xfId="16207"/>
    <cellStyle name="Heading 1 2 2 8 2 2 4 5 3" xfId="16208"/>
    <cellStyle name="Heading 1 2 2 8 2 2 4 6" xfId="16209"/>
    <cellStyle name="Heading 1 2 2 8 2 2 4 6 2" xfId="16210"/>
    <cellStyle name="Heading 1 2 2 8 2 2 4 6 2 2" xfId="16211"/>
    <cellStyle name="Heading 1 2 2 8 2 2 4 6 3" xfId="16212"/>
    <cellStyle name="Heading 1 2 2 8 2 2 4 7" xfId="16213"/>
    <cellStyle name="Heading 1 2 2 8 2 2 4 7 2" xfId="16214"/>
    <cellStyle name="Heading 1 2 2 8 2 2 4 7 2 2" xfId="16215"/>
    <cellStyle name="Heading 1 2 2 8 2 2 4 7 3" xfId="16216"/>
    <cellStyle name="Heading 1 2 2 8 2 2 4 8" xfId="16217"/>
    <cellStyle name="Heading 1 2 2 8 2 2 4 8 2" xfId="16218"/>
    <cellStyle name="Heading 1 2 2 8 2 2 4 9" xfId="16219"/>
    <cellStyle name="Heading 1 2 2 8 2 2 5" xfId="16220"/>
    <cellStyle name="Heading 1 2 2 8 2 2 5 2" xfId="16221"/>
    <cellStyle name="Heading 1 2 2 8 2 2 5 2 2" xfId="16222"/>
    <cellStyle name="Heading 1 2 2 8 2 2 5 2 2 2" xfId="16223"/>
    <cellStyle name="Heading 1 2 2 8 2 2 5 2 3" xfId="16224"/>
    <cellStyle name="Heading 1 2 2 8 2 2 5 3" xfId="16225"/>
    <cellStyle name="Heading 1 2 2 8 2 2 5 3 2" xfId="16226"/>
    <cellStyle name="Heading 1 2 2 8 2 2 5 3 2 2" xfId="16227"/>
    <cellStyle name="Heading 1 2 2 8 2 2 5 3 3" xfId="16228"/>
    <cellStyle name="Heading 1 2 2 8 2 2 5 4" xfId="16229"/>
    <cellStyle name="Heading 1 2 2 8 2 2 5 4 2" xfId="16230"/>
    <cellStyle name="Heading 1 2 2 8 2 2 5 4 2 2" xfId="16231"/>
    <cellStyle name="Heading 1 2 2 8 2 2 5 4 3" xfId="16232"/>
    <cellStyle name="Heading 1 2 2 8 2 2 5 5" xfId="16233"/>
    <cellStyle name="Heading 1 2 2 8 2 2 5 5 2" xfId="16234"/>
    <cellStyle name="Heading 1 2 2 8 2 2 5 5 2 2" xfId="16235"/>
    <cellStyle name="Heading 1 2 2 8 2 2 5 5 3" xfId="16236"/>
    <cellStyle name="Heading 1 2 2 8 2 2 5 6" xfId="16237"/>
    <cellStyle name="Heading 1 2 2 8 2 2 5 6 2" xfId="16238"/>
    <cellStyle name="Heading 1 2 2 8 2 2 5 6 2 2" xfId="16239"/>
    <cellStyle name="Heading 1 2 2 8 2 2 5 6 3" xfId="16240"/>
    <cellStyle name="Heading 1 2 2 8 2 2 5 7" xfId="16241"/>
    <cellStyle name="Heading 1 2 2 8 2 2 5 7 2" xfId="16242"/>
    <cellStyle name="Heading 1 2 2 8 2 2 5 7 2 2" xfId="16243"/>
    <cellStyle name="Heading 1 2 2 8 2 2 5 7 3" xfId="16244"/>
    <cellStyle name="Heading 1 2 2 8 2 2 5 8" xfId="16245"/>
    <cellStyle name="Heading 1 2 2 8 2 2 5 8 2" xfId="16246"/>
    <cellStyle name="Heading 1 2 2 8 2 2 5 9" xfId="16247"/>
    <cellStyle name="Heading 1 2 2 8 2 2 6" xfId="16248"/>
    <cellStyle name="Heading 1 2 2 8 2 2 6 2" xfId="16249"/>
    <cellStyle name="Heading 1 2 2 8 2 2 6 2 2" xfId="16250"/>
    <cellStyle name="Heading 1 2 2 8 2 2 6 2 2 2" xfId="16251"/>
    <cellStyle name="Heading 1 2 2 8 2 2 6 2 3" xfId="16252"/>
    <cellStyle name="Heading 1 2 2 8 2 2 6 3" xfId="16253"/>
    <cellStyle name="Heading 1 2 2 8 2 2 6 3 2" xfId="16254"/>
    <cellStyle name="Heading 1 2 2 8 2 2 6 3 2 2" xfId="16255"/>
    <cellStyle name="Heading 1 2 2 8 2 2 6 3 3" xfId="16256"/>
    <cellStyle name="Heading 1 2 2 8 2 2 6 4" xfId="16257"/>
    <cellStyle name="Heading 1 2 2 8 2 2 6 4 2" xfId="16258"/>
    <cellStyle name="Heading 1 2 2 8 2 2 6 4 2 2" xfId="16259"/>
    <cellStyle name="Heading 1 2 2 8 2 2 6 4 3" xfId="16260"/>
    <cellStyle name="Heading 1 2 2 8 2 2 6 5" xfId="16261"/>
    <cellStyle name="Heading 1 2 2 8 2 2 6 5 2" xfId="16262"/>
    <cellStyle name="Heading 1 2 2 8 2 2 6 5 2 2" xfId="16263"/>
    <cellStyle name="Heading 1 2 2 8 2 2 6 5 3" xfId="16264"/>
    <cellStyle name="Heading 1 2 2 8 2 2 6 6" xfId="16265"/>
    <cellStyle name="Heading 1 2 2 8 2 2 6 6 2" xfId="16266"/>
    <cellStyle name="Heading 1 2 2 8 2 2 6 6 2 2" xfId="16267"/>
    <cellStyle name="Heading 1 2 2 8 2 2 6 6 3" xfId="16268"/>
    <cellStyle name="Heading 1 2 2 8 2 2 6 7" xfId="16269"/>
    <cellStyle name="Heading 1 2 2 8 2 2 6 7 2" xfId="16270"/>
    <cellStyle name="Heading 1 2 2 8 2 2 6 7 2 2" xfId="16271"/>
    <cellStyle name="Heading 1 2 2 8 2 2 6 7 3" xfId="16272"/>
    <cellStyle name="Heading 1 2 2 8 2 2 6 8" xfId="16273"/>
    <cellStyle name="Heading 1 2 2 8 2 2 6 8 2" xfId="16274"/>
    <cellStyle name="Heading 1 2 2 8 2 2 6 9" xfId="16275"/>
    <cellStyle name="Heading 1 2 2 8 2 2 7" xfId="16276"/>
    <cellStyle name="Heading 1 2 2 8 2 2 7 2" xfId="16277"/>
    <cellStyle name="Heading 1 2 2 8 2 2 7 2 2" xfId="16278"/>
    <cellStyle name="Heading 1 2 2 8 2 2 7 2 2 2" xfId="16279"/>
    <cellStyle name="Heading 1 2 2 8 2 2 7 2 3" xfId="16280"/>
    <cellStyle name="Heading 1 2 2 8 2 2 7 3" xfId="16281"/>
    <cellStyle name="Heading 1 2 2 8 2 2 7 3 2" xfId="16282"/>
    <cellStyle name="Heading 1 2 2 8 2 2 7 3 2 2" xfId="16283"/>
    <cellStyle name="Heading 1 2 2 8 2 2 7 3 3" xfId="16284"/>
    <cellStyle name="Heading 1 2 2 8 2 2 7 4" xfId="16285"/>
    <cellStyle name="Heading 1 2 2 8 2 2 7 4 2" xfId="16286"/>
    <cellStyle name="Heading 1 2 2 8 2 2 7 4 2 2" xfId="16287"/>
    <cellStyle name="Heading 1 2 2 8 2 2 7 4 3" xfId="16288"/>
    <cellStyle name="Heading 1 2 2 8 2 2 7 5" xfId="16289"/>
    <cellStyle name="Heading 1 2 2 8 2 2 7 5 2" xfId="16290"/>
    <cellStyle name="Heading 1 2 2 8 2 2 7 5 2 2" xfId="16291"/>
    <cellStyle name="Heading 1 2 2 8 2 2 7 5 3" xfId="16292"/>
    <cellStyle name="Heading 1 2 2 8 2 2 7 6" xfId="16293"/>
    <cellStyle name="Heading 1 2 2 8 2 2 7 6 2" xfId="16294"/>
    <cellStyle name="Heading 1 2 2 8 2 2 7 6 2 2" xfId="16295"/>
    <cellStyle name="Heading 1 2 2 8 2 2 7 6 3" xfId="16296"/>
    <cellStyle name="Heading 1 2 2 8 2 2 7 7" xfId="16297"/>
    <cellStyle name="Heading 1 2 2 8 2 2 7 7 2" xfId="16298"/>
    <cellStyle name="Heading 1 2 2 8 2 2 7 7 2 2" xfId="16299"/>
    <cellStyle name="Heading 1 2 2 8 2 2 7 7 3" xfId="16300"/>
    <cellStyle name="Heading 1 2 2 8 2 2 7 8" xfId="16301"/>
    <cellStyle name="Heading 1 2 2 8 2 2 7 8 2" xfId="16302"/>
    <cellStyle name="Heading 1 2 2 8 2 2 7 9" xfId="16303"/>
    <cellStyle name="Heading 1 2 2 8 2 2 8" xfId="16304"/>
    <cellStyle name="Heading 1 2 2 8 2 2 8 2" xfId="16305"/>
    <cellStyle name="Heading 1 2 2 8 2 2 8 2 2" xfId="16306"/>
    <cellStyle name="Heading 1 2 2 8 2 2 8 2 2 2" xfId="16307"/>
    <cellStyle name="Heading 1 2 2 8 2 2 8 2 3" xfId="16308"/>
    <cellStyle name="Heading 1 2 2 8 2 2 8 3" xfId="16309"/>
    <cellStyle name="Heading 1 2 2 8 2 2 8 3 2" xfId="16310"/>
    <cellStyle name="Heading 1 2 2 8 2 2 8 3 2 2" xfId="16311"/>
    <cellStyle name="Heading 1 2 2 8 2 2 8 3 3" xfId="16312"/>
    <cellStyle name="Heading 1 2 2 8 2 2 8 4" xfId="16313"/>
    <cellStyle name="Heading 1 2 2 8 2 2 8 4 2" xfId="16314"/>
    <cellStyle name="Heading 1 2 2 8 2 2 8 4 2 2" xfId="16315"/>
    <cellStyle name="Heading 1 2 2 8 2 2 8 4 3" xfId="16316"/>
    <cellStyle name="Heading 1 2 2 8 2 2 8 5" xfId="16317"/>
    <cellStyle name="Heading 1 2 2 8 2 2 8 5 2" xfId="16318"/>
    <cellStyle name="Heading 1 2 2 8 2 2 8 5 2 2" xfId="16319"/>
    <cellStyle name="Heading 1 2 2 8 2 2 8 5 3" xfId="16320"/>
    <cellStyle name="Heading 1 2 2 8 2 2 8 6" xfId="16321"/>
    <cellStyle name="Heading 1 2 2 8 2 2 8 6 2" xfId="16322"/>
    <cellStyle name="Heading 1 2 2 8 2 2 8 6 2 2" xfId="16323"/>
    <cellStyle name="Heading 1 2 2 8 2 2 8 6 3" xfId="16324"/>
    <cellStyle name="Heading 1 2 2 8 2 2 8 7" xfId="16325"/>
    <cellStyle name="Heading 1 2 2 8 2 2 8 7 2" xfId="16326"/>
    <cellStyle name="Heading 1 2 2 8 2 2 8 7 2 2" xfId="16327"/>
    <cellStyle name="Heading 1 2 2 8 2 2 8 7 3" xfId="16328"/>
    <cellStyle name="Heading 1 2 2 8 2 2 8 8" xfId="16329"/>
    <cellStyle name="Heading 1 2 2 8 2 2 8 8 2" xfId="16330"/>
    <cellStyle name="Heading 1 2 2 8 2 2 8 9" xfId="16331"/>
    <cellStyle name="Heading 1 2 2 8 2 2 9" xfId="16332"/>
    <cellStyle name="Heading 1 2 2 8 2 2 9 2" xfId="16333"/>
    <cellStyle name="Heading 1 2 2 8 2 2 9 2 2" xfId="16334"/>
    <cellStyle name="Heading 1 2 2 8 2 2 9 3" xfId="16335"/>
    <cellStyle name="Heading 1 2 2 8 2 20" xfId="16336"/>
    <cellStyle name="Heading 1 2 2 8 2 20 2" xfId="16337"/>
    <cellStyle name="Heading 1 2 2 8 2 21" xfId="16338"/>
    <cellStyle name="Heading 1 2 2 8 2 21 2" xfId="16339"/>
    <cellStyle name="Heading 1 2 2 8 2 22" xfId="16340"/>
    <cellStyle name="Heading 1 2 2 8 2 22 2" xfId="16341"/>
    <cellStyle name="Heading 1 2 2 8 2 23" xfId="16342"/>
    <cellStyle name="Heading 1 2 2 8 2 3" xfId="16343"/>
    <cellStyle name="Heading 1 2 2 8 2 3 2" xfId="16344"/>
    <cellStyle name="Heading 1 2 2 8 2 3 2 2" xfId="16345"/>
    <cellStyle name="Heading 1 2 2 8 2 3 2 2 2" xfId="16346"/>
    <cellStyle name="Heading 1 2 2 8 2 3 2 3" xfId="16347"/>
    <cellStyle name="Heading 1 2 2 8 2 3 3" xfId="16348"/>
    <cellStyle name="Heading 1 2 2 8 2 3 3 2" xfId="16349"/>
    <cellStyle name="Heading 1 2 2 8 2 3 3 2 2" xfId="16350"/>
    <cellStyle name="Heading 1 2 2 8 2 3 3 3" xfId="16351"/>
    <cellStyle name="Heading 1 2 2 8 2 3 4" xfId="16352"/>
    <cellStyle name="Heading 1 2 2 8 2 3 4 2" xfId="16353"/>
    <cellStyle name="Heading 1 2 2 8 2 3 4 2 2" xfId="16354"/>
    <cellStyle name="Heading 1 2 2 8 2 3 4 3" xfId="16355"/>
    <cellStyle name="Heading 1 2 2 8 2 3 5" xfId="16356"/>
    <cellStyle name="Heading 1 2 2 8 2 3 5 2" xfId="16357"/>
    <cellStyle name="Heading 1 2 2 8 2 3 5 2 2" xfId="16358"/>
    <cellStyle name="Heading 1 2 2 8 2 3 5 3" xfId="16359"/>
    <cellStyle name="Heading 1 2 2 8 2 3 6" xfId="16360"/>
    <cellStyle name="Heading 1 2 2 8 2 3 6 2" xfId="16361"/>
    <cellStyle name="Heading 1 2 2 8 2 3 6 2 2" xfId="16362"/>
    <cellStyle name="Heading 1 2 2 8 2 3 6 3" xfId="16363"/>
    <cellStyle name="Heading 1 2 2 8 2 3 7" xfId="16364"/>
    <cellStyle name="Heading 1 2 2 8 2 3 7 2" xfId="16365"/>
    <cellStyle name="Heading 1 2 2 8 2 3 7 2 2" xfId="16366"/>
    <cellStyle name="Heading 1 2 2 8 2 3 7 3" xfId="16367"/>
    <cellStyle name="Heading 1 2 2 8 2 3 8" xfId="16368"/>
    <cellStyle name="Heading 1 2 2 8 2 3 8 2" xfId="16369"/>
    <cellStyle name="Heading 1 2 2 8 2 3 9" xfId="16370"/>
    <cellStyle name="Heading 1 2 2 8 2 4" xfId="16371"/>
    <cellStyle name="Heading 1 2 2 8 2 4 2" xfId="16372"/>
    <cellStyle name="Heading 1 2 2 8 2 4 2 2" xfId="16373"/>
    <cellStyle name="Heading 1 2 2 8 2 4 2 2 2" xfId="16374"/>
    <cellStyle name="Heading 1 2 2 8 2 4 2 3" xfId="16375"/>
    <cellStyle name="Heading 1 2 2 8 2 4 3" xfId="16376"/>
    <cellStyle name="Heading 1 2 2 8 2 4 3 2" xfId="16377"/>
    <cellStyle name="Heading 1 2 2 8 2 4 3 2 2" xfId="16378"/>
    <cellStyle name="Heading 1 2 2 8 2 4 3 3" xfId="16379"/>
    <cellStyle name="Heading 1 2 2 8 2 4 4" xfId="16380"/>
    <cellStyle name="Heading 1 2 2 8 2 4 4 2" xfId="16381"/>
    <cellStyle name="Heading 1 2 2 8 2 4 4 2 2" xfId="16382"/>
    <cellStyle name="Heading 1 2 2 8 2 4 4 3" xfId="16383"/>
    <cellStyle name="Heading 1 2 2 8 2 4 5" xfId="16384"/>
    <cellStyle name="Heading 1 2 2 8 2 4 5 2" xfId="16385"/>
    <cellStyle name="Heading 1 2 2 8 2 4 5 2 2" xfId="16386"/>
    <cellStyle name="Heading 1 2 2 8 2 4 5 3" xfId="16387"/>
    <cellStyle name="Heading 1 2 2 8 2 4 6" xfId="16388"/>
    <cellStyle name="Heading 1 2 2 8 2 4 6 2" xfId="16389"/>
    <cellStyle name="Heading 1 2 2 8 2 4 6 2 2" xfId="16390"/>
    <cellStyle name="Heading 1 2 2 8 2 4 6 3" xfId="16391"/>
    <cellStyle name="Heading 1 2 2 8 2 4 7" xfId="16392"/>
    <cellStyle name="Heading 1 2 2 8 2 4 7 2" xfId="16393"/>
    <cellStyle name="Heading 1 2 2 8 2 4 7 2 2" xfId="16394"/>
    <cellStyle name="Heading 1 2 2 8 2 4 7 3" xfId="16395"/>
    <cellStyle name="Heading 1 2 2 8 2 4 8" xfId="16396"/>
    <cellStyle name="Heading 1 2 2 8 2 4 8 2" xfId="16397"/>
    <cellStyle name="Heading 1 2 2 8 2 4 9" xfId="16398"/>
    <cellStyle name="Heading 1 2 2 8 2 5" xfId="16399"/>
    <cellStyle name="Heading 1 2 2 8 2 5 2" xfId="16400"/>
    <cellStyle name="Heading 1 2 2 8 2 5 2 2" xfId="16401"/>
    <cellStyle name="Heading 1 2 2 8 2 5 2 2 2" xfId="16402"/>
    <cellStyle name="Heading 1 2 2 8 2 5 2 3" xfId="16403"/>
    <cellStyle name="Heading 1 2 2 8 2 5 3" xfId="16404"/>
    <cellStyle name="Heading 1 2 2 8 2 5 3 2" xfId="16405"/>
    <cellStyle name="Heading 1 2 2 8 2 5 3 2 2" xfId="16406"/>
    <cellStyle name="Heading 1 2 2 8 2 5 3 3" xfId="16407"/>
    <cellStyle name="Heading 1 2 2 8 2 5 4" xfId="16408"/>
    <cellStyle name="Heading 1 2 2 8 2 5 4 2" xfId="16409"/>
    <cellStyle name="Heading 1 2 2 8 2 5 4 2 2" xfId="16410"/>
    <cellStyle name="Heading 1 2 2 8 2 5 4 3" xfId="16411"/>
    <cellStyle name="Heading 1 2 2 8 2 5 5" xfId="16412"/>
    <cellStyle name="Heading 1 2 2 8 2 5 5 2" xfId="16413"/>
    <cellStyle name="Heading 1 2 2 8 2 5 5 2 2" xfId="16414"/>
    <cellStyle name="Heading 1 2 2 8 2 5 5 3" xfId="16415"/>
    <cellStyle name="Heading 1 2 2 8 2 5 6" xfId="16416"/>
    <cellStyle name="Heading 1 2 2 8 2 5 6 2" xfId="16417"/>
    <cellStyle name="Heading 1 2 2 8 2 5 6 2 2" xfId="16418"/>
    <cellStyle name="Heading 1 2 2 8 2 5 6 3" xfId="16419"/>
    <cellStyle name="Heading 1 2 2 8 2 5 7" xfId="16420"/>
    <cellStyle name="Heading 1 2 2 8 2 5 7 2" xfId="16421"/>
    <cellStyle name="Heading 1 2 2 8 2 5 7 2 2" xfId="16422"/>
    <cellStyle name="Heading 1 2 2 8 2 5 7 3" xfId="16423"/>
    <cellStyle name="Heading 1 2 2 8 2 5 8" xfId="16424"/>
    <cellStyle name="Heading 1 2 2 8 2 5 8 2" xfId="16425"/>
    <cellStyle name="Heading 1 2 2 8 2 5 9" xfId="16426"/>
    <cellStyle name="Heading 1 2 2 8 2 6" xfId="16427"/>
    <cellStyle name="Heading 1 2 2 8 2 6 2" xfId="16428"/>
    <cellStyle name="Heading 1 2 2 8 2 6 2 2" xfId="16429"/>
    <cellStyle name="Heading 1 2 2 8 2 6 2 2 2" xfId="16430"/>
    <cellStyle name="Heading 1 2 2 8 2 6 2 3" xfId="16431"/>
    <cellStyle name="Heading 1 2 2 8 2 6 3" xfId="16432"/>
    <cellStyle name="Heading 1 2 2 8 2 6 3 2" xfId="16433"/>
    <cellStyle name="Heading 1 2 2 8 2 6 3 2 2" xfId="16434"/>
    <cellStyle name="Heading 1 2 2 8 2 6 3 3" xfId="16435"/>
    <cellStyle name="Heading 1 2 2 8 2 6 4" xfId="16436"/>
    <cellStyle name="Heading 1 2 2 8 2 6 4 2" xfId="16437"/>
    <cellStyle name="Heading 1 2 2 8 2 6 4 2 2" xfId="16438"/>
    <cellStyle name="Heading 1 2 2 8 2 6 4 3" xfId="16439"/>
    <cellStyle name="Heading 1 2 2 8 2 6 5" xfId="16440"/>
    <cellStyle name="Heading 1 2 2 8 2 6 5 2" xfId="16441"/>
    <cellStyle name="Heading 1 2 2 8 2 6 5 2 2" xfId="16442"/>
    <cellStyle name="Heading 1 2 2 8 2 6 5 3" xfId="16443"/>
    <cellStyle name="Heading 1 2 2 8 2 6 6" xfId="16444"/>
    <cellStyle name="Heading 1 2 2 8 2 6 6 2" xfId="16445"/>
    <cellStyle name="Heading 1 2 2 8 2 6 6 2 2" xfId="16446"/>
    <cellStyle name="Heading 1 2 2 8 2 6 6 3" xfId="16447"/>
    <cellStyle name="Heading 1 2 2 8 2 6 7" xfId="16448"/>
    <cellStyle name="Heading 1 2 2 8 2 6 7 2" xfId="16449"/>
    <cellStyle name="Heading 1 2 2 8 2 6 7 2 2" xfId="16450"/>
    <cellStyle name="Heading 1 2 2 8 2 6 7 3" xfId="16451"/>
    <cellStyle name="Heading 1 2 2 8 2 6 8" xfId="16452"/>
    <cellStyle name="Heading 1 2 2 8 2 6 8 2" xfId="16453"/>
    <cellStyle name="Heading 1 2 2 8 2 6 9" xfId="16454"/>
    <cellStyle name="Heading 1 2 2 8 2 7" xfId="16455"/>
    <cellStyle name="Heading 1 2 2 8 2 7 2" xfId="16456"/>
    <cellStyle name="Heading 1 2 2 8 2 7 2 2" xfId="16457"/>
    <cellStyle name="Heading 1 2 2 8 2 7 2 2 2" xfId="16458"/>
    <cellStyle name="Heading 1 2 2 8 2 7 2 3" xfId="16459"/>
    <cellStyle name="Heading 1 2 2 8 2 7 3" xfId="16460"/>
    <cellStyle name="Heading 1 2 2 8 2 7 3 2" xfId="16461"/>
    <cellStyle name="Heading 1 2 2 8 2 7 3 2 2" xfId="16462"/>
    <cellStyle name="Heading 1 2 2 8 2 7 3 3" xfId="16463"/>
    <cellStyle name="Heading 1 2 2 8 2 7 4" xfId="16464"/>
    <cellStyle name="Heading 1 2 2 8 2 7 4 2" xfId="16465"/>
    <cellStyle name="Heading 1 2 2 8 2 7 4 2 2" xfId="16466"/>
    <cellStyle name="Heading 1 2 2 8 2 7 4 3" xfId="16467"/>
    <cellStyle name="Heading 1 2 2 8 2 7 5" xfId="16468"/>
    <cellStyle name="Heading 1 2 2 8 2 7 5 2" xfId="16469"/>
    <cellStyle name="Heading 1 2 2 8 2 7 5 2 2" xfId="16470"/>
    <cellStyle name="Heading 1 2 2 8 2 7 5 3" xfId="16471"/>
    <cellStyle name="Heading 1 2 2 8 2 7 6" xfId="16472"/>
    <cellStyle name="Heading 1 2 2 8 2 7 6 2" xfId="16473"/>
    <cellStyle name="Heading 1 2 2 8 2 7 6 2 2" xfId="16474"/>
    <cellStyle name="Heading 1 2 2 8 2 7 6 3" xfId="16475"/>
    <cellStyle name="Heading 1 2 2 8 2 7 7" xfId="16476"/>
    <cellStyle name="Heading 1 2 2 8 2 7 7 2" xfId="16477"/>
    <cellStyle name="Heading 1 2 2 8 2 7 7 2 2" xfId="16478"/>
    <cellStyle name="Heading 1 2 2 8 2 7 7 3" xfId="16479"/>
    <cellStyle name="Heading 1 2 2 8 2 7 8" xfId="16480"/>
    <cellStyle name="Heading 1 2 2 8 2 7 8 2" xfId="16481"/>
    <cellStyle name="Heading 1 2 2 8 2 7 9" xfId="16482"/>
    <cellStyle name="Heading 1 2 2 8 2 8" xfId="16483"/>
    <cellStyle name="Heading 1 2 2 8 2 8 2" xfId="16484"/>
    <cellStyle name="Heading 1 2 2 8 2 8 2 2" xfId="16485"/>
    <cellStyle name="Heading 1 2 2 8 2 8 2 2 2" xfId="16486"/>
    <cellStyle name="Heading 1 2 2 8 2 8 2 3" xfId="16487"/>
    <cellStyle name="Heading 1 2 2 8 2 8 3" xfId="16488"/>
    <cellStyle name="Heading 1 2 2 8 2 8 3 2" xfId="16489"/>
    <cellStyle name="Heading 1 2 2 8 2 8 3 2 2" xfId="16490"/>
    <cellStyle name="Heading 1 2 2 8 2 8 3 3" xfId="16491"/>
    <cellStyle name="Heading 1 2 2 8 2 8 4" xfId="16492"/>
    <cellStyle name="Heading 1 2 2 8 2 8 4 2" xfId="16493"/>
    <cellStyle name="Heading 1 2 2 8 2 8 4 2 2" xfId="16494"/>
    <cellStyle name="Heading 1 2 2 8 2 8 4 3" xfId="16495"/>
    <cellStyle name="Heading 1 2 2 8 2 8 5" xfId="16496"/>
    <cellStyle name="Heading 1 2 2 8 2 8 5 2" xfId="16497"/>
    <cellStyle name="Heading 1 2 2 8 2 8 5 2 2" xfId="16498"/>
    <cellStyle name="Heading 1 2 2 8 2 8 5 3" xfId="16499"/>
    <cellStyle name="Heading 1 2 2 8 2 8 6" xfId="16500"/>
    <cellStyle name="Heading 1 2 2 8 2 8 6 2" xfId="16501"/>
    <cellStyle name="Heading 1 2 2 8 2 8 6 2 2" xfId="16502"/>
    <cellStyle name="Heading 1 2 2 8 2 8 6 3" xfId="16503"/>
    <cellStyle name="Heading 1 2 2 8 2 8 7" xfId="16504"/>
    <cellStyle name="Heading 1 2 2 8 2 8 7 2" xfId="16505"/>
    <cellStyle name="Heading 1 2 2 8 2 8 7 2 2" xfId="16506"/>
    <cellStyle name="Heading 1 2 2 8 2 8 7 3" xfId="16507"/>
    <cellStyle name="Heading 1 2 2 8 2 8 8" xfId="16508"/>
    <cellStyle name="Heading 1 2 2 8 2 8 8 2" xfId="16509"/>
    <cellStyle name="Heading 1 2 2 8 2 8 9" xfId="16510"/>
    <cellStyle name="Heading 1 2 2 8 2 9" xfId="16511"/>
    <cellStyle name="Heading 1 2 2 8 2 9 2" xfId="16512"/>
    <cellStyle name="Heading 1 2 2 8 2 9 2 2" xfId="16513"/>
    <cellStyle name="Heading 1 2 2 8 2 9 2 2 2" xfId="16514"/>
    <cellStyle name="Heading 1 2 2 8 2 9 2 3" xfId="16515"/>
    <cellStyle name="Heading 1 2 2 8 2 9 3" xfId="16516"/>
    <cellStyle name="Heading 1 2 2 8 2 9 3 2" xfId="16517"/>
    <cellStyle name="Heading 1 2 2 8 2 9 3 2 2" xfId="16518"/>
    <cellStyle name="Heading 1 2 2 8 2 9 3 3" xfId="16519"/>
    <cellStyle name="Heading 1 2 2 8 2 9 4" xfId="16520"/>
    <cellStyle name="Heading 1 2 2 8 2 9 4 2" xfId="16521"/>
    <cellStyle name="Heading 1 2 2 8 2 9 4 2 2" xfId="16522"/>
    <cellStyle name="Heading 1 2 2 8 2 9 4 3" xfId="16523"/>
    <cellStyle name="Heading 1 2 2 8 2 9 5" xfId="16524"/>
    <cellStyle name="Heading 1 2 2 8 2 9 5 2" xfId="16525"/>
    <cellStyle name="Heading 1 2 2 8 2 9 5 2 2" xfId="16526"/>
    <cellStyle name="Heading 1 2 2 8 2 9 5 3" xfId="16527"/>
    <cellStyle name="Heading 1 2 2 8 2 9 6" xfId="16528"/>
    <cellStyle name="Heading 1 2 2 8 2 9 6 2" xfId="16529"/>
    <cellStyle name="Heading 1 2 2 8 2 9 6 2 2" xfId="16530"/>
    <cellStyle name="Heading 1 2 2 8 2 9 6 3" xfId="16531"/>
    <cellStyle name="Heading 1 2 2 8 2 9 7" xfId="16532"/>
    <cellStyle name="Heading 1 2 2 8 2 9 7 2" xfId="16533"/>
    <cellStyle name="Heading 1 2 2 8 2 9 7 2 2" xfId="16534"/>
    <cellStyle name="Heading 1 2 2 8 2 9 7 3" xfId="16535"/>
    <cellStyle name="Heading 1 2 2 8 2 9 8" xfId="16536"/>
    <cellStyle name="Heading 1 2 2 8 2 9 8 2" xfId="16537"/>
    <cellStyle name="Heading 1 2 2 8 2 9 9" xfId="16538"/>
    <cellStyle name="Heading 1 2 2 8 3" xfId="16539"/>
    <cellStyle name="Heading 1 2 2 8 3 10" xfId="16540"/>
    <cellStyle name="Heading 1 2 2 8 3 10 2" xfId="16541"/>
    <cellStyle name="Heading 1 2 2 8 3 10 2 2" xfId="16542"/>
    <cellStyle name="Heading 1 2 2 8 3 10 3" xfId="16543"/>
    <cellStyle name="Heading 1 2 2 8 3 11" xfId="16544"/>
    <cellStyle name="Heading 1 2 2 8 3 11 2" xfId="16545"/>
    <cellStyle name="Heading 1 2 2 8 3 11 2 2" xfId="16546"/>
    <cellStyle name="Heading 1 2 2 8 3 11 3" xfId="16547"/>
    <cellStyle name="Heading 1 2 2 8 3 12" xfId="16548"/>
    <cellStyle name="Heading 1 2 2 8 3 12 2" xfId="16549"/>
    <cellStyle name="Heading 1 2 2 8 3 12 2 2" xfId="16550"/>
    <cellStyle name="Heading 1 2 2 8 3 12 3" xfId="16551"/>
    <cellStyle name="Heading 1 2 2 8 3 13" xfId="16552"/>
    <cellStyle name="Heading 1 2 2 8 3 13 2" xfId="16553"/>
    <cellStyle name="Heading 1 2 2 8 3 13 2 2" xfId="16554"/>
    <cellStyle name="Heading 1 2 2 8 3 13 3" xfId="16555"/>
    <cellStyle name="Heading 1 2 2 8 3 14" xfId="16556"/>
    <cellStyle name="Heading 1 2 2 8 3 14 2" xfId="16557"/>
    <cellStyle name="Heading 1 2 2 8 3 14 2 2" xfId="16558"/>
    <cellStyle name="Heading 1 2 2 8 3 14 3" xfId="16559"/>
    <cellStyle name="Heading 1 2 2 8 3 15" xfId="16560"/>
    <cellStyle name="Heading 1 2 2 8 3 15 2" xfId="16561"/>
    <cellStyle name="Heading 1 2 2 8 3 15 2 2" xfId="16562"/>
    <cellStyle name="Heading 1 2 2 8 3 15 3" xfId="16563"/>
    <cellStyle name="Heading 1 2 2 8 3 16" xfId="16564"/>
    <cellStyle name="Heading 1 2 2 8 3 16 2" xfId="16565"/>
    <cellStyle name="Heading 1 2 2 8 3 16 2 2" xfId="16566"/>
    <cellStyle name="Heading 1 2 2 8 3 16 3" xfId="16567"/>
    <cellStyle name="Heading 1 2 2 8 3 17" xfId="16568"/>
    <cellStyle name="Heading 1 2 2 8 3 17 2" xfId="16569"/>
    <cellStyle name="Heading 1 2 2 8 3 17 2 2" xfId="16570"/>
    <cellStyle name="Heading 1 2 2 8 3 17 3" xfId="16571"/>
    <cellStyle name="Heading 1 2 2 8 3 18" xfId="16572"/>
    <cellStyle name="Heading 1 2 2 8 3 18 2" xfId="16573"/>
    <cellStyle name="Heading 1 2 2 8 3 18 2 2" xfId="16574"/>
    <cellStyle name="Heading 1 2 2 8 3 18 3" xfId="16575"/>
    <cellStyle name="Heading 1 2 2 8 3 19" xfId="16576"/>
    <cellStyle name="Heading 1 2 2 8 3 19 2" xfId="16577"/>
    <cellStyle name="Heading 1 2 2 8 3 2" xfId="16578"/>
    <cellStyle name="Heading 1 2 2 8 3 2 2" xfId="16579"/>
    <cellStyle name="Heading 1 2 2 8 3 2 2 2" xfId="16580"/>
    <cellStyle name="Heading 1 2 2 8 3 2 2 2 2" xfId="16581"/>
    <cellStyle name="Heading 1 2 2 8 3 2 2 3" xfId="16582"/>
    <cellStyle name="Heading 1 2 2 8 3 2 3" xfId="16583"/>
    <cellStyle name="Heading 1 2 2 8 3 2 3 2" xfId="16584"/>
    <cellStyle name="Heading 1 2 2 8 3 2 3 2 2" xfId="16585"/>
    <cellStyle name="Heading 1 2 2 8 3 2 3 3" xfId="16586"/>
    <cellStyle name="Heading 1 2 2 8 3 2 4" xfId="16587"/>
    <cellStyle name="Heading 1 2 2 8 3 2 4 2" xfId="16588"/>
    <cellStyle name="Heading 1 2 2 8 3 2 4 2 2" xfId="16589"/>
    <cellStyle name="Heading 1 2 2 8 3 2 4 3" xfId="16590"/>
    <cellStyle name="Heading 1 2 2 8 3 2 5" xfId="16591"/>
    <cellStyle name="Heading 1 2 2 8 3 2 5 2" xfId="16592"/>
    <cellStyle name="Heading 1 2 2 8 3 2 5 2 2" xfId="16593"/>
    <cellStyle name="Heading 1 2 2 8 3 2 5 3" xfId="16594"/>
    <cellStyle name="Heading 1 2 2 8 3 2 6" xfId="16595"/>
    <cellStyle name="Heading 1 2 2 8 3 2 6 2" xfId="16596"/>
    <cellStyle name="Heading 1 2 2 8 3 2 6 2 2" xfId="16597"/>
    <cellStyle name="Heading 1 2 2 8 3 2 6 3" xfId="16598"/>
    <cellStyle name="Heading 1 2 2 8 3 2 7" xfId="16599"/>
    <cellStyle name="Heading 1 2 2 8 3 2 7 2" xfId="16600"/>
    <cellStyle name="Heading 1 2 2 8 3 2 7 2 2" xfId="16601"/>
    <cellStyle name="Heading 1 2 2 8 3 2 7 3" xfId="16602"/>
    <cellStyle name="Heading 1 2 2 8 3 2 8" xfId="16603"/>
    <cellStyle name="Heading 1 2 2 8 3 2 8 2" xfId="16604"/>
    <cellStyle name="Heading 1 2 2 8 3 2 9" xfId="16605"/>
    <cellStyle name="Heading 1 2 2 8 3 20" xfId="16606"/>
    <cellStyle name="Heading 1 2 2 8 3 20 2" xfId="16607"/>
    <cellStyle name="Heading 1 2 2 8 3 21" xfId="16608"/>
    <cellStyle name="Heading 1 2 2 8 3 21 2" xfId="16609"/>
    <cellStyle name="Heading 1 2 2 8 3 22" xfId="16610"/>
    <cellStyle name="Heading 1 2 2 8 3 3" xfId="16611"/>
    <cellStyle name="Heading 1 2 2 8 3 3 2" xfId="16612"/>
    <cellStyle name="Heading 1 2 2 8 3 3 2 2" xfId="16613"/>
    <cellStyle name="Heading 1 2 2 8 3 3 2 2 2" xfId="16614"/>
    <cellStyle name="Heading 1 2 2 8 3 3 2 3" xfId="16615"/>
    <cellStyle name="Heading 1 2 2 8 3 3 3" xfId="16616"/>
    <cellStyle name="Heading 1 2 2 8 3 3 3 2" xfId="16617"/>
    <cellStyle name="Heading 1 2 2 8 3 3 3 2 2" xfId="16618"/>
    <cellStyle name="Heading 1 2 2 8 3 3 3 3" xfId="16619"/>
    <cellStyle name="Heading 1 2 2 8 3 3 4" xfId="16620"/>
    <cellStyle name="Heading 1 2 2 8 3 3 4 2" xfId="16621"/>
    <cellStyle name="Heading 1 2 2 8 3 3 4 2 2" xfId="16622"/>
    <cellStyle name="Heading 1 2 2 8 3 3 4 3" xfId="16623"/>
    <cellStyle name="Heading 1 2 2 8 3 3 5" xfId="16624"/>
    <cellStyle name="Heading 1 2 2 8 3 3 5 2" xfId="16625"/>
    <cellStyle name="Heading 1 2 2 8 3 3 5 2 2" xfId="16626"/>
    <cellStyle name="Heading 1 2 2 8 3 3 5 3" xfId="16627"/>
    <cellStyle name="Heading 1 2 2 8 3 3 6" xfId="16628"/>
    <cellStyle name="Heading 1 2 2 8 3 3 6 2" xfId="16629"/>
    <cellStyle name="Heading 1 2 2 8 3 3 6 2 2" xfId="16630"/>
    <cellStyle name="Heading 1 2 2 8 3 3 6 3" xfId="16631"/>
    <cellStyle name="Heading 1 2 2 8 3 3 7" xfId="16632"/>
    <cellStyle name="Heading 1 2 2 8 3 3 7 2" xfId="16633"/>
    <cellStyle name="Heading 1 2 2 8 3 3 7 2 2" xfId="16634"/>
    <cellStyle name="Heading 1 2 2 8 3 3 7 3" xfId="16635"/>
    <cellStyle name="Heading 1 2 2 8 3 3 8" xfId="16636"/>
    <cellStyle name="Heading 1 2 2 8 3 3 8 2" xfId="16637"/>
    <cellStyle name="Heading 1 2 2 8 3 3 9" xfId="16638"/>
    <cellStyle name="Heading 1 2 2 8 3 4" xfId="16639"/>
    <cellStyle name="Heading 1 2 2 8 3 4 2" xfId="16640"/>
    <cellStyle name="Heading 1 2 2 8 3 4 2 2" xfId="16641"/>
    <cellStyle name="Heading 1 2 2 8 3 4 2 2 2" xfId="16642"/>
    <cellStyle name="Heading 1 2 2 8 3 4 2 3" xfId="16643"/>
    <cellStyle name="Heading 1 2 2 8 3 4 3" xfId="16644"/>
    <cellStyle name="Heading 1 2 2 8 3 4 3 2" xfId="16645"/>
    <cellStyle name="Heading 1 2 2 8 3 4 3 2 2" xfId="16646"/>
    <cellStyle name="Heading 1 2 2 8 3 4 3 3" xfId="16647"/>
    <cellStyle name="Heading 1 2 2 8 3 4 4" xfId="16648"/>
    <cellStyle name="Heading 1 2 2 8 3 4 4 2" xfId="16649"/>
    <cellStyle name="Heading 1 2 2 8 3 4 4 2 2" xfId="16650"/>
    <cellStyle name="Heading 1 2 2 8 3 4 4 3" xfId="16651"/>
    <cellStyle name="Heading 1 2 2 8 3 4 5" xfId="16652"/>
    <cellStyle name="Heading 1 2 2 8 3 4 5 2" xfId="16653"/>
    <cellStyle name="Heading 1 2 2 8 3 4 5 2 2" xfId="16654"/>
    <cellStyle name="Heading 1 2 2 8 3 4 5 3" xfId="16655"/>
    <cellStyle name="Heading 1 2 2 8 3 4 6" xfId="16656"/>
    <cellStyle name="Heading 1 2 2 8 3 4 6 2" xfId="16657"/>
    <cellStyle name="Heading 1 2 2 8 3 4 6 2 2" xfId="16658"/>
    <cellStyle name="Heading 1 2 2 8 3 4 6 3" xfId="16659"/>
    <cellStyle name="Heading 1 2 2 8 3 4 7" xfId="16660"/>
    <cellStyle name="Heading 1 2 2 8 3 4 7 2" xfId="16661"/>
    <cellStyle name="Heading 1 2 2 8 3 4 7 2 2" xfId="16662"/>
    <cellStyle name="Heading 1 2 2 8 3 4 7 3" xfId="16663"/>
    <cellStyle name="Heading 1 2 2 8 3 4 8" xfId="16664"/>
    <cellStyle name="Heading 1 2 2 8 3 4 8 2" xfId="16665"/>
    <cellStyle name="Heading 1 2 2 8 3 4 9" xfId="16666"/>
    <cellStyle name="Heading 1 2 2 8 3 5" xfId="16667"/>
    <cellStyle name="Heading 1 2 2 8 3 5 2" xfId="16668"/>
    <cellStyle name="Heading 1 2 2 8 3 5 2 2" xfId="16669"/>
    <cellStyle name="Heading 1 2 2 8 3 5 2 2 2" xfId="16670"/>
    <cellStyle name="Heading 1 2 2 8 3 5 2 3" xfId="16671"/>
    <cellStyle name="Heading 1 2 2 8 3 5 3" xfId="16672"/>
    <cellStyle name="Heading 1 2 2 8 3 5 3 2" xfId="16673"/>
    <cellStyle name="Heading 1 2 2 8 3 5 3 2 2" xfId="16674"/>
    <cellStyle name="Heading 1 2 2 8 3 5 3 3" xfId="16675"/>
    <cellStyle name="Heading 1 2 2 8 3 5 4" xfId="16676"/>
    <cellStyle name="Heading 1 2 2 8 3 5 4 2" xfId="16677"/>
    <cellStyle name="Heading 1 2 2 8 3 5 4 2 2" xfId="16678"/>
    <cellStyle name="Heading 1 2 2 8 3 5 4 3" xfId="16679"/>
    <cellStyle name="Heading 1 2 2 8 3 5 5" xfId="16680"/>
    <cellStyle name="Heading 1 2 2 8 3 5 5 2" xfId="16681"/>
    <cellStyle name="Heading 1 2 2 8 3 5 5 2 2" xfId="16682"/>
    <cellStyle name="Heading 1 2 2 8 3 5 5 3" xfId="16683"/>
    <cellStyle name="Heading 1 2 2 8 3 5 6" xfId="16684"/>
    <cellStyle name="Heading 1 2 2 8 3 5 6 2" xfId="16685"/>
    <cellStyle name="Heading 1 2 2 8 3 5 6 2 2" xfId="16686"/>
    <cellStyle name="Heading 1 2 2 8 3 5 6 3" xfId="16687"/>
    <cellStyle name="Heading 1 2 2 8 3 5 7" xfId="16688"/>
    <cellStyle name="Heading 1 2 2 8 3 5 7 2" xfId="16689"/>
    <cellStyle name="Heading 1 2 2 8 3 5 7 2 2" xfId="16690"/>
    <cellStyle name="Heading 1 2 2 8 3 5 7 3" xfId="16691"/>
    <cellStyle name="Heading 1 2 2 8 3 5 8" xfId="16692"/>
    <cellStyle name="Heading 1 2 2 8 3 5 8 2" xfId="16693"/>
    <cellStyle name="Heading 1 2 2 8 3 5 9" xfId="16694"/>
    <cellStyle name="Heading 1 2 2 8 3 6" xfId="16695"/>
    <cellStyle name="Heading 1 2 2 8 3 6 2" xfId="16696"/>
    <cellStyle name="Heading 1 2 2 8 3 6 2 2" xfId="16697"/>
    <cellStyle name="Heading 1 2 2 8 3 6 2 2 2" xfId="16698"/>
    <cellStyle name="Heading 1 2 2 8 3 6 2 3" xfId="16699"/>
    <cellStyle name="Heading 1 2 2 8 3 6 3" xfId="16700"/>
    <cellStyle name="Heading 1 2 2 8 3 6 3 2" xfId="16701"/>
    <cellStyle name="Heading 1 2 2 8 3 6 3 2 2" xfId="16702"/>
    <cellStyle name="Heading 1 2 2 8 3 6 3 3" xfId="16703"/>
    <cellStyle name="Heading 1 2 2 8 3 6 4" xfId="16704"/>
    <cellStyle name="Heading 1 2 2 8 3 6 4 2" xfId="16705"/>
    <cellStyle name="Heading 1 2 2 8 3 6 4 2 2" xfId="16706"/>
    <cellStyle name="Heading 1 2 2 8 3 6 4 3" xfId="16707"/>
    <cellStyle name="Heading 1 2 2 8 3 6 5" xfId="16708"/>
    <cellStyle name="Heading 1 2 2 8 3 6 5 2" xfId="16709"/>
    <cellStyle name="Heading 1 2 2 8 3 6 5 2 2" xfId="16710"/>
    <cellStyle name="Heading 1 2 2 8 3 6 5 3" xfId="16711"/>
    <cellStyle name="Heading 1 2 2 8 3 6 6" xfId="16712"/>
    <cellStyle name="Heading 1 2 2 8 3 6 6 2" xfId="16713"/>
    <cellStyle name="Heading 1 2 2 8 3 6 6 2 2" xfId="16714"/>
    <cellStyle name="Heading 1 2 2 8 3 6 6 3" xfId="16715"/>
    <cellStyle name="Heading 1 2 2 8 3 6 7" xfId="16716"/>
    <cellStyle name="Heading 1 2 2 8 3 6 7 2" xfId="16717"/>
    <cellStyle name="Heading 1 2 2 8 3 6 7 2 2" xfId="16718"/>
    <cellStyle name="Heading 1 2 2 8 3 6 7 3" xfId="16719"/>
    <cellStyle name="Heading 1 2 2 8 3 6 8" xfId="16720"/>
    <cellStyle name="Heading 1 2 2 8 3 6 8 2" xfId="16721"/>
    <cellStyle name="Heading 1 2 2 8 3 6 9" xfId="16722"/>
    <cellStyle name="Heading 1 2 2 8 3 7" xfId="16723"/>
    <cellStyle name="Heading 1 2 2 8 3 7 2" xfId="16724"/>
    <cellStyle name="Heading 1 2 2 8 3 7 2 2" xfId="16725"/>
    <cellStyle name="Heading 1 2 2 8 3 7 2 2 2" xfId="16726"/>
    <cellStyle name="Heading 1 2 2 8 3 7 2 3" xfId="16727"/>
    <cellStyle name="Heading 1 2 2 8 3 7 3" xfId="16728"/>
    <cellStyle name="Heading 1 2 2 8 3 7 3 2" xfId="16729"/>
    <cellStyle name="Heading 1 2 2 8 3 7 3 2 2" xfId="16730"/>
    <cellStyle name="Heading 1 2 2 8 3 7 3 3" xfId="16731"/>
    <cellStyle name="Heading 1 2 2 8 3 7 4" xfId="16732"/>
    <cellStyle name="Heading 1 2 2 8 3 7 4 2" xfId="16733"/>
    <cellStyle name="Heading 1 2 2 8 3 7 4 2 2" xfId="16734"/>
    <cellStyle name="Heading 1 2 2 8 3 7 4 3" xfId="16735"/>
    <cellStyle name="Heading 1 2 2 8 3 7 5" xfId="16736"/>
    <cellStyle name="Heading 1 2 2 8 3 7 5 2" xfId="16737"/>
    <cellStyle name="Heading 1 2 2 8 3 7 5 2 2" xfId="16738"/>
    <cellStyle name="Heading 1 2 2 8 3 7 5 3" xfId="16739"/>
    <cellStyle name="Heading 1 2 2 8 3 7 6" xfId="16740"/>
    <cellStyle name="Heading 1 2 2 8 3 7 6 2" xfId="16741"/>
    <cellStyle name="Heading 1 2 2 8 3 7 6 2 2" xfId="16742"/>
    <cellStyle name="Heading 1 2 2 8 3 7 6 3" xfId="16743"/>
    <cellStyle name="Heading 1 2 2 8 3 7 7" xfId="16744"/>
    <cellStyle name="Heading 1 2 2 8 3 7 7 2" xfId="16745"/>
    <cellStyle name="Heading 1 2 2 8 3 7 7 2 2" xfId="16746"/>
    <cellStyle name="Heading 1 2 2 8 3 7 7 3" xfId="16747"/>
    <cellStyle name="Heading 1 2 2 8 3 7 8" xfId="16748"/>
    <cellStyle name="Heading 1 2 2 8 3 7 8 2" xfId="16749"/>
    <cellStyle name="Heading 1 2 2 8 3 7 9" xfId="16750"/>
    <cellStyle name="Heading 1 2 2 8 3 8" xfId="16751"/>
    <cellStyle name="Heading 1 2 2 8 3 8 2" xfId="16752"/>
    <cellStyle name="Heading 1 2 2 8 3 8 2 2" xfId="16753"/>
    <cellStyle name="Heading 1 2 2 8 3 8 2 2 2" xfId="16754"/>
    <cellStyle name="Heading 1 2 2 8 3 8 2 3" xfId="16755"/>
    <cellStyle name="Heading 1 2 2 8 3 8 3" xfId="16756"/>
    <cellStyle name="Heading 1 2 2 8 3 8 3 2" xfId="16757"/>
    <cellStyle name="Heading 1 2 2 8 3 8 3 2 2" xfId="16758"/>
    <cellStyle name="Heading 1 2 2 8 3 8 3 3" xfId="16759"/>
    <cellStyle name="Heading 1 2 2 8 3 8 4" xfId="16760"/>
    <cellStyle name="Heading 1 2 2 8 3 8 4 2" xfId="16761"/>
    <cellStyle name="Heading 1 2 2 8 3 8 4 2 2" xfId="16762"/>
    <cellStyle name="Heading 1 2 2 8 3 8 4 3" xfId="16763"/>
    <cellStyle name="Heading 1 2 2 8 3 8 5" xfId="16764"/>
    <cellStyle name="Heading 1 2 2 8 3 8 5 2" xfId="16765"/>
    <cellStyle name="Heading 1 2 2 8 3 8 5 2 2" xfId="16766"/>
    <cellStyle name="Heading 1 2 2 8 3 8 5 3" xfId="16767"/>
    <cellStyle name="Heading 1 2 2 8 3 8 6" xfId="16768"/>
    <cellStyle name="Heading 1 2 2 8 3 8 6 2" xfId="16769"/>
    <cellStyle name="Heading 1 2 2 8 3 8 6 2 2" xfId="16770"/>
    <cellStyle name="Heading 1 2 2 8 3 8 6 3" xfId="16771"/>
    <cellStyle name="Heading 1 2 2 8 3 8 7" xfId="16772"/>
    <cellStyle name="Heading 1 2 2 8 3 8 7 2" xfId="16773"/>
    <cellStyle name="Heading 1 2 2 8 3 8 7 2 2" xfId="16774"/>
    <cellStyle name="Heading 1 2 2 8 3 8 7 3" xfId="16775"/>
    <cellStyle name="Heading 1 2 2 8 3 8 8" xfId="16776"/>
    <cellStyle name="Heading 1 2 2 8 3 8 8 2" xfId="16777"/>
    <cellStyle name="Heading 1 2 2 8 3 8 9" xfId="16778"/>
    <cellStyle name="Heading 1 2 2 8 3 9" xfId="16779"/>
    <cellStyle name="Heading 1 2 2 8 3 9 2" xfId="16780"/>
    <cellStyle name="Heading 1 2 2 8 3 9 2 2" xfId="16781"/>
    <cellStyle name="Heading 1 2 2 8 3 9 3" xfId="16782"/>
    <cellStyle name="Heading 1 2 2 8 4" xfId="16783"/>
    <cellStyle name="Heading 1 2 2 8 4 2" xfId="16784"/>
    <cellStyle name="Heading 1 2 2 8 4 2 2" xfId="16785"/>
    <cellStyle name="Heading 1 2 2 8 4 3" xfId="16786"/>
    <cellStyle name="Heading 1 2 2 8 5" xfId="16787"/>
    <cellStyle name="Heading 1 2 2 8 5 2" xfId="16788"/>
    <cellStyle name="Heading 1 2 2 8 6" xfId="16789"/>
    <cellStyle name="Heading 1 2 2 9" xfId="16790"/>
    <cellStyle name="Heading 1 2 2 9 10" xfId="16791"/>
    <cellStyle name="Heading 1 2 2 9 10 2" xfId="16792"/>
    <cellStyle name="Heading 1 2 2 9 10 2 2" xfId="16793"/>
    <cellStyle name="Heading 1 2 2 9 10 3" xfId="16794"/>
    <cellStyle name="Heading 1 2 2 9 11" xfId="16795"/>
    <cellStyle name="Heading 1 2 2 9 11 2" xfId="16796"/>
    <cellStyle name="Heading 1 2 2 9 11 2 2" xfId="16797"/>
    <cellStyle name="Heading 1 2 2 9 11 3" xfId="16798"/>
    <cellStyle name="Heading 1 2 2 9 12" xfId="16799"/>
    <cellStyle name="Heading 1 2 2 9 12 2" xfId="16800"/>
    <cellStyle name="Heading 1 2 2 9 12 2 2" xfId="16801"/>
    <cellStyle name="Heading 1 2 2 9 12 3" xfId="16802"/>
    <cellStyle name="Heading 1 2 2 9 13" xfId="16803"/>
    <cellStyle name="Heading 1 2 2 9 13 2" xfId="16804"/>
    <cellStyle name="Heading 1 2 2 9 13 2 2" xfId="16805"/>
    <cellStyle name="Heading 1 2 2 9 13 3" xfId="16806"/>
    <cellStyle name="Heading 1 2 2 9 14" xfId="16807"/>
    <cellStyle name="Heading 1 2 2 9 14 2" xfId="16808"/>
    <cellStyle name="Heading 1 2 2 9 14 2 2" xfId="16809"/>
    <cellStyle name="Heading 1 2 2 9 14 3" xfId="16810"/>
    <cellStyle name="Heading 1 2 2 9 15" xfId="16811"/>
    <cellStyle name="Heading 1 2 2 9 15 2" xfId="16812"/>
    <cellStyle name="Heading 1 2 2 9 15 2 2" xfId="16813"/>
    <cellStyle name="Heading 1 2 2 9 15 3" xfId="16814"/>
    <cellStyle name="Heading 1 2 2 9 16" xfId="16815"/>
    <cellStyle name="Heading 1 2 2 9 16 2" xfId="16816"/>
    <cellStyle name="Heading 1 2 2 9 16 2 2" xfId="16817"/>
    <cellStyle name="Heading 1 2 2 9 16 3" xfId="16818"/>
    <cellStyle name="Heading 1 2 2 9 17" xfId="16819"/>
    <cellStyle name="Heading 1 2 2 9 17 2" xfId="16820"/>
    <cellStyle name="Heading 1 2 2 9 17 2 2" xfId="16821"/>
    <cellStyle name="Heading 1 2 2 9 17 3" xfId="16822"/>
    <cellStyle name="Heading 1 2 2 9 18" xfId="16823"/>
    <cellStyle name="Heading 1 2 2 9 18 2" xfId="16824"/>
    <cellStyle name="Heading 1 2 2 9 18 2 2" xfId="16825"/>
    <cellStyle name="Heading 1 2 2 9 18 3" xfId="16826"/>
    <cellStyle name="Heading 1 2 2 9 19" xfId="16827"/>
    <cellStyle name="Heading 1 2 2 9 19 2" xfId="16828"/>
    <cellStyle name="Heading 1 2 2 9 19 2 2" xfId="16829"/>
    <cellStyle name="Heading 1 2 2 9 19 3" xfId="16830"/>
    <cellStyle name="Heading 1 2 2 9 2" xfId="16831"/>
    <cellStyle name="Heading 1 2 2 9 2 10" xfId="16832"/>
    <cellStyle name="Heading 1 2 2 9 2 10 2" xfId="16833"/>
    <cellStyle name="Heading 1 2 2 9 2 10 2 2" xfId="16834"/>
    <cellStyle name="Heading 1 2 2 9 2 10 3" xfId="16835"/>
    <cellStyle name="Heading 1 2 2 9 2 11" xfId="16836"/>
    <cellStyle name="Heading 1 2 2 9 2 11 2" xfId="16837"/>
    <cellStyle name="Heading 1 2 2 9 2 11 2 2" xfId="16838"/>
    <cellStyle name="Heading 1 2 2 9 2 11 3" xfId="16839"/>
    <cellStyle name="Heading 1 2 2 9 2 12" xfId="16840"/>
    <cellStyle name="Heading 1 2 2 9 2 12 2" xfId="16841"/>
    <cellStyle name="Heading 1 2 2 9 2 12 2 2" xfId="16842"/>
    <cellStyle name="Heading 1 2 2 9 2 12 3" xfId="16843"/>
    <cellStyle name="Heading 1 2 2 9 2 13" xfId="16844"/>
    <cellStyle name="Heading 1 2 2 9 2 13 2" xfId="16845"/>
    <cellStyle name="Heading 1 2 2 9 2 13 2 2" xfId="16846"/>
    <cellStyle name="Heading 1 2 2 9 2 13 3" xfId="16847"/>
    <cellStyle name="Heading 1 2 2 9 2 14" xfId="16848"/>
    <cellStyle name="Heading 1 2 2 9 2 14 2" xfId="16849"/>
    <cellStyle name="Heading 1 2 2 9 2 14 2 2" xfId="16850"/>
    <cellStyle name="Heading 1 2 2 9 2 14 3" xfId="16851"/>
    <cellStyle name="Heading 1 2 2 9 2 15" xfId="16852"/>
    <cellStyle name="Heading 1 2 2 9 2 15 2" xfId="16853"/>
    <cellStyle name="Heading 1 2 2 9 2 15 2 2" xfId="16854"/>
    <cellStyle name="Heading 1 2 2 9 2 15 3" xfId="16855"/>
    <cellStyle name="Heading 1 2 2 9 2 16" xfId="16856"/>
    <cellStyle name="Heading 1 2 2 9 2 16 2" xfId="16857"/>
    <cellStyle name="Heading 1 2 2 9 2 16 2 2" xfId="16858"/>
    <cellStyle name="Heading 1 2 2 9 2 16 3" xfId="16859"/>
    <cellStyle name="Heading 1 2 2 9 2 17" xfId="16860"/>
    <cellStyle name="Heading 1 2 2 9 2 17 2" xfId="16861"/>
    <cellStyle name="Heading 1 2 2 9 2 17 2 2" xfId="16862"/>
    <cellStyle name="Heading 1 2 2 9 2 17 3" xfId="16863"/>
    <cellStyle name="Heading 1 2 2 9 2 18" xfId="16864"/>
    <cellStyle name="Heading 1 2 2 9 2 18 2" xfId="16865"/>
    <cellStyle name="Heading 1 2 2 9 2 18 2 2" xfId="16866"/>
    <cellStyle name="Heading 1 2 2 9 2 18 3" xfId="16867"/>
    <cellStyle name="Heading 1 2 2 9 2 19" xfId="16868"/>
    <cellStyle name="Heading 1 2 2 9 2 19 2" xfId="16869"/>
    <cellStyle name="Heading 1 2 2 9 2 2" xfId="16870"/>
    <cellStyle name="Heading 1 2 2 9 2 2 2" xfId="16871"/>
    <cellStyle name="Heading 1 2 2 9 2 2 2 2" xfId="16872"/>
    <cellStyle name="Heading 1 2 2 9 2 2 2 2 2" xfId="16873"/>
    <cellStyle name="Heading 1 2 2 9 2 2 2 3" xfId="16874"/>
    <cellStyle name="Heading 1 2 2 9 2 2 3" xfId="16875"/>
    <cellStyle name="Heading 1 2 2 9 2 2 3 2" xfId="16876"/>
    <cellStyle name="Heading 1 2 2 9 2 2 3 2 2" xfId="16877"/>
    <cellStyle name="Heading 1 2 2 9 2 2 3 3" xfId="16878"/>
    <cellStyle name="Heading 1 2 2 9 2 2 4" xfId="16879"/>
    <cellStyle name="Heading 1 2 2 9 2 2 4 2" xfId="16880"/>
    <cellStyle name="Heading 1 2 2 9 2 2 4 2 2" xfId="16881"/>
    <cellStyle name="Heading 1 2 2 9 2 2 4 3" xfId="16882"/>
    <cellStyle name="Heading 1 2 2 9 2 2 5" xfId="16883"/>
    <cellStyle name="Heading 1 2 2 9 2 2 5 2" xfId="16884"/>
    <cellStyle name="Heading 1 2 2 9 2 2 5 2 2" xfId="16885"/>
    <cellStyle name="Heading 1 2 2 9 2 2 5 3" xfId="16886"/>
    <cellStyle name="Heading 1 2 2 9 2 2 6" xfId="16887"/>
    <cellStyle name="Heading 1 2 2 9 2 2 6 2" xfId="16888"/>
    <cellStyle name="Heading 1 2 2 9 2 2 6 2 2" xfId="16889"/>
    <cellStyle name="Heading 1 2 2 9 2 2 6 3" xfId="16890"/>
    <cellStyle name="Heading 1 2 2 9 2 2 7" xfId="16891"/>
    <cellStyle name="Heading 1 2 2 9 2 2 7 2" xfId="16892"/>
    <cellStyle name="Heading 1 2 2 9 2 2 7 2 2" xfId="16893"/>
    <cellStyle name="Heading 1 2 2 9 2 2 7 3" xfId="16894"/>
    <cellStyle name="Heading 1 2 2 9 2 2 8" xfId="16895"/>
    <cellStyle name="Heading 1 2 2 9 2 2 8 2" xfId="16896"/>
    <cellStyle name="Heading 1 2 2 9 2 2 9" xfId="16897"/>
    <cellStyle name="Heading 1 2 2 9 2 20" xfId="16898"/>
    <cellStyle name="Heading 1 2 2 9 2 20 2" xfId="16899"/>
    <cellStyle name="Heading 1 2 2 9 2 21" xfId="16900"/>
    <cellStyle name="Heading 1 2 2 9 2 21 2" xfId="16901"/>
    <cellStyle name="Heading 1 2 2 9 2 22" xfId="16902"/>
    <cellStyle name="Heading 1 2 2 9 2 3" xfId="16903"/>
    <cellStyle name="Heading 1 2 2 9 2 3 2" xfId="16904"/>
    <cellStyle name="Heading 1 2 2 9 2 3 2 2" xfId="16905"/>
    <cellStyle name="Heading 1 2 2 9 2 3 2 2 2" xfId="16906"/>
    <cellStyle name="Heading 1 2 2 9 2 3 2 3" xfId="16907"/>
    <cellStyle name="Heading 1 2 2 9 2 3 3" xfId="16908"/>
    <cellStyle name="Heading 1 2 2 9 2 3 3 2" xfId="16909"/>
    <cellStyle name="Heading 1 2 2 9 2 3 3 2 2" xfId="16910"/>
    <cellStyle name="Heading 1 2 2 9 2 3 3 3" xfId="16911"/>
    <cellStyle name="Heading 1 2 2 9 2 3 4" xfId="16912"/>
    <cellStyle name="Heading 1 2 2 9 2 3 4 2" xfId="16913"/>
    <cellStyle name="Heading 1 2 2 9 2 3 4 2 2" xfId="16914"/>
    <cellStyle name="Heading 1 2 2 9 2 3 4 3" xfId="16915"/>
    <cellStyle name="Heading 1 2 2 9 2 3 5" xfId="16916"/>
    <cellStyle name="Heading 1 2 2 9 2 3 5 2" xfId="16917"/>
    <cellStyle name="Heading 1 2 2 9 2 3 5 2 2" xfId="16918"/>
    <cellStyle name="Heading 1 2 2 9 2 3 5 3" xfId="16919"/>
    <cellStyle name="Heading 1 2 2 9 2 3 6" xfId="16920"/>
    <cellStyle name="Heading 1 2 2 9 2 3 6 2" xfId="16921"/>
    <cellStyle name="Heading 1 2 2 9 2 3 6 2 2" xfId="16922"/>
    <cellStyle name="Heading 1 2 2 9 2 3 6 3" xfId="16923"/>
    <cellStyle name="Heading 1 2 2 9 2 3 7" xfId="16924"/>
    <cellStyle name="Heading 1 2 2 9 2 3 7 2" xfId="16925"/>
    <cellStyle name="Heading 1 2 2 9 2 3 7 2 2" xfId="16926"/>
    <cellStyle name="Heading 1 2 2 9 2 3 7 3" xfId="16927"/>
    <cellStyle name="Heading 1 2 2 9 2 3 8" xfId="16928"/>
    <cellStyle name="Heading 1 2 2 9 2 3 8 2" xfId="16929"/>
    <cellStyle name="Heading 1 2 2 9 2 3 9" xfId="16930"/>
    <cellStyle name="Heading 1 2 2 9 2 4" xfId="16931"/>
    <cellStyle name="Heading 1 2 2 9 2 4 2" xfId="16932"/>
    <cellStyle name="Heading 1 2 2 9 2 4 2 2" xfId="16933"/>
    <cellStyle name="Heading 1 2 2 9 2 4 2 2 2" xfId="16934"/>
    <cellStyle name="Heading 1 2 2 9 2 4 2 3" xfId="16935"/>
    <cellStyle name="Heading 1 2 2 9 2 4 3" xfId="16936"/>
    <cellStyle name="Heading 1 2 2 9 2 4 3 2" xfId="16937"/>
    <cellStyle name="Heading 1 2 2 9 2 4 3 2 2" xfId="16938"/>
    <cellStyle name="Heading 1 2 2 9 2 4 3 3" xfId="16939"/>
    <cellStyle name="Heading 1 2 2 9 2 4 4" xfId="16940"/>
    <cellStyle name="Heading 1 2 2 9 2 4 4 2" xfId="16941"/>
    <cellStyle name="Heading 1 2 2 9 2 4 4 2 2" xfId="16942"/>
    <cellStyle name="Heading 1 2 2 9 2 4 4 3" xfId="16943"/>
    <cellStyle name="Heading 1 2 2 9 2 4 5" xfId="16944"/>
    <cellStyle name="Heading 1 2 2 9 2 4 5 2" xfId="16945"/>
    <cellStyle name="Heading 1 2 2 9 2 4 5 2 2" xfId="16946"/>
    <cellStyle name="Heading 1 2 2 9 2 4 5 3" xfId="16947"/>
    <cellStyle name="Heading 1 2 2 9 2 4 6" xfId="16948"/>
    <cellStyle name="Heading 1 2 2 9 2 4 6 2" xfId="16949"/>
    <cellStyle name="Heading 1 2 2 9 2 4 6 2 2" xfId="16950"/>
    <cellStyle name="Heading 1 2 2 9 2 4 6 3" xfId="16951"/>
    <cellStyle name="Heading 1 2 2 9 2 4 7" xfId="16952"/>
    <cellStyle name="Heading 1 2 2 9 2 4 7 2" xfId="16953"/>
    <cellStyle name="Heading 1 2 2 9 2 4 7 2 2" xfId="16954"/>
    <cellStyle name="Heading 1 2 2 9 2 4 7 3" xfId="16955"/>
    <cellStyle name="Heading 1 2 2 9 2 4 8" xfId="16956"/>
    <cellStyle name="Heading 1 2 2 9 2 4 8 2" xfId="16957"/>
    <cellStyle name="Heading 1 2 2 9 2 4 9" xfId="16958"/>
    <cellStyle name="Heading 1 2 2 9 2 5" xfId="16959"/>
    <cellStyle name="Heading 1 2 2 9 2 5 2" xfId="16960"/>
    <cellStyle name="Heading 1 2 2 9 2 5 2 2" xfId="16961"/>
    <cellStyle name="Heading 1 2 2 9 2 5 2 2 2" xfId="16962"/>
    <cellStyle name="Heading 1 2 2 9 2 5 2 3" xfId="16963"/>
    <cellStyle name="Heading 1 2 2 9 2 5 3" xfId="16964"/>
    <cellStyle name="Heading 1 2 2 9 2 5 3 2" xfId="16965"/>
    <cellStyle name="Heading 1 2 2 9 2 5 3 2 2" xfId="16966"/>
    <cellStyle name="Heading 1 2 2 9 2 5 3 3" xfId="16967"/>
    <cellStyle name="Heading 1 2 2 9 2 5 4" xfId="16968"/>
    <cellStyle name="Heading 1 2 2 9 2 5 4 2" xfId="16969"/>
    <cellStyle name="Heading 1 2 2 9 2 5 4 2 2" xfId="16970"/>
    <cellStyle name="Heading 1 2 2 9 2 5 4 3" xfId="16971"/>
    <cellStyle name="Heading 1 2 2 9 2 5 5" xfId="16972"/>
    <cellStyle name="Heading 1 2 2 9 2 5 5 2" xfId="16973"/>
    <cellStyle name="Heading 1 2 2 9 2 5 5 2 2" xfId="16974"/>
    <cellStyle name="Heading 1 2 2 9 2 5 5 3" xfId="16975"/>
    <cellStyle name="Heading 1 2 2 9 2 5 6" xfId="16976"/>
    <cellStyle name="Heading 1 2 2 9 2 5 6 2" xfId="16977"/>
    <cellStyle name="Heading 1 2 2 9 2 5 6 2 2" xfId="16978"/>
    <cellStyle name="Heading 1 2 2 9 2 5 6 3" xfId="16979"/>
    <cellStyle name="Heading 1 2 2 9 2 5 7" xfId="16980"/>
    <cellStyle name="Heading 1 2 2 9 2 5 7 2" xfId="16981"/>
    <cellStyle name="Heading 1 2 2 9 2 5 7 2 2" xfId="16982"/>
    <cellStyle name="Heading 1 2 2 9 2 5 7 3" xfId="16983"/>
    <cellStyle name="Heading 1 2 2 9 2 5 8" xfId="16984"/>
    <cellStyle name="Heading 1 2 2 9 2 5 8 2" xfId="16985"/>
    <cellStyle name="Heading 1 2 2 9 2 5 9" xfId="16986"/>
    <cellStyle name="Heading 1 2 2 9 2 6" xfId="16987"/>
    <cellStyle name="Heading 1 2 2 9 2 6 2" xfId="16988"/>
    <cellStyle name="Heading 1 2 2 9 2 6 2 2" xfId="16989"/>
    <cellStyle name="Heading 1 2 2 9 2 6 2 2 2" xfId="16990"/>
    <cellStyle name="Heading 1 2 2 9 2 6 2 3" xfId="16991"/>
    <cellStyle name="Heading 1 2 2 9 2 6 3" xfId="16992"/>
    <cellStyle name="Heading 1 2 2 9 2 6 3 2" xfId="16993"/>
    <cellStyle name="Heading 1 2 2 9 2 6 3 2 2" xfId="16994"/>
    <cellStyle name="Heading 1 2 2 9 2 6 3 3" xfId="16995"/>
    <cellStyle name="Heading 1 2 2 9 2 6 4" xfId="16996"/>
    <cellStyle name="Heading 1 2 2 9 2 6 4 2" xfId="16997"/>
    <cellStyle name="Heading 1 2 2 9 2 6 4 2 2" xfId="16998"/>
    <cellStyle name="Heading 1 2 2 9 2 6 4 3" xfId="16999"/>
    <cellStyle name="Heading 1 2 2 9 2 6 5" xfId="17000"/>
    <cellStyle name="Heading 1 2 2 9 2 6 5 2" xfId="17001"/>
    <cellStyle name="Heading 1 2 2 9 2 6 5 2 2" xfId="17002"/>
    <cellStyle name="Heading 1 2 2 9 2 6 5 3" xfId="17003"/>
    <cellStyle name="Heading 1 2 2 9 2 6 6" xfId="17004"/>
    <cellStyle name="Heading 1 2 2 9 2 6 6 2" xfId="17005"/>
    <cellStyle name="Heading 1 2 2 9 2 6 6 2 2" xfId="17006"/>
    <cellStyle name="Heading 1 2 2 9 2 6 6 3" xfId="17007"/>
    <cellStyle name="Heading 1 2 2 9 2 6 7" xfId="17008"/>
    <cellStyle name="Heading 1 2 2 9 2 6 7 2" xfId="17009"/>
    <cellStyle name="Heading 1 2 2 9 2 6 7 2 2" xfId="17010"/>
    <cellStyle name="Heading 1 2 2 9 2 6 7 3" xfId="17011"/>
    <cellStyle name="Heading 1 2 2 9 2 6 8" xfId="17012"/>
    <cellStyle name="Heading 1 2 2 9 2 6 8 2" xfId="17013"/>
    <cellStyle name="Heading 1 2 2 9 2 6 9" xfId="17014"/>
    <cellStyle name="Heading 1 2 2 9 2 7" xfId="17015"/>
    <cellStyle name="Heading 1 2 2 9 2 7 2" xfId="17016"/>
    <cellStyle name="Heading 1 2 2 9 2 7 2 2" xfId="17017"/>
    <cellStyle name="Heading 1 2 2 9 2 7 2 2 2" xfId="17018"/>
    <cellStyle name="Heading 1 2 2 9 2 7 2 3" xfId="17019"/>
    <cellStyle name="Heading 1 2 2 9 2 7 3" xfId="17020"/>
    <cellStyle name="Heading 1 2 2 9 2 7 3 2" xfId="17021"/>
    <cellStyle name="Heading 1 2 2 9 2 7 3 2 2" xfId="17022"/>
    <cellStyle name="Heading 1 2 2 9 2 7 3 3" xfId="17023"/>
    <cellStyle name="Heading 1 2 2 9 2 7 4" xfId="17024"/>
    <cellStyle name="Heading 1 2 2 9 2 7 4 2" xfId="17025"/>
    <cellStyle name="Heading 1 2 2 9 2 7 4 2 2" xfId="17026"/>
    <cellStyle name="Heading 1 2 2 9 2 7 4 3" xfId="17027"/>
    <cellStyle name="Heading 1 2 2 9 2 7 5" xfId="17028"/>
    <cellStyle name="Heading 1 2 2 9 2 7 5 2" xfId="17029"/>
    <cellStyle name="Heading 1 2 2 9 2 7 5 2 2" xfId="17030"/>
    <cellStyle name="Heading 1 2 2 9 2 7 5 3" xfId="17031"/>
    <cellStyle name="Heading 1 2 2 9 2 7 6" xfId="17032"/>
    <cellStyle name="Heading 1 2 2 9 2 7 6 2" xfId="17033"/>
    <cellStyle name="Heading 1 2 2 9 2 7 6 2 2" xfId="17034"/>
    <cellStyle name="Heading 1 2 2 9 2 7 6 3" xfId="17035"/>
    <cellStyle name="Heading 1 2 2 9 2 7 7" xfId="17036"/>
    <cellStyle name="Heading 1 2 2 9 2 7 7 2" xfId="17037"/>
    <cellStyle name="Heading 1 2 2 9 2 7 7 2 2" xfId="17038"/>
    <cellStyle name="Heading 1 2 2 9 2 7 7 3" xfId="17039"/>
    <cellStyle name="Heading 1 2 2 9 2 7 8" xfId="17040"/>
    <cellStyle name="Heading 1 2 2 9 2 7 8 2" xfId="17041"/>
    <cellStyle name="Heading 1 2 2 9 2 7 9" xfId="17042"/>
    <cellStyle name="Heading 1 2 2 9 2 8" xfId="17043"/>
    <cellStyle name="Heading 1 2 2 9 2 8 2" xfId="17044"/>
    <cellStyle name="Heading 1 2 2 9 2 8 2 2" xfId="17045"/>
    <cellStyle name="Heading 1 2 2 9 2 8 2 2 2" xfId="17046"/>
    <cellStyle name="Heading 1 2 2 9 2 8 2 3" xfId="17047"/>
    <cellStyle name="Heading 1 2 2 9 2 8 3" xfId="17048"/>
    <cellStyle name="Heading 1 2 2 9 2 8 3 2" xfId="17049"/>
    <cellStyle name="Heading 1 2 2 9 2 8 3 2 2" xfId="17050"/>
    <cellStyle name="Heading 1 2 2 9 2 8 3 3" xfId="17051"/>
    <cellStyle name="Heading 1 2 2 9 2 8 4" xfId="17052"/>
    <cellStyle name="Heading 1 2 2 9 2 8 4 2" xfId="17053"/>
    <cellStyle name="Heading 1 2 2 9 2 8 4 2 2" xfId="17054"/>
    <cellStyle name="Heading 1 2 2 9 2 8 4 3" xfId="17055"/>
    <cellStyle name="Heading 1 2 2 9 2 8 5" xfId="17056"/>
    <cellStyle name="Heading 1 2 2 9 2 8 5 2" xfId="17057"/>
    <cellStyle name="Heading 1 2 2 9 2 8 5 2 2" xfId="17058"/>
    <cellStyle name="Heading 1 2 2 9 2 8 5 3" xfId="17059"/>
    <cellStyle name="Heading 1 2 2 9 2 8 6" xfId="17060"/>
    <cellStyle name="Heading 1 2 2 9 2 8 6 2" xfId="17061"/>
    <cellStyle name="Heading 1 2 2 9 2 8 6 2 2" xfId="17062"/>
    <cellStyle name="Heading 1 2 2 9 2 8 6 3" xfId="17063"/>
    <cellStyle name="Heading 1 2 2 9 2 8 7" xfId="17064"/>
    <cellStyle name="Heading 1 2 2 9 2 8 7 2" xfId="17065"/>
    <cellStyle name="Heading 1 2 2 9 2 8 7 2 2" xfId="17066"/>
    <cellStyle name="Heading 1 2 2 9 2 8 7 3" xfId="17067"/>
    <cellStyle name="Heading 1 2 2 9 2 8 8" xfId="17068"/>
    <cellStyle name="Heading 1 2 2 9 2 8 8 2" xfId="17069"/>
    <cellStyle name="Heading 1 2 2 9 2 8 9" xfId="17070"/>
    <cellStyle name="Heading 1 2 2 9 2 9" xfId="17071"/>
    <cellStyle name="Heading 1 2 2 9 2 9 2" xfId="17072"/>
    <cellStyle name="Heading 1 2 2 9 2 9 2 2" xfId="17073"/>
    <cellStyle name="Heading 1 2 2 9 2 9 3" xfId="17074"/>
    <cellStyle name="Heading 1 2 2 9 20" xfId="17075"/>
    <cellStyle name="Heading 1 2 2 9 20 2" xfId="17076"/>
    <cellStyle name="Heading 1 2 2 9 21" xfId="17077"/>
    <cellStyle name="Heading 1 2 2 9 21 2" xfId="17078"/>
    <cellStyle name="Heading 1 2 2 9 22" xfId="17079"/>
    <cellStyle name="Heading 1 2 2 9 22 2" xfId="17080"/>
    <cellStyle name="Heading 1 2 2 9 23" xfId="17081"/>
    <cellStyle name="Heading 1 2 2 9 3" xfId="17082"/>
    <cellStyle name="Heading 1 2 2 9 3 2" xfId="17083"/>
    <cellStyle name="Heading 1 2 2 9 3 2 2" xfId="17084"/>
    <cellStyle name="Heading 1 2 2 9 3 2 2 2" xfId="17085"/>
    <cellStyle name="Heading 1 2 2 9 3 2 3" xfId="17086"/>
    <cellStyle name="Heading 1 2 2 9 3 3" xfId="17087"/>
    <cellStyle name="Heading 1 2 2 9 3 3 2" xfId="17088"/>
    <cellStyle name="Heading 1 2 2 9 3 3 2 2" xfId="17089"/>
    <cellStyle name="Heading 1 2 2 9 3 3 3" xfId="17090"/>
    <cellStyle name="Heading 1 2 2 9 3 4" xfId="17091"/>
    <cellStyle name="Heading 1 2 2 9 3 4 2" xfId="17092"/>
    <cellStyle name="Heading 1 2 2 9 3 4 2 2" xfId="17093"/>
    <cellStyle name="Heading 1 2 2 9 3 4 3" xfId="17094"/>
    <cellStyle name="Heading 1 2 2 9 3 5" xfId="17095"/>
    <cellStyle name="Heading 1 2 2 9 3 5 2" xfId="17096"/>
    <cellStyle name="Heading 1 2 2 9 3 5 2 2" xfId="17097"/>
    <cellStyle name="Heading 1 2 2 9 3 5 3" xfId="17098"/>
    <cellStyle name="Heading 1 2 2 9 3 6" xfId="17099"/>
    <cellStyle name="Heading 1 2 2 9 3 6 2" xfId="17100"/>
    <cellStyle name="Heading 1 2 2 9 3 6 2 2" xfId="17101"/>
    <cellStyle name="Heading 1 2 2 9 3 6 3" xfId="17102"/>
    <cellStyle name="Heading 1 2 2 9 3 7" xfId="17103"/>
    <cellStyle name="Heading 1 2 2 9 3 7 2" xfId="17104"/>
    <cellStyle name="Heading 1 2 2 9 3 7 2 2" xfId="17105"/>
    <cellStyle name="Heading 1 2 2 9 3 7 3" xfId="17106"/>
    <cellStyle name="Heading 1 2 2 9 3 8" xfId="17107"/>
    <cellStyle name="Heading 1 2 2 9 3 8 2" xfId="17108"/>
    <cellStyle name="Heading 1 2 2 9 3 9" xfId="17109"/>
    <cellStyle name="Heading 1 2 2 9 4" xfId="17110"/>
    <cellStyle name="Heading 1 2 2 9 4 2" xfId="17111"/>
    <cellStyle name="Heading 1 2 2 9 4 2 2" xfId="17112"/>
    <cellStyle name="Heading 1 2 2 9 4 2 2 2" xfId="17113"/>
    <cellStyle name="Heading 1 2 2 9 4 2 3" xfId="17114"/>
    <cellStyle name="Heading 1 2 2 9 4 3" xfId="17115"/>
    <cellStyle name="Heading 1 2 2 9 4 3 2" xfId="17116"/>
    <cellStyle name="Heading 1 2 2 9 4 3 2 2" xfId="17117"/>
    <cellStyle name="Heading 1 2 2 9 4 3 3" xfId="17118"/>
    <cellStyle name="Heading 1 2 2 9 4 4" xfId="17119"/>
    <cellStyle name="Heading 1 2 2 9 4 4 2" xfId="17120"/>
    <cellStyle name="Heading 1 2 2 9 4 4 2 2" xfId="17121"/>
    <cellStyle name="Heading 1 2 2 9 4 4 3" xfId="17122"/>
    <cellStyle name="Heading 1 2 2 9 4 5" xfId="17123"/>
    <cellStyle name="Heading 1 2 2 9 4 5 2" xfId="17124"/>
    <cellStyle name="Heading 1 2 2 9 4 5 2 2" xfId="17125"/>
    <cellStyle name="Heading 1 2 2 9 4 5 3" xfId="17126"/>
    <cellStyle name="Heading 1 2 2 9 4 6" xfId="17127"/>
    <cellStyle name="Heading 1 2 2 9 4 6 2" xfId="17128"/>
    <cellStyle name="Heading 1 2 2 9 4 6 2 2" xfId="17129"/>
    <cellStyle name="Heading 1 2 2 9 4 6 3" xfId="17130"/>
    <cellStyle name="Heading 1 2 2 9 4 7" xfId="17131"/>
    <cellStyle name="Heading 1 2 2 9 4 7 2" xfId="17132"/>
    <cellStyle name="Heading 1 2 2 9 4 7 2 2" xfId="17133"/>
    <cellStyle name="Heading 1 2 2 9 4 7 3" xfId="17134"/>
    <cellStyle name="Heading 1 2 2 9 4 8" xfId="17135"/>
    <cellStyle name="Heading 1 2 2 9 4 8 2" xfId="17136"/>
    <cellStyle name="Heading 1 2 2 9 4 9" xfId="17137"/>
    <cellStyle name="Heading 1 2 2 9 5" xfId="17138"/>
    <cellStyle name="Heading 1 2 2 9 5 2" xfId="17139"/>
    <cellStyle name="Heading 1 2 2 9 5 2 2" xfId="17140"/>
    <cellStyle name="Heading 1 2 2 9 5 2 2 2" xfId="17141"/>
    <cellStyle name="Heading 1 2 2 9 5 2 3" xfId="17142"/>
    <cellStyle name="Heading 1 2 2 9 5 3" xfId="17143"/>
    <cellStyle name="Heading 1 2 2 9 5 3 2" xfId="17144"/>
    <cellStyle name="Heading 1 2 2 9 5 3 2 2" xfId="17145"/>
    <cellStyle name="Heading 1 2 2 9 5 3 3" xfId="17146"/>
    <cellStyle name="Heading 1 2 2 9 5 4" xfId="17147"/>
    <cellStyle name="Heading 1 2 2 9 5 4 2" xfId="17148"/>
    <cellStyle name="Heading 1 2 2 9 5 4 2 2" xfId="17149"/>
    <cellStyle name="Heading 1 2 2 9 5 4 3" xfId="17150"/>
    <cellStyle name="Heading 1 2 2 9 5 5" xfId="17151"/>
    <cellStyle name="Heading 1 2 2 9 5 5 2" xfId="17152"/>
    <cellStyle name="Heading 1 2 2 9 5 5 2 2" xfId="17153"/>
    <cellStyle name="Heading 1 2 2 9 5 5 3" xfId="17154"/>
    <cellStyle name="Heading 1 2 2 9 5 6" xfId="17155"/>
    <cellStyle name="Heading 1 2 2 9 5 6 2" xfId="17156"/>
    <cellStyle name="Heading 1 2 2 9 5 6 2 2" xfId="17157"/>
    <cellStyle name="Heading 1 2 2 9 5 6 3" xfId="17158"/>
    <cellStyle name="Heading 1 2 2 9 5 7" xfId="17159"/>
    <cellStyle name="Heading 1 2 2 9 5 7 2" xfId="17160"/>
    <cellStyle name="Heading 1 2 2 9 5 7 2 2" xfId="17161"/>
    <cellStyle name="Heading 1 2 2 9 5 7 3" xfId="17162"/>
    <cellStyle name="Heading 1 2 2 9 5 8" xfId="17163"/>
    <cellStyle name="Heading 1 2 2 9 5 8 2" xfId="17164"/>
    <cellStyle name="Heading 1 2 2 9 5 9" xfId="17165"/>
    <cellStyle name="Heading 1 2 2 9 6" xfId="17166"/>
    <cellStyle name="Heading 1 2 2 9 6 2" xfId="17167"/>
    <cellStyle name="Heading 1 2 2 9 6 2 2" xfId="17168"/>
    <cellStyle name="Heading 1 2 2 9 6 2 2 2" xfId="17169"/>
    <cellStyle name="Heading 1 2 2 9 6 2 3" xfId="17170"/>
    <cellStyle name="Heading 1 2 2 9 6 3" xfId="17171"/>
    <cellStyle name="Heading 1 2 2 9 6 3 2" xfId="17172"/>
    <cellStyle name="Heading 1 2 2 9 6 3 2 2" xfId="17173"/>
    <cellStyle name="Heading 1 2 2 9 6 3 3" xfId="17174"/>
    <cellStyle name="Heading 1 2 2 9 6 4" xfId="17175"/>
    <cellStyle name="Heading 1 2 2 9 6 4 2" xfId="17176"/>
    <cellStyle name="Heading 1 2 2 9 6 4 2 2" xfId="17177"/>
    <cellStyle name="Heading 1 2 2 9 6 4 3" xfId="17178"/>
    <cellStyle name="Heading 1 2 2 9 6 5" xfId="17179"/>
    <cellStyle name="Heading 1 2 2 9 6 5 2" xfId="17180"/>
    <cellStyle name="Heading 1 2 2 9 6 5 2 2" xfId="17181"/>
    <cellStyle name="Heading 1 2 2 9 6 5 3" xfId="17182"/>
    <cellStyle name="Heading 1 2 2 9 6 6" xfId="17183"/>
    <cellStyle name="Heading 1 2 2 9 6 6 2" xfId="17184"/>
    <cellStyle name="Heading 1 2 2 9 6 6 2 2" xfId="17185"/>
    <cellStyle name="Heading 1 2 2 9 6 6 3" xfId="17186"/>
    <cellStyle name="Heading 1 2 2 9 6 7" xfId="17187"/>
    <cellStyle name="Heading 1 2 2 9 6 7 2" xfId="17188"/>
    <cellStyle name="Heading 1 2 2 9 6 7 2 2" xfId="17189"/>
    <cellStyle name="Heading 1 2 2 9 6 7 3" xfId="17190"/>
    <cellStyle name="Heading 1 2 2 9 6 8" xfId="17191"/>
    <cellStyle name="Heading 1 2 2 9 6 8 2" xfId="17192"/>
    <cellStyle name="Heading 1 2 2 9 6 9" xfId="17193"/>
    <cellStyle name="Heading 1 2 2 9 7" xfId="17194"/>
    <cellStyle name="Heading 1 2 2 9 7 2" xfId="17195"/>
    <cellStyle name="Heading 1 2 2 9 7 2 2" xfId="17196"/>
    <cellStyle name="Heading 1 2 2 9 7 2 2 2" xfId="17197"/>
    <cellStyle name="Heading 1 2 2 9 7 2 3" xfId="17198"/>
    <cellStyle name="Heading 1 2 2 9 7 3" xfId="17199"/>
    <cellStyle name="Heading 1 2 2 9 7 3 2" xfId="17200"/>
    <cellStyle name="Heading 1 2 2 9 7 3 2 2" xfId="17201"/>
    <cellStyle name="Heading 1 2 2 9 7 3 3" xfId="17202"/>
    <cellStyle name="Heading 1 2 2 9 7 4" xfId="17203"/>
    <cellStyle name="Heading 1 2 2 9 7 4 2" xfId="17204"/>
    <cellStyle name="Heading 1 2 2 9 7 4 2 2" xfId="17205"/>
    <cellStyle name="Heading 1 2 2 9 7 4 3" xfId="17206"/>
    <cellStyle name="Heading 1 2 2 9 7 5" xfId="17207"/>
    <cellStyle name="Heading 1 2 2 9 7 5 2" xfId="17208"/>
    <cellStyle name="Heading 1 2 2 9 7 5 2 2" xfId="17209"/>
    <cellStyle name="Heading 1 2 2 9 7 5 3" xfId="17210"/>
    <cellStyle name="Heading 1 2 2 9 7 6" xfId="17211"/>
    <cellStyle name="Heading 1 2 2 9 7 6 2" xfId="17212"/>
    <cellStyle name="Heading 1 2 2 9 7 6 2 2" xfId="17213"/>
    <cellStyle name="Heading 1 2 2 9 7 6 3" xfId="17214"/>
    <cellStyle name="Heading 1 2 2 9 7 7" xfId="17215"/>
    <cellStyle name="Heading 1 2 2 9 7 7 2" xfId="17216"/>
    <cellStyle name="Heading 1 2 2 9 7 7 2 2" xfId="17217"/>
    <cellStyle name="Heading 1 2 2 9 7 7 3" xfId="17218"/>
    <cellStyle name="Heading 1 2 2 9 7 8" xfId="17219"/>
    <cellStyle name="Heading 1 2 2 9 7 8 2" xfId="17220"/>
    <cellStyle name="Heading 1 2 2 9 7 9" xfId="17221"/>
    <cellStyle name="Heading 1 2 2 9 8" xfId="17222"/>
    <cellStyle name="Heading 1 2 2 9 8 2" xfId="17223"/>
    <cellStyle name="Heading 1 2 2 9 8 2 2" xfId="17224"/>
    <cellStyle name="Heading 1 2 2 9 8 2 2 2" xfId="17225"/>
    <cellStyle name="Heading 1 2 2 9 8 2 3" xfId="17226"/>
    <cellStyle name="Heading 1 2 2 9 8 3" xfId="17227"/>
    <cellStyle name="Heading 1 2 2 9 8 3 2" xfId="17228"/>
    <cellStyle name="Heading 1 2 2 9 8 3 2 2" xfId="17229"/>
    <cellStyle name="Heading 1 2 2 9 8 3 3" xfId="17230"/>
    <cellStyle name="Heading 1 2 2 9 8 4" xfId="17231"/>
    <cellStyle name="Heading 1 2 2 9 8 4 2" xfId="17232"/>
    <cellStyle name="Heading 1 2 2 9 8 4 2 2" xfId="17233"/>
    <cellStyle name="Heading 1 2 2 9 8 4 3" xfId="17234"/>
    <cellStyle name="Heading 1 2 2 9 8 5" xfId="17235"/>
    <cellStyle name="Heading 1 2 2 9 8 5 2" xfId="17236"/>
    <cellStyle name="Heading 1 2 2 9 8 5 2 2" xfId="17237"/>
    <cellStyle name="Heading 1 2 2 9 8 5 3" xfId="17238"/>
    <cellStyle name="Heading 1 2 2 9 8 6" xfId="17239"/>
    <cellStyle name="Heading 1 2 2 9 8 6 2" xfId="17240"/>
    <cellStyle name="Heading 1 2 2 9 8 6 2 2" xfId="17241"/>
    <cellStyle name="Heading 1 2 2 9 8 6 3" xfId="17242"/>
    <cellStyle name="Heading 1 2 2 9 8 7" xfId="17243"/>
    <cellStyle name="Heading 1 2 2 9 8 7 2" xfId="17244"/>
    <cellStyle name="Heading 1 2 2 9 8 7 2 2" xfId="17245"/>
    <cellStyle name="Heading 1 2 2 9 8 7 3" xfId="17246"/>
    <cellStyle name="Heading 1 2 2 9 8 8" xfId="17247"/>
    <cellStyle name="Heading 1 2 2 9 8 8 2" xfId="17248"/>
    <cellStyle name="Heading 1 2 2 9 8 9" xfId="17249"/>
    <cellStyle name="Heading 1 2 2 9 9" xfId="17250"/>
    <cellStyle name="Heading 1 2 2 9 9 2" xfId="17251"/>
    <cellStyle name="Heading 1 2 2 9 9 2 2" xfId="17252"/>
    <cellStyle name="Heading 1 2 2 9 9 2 2 2" xfId="17253"/>
    <cellStyle name="Heading 1 2 2 9 9 2 3" xfId="17254"/>
    <cellStyle name="Heading 1 2 2 9 9 3" xfId="17255"/>
    <cellStyle name="Heading 1 2 2 9 9 3 2" xfId="17256"/>
    <cellStyle name="Heading 1 2 2 9 9 3 2 2" xfId="17257"/>
    <cellStyle name="Heading 1 2 2 9 9 3 3" xfId="17258"/>
    <cellStyle name="Heading 1 2 2 9 9 4" xfId="17259"/>
    <cellStyle name="Heading 1 2 2 9 9 4 2" xfId="17260"/>
    <cellStyle name="Heading 1 2 2 9 9 4 2 2" xfId="17261"/>
    <cellStyle name="Heading 1 2 2 9 9 4 3" xfId="17262"/>
    <cellStyle name="Heading 1 2 2 9 9 5" xfId="17263"/>
    <cellStyle name="Heading 1 2 2 9 9 5 2" xfId="17264"/>
    <cellStyle name="Heading 1 2 2 9 9 5 2 2" xfId="17265"/>
    <cellStyle name="Heading 1 2 2 9 9 5 3" xfId="17266"/>
    <cellStyle name="Heading 1 2 2 9 9 6" xfId="17267"/>
    <cellStyle name="Heading 1 2 2 9 9 6 2" xfId="17268"/>
    <cellStyle name="Heading 1 2 2 9 9 6 2 2" xfId="17269"/>
    <cellStyle name="Heading 1 2 2 9 9 6 3" xfId="17270"/>
    <cellStyle name="Heading 1 2 2 9 9 7" xfId="17271"/>
    <cellStyle name="Heading 1 2 2 9 9 7 2" xfId="17272"/>
    <cellStyle name="Heading 1 2 2 9 9 7 2 2" xfId="17273"/>
    <cellStyle name="Heading 1 2 2 9 9 7 3" xfId="17274"/>
    <cellStyle name="Heading 1 2 2 9 9 8" xfId="17275"/>
    <cellStyle name="Heading 1 2 2 9 9 8 2" xfId="17276"/>
    <cellStyle name="Heading 1 2 2 9 9 9" xfId="17277"/>
    <cellStyle name="Heading 1 2 3" xfId="17278"/>
    <cellStyle name="Heading 1 2 3 10" xfId="17279"/>
    <cellStyle name="Heading 1 2 3 10 2" xfId="17280"/>
    <cellStyle name="Heading 1 2 3 10 2 2" xfId="17281"/>
    <cellStyle name="Heading 1 2 3 10 3" xfId="17282"/>
    <cellStyle name="Heading 1 2 3 10 3 2" xfId="17283"/>
    <cellStyle name="Heading 1 2 3 10 4" xfId="17284"/>
    <cellStyle name="Heading 1 2 3 11" xfId="17285"/>
    <cellStyle name="Heading 1 2 3 11 2" xfId="17286"/>
    <cellStyle name="Heading 1 2 3 11 2 2" xfId="17287"/>
    <cellStyle name="Heading 1 2 3 11 3" xfId="17288"/>
    <cellStyle name="Heading 1 2 3 11 3 2" xfId="17289"/>
    <cellStyle name="Heading 1 2 3 11 4" xfId="17290"/>
    <cellStyle name="Heading 1 2 3 12" xfId="17291"/>
    <cellStyle name="Heading 1 2 3 12 2" xfId="17292"/>
    <cellStyle name="Heading 1 2 3 12 2 2" xfId="17293"/>
    <cellStyle name="Heading 1 2 3 12 3" xfId="17294"/>
    <cellStyle name="Heading 1 2 3 12 3 2" xfId="17295"/>
    <cellStyle name="Heading 1 2 3 12 4" xfId="17296"/>
    <cellStyle name="Heading 1 2 3 13" xfId="17297"/>
    <cellStyle name="Heading 1 2 3 13 2" xfId="17298"/>
    <cellStyle name="Heading 1 2 3 13 2 2" xfId="17299"/>
    <cellStyle name="Heading 1 2 3 13 3" xfId="17300"/>
    <cellStyle name="Heading 1 2 3 13 3 2" xfId="17301"/>
    <cellStyle name="Heading 1 2 3 13 4" xfId="17302"/>
    <cellStyle name="Heading 1 2 3 14" xfId="17303"/>
    <cellStyle name="Heading 1 2 3 14 2" xfId="17304"/>
    <cellStyle name="Heading 1 2 3 14 2 2" xfId="17305"/>
    <cellStyle name="Heading 1 2 3 14 3" xfId="17306"/>
    <cellStyle name="Heading 1 2 3 14 3 2" xfId="17307"/>
    <cellStyle name="Heading 1 2 3 14 4" xfId="17308"/>
    <cellStyle name="Heading 1 2 3 15" xfId="17309"/>
    <cellStyle name="Heading 1 2 3 15 2" xfId="17310"/>
    <cellStyle name="Heading 1 2 3 15 2 2" xfId="17311"/>
    <cellStyle name="Heading 1 2 3 15 3" xfId="17312"/>
    <cellStyle name="Heading 1 2 3 15 3 2" xfId="17313"/>
    <cellStyle name="Heading 1 2 3 15 4" xfId="17314"/>
    <cellStyle name="Heading 1 2 3 16" xfId="17315"/>
    <cellStyle name="Heading 1 2 3 16 2" xfId="17316"/>
    <cellStyle name="Heading 1 2 3 16 2 2" xfId="17317"/>
    <cellStyle name="Heading 1 2 3 16 3" xfId="17318"/>
    <cellStyle name="Heading 1 2 3 16 3 2" xfId="17319"/>
    <cellStyle name="Heading 1 2 3 16 4" xfId="17320"/>
    <cellStyle name="Heading 1 2 3 17" xfId="17321"/>
    <cellStyle name="Heading 1 2 3 17 2" xfId="17322"/>
    <cellStyle name="Heading 1 2 3 17 2 2" xfId="17323"/>
    <cellStyle name="Heading 1 2 3 17 3" xfId="17324"/>
    <cellStyle name="Heading 1 2 3 17 3 2" xfId="17325"/>
    <cellStyle name="Heading 1 2 3 17 4" xfId="17326"/>
    <cellStyle name="Heading 1 2 3 18" xfId="17327"/>
    <cellStyle name="Heading 1 2 3 18 2" xfId="17328"/>
    <cellStyle name="Heading 1 2 3 18 2 2" xfId="17329"/>
    <cellStyle name="Heading 1 2 3 18 3" xfId="17330"/>
    <cellStyle name="Heading 1 2 3 18 3 2" xfId="17331"/>
    <cellStyle name="Heading 1 2 3 18 4" xfId="17332"/>
    <cellStyle name="Heading 1 2 3 19" xfId="17333"/>
    <cellStyle name="Heading 1 2 3 19 2" xfId="17334"/>
    <cellStyle name="Heading 1 2 3 2" xfId="17335"/>
    <cellStyle name="Heading 1 2 3 2 2" xfId="17336"/>
    <cellStyle name="Heading 1 2 3 2 2 10" xfId="17337"/>
    <cellStyle name="Heading 1 2 3 2 2 10 2" xfId="17338"/>
    <cellStyle name="Heading 1 2 3 2 2 10 2 2" xfId="17339"/>
    <cellStyle name="Heading 1 2 3 2 2 10 3" xfId="17340"/>
    <cellStyle name="Heading 1 2 3 2 2 11" xfId="17341"/>
    <cellStyle name="Heading 1 2 3 2 2 11 2" xfId="17342"/>
    <cellStyle name="Heading 1 2 3 2 2 11 2 2" xfId="17343"/>
    <cellStyle name="Heading 1 2 3 2 2 11 3" xfId="17344"/>
    <cellStyle name="Heading 1 2 3 2 2 12" xfId="17345"/>
    <cellStyle name="Heading 1 2 3 2 2 12 2" xfId="17346"/>
    <cellStyle name="Heading 1 2 3 2 2 12 2 2" xfId="17347"/>
    <cellStyle name="Heading 1 2 3 2 2 12 3" xfId="17348"/>
    <cellStyle name="Heading 1 2 3 2 2 13" xfId="17349"/>
    <cellStyle name="Heading 1 2 3 2 2 13 2" xfId="17350"/>
    <cellStyle name="Heading 1 2 3 2 2 13 2 2" xfId="17351"/>
    <cellStyle name="Heading 1 2 3 2 2 13 3" xfId="17352"/>
    <cellStyle name="Heading 1 2 3 2 2 14" xfId="17353"/>
    <cellStyle name="Heading 1 2 3 2 2 14 2" xfId="17354"/>
    <cellStyle name="Heading 1 2 3 2 2 14 2 2" xfId="17355"/>
    <cellStyle name="Heading 1 2 3 2 2 14 3" xfId="17356"/>
    <cellStyle name="Heading 1 2 3 2 2 15" xfId="17357"/>
    <cellStyle name="Heading 1 2 3 2 2 15 2" xfId="17358"/>
    <cellStyle name="Heading 1 2 3 2 2 15 2 2" xfId="17359"/>
    <cellStyle name="Heading 1 2 3 2 2 15 3" xfId="17360"/>
    <cellStyle name="Heading 1 2 3 2 2 16" xfId="17361"/>
    <cellStyle name="Heading 1 2 3 2 2 16 2" xfId="17362"/>
    <cellStyle name="Heading 1 2 3 2 2 16 2 2" xfId="17363"/>
    <cellStyle name="Heading 1 2 3 2 2 16 3" xfId="17364"/>
    <cellStyle name="Heading 1 2 3 2 2 17" xfId="17365"/>
    <cellStyle name="Heading 1 2 3 2 2 17 2" xfId="17366"/>
    <cellStyle name="Heading 1 2 3 2 2 17 2 2" xfId="17367"/>
    <cellStyle name="Heading 1 2 3 2 2 17 3" xfId="17368"/>
    <cellStyle name="Heading 1 2 3 2 2 18" xfId="17369"/>
    <cellStyle name="Heading 1 2 3 2 2 18 2" xfId="17370"/>
    <cellStyle name="Heading 1 2 3 2 2 18 2 2" xfId="17371"/>
    <cellStyle name="Heading 1 2 3 2 2 18 3" xfId="17372"/>
    <cellStyle name="Heading 1 2 3 2 2 19" xfId="17373"/>
    <cellStyle name="Heading 1 2 3 2 2 19 2" xfId="17374"/>
    <cellStyle name="Heading 1 2 3 2 2 19 2 2" xfId="17375"/>
    <cellStyle name="Heading 1 2 3 2 2 19 3" xfId="17376"/>
    <cellStyle name="Heading 1 2 3 2 2 2" xfId="17377"/>
    <cellStyle name="Heading 1 2 3 2 2 2 10" xfId="17378"/>
    <cellStyle name="Heading 1 2 3 2 2 2 10 2" xfId="17379"/>
    <cellStyle name="Heading 1 2 3 2 2 2 10 2 2" xfId="17380"/>
    <cellStyle name="Heading 1 2 3 2 2 2 10 3" xfId="17381"/>
    <cellStyle name="Heading 1 2 3 2 2 2 11" xfId="17382"/>
    <cellStyle name="Heading 1 2 3 2 2 2 11 2" xfId="17383"/>
    <cellStyle name="Heading 1 2 3 2 2 2 11 2 2" xfId="17384"/>
    <cellStyle name="Heading 1 2 3 2 2 2 11 3" xfId="17385"/>
    <cellStyle name="Heading 1 2 3 2 2 2 12" xfId="17386"/>
    <cellStyle name="Heading 1 2 3 2 2 2 12 2" xfId="17387"/>
    <cellStyle name="Heading 1 2 3 2 2 2 12 2 2" xfId="17388"/>
    <cellStyle name="Heading 1 2 3 2 2 2 12 3" xfId="17389"/>
    <cellStyle name="Heading 1 2 3 2 2 2 13" xfId="17390"/>
    <cellStyle name="Heading 1 2 3 2 2 2 13 2" xfId="17391"/>
    <cellStyle name="Heading 1 2 3 2 2 2 13 2 2" xfId="17392"/>
    <cellStyle name="Heading 1 2 3 2 2 2 13 3" xfId="17393"/>
    <cellStyle name="Heading 1 2 3 2 2 2 14" xfId="17394"/>
    <cellStyle name="Heading 1 2 3 2 2 2 14 2" xfId="17395"/>
    <cellStyle name="Heading 1 2 3 2 2 2 14 2 2" xfId="17396"/>
    <cellStyle name="Heading 1 2 3 2 2 2 14 3" xfId="17397"/>
    <cellStyle name="Heading 1 2 3 2 2 2 15" xfId="17398"/>
    <cellStyle name="Heading 1 2 3 2 2 2 15 2" xfId="17399"/>
    <cellStyle name="Heading 1 2 3 2 2 2 15 2 2" xfId="17400"/>
    <cellStyle name="Heading 1 2 3 2 2 2 15 3" xfId="17401"/>
    <cellStyle name="Heading 1 2 3 2 2 2 16" xfId="17402"/>
    <cellStyle name="Heading 1 2 3 2 2 2 16 2" xfId="17403"/>
    <cellStyle name="Heading 1 2 3 2 2 2 16 2 2" xfId="17404"/>
    <cellStyle name="Heading 1 2 3 2 2 2 16 3" xfId="17405"/>
    <cellStyle name="Heading 1 2 3 2 2 2 17" xfId="17406"/>
    <cellStyle name="Heading 1 2 3 2 2 2 17 2" xfId="17407"/>
    <cellStyle name="Heading 1 2 3 2 2 2 17 2 2" xfId="17408"/>
    <cellStyle name="Heading 1 2 3 2 2 2 17 3" xfId="17409"/>
    <cellStyle name="Heading 1 2 3 2 2 2 18" xfId="17410"/>
    <cellStyle name="Heading 1 2 3 2 2 2 18 2" xfId="17411"/>
    <cellStyle name="Heading 1 2 3 2 2 2 18 2 2" xfId="17412"/>
    <cellStyle name="Heading 1 2 3 2 2 2 18 3" xfId="17413"/>
    <cellStyle name="Heading 1 2 3 2 2 2 19" xfId="17414"/>
    <cellStyle name="Heading 1 2 3 2 2 2 19 2" xfId="17415"/>
    <cellStyle name="Heading 1 2 3 2 2 2 2" xfId="17416"/>
    <cellStyle name="Heading 1 2 3 2 2 2 2 2" xfId="17417"/>
    <cellStyle name="Heading 1 2 3 2 2 2 2 2 2" xfId="17418"/>
    <cellStyle name="Heading 1 2 3 2 2 2 2 2 2 2" xfId="17419"/>
    <cellStyle name="Heading 1 2 3 2 2 2 2 2 3" xfId="17420"/>
    <cellStyle name="Heading 1 2 3 2 2 2 2 3" xfId="17421"/>
    <cellStyle name="Heading 1 2 3 2 2 2 2 3 2" xfId="17422"/>
    <cellStyle name="Heading 1 2 3 2 2 2 2 3 2 2" xfId="17423"/>
    <cellStyle name="Heading 1 2 3 2 2 2 2 3 3" xfId="17424"/>
    <cellStyle name="Heading 1 2 3 2 2 2 2 4" xfId="17425"/>
    <cellStyle name="Heading 1 2 3 2 2 2 2 4 2" xfId="17426"/>
    <cellStyle name="Heading 1 2 3 2 2 2 2 4 2 2" xfId="17427"/>
    <cellStyle name="Heading 1 2 3 2 2 2 2 4 3" xfId="17428"/>
    <cellStyle name="Heading 1 2 3 2 2 2 2 5" xfId="17429"/>
    <cellStyle name="Heading 1 2 3 2 2 2 2 5 2" xfId="17430"/>
    <cellStyle name="Heading 1 2 3 2 2 2 2 5 2 2" xfId="17431"/>
    <cellStyle name="Heading 1 2 3 2 2 2 2 5 3" xfId="17432"/>
    <cellStyle name="Heading 1 2 3 2 2 2 2 6" xfId="17433"/>
    <cellStyle name="Heading 1 2 3 2 2 2 2 6 2" xfId="17434"/>
    <cellStyle name="Heading 1 2 3 2 2 2 2 6 2 2" xfId="17435"/>
    <cellStyle name="Heading 1 2 3 2 2 2 2 6 3" xfId="17436"/>
    <cellStyle name="Heading 1 2 3 2 2 2 2 7" xfId="17437"/>
    <cellStyle name="Heading 1 2 3 2 2 2 2 7 2" xfId="17438"/>
    <cellStyle name="Heading 1 2 3 2 2 2 2 7 2 2" xfId="17439"/>
    <cellStyle name="Heading 1 2 3 2 2 2 2 7 3" xfId="17440"/>
    <cellStyle name="Heading 1 2 3 2 2 2 2 8" xfId="17441"/>
    <cellStyle name="Heading 1 2 3 2 2 2 2 8 2" xfId="17442"/>
    <cellStyle name="Heading 1 2 3 2 2 2 2 9" xfId="17443"/>
    <cellStyle name="Heading 1 2 3 2 2 2 20" xfId="17444"/>
    <cellStyle name="Heading 1 2 3 2 2 2 20 2" xfId="17445"/>
    <cellStyle name="Heading 1 2 3 2 2 2 21" xfId="17446"/>
    <cellStyle name="Heading 1 2 3 2 2 2 21 2" xfId="17447"/>
    <cellStyle name="Heading 1 2 3 2 2 2 22" xfId="17448"/>
    <cellStyle name="Heading 1 2 3 2 2 2 3" xfId="17449"/>
    <cellStyle name="Heading 1 2 3 2 2 2 3 2" xfId="17450"/>
    <cellStyle name="Heading 1 2 3 2 2 2 3 2 2" xfId="17451"/>
    <cellStyle name="Heading 1 2 3 2 2 2 3 2 2 2" xfId="17452"/>
    <cellStyle name="Heading 1 2 3 2 2 2 3 2 3" xfId="17453"/>
    <cellStyle name="Heading 1 2 3 2 2 2 3 3" xfId="17454"/>
    <cellStyle name="Heading 1 2 3 2 2 2 3 3 2" xfId="17455"/>
    <cellStyle name="Heading 1 2 3 2 2 2 3 3 2 2" xfId="17456"/>
    <cellStyle name="Heading 1 2 3 2 2 2 3 3 3" xfId="17457"/>
    <cellStyle name="Heading 1 2 3 2 2 2 3 4" xfId="17458"/>
    <cellStyle name="Heading 1 2 3 2 2 2 3 4 2" xfId="17459"/>
    <cellStyle name="Heading 1 2 3 2 2 2 3 4 2 2" xfId="17460"/>
    <cellStyle name="Heading 1 2 3 2 2 2 3 4 3" xfId="17461"/>
    <cellStyle name="Heading 1 2 3 2 2 2 3 5" xfId="17462"/>
    <cellStyle name="Heading 1 2 3 2 2 2 3 5 2" xfId="17463"/>
    <cellStyle name="Heading 1 2 3 2 2 2 3 5 2 2" xfId="17464"/>
    <cellStyle name="Heading 1 2 3 2 2 2 3 5 3" xfId="17465"/>
    <cellStyle name="Heading 1 2 3 2 2 2 3 6" xfId="17466"/>
    <cellStyle name="Heading 1 2 3 2 2 2 3 6 2" xfId="17467"/>
    <cellStyle name="Heading 1 2 3 2 2 2 3 6 2 2" xfId="17468"/>
    <cellStyle name="Heading 1 2 3 2 2 2 3 6 3" xfId="17469"/>
    <cellStyle name="Heading 1 2 3 2 2 2 3 7" xfId="17470"/>
    <cellStyle name="Heading 1 2 3 2 2 2 3 7 2" xfId="17471"/>
    <cellStyle name="Heading 1 2 3 2 2 2 3 7 2 2" xfId="17472"/>
    <cellStyle name="Heading 1 2 3 2 2 2 3 7 3" xfId="17473"/>
    <cellStyle name="Heading 1 2 3 2 2 2 3 8" xfId="17474"/>
    <cellStyle name="Heading 1 2 3 2 2 2 3 8 2" xfId="17475"/>
    <cellStyle name="Heading 1 2 3 2 2 2 3 9" xfId="17476"/>
    <cellStyle name="Heading 1 2 3 2 2 2 4" xfId="17477"/>
    <cellStyle name="Heading 1 2 3 2 2 2 4 2" xfId="17478"/>
    <cellStyle name="Heading 1 2 3 2 2 2 4 2 2" xfId="17479"/>
    <cellStyle name="Heading 1 2 3 2 2 2 4 2 2 2" xfId="17480"/>
    <cellStyle name="Heading 1 2 3 2 2 2 4 2 3" xfId="17481"/>
    <cellStyle name="Heading 1 2 3 2 2 2 4 3" xfId="17482"/>
    <cellStyle name="Heading 1 2 3 2 2 2 4 3 2" xfId="17483"/>
    <cellStyle name="Heading 1 2 3 2 2 2 4 3 2 2" xfId="17484"/>
    <cellStyle name="Heading 1 2 3 2 2 2 4 3 3" xfId="17485"/>
    <cellStyle name="Heading 1 2 3 2 2 2 4 4" xfId="17486"/>
    <cellStyle name="Heading 1 2 3 2 2 2 4 4 2" xfId="17487"/>
    <cellStyle name="Heading 1 2 3 2 2 2 4 4 2 2" xfId="17488"/>
    <cellStyle name="Heading 1 2 3 2 2 2 4 4 3" xfId="17489"/>
    <cellStyle name="Heading 1 2 3 2 2 2 4 5" xfId="17490"/>
    <cellStyle name="Heading 1 2 3 2 2 2 4 5 2" xfId="17491"/>
    <cellStyle name="Heading 1 2 3 2 2 2 4 5 2 2" xfId="17492"/>
    <cellStyle name="Heading 1 2 3 2 2 2 4 5 3" xfId="17493"/>
    <cellStyle name="Heading 1 2 3 2 2 2 4 6" xfId="17494"/>
    <cellStyle name="Heading 1 2 3 2 2 2 4 6 2" xfId="17495"/>
    <cellStyle name="Heading 1 2 3 2 2 2 4 6 2 2" xfId="17496"/>
    <cellStyle name="Heading 1 2 3 2 2 2 4 6 3" xfId="17497"/>
    <cellStyle name="Heading 1 2 3 2 2 2 4 7" xfId="17498"/>
    <cellStyle name="Heading 1 2 3 2 2 2 4 7 2" xfId="17499"/>
    <cellStyle name="Heading 1 2 3 2 2 2 4 7 2 2" xfId="17500"/>
    <cellStyle name="Heading 1 2 3 2 2 2 4 7 3" xfId="17501"/>
    <cellStyle name="Heading 1 2 3 2 2 2 4 8" xfId="17502"/>
    <cellStyle name="Heading 1 2 3 2 2 2 4 8 2" xfId="17503"/>
    <cellStyle name="Heading 1 2 3 2 2 2 4 9" xfId="17504"/>
    <cellStyle name="Heading 1 2 3 2 2 2 5" xfId="17505"/>
    <cellStyle name="Heading 1 2 3 2 2 2 5 2" xfId="17506"/>
    <cellStyle name="Heading 1 2 3 2 2 2 5 2 2" xfId="17507"/>
    <cellStyle name="Heading 1 2 3 2 2 2 5 2 2 2" xfId="17508"/>
    <cellStyle name="Heading 1 2 3 2 2 2 5 2 3" xfId="17509"/>
    <cellStyle name="Heading 1 2 3 2 2 2 5 3" xfId="17510"/>
    <cellStyle name="Heading 1 2 3 2 2 2 5 3 2" xfId="17511"/>
    <cellStyle name="Heading 1 2 3 2 2 2 5 3 2 2" xfId="17512"/>
    <cellStyle name="Heading 1 2 3 2 2 2 5 3 3" xfId="17513"/>
    <cellStyle name="Heading 1 2 3 2 2 2 5 4" xfId="17514"/>
    <cellStyle name="Heading 1 2 3 2 2 2 5 4 2" xfId="17515"/>
    <cellStyle name="Heading 1 2 3 2 2 2 5 4 2 2" xfId="17516"/>
    <cellStyle name="Heading 1 2 3 2 2 2 5 4 3" xfId="17517"/>
    <cellStyle name="Heading 1 2 3 2 2 2 5 5" xfId="17518"/>
    <cellStyle name="Heading 1 2 3 2 2 2 5 5 2" xfId="17519"/>
    <cellStyle name="Heading 1 2 3 2 2 2 5 5 2 2" xfId="17520"/>
    <cellStyle name="Heading 1 2 3 2 2 2 5 5 3" xfId="17521"/>
    <cellStyle name="Heading 1 2 3 2 2 2 5 6" xfId="17522"/>
    <cellStyle name="Heading 1 2 3 2 2 2 5 6 2" xfId="17523"/>
    <cellStyle name="Heading 1 2 3 2 2 2 5 6 2 2" xfId="17524"/>
    <cellStyle name="Heading 1 2 3 2 2 2 5 6 3" xfId="17525"/>
    <cellStyle name="Heading 1 2 3 2 2 2 5 7" xfId="17526"/>
    <cellStyle name="Heading 1 2 3 2 2 2 5 7 2" xfId="17527"/>
    <cellStyle name="Heading 1 2 3 2 2 2 5 7 2 2" xfId="17528"/>
    <cellStyle name="Heading 1 2 3 2 2 2 5 7 3" xfId="17529"/>
    <cellStyle name="Heading 1 2 3 2 2 2 5 8" xfId="17530"/>
    <cellStyle name="Heading 1 2 3 2 2 2 5 8 2" xfId="17531"/>
    <cellStyle name="Heading 1 2 3 2 2 2 5 9" xfId="17532"/>
    <cellStyle name="Heading 1 2 3 2 2 2 6" xfId="17533"/>
    <cellStyle name="Heading 1 2 3 2 2 2 6 2" xfId="17534"/>
    <cellStyle name="Heading 1 2 3 2 2 2 6 2 2" xfId="17535"/>
    <cellStyle name="Heading 1 2 3 2 2 2 6 2 2 2" xfId="17536"/>
    <cellStyle name="Heading 1 2 3 2 2 2 6 2 3" xfId="17537"/>
    <cellStyle name="Heading 1 2 3 2 2 2 6 3" xfId="17538"/>
    <cellStyle name="Heading 1 2 3 2 2 2 6 3 2" xfId="17539"/>
    <cellStyle name="Heading 1 2 3 2 2 2 6 3 2 2" xfId="17540"/>
    <cellStyle name="Heading 1 2 3 2 2 2 6 3 3" xfId="17541"/>
    <cellStyle name="Heading 1 2 3 2 2 2 6 4" xfId="17542"/>
    <cellStyle name="Heading 1 2 3 2 2 2 6 4 2" xfId="17543"/>
    <cellStyle name="Heading 1 2 3 2 2 2 6 4 2 2" xfId="17544"/>
    <cellStyle name="Heading 1 2 3 2 2 2 6 4 3" xfId="17545"/>
    <cellStyle name="Heading 1 2 3 2 2 2 6 5" xfId="17546"/>
    <cellStyle name="Heading 1 2 3 2 2 2 6 5 2" xfId="17547"/>
    <cellStyle name="Heading 1 2 3 2 2 2 6 5 2 2" xfId="17548"/>
    <cellStyle name="Heading 1 2 3 2 2 2 6 5 3" xfId="17549"/>
    <cellStyle name="Heading 1 2 3 2 2 2 6 6" xfId="17550"/>
    <cellStyle name="Heading 1 2 3 2 2 2 6 6 2" xfId="17551"/>
    <cellStyle name="Heading 1 2 3 2 2 2 6 6 2 2" xfId="17552"/>
    <cellStyle name="Heading 1 2 3 2 2 2 6 6 3" xfId="17553"/>
    <cellStyle name="Heading 1 2 3 2 2 2 6 7" xfId="17554"/>
    <cellStyle name="Heading 1 2 3 2 2 2 6 7 2" xfId="17555"/>
    <cellStyle name="Heading 1 2 3 2 2 2 6 7 2 2" xfId="17556"/>
    <cellStyle name="Heading 1 2 3 2 2 2 6 7 3" xfId="17557"/>
    <cellStyle name="Heading 1 2 3 2 2 2 6 8" xfId="17558"/>
    <cellStyle name="Heading 1 2 3 2 2 2 6 8 2" xfId="17559"/>
    <cellStyle name="Heading 1 2 3 2 2 2 6 9" xfId="17560"/>
    <cellStyle name="Heading 1 2 3 2 2 2 7" xfId="17561"/>
    <cellStyle name="Heading 1 2 3 2 2 2 7 2" xfId="17562"/>
    <cellStyle name="Heading 1 2 3 2 2 2 7 2 2" xfId="17563"/>
    <cellStyle name="Heading 1 2 3 2 2 2 7 2 2 2" xfId="17564"/>
    <cellStyle name="Heading 1 2 3 2 2 2 7 2 3" xfId="17565"/>
    <cellStyle name="Heading 1 2 3 2 2 2 7 3" xfId="17566"/>
    <cellStyle name="Heading 1 2 3 2 2 2 7 3 2" xfId="17567"/>
    <cellStyle name="Heading 1 2 3 2 2 2 7 3 2 2" xfId="17568"/>
    <cellStyle name="Heading 1 2 3 2 2 2 7 3 3" xfId="17569"/>
    <cellStyle name="Heading 1 2 3 2 2 2 7 4" xfId="17570"/>
    <cellStyle name="Heading 1 2 3 2 2 2 7 4 2" xfId="17571"/>
    <cellStyle name="Heading 1 2 3 2 2 2 7 4 2 2" xfId="17572"/>
    <cellStyle name="Heading 1 2 3 2 2 2 7 4 3" xfId="17573"/>
    <cellStyle name="Heading 1 2 3 2 2 2 7 5" xfId="17574"/>
    <cellStyle name="Heading 1 2 3 2 2 2 7 5 2" xfId="17575"/>
    <cellStyle name="Heading 1 2 3 2 2 2 7 5 2 2" xfId="17576"/>
    <cellStyle name="Heading 1 2 3 2 2 2 7 5 3" xfId="17577"/>
    <cellStyle name="Heading 1 2 3 2 2 2 7 6" xfId="17578"/>
    <cellStyle name="Heading 1 2 3 2 2 2 7 6 2" xfId="17579"/>
    <cellStyle name="Heading 1 2 3 2 2 2 7 6 2 2" xfId="17580"/>
    <cellStyle name="Heading 1 2 3 2 2 2 7 6 3" xfId="17581"/>
    <cellStyle name="Heading 1 2 3 2 2 2 7 7" xfId="17582"/>
    <cellStyle name="Heading 1 2 3 2 2 2 7 7 2" xfId="17583"/>
    <cellStyle name="Heading 1 2 3 2 2 2 7 7 2 2" xfId="17584"/>
    <cellStyle name="Heading 1 2 3 2 2 2 7 7 3" xfId="17585"/>
    <cellStyle name="Heading 1 2 3 2 2 2 7 8" xfId="17586"/>
    <cellStyle name="Heading 1 2 3 2 2 2 7 8 2" xfId="17587"/>
    <cellStyle name="Heading 1 2 3 2 2 2 7 9" xfId="17588"/>
    <cellStyle name="Heading 1 2 3 2 2 2 8" xfId="17589"/>
    <cellStyle name="Heading 1 2 3 2 2 2 8 2" xfId="17590"/>
    <cellStyle name="Heading 1 2 3 2 2 2 8 2 2" xfId="17591"/>
    <cellStyle name="Heading 1 2 3 2 2 2 8 2 2 2" xfId="17592"/>
    <cellStyle name="Heading 1 2 3 2 2 2 8 2 3" xfId="17593"/>
    <cellStyle name="Heading 1 2 3 2 2 2 8 3" xfId="17594"/>
    <cellStyle name="Heading 1 2 3 2 2 2 8 3 2" xfId="17595"/>
    <cellStyle name="Heading 1 2 3 2 2 2 8 3 2 2" xfId="17596"/>
    <cellStyle name="Heading 1 2 3 2 2 2 8 3 3" xfId="17597"/>
    <cellStyle name="Heading 1 2 3 2 2 2 8 4" xfId="17598"/>
    <cellStyle name="Heading 1 2 3 2 2 2 8 4 2" xfId="17599"/>
    <cellStyle name="Heading 1 2 3 2 2 2 8 4 2 2" xfId="17600"/>
    <cellStyle name="Heading 1 2 3 2 2 2 8 4 3" xfId="17601"/>
    <cellStyle name="Heading 1 2 3 2 2 2 8 5" xfId="17602"/>
    <cellStyle name="Heading 1 2 3 2 2 2 8 5 2" xfId="17603"/>
    <cellStyle name="Heading 1 2 3 2 2 2 8 5 2 2" xfId="17604"/>
    <cellStyle name="Heading 1 2 3 2 2 2 8 5 3" xfId="17605"/>
    <cellStyle name="Heading 1 2 3 2 2 2 8 6" xfId="17606"/>
    <cellStyle name="Heading 1 2 3 2 2 2 8 6 2" xfId="17607"/>
    <cellStyle name="Heading 1 2 3 2 2 2 8 6 2 2" xfId="17608"/>
    <cellStyle name="Heading 1 2 3 2 2 2 8 6 3" xfId="17609"/>
    <cellStyle name="Heading 1 2 3 2 2 2 8 7" xfId="17610"/>
    <cellStyle name="Heading 1 2 3 2 2 2 8 7 2" xfId="17611"/>
    <cellStyle name="Heading 1 2 3 2 2 2 8 7 2 2" xfId="17612"/>
    <cellStyle name="Heading 1 2 3 2 2 2 8 7 3" xfId="17613"/>
    <cellStyle name="Heading 1 2 3 2 2 2 8 8" xfId="17614"/>
    <cellStyle name="Heading 1 2 3 2 2 2 8 8 2" xfId="17615"/>
    <cellStyle name="Heading 1 2 3 2 2 2 8 9" xfId="17616"/>
    <cellStyle name="Heading 1 2 3 2 2 2 9" xfId="17617"/>
    <cellStyle name="Heading 1 2 3 2 2 2 9 2" xfId="17618"/>
    <cellStyle name="Heading 1 2 3 2 2 2 9 2 2" xfId="17619"/>
    <cellStyle name="Heading 1 2 3 2 2 2 9 3" xfId="17620"/>
    <cellStyle name="Heading 1 2 3 2 2 20" xfId="17621"/>
    <cellStyle name="Heading 1 2 3 2 2 20 2" xfId="17622"/>
    <cellStyle name="Heading 1 2 3 2 2 21" xfId="17623"/>
    <cellStyle name="Heading 1 2 3 2 2 21 2" xfId="17624"/>
    <cellStyle name="Heading 1 2 3 2 2 22" xfId="17625"/>
    <cellStyle name="Heading 1 2 3 2 2 22 2" xfId="17626"/>
    <cellStyle name="Heading 1 2 3 2 2 23" xfId="17627"/>
    <cellStyle name="Heading 1 2 3 2 2 3" xfId="17628"/>
    <cellStyle name="Heading 1 2 3 2 2 3 2" xfId="17629"/>
    <cellStyle name="Heading 1 2 3 2 2 3 2 2" xfId="17630"/>
    <cellStyle name="Heading 1 2 3 2 2 3 2 2 2" xfId="17631"/>
    <cellStyle name="Heading 1 2 3 2 2 3 2 3" xfId="17632"/>
    <cellStyle name="Heading 1 2 3 2 2 3 3" xfId="17633"/>
    <cellStyle name="Heading 1 2 3 2 2 3 3 2" xfId="17634"/>
    <cellStyle name="Heading 1 2 3 2 2 3 3 2 2" xfId="17635"/>
    <cellStyle name="Heading 1 2 3 2 2 3 3 3" xfId="17636"/>
    <cellStyle name="Heading 1 2 3 2 2 3 4" xfId="17637"/>
    <cellStyle name="Heading 1 2 3 2 2 3 4 2" xfId="17638"/>
    <cellStyle name="Heading 1 2 3 2 2 3 4 2 2" xfId="17639"/>
    <cellStyle name="Heading 1 2 3 2 2 3 4 3" xfId="17640"/>
    <cellStyle name="Heading 1 2 3 2 2 3 5" xfId="17641"/>
    <cellStyle name="Heading 1 2 3 2 2 3 5 2" xfId="17642"/>
    <cellStyle name="Heading 1 2 3 2 2 3 5 2 2" xfId="17643"/>
    <cellStyle name="Heading 1 2 3 2 2 3 5 3" xfId="17644"/>
    <cellStyle name="Heading 1 2 3 2 2 3 6" xfId="17645"/>
    <cellStyle name="Heading 1 2 3 2 2 3 6 2" xfId="17646"/>
    <cellStyle name="Heading 1 2 3 2 2 3 6 2 2" xfId="17647"/>
    <cellStyle name="Heading 1 2 3 2 2 3 6 3" xfId="17648"/>
    <cellStyle name="Heading 1 2 3 2 2 3 7" xfId="17649"/>
    <cellStyle name="Heading 1 2 3 2 2 3 7 2" xfId="17650"/>
    <cellStyle name="Heading 1 2 3 2 2 3 7 2 2" xfId="17651"/>
    <cellStyle name="Heading 1 2 3 2 2 3 7 3" xfId="17652"/>
    <cellStyle name="Heading 1 2 3 2 2 3 8" xfId="17653"/>
    <cellStyle name="Heading 1 2 3 2 2 3 8 2" xfId="17654"/>
    <cellStyle name="Heading 1 2 3 2 2 3 9" xfId="17655"/>
    <cellStyle name="Heading 1 2 3 2 2 4" xfId="17656"/>
    <cellStyle name="Heading 1 2 3 2 2 4 2" xfId="17657"/>
    <cellStyle name="Heading 1 2 3 2 2 4 2 2" xfId="17658"/>
    <cellStyle name="Heading 1 2 3 2 2 4 2 2 2" xfId="17659"/>
    <cellStyle name="Heading 1 2 3 2 2 4 2 3" xfId="17660"/>
    <cellStyle name="Heading 1 2 3 2 2 4 3" xfId="17661"/>
    <cellStyle name="Heading 1 2 3 2 2 4 3 2" xfId="17662"/>
    <cellStyle name="Heading 1 2 3 2 2 4 3 2 2" xfId="17663"/>
    <cellStyle name="Heading 1 2 3 2 2 4 3 3" xfId="17664"/>
    <cellStyle name="Heading 1 2 3 2 2 4 4" xfId="17665"/>
    <cellStyle name="Heading 1 2 3 2 2 4 4 2" xfId="17666"/>
    <cellStyle name="Heading 1 2 3 2 2 4 4 2 2" xfId="17667"/>
    <cellStyle name="Heading 1 2 3 2 2 4 4 3" xfId="17668"/>
    <cellStyle name="Heading 1 2 3 2 2 4 5" xfId="17669"/>
    <cellStyle name="Heading 1 2 3 2 2 4 5 2" xfId="17670"/>
    <cellStyle name="Heading 1 2 3 2 2 4 5 2 2" xfId="17671"/>
    <cellStyle name="Heading 1 2 3 2 2 4 5 3" xfId="17672"/>
    <cellStyle name="Heading 1 2 3 2 2 4 6" xfId="17673"/>
    <cellStyle name="Heading 1 2 3 2 2 4 6 2" xfId="17674"/>
    <cellStyle name="Heading 1 2 3 2 2 4 6 2 2" xfId="17675"/>
    <cellStyle name="Heading 1 2 3 2 2 4 6 3" xfId="17676"/>
    <cellStyle name="Heading 1 2 3 2 2 4 7" xfId="17677"/>
    <cellStyle name="Heading 1 2 3 2 2 4 7 2" xfId="17678"/>
    <cellStyle name="Heading 1 2 3 2 2 4 7 2 2" xfId="17679"/>
    <cellStyle name="Heading 1 2 3 2 2 4 7 3" xfId="17680"/>
    <cellStyle name="Heading 1 2 3 2 2 4 8" xfId="17681"/>
    <cellStyle name="Heading 1 2 3 2 2 4 8 2" xfId="17682"/>
    <cellStyle name="Heading 1 2 3 2 2 4 9" xfId="17683"/>
    <cellStyle name="Heading 1 2 3 2 2 5" xfId="17684"/>
    <cellStyle name="Heading 1 2 3 2 2 5 2" xfId="17685"/>
    <cellStyle name="Heading 1 2 3 2 2 5 2 2" xfId="17686"/>
    <cellStyle name="Heading 1 2 3 2 2 5 2 2 2" xfId="17687"/>
    <cellStyle name="Heading 1 2 3 2 2 5 2 3" xfId="17688"/>
    <cellStyle name="Heading 1 2 3 2 2 5 3" xfId="17689"/>
    <cellStyle name="Heading 1 2 3 2 2 5 3 2" xfId="17690"/>
    <cellStyle name="Heading 1 2 3 2 2 5 3 2 2" xfId="17691"/>
    <cellStyle name="Heading 1 2 3 2 2 5 3 3" xfId="17692"/>
    <cellStyle name="Heading 1 2 3 2 2 5 4" xfId="17693"/>
    <cellStyle name="Heading 1 2 3 2 2 5 4 2" xfId="17694"/>
    <cellStyle name="Heading 1 2 3 2 2 5 4 2 2" xfId="17695"/>
    <cellStyle name="Heading 1 2 3 2 2 5 4 3" xfId="17696"/>
    <cellStyle name="Heading 1 2 3 2 2 5 5" xfId="17697"/>
    <cellStyle name="Heading 1 2 3 2 2 5 5 2" xfId="17698"/>
    <cellStyle name="Heading 1 2 3 2 2 5 5 2 2" xfId="17699"/>
    <cellStyle name="Heading 1 2 3 2 2 5 5 3" xfId="17700"/>
    <cellStyle name="Heading 1 2 3 2 2 5 6" xfId="17701"/>
    <cellStyle name="Heading 1 2 3 2 2 5 6 2" xfId="17702"/>
    <cellStyle name="Heading 1 2 3 2 2 5 6 2 2" xfId="17703"/>
    <cellStyle name="Heading 1 2 3 2 2 5 6 3" xfId="17704"/>
    <cellStyle name="Heading 1 2 3 2 2 5 7" xfId="17705"/>
    <cellStyle name="Heading 1 2 3 2 2 5 7 2" xfId="17706"/>
    <cellStyle name="Heading 1 2 3 2 2 5 7 2 2" xfId="17707"/>
    <cellStyle name="Heading 1 2 3 2 2 5 7 3" xfId="17708"/>
    <cellStyle name="Heading 1 2 3 2 2 5 8" xfId="17709"/>
    <cellStyle name="Heading 1 2 3 2 2 5 8 2" xfId="17710"/>
    <cellStyle name="Heading 1 2 3 2 2 5 9" xfId="17711"/>
    <cellStyle name="Heading 1 2 3 2 2 6" xfId="17712"/>
    <cellStyle name="Heading 1 2 3 2 2 6 2" xfId="17713"/>
    <cellStyle name="Heading 1 2 3 2 2 6 2 2" xfId="17714"/>
    <cellStyle name="Heading 1 2 3 2 2 6 2 2 2" xfId="17715"/>
    <cellStyle name="Heading 1 2 3 2 2 6 2 3" xfId="17716"/>
    <cellStyle name="Heading 1 2 3 2 2 6 3" xfId="17717"/>
    <cellStyle name="Heading 1 2 3 2 2 6 3 2" xfId="17718"/>
    <cellStyle name="Heading 1 2 3 2 2 6 3 2 2" xfId="17719"/>
    <cellStyle name="Heading 1 2 3 2 2 6 3 3" xfId="17720"/>
    <cellStyle name="Heading 1 2 3 2 2 6 4" xfId="17721"/>
    <cellStyle name="Heading 1 2 3 2 2 6 4 2" xfId="17722"/>
    <cellStyle name="Heading 1 2 3 2 2 6 4 2 2" xfId="17723"/>
    <cellStyle name="Heading 1 2 3 2 2 6 4 3" xfId="17724"/>
    <cellStyle name="Heading 1 2 3 2 2 6 5" xfId="17725"/>
    <cellStyle name="Heading 1 2 3 2 2 6 5 2" xfId="17726"/>
    <cellStyle name="Heading 1 2 3 2 2 6 5 2 2" xfId="17727"/>
    <cellStyle name="Heading 1 2 3 2 2 6 5 3" xfId="17728"/>
    <cellStyle name="Heading 1 2 3 2 2 6 6" xfId="17729"/>
    <cellStyle name="Heading 1 2 3 2 2 6 6 2" xfId="17730"/>
    <cellStyle name="Heading 1 2 3 2 2 6 6 2 2" xfId="17731"/>
    <cellStyle name="Heading 1 2 3 2 2 6 6 3" xfId="17732"/>
    <cellStyle name="Heading 1 2 3 2 2 6 7" xfId="17733"/>
    <cellStyle name="Heading 1 2 3 2 2 6 7 2" xfId="17734"/>
    <cellStyle name="Heading 1 2 3 2 2 6 7 2 2" xfId="17735"/>
    <cellStyle name="Heading 1 2 3 2 2 6 7 3" xfId="17736"/>
    <cellStyle name="Heading 1 2 3 2 2 6 8" xfId="17737"/>
    <cellStyle name="Heading 1 2 3 2 2 6 8 2" xfId="17738"/>
    <cellStyle name="Heading 1 2 3 2 2 6 9" xfId="17739"/>
    <cellStyle name="Heading 1 2 3 2 2 7" xfId="17740"/>
    <cellStyle name="Heading 1 2 3 2 2 7 2" xfId="17741"/>
    <cellStyle name="Heading 1 2 3 2 2 7 2 2" xfId="17742"/>
    <cellStyle name="Heading 1 2 3 2 2 7 2 2 2" xfId="17743"/>
    <cellStyle name="Heading 1 2 3 2 2 7 2 3" xfId="17744"/>
    <cellStyle name="Heading 1 2 3 2 2 7 3" xfId="17745"/>
    <cellStyle name="Heading 1 2 3 2 2 7 3 2" xfId="17746"/>
    <cellStyle name="Heading 1 2 3 2 2 7 3 2 2" xfId="17747"/>
    <cellStyle name="Heading 1 2 3 2 2 7 3 3" xfId="17748"/>
    <cellStyle name="Heading 1 2 3 2 2 7 4" xfId="17749"/>
    <cellStyle name="Heading 1 2 3 2 2 7 4 2" xfId="17750"/>
    <cellStyle name="Heading 1 2 3 2 2 7 4 2 2" xfId="17751"/>
    <cellStyle name="Heading 1 2 3 2 2 7 4 3" xfId="17752"/>
    <cellStyle name="Heading 1 2 3 2 2 7 5" xfId="17753"/>
    <cellStyle name="Heading 1 2 3 2 2 7 5 2" xfId="17754"/>
    <cellStyle name="Heading 1 2 3 2 2 7 5 2 2" xfId="17755"/>
    <cellStyle name="Heading 1 2 3 2 2 7 5 3" xfId="17756"/>
    <cellStyle name="Heading 1 2 3 2 2 7 6" xfId="17757"/>
    <cellStyle name="Heading 1 2 3 2 2 7 6 2" xfId="17758"/>
    <cellStyle name="Heading 1 2 3 2 2 7 6 2 2" xfId="17759"/>
    <cellStyle name="Heading 1 2 3 2 2 7 6 3" xfId="17760"/>
    <cellStyle name="Heading 1 2 3 2 2 7 7" xfId="17761"/>
    <cellStyle name="Heading 1 2 3 2 2 7 7 2" xfId="17762"/>
    <cellStyle name="Heading 1 2 3 2 2 7 7 2 2" xfId="17763"/>
    <cellStyle name="Heading 1 2 3 2 2 7 7 3" xfId="17764"/>
    <cellStyle name="Heading 1 2 3 2 2 7 8" xfId="17765"/>
    <cellStyle name="Heading 1 2 3 2 2 7 8 2" xfId="17766"/>
    <cellStyle name="Heading 1 2 3 2 2 7 9" xfId="17767"/>
    <cellStyle name="Heading 1 2 3 2 2 8" xfId="17768"/>
    <cellStyle name="Heading 1 2 3 2 2 8 2" xfId="17769"/>
    <cellStyle name="Heading 1 2 3 2 2 8 2 2" xfId="17770"/>
    <cellStyle name="Heading 1 2 3 2 2 8 2 2 2" xfId="17771"/>
    <cellStyle name="Heading 1 2 3 2 2 8 2 3" xfId="17772"/>
    <cellStyle name="Heading 1 2 3 2 2 8 3" xfId="17773"/>
    <cellStyle name="Heading 1 2 3 2 2 8 3 2" xfId="17774"/>
    <cellStyle name="Heading 1 2 3 2 2 8 3 2 2" xfId="17775"/>
    <cellStyle name="Heading 1 2 3 2 2 8 3 3" xfId="17776"/>
    <cellStyle name="Heading 1 2 3 2 2 8 4" xfId="17777"/>
    <cellStyle name="Heading 1 2 3 2 2 8 4 2" xfId="17778"/>
    <cellStyle name="Heading 1 2 3 2 2 8 4 2 2" xfId="17779"/>
    <cellStyle name="Heading 1 2 3 2 2 8 4 3" xfId="17780"/>
    <cellStyle name="Heading 1 2 3 2 2 8 5" xfId="17781"/>
    <cellStyle name="Heading 1 2 3 2 2 8 5 2" xfId="17782"/>
    <cellStyle name="Heading 1 2 3 2 2 8 5 2 2" xfId="17783"/>
    <cellStyle name="Heading 1 2 3 2 2 8 5 3" xfId="17784"/>
    <cellStyle name="Heading 1 2 3 2 2 8 6" xfId="17785"/>
    <cellStyle name="Heading 1 2 3 2 2 8 6 2" xfId="17786"/>
    <cellStyle name="Heading 1 2 3 2 2 8 6 2 2" xfId="17787"/>
    <cellStyle name="Heading 1 2 3 2 2 8 6 3" xfId="17788"/>
    <cellStyle name="Heading 1 2 3 2 2 8 7" xfId="17789"/>
    <cellStyle name="Heading 1 2 3 2 2 8 7 2" xfId="17790"/>
    <cellStyle name="Heading 1 2 3 2 2 8 7 2 2" xfId="17791"/>
    <cellStyle name="Heading 1 2 3 2 2 8 7 3" xfId="17792"/>
    <cellStyle name="Heading 1 2 3 2 2 8 8" xfId="17793"/>
    <cellStyle name="Heading 1 2 3 2 2 8 8 2" xfId="17794"/>
    <cellStyle name="Heading 1 2 3 2 2 8 9" xfId="17795"/>
    <cellStyle name="Heading 1 2 3 2 2 9" xfId="17796"/>
    <cellStyle name="Heading 1 2 3 2 2 9 2" xfId="17797"/>
    <cellStyle name="Heading 1 2 3 2 2 9 2 2" xfId="17798"/>
    <cellStyle name="Heading 1 2 3 2 2 9 2 2 2" xfId="17799"/>
    <cellStyle name="Heading 1 2 3 2 2 9 2 3" xfId="17800"/>
    <cellStyle name="Heading 1 2 3 2 2 9 3" xfId="17801"/>
    <cellStyle name="Heading 1 2 3 2 2 9 3 2" xfId="17802"/>
    <cellStyle name="Heading 1 2 3 2 2 9 3 2 2" xfId="17803"/>
    <cellStyle name="Heading 1 2 3 2 2 9 3 3" xfId="17804"/>
    <cellStyle name="Heading 1 2 3 2 2 9 4" xfId="17805"/>
    <cellStyle name="Heading 1 2 3 2 2 9 4 2" xfId="17806"/>
    <cellStyle name="Heading 1 2 3 2 2 9 4 2 2" xfId="17807"/>
    <cellStyle name="Heading 1 2 3 2 2 9 4 3" xfId="17808"/>
    <cellStyle name="Heading 1 2 3 2 2 9 5" xfId="17809"/>
    <cellStyle name="Heading 1 2 3 2 2 9 5 2" xfId="17810"/>
    <cellStyle name="Heading 1 2 3 2 2 9 5 2 2" xfId="17811"/>
    <cellStyle name="Heading 1 2 3 2 2 9 5 3" xfId="17812"/>
    <cellStyle name="Heading 1 2 3 2 2 9 6" xfId="17813"/>
    <cellStyle name="Heading 1 2 3 2 2 9 6 2" xfId="17814"/>
    <cellStyle name="Heading 1 2 3 2 2 9 6 2 2" xfId="17815"/>
    <cellStyle name="Heading 1 2 3 2 2 9 6 3" xfId="17816"/>
    <cellStyle name="Heading 1 2 3 2 2 9 7" xfId="17817"/>
    <cellStyle name="Heading 1 2 3 2 2 9 7 2" xfId="17818"/>
    <cellStyle name="Heading 1 2 3 2 2 9 7 2 2" xfId="17819"/>
    <cellStyle name="Heading 1 2 3 2 2 9 7 3" xfId="17820"/>
    <cellStyle name="Heading 1 2 3 2 2 9 8" xfId="17821"/>
    <cellStyle name="Heading 1 2 3 2 2 9 8 2" xfId="17822"/>
    <cellStyle name="Heading 1 2 3 2 2 9 9" xfId="17823"/>
    <cellStyle name="Heading 1 2 3 2 3" xfId="17824"/>
    <cellStyle name="Heading 1 2 3 2 3 10" xfId="17825"/>
    <cellStyle name="Heading 1 2 3 2 3 10 2" xfId="17826"/>
    <cellStyle name="Heading 1 2 3 2 3 10 2 2" xfId="17827"/>
    <cellStyle name="Heading 1 2 3 2 3 10 3" xfId="17828"/>
    <cellStyle name="Heading 1 2 3 2 3 11" xfId="17829"/>
    <cellStyle name="Heading 1 2 3 2 3 11 2" xfId="17830"/>
    <cellStyle name="Heading 1 2 3 2 3 11 2 2" xfId="17831"/>
    <cellStyle name="Heading 1 2 3 2 3 11 3" xfId="17832"/>
    <cellStyle name="Heading 1 2 3 2 3 12" xfId="17833"/>
    <cellStyle name="Heading 1 2 3 2 3 12 2" xfId="17834"/>
    <cellStyle name="Heading 1 2 3 2 3 12 2 2" xfId="17835"/>
    <cellStyle name="Heading 1 2 3 2 3 12 3" xfId="17836"/>
    <cellStyle name="Heading 1 2 3 2 3 13" xfId="17837"/>
    <cellStyle name="Heading 1 2 3 2 3 13 2" xfId="17838"/>
    <cellStyle name="Heading 1 2 3 2 3 13 2 2" xfId="17839"/>
    <cellStyle name="Heading 1 2 3 2 3 13 3" xfId="17840"/>
    <cellStyle name="Heading 1 2 3 2 3 14" xfId="17841"/>
    <cellStyle name="Heading 1 2 3 2 3 14 2" xfId="17842"/>
    <cellStyle name="Heading 1 2 3 2 3 14 2 2" xfId="17843"/>
    <cellStyle name="Heading 1 2 3 2 3 14 3" xfId="17844"/>
    <cellStyle name="Heading 1 2 3 2 3 15" xfId="17845"/>
    <cellStyle name="Heading 1 2 3 2 3 15 2" xfId="17846"/>
    <cellStyle name="Heading 1 2 3 2 3 15 2 2" xfId="17847"/>
    <cellStyle name="Heading 1 2 3 2 3 15 3" xfId="17848"/>
    <cellStyle name="Heading 1 2 3 2 3 16" xfId="17849"/>
    <cellStyle name="Heading 1 2 3 2 3 16 2" xfId="17850"/>
    <cellStyle name="Heading 1 2 3 2 3 16 2 2" xfId="17851"/>
    <cellStyle name="Heading 1 2 3 2 3 16 3" xfId="17852"/>
    <cellStyle name="Heading 1 2 3 2 3 17" xfId="17853"/>
    <cellStyle name="Heading 1 2 3 2 3 17 2" xfId="17854"/>
    <cellStyle name="Heading 1 2 3 2 3 17 2 2" xfId="17855"/>
    <cellStyle name="Heading 1 2 3 2 3 17 3" xfId="17856"/>
    <cellStyle name="Heading 1 2 3 2 3 18" xfId="17857"/>
    <cellStyle name="Heading 1 2 3 2 3 18 2" xfId="17858"/>
    <cellStyle name="Heading 1 2 3 2 3 18 2 2" xfId="17859"/>
    <cellStyle name="Heading 1 2 3 2 3 18 3" xfId="17860"/>
    <cellStyle name="Heading 1 2 3 2 3 19" xfId="17861"/>
    <cellStyle name="Heading 1 2 3 2 3 19 2" xfId="17862"/>
    <cellStyle name="Heading 1 2 3 2 3 2" xfId="17863"/>
    <cellStyle name="Heading 1 2 3 2 3 2 2" xfId="17864"/>
    <cellStyle name="Heading 1 2 3 2 3 2 2 2" xfId="17865"/>
    <cellStyle name="Heading 1 2 3 2 3 2 2 2 2" xfId="17866"/>
    <cellStyle name="Heading 1 2 3 2 3 2 2 3" xfId="17867"/>
    <cellStyle name="Heading 1 2 3 2 3 2 3" xfId="17868"/>
    <cellStyle name="Heading 1 2 3 2 3 2 3 2" xfId="17869"/>
    <cellStyle name="Heading 1 2 3 2 3 2 3 2 2" xfId="17870"/>
    <cellStyle name="Heading 1 2 3 2 3 2 3 3" xfId="17871"/>
    <cellStyle name="Heading 1 2 3 2 3 2 4" xfId="17872"/>
    <cellStyle name="Heading 1 2 3 2 3 2 4 2" xfId="17873"/>
    <cellStyle name="Heading 1 2 3 2 3 2 4 2 2" xfId="17874"/>
    <cellStyle name="Heading 1 2 3 2 3 2 4 3" xfId="17875"/>
    <cellStyle name="Heading 1 2 3 2 3 2 5" xfId="17876"/>
    <cellStyle name="Heading 1 2 3 2 3 2 5 2" xfId="17877"/>
    <cellStyle name="Heading 1 2 3 2 3 2 5 2 2" xfId="17878"/>
    <cellStyle name="Heading 1 2 3 2 3 2 5 3" xfId="17879"/>
    <cellStyle name="Heading 1 2 3 2 3 2 6" xfId="17880"/>
    <cellStyle name="Heading 1 2 3 2 3 2 6 2" xfId="17881"/>
    <cellStyle name="Heading 1 2 3 2 3 2 6 2 2" xfId="17882"/>
    <cellStyle name="Heading 1 2 3 2 3 2 6 3" xfId="17883"/>
    <cellStyle name="Heading 1 2 3 2 3 2 7" xfId="17884"/>
    <cellStyle name="Heading 1 2 3 2 3 2 7 2" xfId="17885"/>
    <cellStyle name="Heading 1 2 3 2 3 2 7 2 2" xfId="17886"/>
    <cellStyle name="Heading 1 2 3 2 3 2 7 3" xfId="17887"/>
    <cellStyle name="Heading 1 2 3 2 3 2 8" xfId="17888"/>
    <cellStyle name="Heading 1 2 3 2 3 2 8 2" xfId="17889"/>
    <cellStyle name="Heading 1 2 3 2 3 2 9" xfId="17890"/>
    <cellStyle name="Heading 1 2 3 2 3 20" xfId="17891"/>
    <cellStyle name="Heading 1 2 3 2 3 20 2" xfId="17892"/>
    <cellStyle name="Heading 1 2 3 2 3 21" xfId="17893"/>
    <cellStyle name="Heading 1 2 3 2 3 21 2" xfId="17894"/>
    <cellStyle name="Heading 1 2 3 2 3 22" xfId="17895"/>
    <cellStyle name="Heading 1 2 3 2 3 3" xfId="17896"/>
    <cellStyle name="Heading 1 2 3 2 3 3 2" xfId="17897"/>
    <cellStyle name="Heading 1 2 3 2 3 3 2 2" xfId="17898"/>
    <cellStyle name="Heading 1 2 3 2 3 3 2 2 2" xfId="17899"/>
    <cellStyle name="Heading 1 2 3 2 3 3 2 3" xfId="17900"/>
    <cellStyle name="Heading 1 2 3 2 3 3 3" xfId="17901"/>
    <cellStyle name="Heading 1 2 3 2 3 3 3 2" xfId="17902"/>
    <cellStyle name="Heading 1 2 3 2 3 3 3 2 2" xfId="17903"/>
    <cellStyle name="Heading 1 2 3 2 3 3 3 3" xfId="17904"/>
    <cellStyle name="Heading 1 2 3 2 3 3 4" xfId="17905"/>
    <cellStyle name="Heading 1 2 3 2 3 3 4 2" xfId="17906"/>
    <cellStyle name="Heading 1 2 3 2 3 3 4 2 2" xfId="17907"/>
    <cellStyle name="Heading 1 2 3 2 3 3 4 3" xfId="17908"/>
    <cellStyle name="Heading 1 2 3 2 3 3 5" xfId="17909"/>
    <cellStyle name="Heading 1 2 3 2 3 3 5 2" xfId="17910"/>
    <cellStyle name="Heading 1 2 3 2 3 3 5 2 2" xfId="17911"/>
    <cellStyle name="Heading 1 2 3 2 3 3 5 3" xfId="17912"/>
    <cellStyle name="Heading 1 2 3 2 3 3 6" xfId="17913"/>
    <cellStyle name="Heading 1 2 3 2 3 3 6 2" xfId="17914"/>
    <cellStyle name="Heading 1 2 3 2 3 3 6 2 2" xfId="17915"/>
    <cellStyle name="Heading 1 2 3 2 3 3 6 3" xfId="17916"/>
    <cellStyle name="Heading 1 2 3 2 3 3 7" xfId="17917"/>
    <cellStyle name="Heading 1 2 3 2 3 3 7 2" xfId="17918"/>
    <cellStyle name="Heading 1 2 3 2 3 3 7 2 2" xfId="17919"/>
    <cellStyle name="Heading 1 2 3 2 3 3 7 3" xfId="17920"/>
    <cellStyle name="Heading 1 2 3 2 3 3 8" xfId="17921"/>
    <cellStyle name="Heading 1 2 3 2 3 3 8 2" xfId="17922"/>
    <cellStyle name="Heading 1 2 3 2 3 3 9" xfId="17923"/>
    <cellStyle name="Heading 1 2 3 2 3 4" xfId="17924"/>
    <cellStyle name="Heading 1 2 3 2 3 4 2" xfId="17925"/>
    <cellStyle name="Heading 1 2 3 2 3 4 2 2" xfId="17926"/>
    <cellStyle name="Heading 1 2 3 2 3 4 2 2 2" xfId="17927"/>
    <cellStyle name="Heading 1 2 3 2 3 4 2 3" xfId="17928"/>
    <cellStyle name="Heading 1 2 3 2 3 4 3" xfId="17929"/>
    <cellStyle name="Heading 1 2 3 2 3 4 3 2" xfId="17930"/>
    <cellStyle name="Heading 1 2 3 2 3 4 3 2 2" xfId="17931"/>
    <cellStyle name="Heading 1 2 3 2 3 4 3 3" xfId="17932"/>
    <cellStyle name="Heading 1 2 3 2 3 4 4" xfId="17933"/>
    <cellStyle name="Heading 1 2 3 2 3 4 4 2" xfId="17934"/>
    <cellStyle name="Heading 1 2 3 2 3 4 4 2 2" xfId="17935"/>
    <cellStyle name="Heading 1 2 3 2 3 4 4 3" xfId="17936"/>
    <cellStyle name="Heading 1 2 3 2 3 4 5" xfId="17937"/>
    <cellStyle name="Heading 1 2 3 2 3 4 5 2" xfId="17938"/>
    <cellStyle name="Heading 1 2 3 2 3 4 5 2 2" xfId="17939"/>
    <cellStyle name="Heading 1 2 3 2 3 4 5 3" xfId="17940"/>
    <cellStyle name="Heading 1 2 3 2 3 4 6" xfId="17941"/>
    <cellStyle name="Heading 1 2 3 2 3 4 6 2" xfId="17942"/>
    <cellStyle name="Heading 1 2 3 2 3 4 6 2 2" xfId="17943"/>
    <cellStyle name="Heading 1 2 3 2 3 4 6 3" xfId="17944"/>
    <cellStyle name="Heading 1 2 3 2 3 4 7" xfId="17945"/>
    <cellStyle name="Heading 1 2 3 2 3 4 7 2" xfId="17946"/>
    <cellStyle name="Heading 1 2 3 2 3 4 7 2 2" xfId="17947"/>
    <cellStyle name="Heading 1 2 3 2 3 4 7 3" xfId="17948"/>
    <cellStyle name="Heading 1 2 3 2 3 4 8" xfId="17949"/>
    <cellStyle name="Heading 1 2 3 2 3 4 8 2" xfId="17950"/>
    <cellStyle name="Heading 1 2 3 2 3 4 9" xfId="17951"/>
    <cellStyle name="Heading 1 2 3 2 3 5" xfId="17952"/>
    <cellStyle name="Heading 1 2 3 2 3 5 2" xfId="17953"/>
    <cellStyle name="Heading 1 2 3 2 3 5 2 2" xfId="17954"/>
    <cellStyle name="Heading 1 2 3 2 3 5 2 2 2" xfId="17955"/>
    <cellStyle name="Heading 1 2 3 2 3 5 2 3" xfId="17956"/>
    <cellStyle name="Heading 1 2 3 2 3 5 3" xfId="17957"/>
    <cellStyle name="Heading 1 2 3 2 3 5 3 2" xfId="17958"/>
    <cellStyle name="Heading 1 2 3 2 3 5 3 2 2" xfId="17959"/>
    <cellStyle name="Heading 1 2 3 2 3 5 3 3" xfId="17960"/>
    <cellStyle name="Heading 1 2 3 2 3 5 4" xfId="17961"/>
    <cellStyle name="Heading 1 2 3 2 3 5 4 2" xfId="17962"/>
    <cellStyle name="Heading 1 2 3 2 3 5 4 2 2" xfId="17963"/>
    <cellStyle name="Heading 1 2 3 2 3 5 4 3" xfId="17964"/>
    <cellStyle name="Heading 1 2 3 2 3 5 5" xfId="17965"/>
    <cellStyle name="Heading 1 2 3 2 3 5 5 2" xfId="17966"/>
    <cellStyle name="Heading 1 2 3 2 3 5 5 2 2" xfId="17967"/>
    <cellStyle name="Heading 1 2 3 2 3 5 5 3" xfId="17968"/>
    <cellStyle name="Heading 1 2 3 2 3 5 6" xfId="17969"/>
    <cellStyle name="Heading 1 2 3 2 3 5 6 2" xfId="17970"/>
    <cellStyle name="Heading 1 2 3 2 3 5 6 2 2" xfId="17971"/>
    <cellStyle name="Heading 1 2 3 2 3 5 6 3" xfId="17972"/>
    <cellStyle name="Heading 1 2 3 2 3 5 7" xfId="17973"/>
    <cellStyle name="Heading 1 2 3 2 3 5 7 2" xfId="17974"/>
    <cellStyle name="Heading 1 2 3 2 3 5 7 2 2" xfId="17975"/>
    <cellStyle name="Heading 1 2 3 2 3 5 7 3" xfId="17976"/>
    <cellStyle name="Heading 1 2 3 2 3 5 8" xfId="17977"/>
    <cellStyle name="Heading 1 2 3 2 3 5 8 2" xfId="17978"/>
    <cellStyle name="Heading 1 2 3 2 3 5 9" xfId="17979"/>
    <cellStyle name="Heading 1 2 3 2 3 6" xfId="17980"/>
    <cellStyle name="Heading 1 2 3 2 3 6 2" xfId="17981"/>
    <cellStyle name="Heading 1 2 3 2 3 6 2 2" xfId="17982"/>
    <cellStyle name="Heading 1 2 3 2 3 6 2 2 2" xfId="17983"/>
    <cellStyle name="Heading 1 2 3 2 3 6 2 3" xfId="17984"/>
    <cellStyle name="Heading 1 2 3 2 3 6 3" xfId="17985"/>
    <cellStyle name="Heading 1 2 3 2 3 6 3 2" xfId="17986"/>
    <cellStyle name="Heading 1 2 3 2 3 6 3 2 2" xfId="17987"/>
    <cellStyle name="Heading 1 2 3 2 3 6 3 3" xfId="17988"/>
    <cellStyle name="Heading 1 2 3 2 3 6 4" xfId="17989"/>
    <cellStyle name="Heading 1 2 3 2 3 6 4 2" xfId="17990"/>
    <cellStyle name="Heading 1 2 3 2 3 6 4 2 2" xfId="17991"/>
    <cellStyle name="Heading 1 2 3 2 3 6 4 3" xfId="17992"/>
    <cellStyle name="Heading 1 2 3 2 3 6 5" xfId="17993"/>
    <cellStyle name="Heading 1 2 3 2 3 6 5 2" xfId="17994"/>
    <cellStyle name="Heading 1 2 3 2 3 6 5 2 2" xfId="17995"/>
    <cellStyle name="Heading 1 2 3 2 3 6 5 3" xfId="17996"/>
    <cellStyle name="Heading 1 2 3 2 3 6 6" xfId="17997"/>
    <cellStyle name="Heading 1 2 3 2 3 6 6 2" xfId="17998"/>
    <cellStyle name="Heading 1 2 3 2 3 6 6 2 2" xfId="17999"/>
    <cellStyle name="Heading 1 2 3 2 3 6 6 3" xfId="18000"/>
    <cellStyle name="Heading 1 2 3 2 3 6 7" xfId="18001"/>
    <cellStyle name="Heading 1 2 3 2 3 6 7 2" xfId="18002"/>
    <cellStyle name="Heading 1 2 3 2 3 6 7 2 2" xfId="18003"/>
    <cellStyle name="Heading 1 2 3 2 3 6 7 3" xfId="18004"/>
    <cellStyle name="Heading 1 2 3 2 3 6 8" xfId="18005"/>
    <cellStyle name="Heading 1 2 3 2 3 6 8 2" xfId="18006"/>
    <cellStyle name="Heading 1 2 3 2 3 6 9" xfId="18007"/>
    <cellStyle name="Heading 1 2 3 2 3 7" xfId="18008"/>
    <cellStyle name="Heading 1 2 3 2 3 7 2" xfId="18009"/>
    <cellStyle name="Heading 1 2 3 2 3 7 2 2" xfId="18010"/>
    <cellStyle name="Heading 1 2 3 2 3 7 2 2 2" xfId="18011"/>
    <cellStyle name="Heading 1 2 3 2 3 7 2 3" xfId="18012"/>
    <cellStyle name="Heading 1 2 3 2 3 7 3" xfId="18013"/>
    <cellStyle name="Heading 1 2 3 2 3 7 3 2" xfId="18014"/>
    <cellStyle name="Heading 1 2 3 2 3 7 3 2 2" xfId="18015"/>
    <cellStyle name="Heading 1 2 3 2 3 7 3 3" xfId="18016"/>
    <cellStyle name="Heading 1 2 3 2 3 7 4" xfId="18017"/>
    <cellStyle name="Heading 1 2 3 2 3 7 4 2" xfId="18018"/>
    <cellStyle name="Heading 1 2 3 2 3 7 4 2 2" xfId="18019"/>
    <cellStyle name="Heading 1 2 3 2 3 7 4 3" xfId="18020"/>
    <cellStyle name="Heading 1 2 3 2 3 7 5" xfId="18021"/>
    <cellStyle name="Heading 1 2 3 2 3 7 5 2" xfId="18022"/>
    <cellStyle name="Heading 1 2 3 2 3 7 5 2 2" xfId="18023"/>
    <cellStyle name="Heading 1 2 3 2 3 7 5 3" xfId="18024"/>
    <cellStyle name="Heading 1 2 3 2 3 7 6" xfId="18025"/>
    <cellStyle name="Heading 1 2 3 2 3 7 6 2" xfId="18026"/>
    <cellStyle name="Heading 1 2 3 2 3 7 6 2 2" xfId="18027"/>
    <cellStyle name="Heading 1 2 3 2 3 7 6 3" xfId="18028"/>
    <cellStyle name="Heading 1 2 3 2 3 7 7" xfId="18029"/>
    <cellStyle name="Heading 1 2 3 2 3 7 7 2" xfId="18030"/>
    <cellStyle name="Heading 1 2 3 2 3 7 7 2 2" xfId="18031"/>
    <cellStyle name="Heading 1 2 3 2 3 7 7 3" xfId="18032"/>
    <cellStyle name="Heading 1 2 3 2 3 7 8" xfId="18033"/>
    <cellStyle name="Heading 1 2 3 2 3 7 8 2" xfId="18034"/>
    <cellStyle name="Heading 1 2 3 2 3 7 9" xfId="18035"/>
    <cellStyle name="Heading 1 2 3 2 3 8" xfId="18036"/>
    <cellStyle name="Heading 1 2 3 2 3 8 2" xfId="18037"/>
    <cellStyle name="Heading 1 2 3 2 3 8 2 2" xfId="18038"/>
    <cellStyle name="Heading 1 2 3 2 3 8 2 2 2" xfId="18039"/>
    <cellStyle name="Heading 1 2 3 2 3 8 2 3" xfId="18040"/>
    <cellStyle name="Heading 1 2 3 2 3 8 3" xfId="18041"/>
    <cellStyle name="Heading 1 2 3 2 3 8 3 2" xfId="18042"/>
    <cellStyle name="Heading 1 2 3 2 3 8 3 2 2" xfId="18043"/>
    <cellStyle name="Heading 1 2 3 2 3 8 3 3" xfId="18044"/>
    <cellStyle name="Heading 1 2 3 2 3 8 4" xfId="18045"/>
    <cellStyle name="Heading 1 2 3 2 3 8 4 2" xfId="18046"/>
    <cellStyle name="Heading 1 2 3 2 3 8 4 2 2" xfId="18047"/>
    <cellStyle name="Heading 1 2 3 2 3 8 4 3" xfId="18048"/>
    <cellStyle name="Heading 1 2 3 2 3 8 5" xfId="18049"/>
    <cellStyle name="Heading 1 2 3 2 3 8 5 2" xfId="18050"/>
    <cellStyle name="Heading 1 2 3 2 3 8 5 2 2" xfId="18051"/>
    <cellStyle name="Heading 1 2 3 2 3 8 5 3" xfId="18052"/>
    <cellStyle name="Heading 1 2 3 2 3 8 6" xfId="18053"/>
    <cellStyle name="Heading 1 2 3 2 3 8 6 2" xfId="18054"/>
    <cellStyle name="Heading 1 2 3 2 3 8 6 2 2" xfId="18055"/>
    <cellStyle name="Heading 1 2 3 2 3 8 6 3" xfId="18056"/>
    <cellStyle name="Heading 1 2 3 2 3 8 7" xfId="18057"/>
    <cellStyle name="Heading 1 2 3 2 3 8 7 2" xfId="18058"/>
    <cellStyle name="Heading 1 2 3 2 3 8 7 2 2" xfId="18059"/>
    <cellStyle name="Heading 1 2 3 2 3 8 7 3" xfId="18060"/>
    <cellStyle name="Heading 1 2 3 2 3 8 8" xfId="18061"/>
    <cellStyle name="Heading 1 2 3 2 3 8 8 2" xfId="18062"/>
    <cellStyle name="Heading 1 2 3 2 3 8 9" xfId="18063"/>
    <cellStyle name="Heading 1 2 3 2 3 9" xfId="18064"/>
    <cellStyle name="Heading 1 2 3 2 3 9 2" xfId="18065"/>
    <cellStyle name="Heading 1 2 3 2 3 9 2 2" xfId="18066"/>
    <cellStyle name="Heading 1 2 3 2 3 9 3" xfId="18067"/>
    <cellStyle name="Heading 1 2 3 2 4" xfId="18068"/>
    <cellStyle name="Heading 1 2 3 2 4 2" xfId="18069"/>
    <cellStyle name="Heading 1 2 3 2 4 2 2" xfId="18070"/>
    <cellStyle name="Heading 1 2 3 2 4 3" xfId="18071"/>
    <cellStyle name="Heading 1 2 3 2 5" xfId="18072"/>
    <cellStyle name="Heading 1 2 3 2 5 2" xfId="18073"/>
    <cellStyle name="Heading 1 2 3 2 6" xfId="18074"/>
    <cellStyle name="Heading 1 2 3 20" xfId="18075"/>
    <cellStyle name="Heading 1 2 3 3" xfId="18076"/>
    <cellStyle name="Heading 1 2 3 3 2" xfId="18077"/>
    <cellStyle name="Heading 1 2 3 3 2 10" xfId="18078"/>
    <cellStyle name="Heading 1 2 3 3 2 10 2" xfId="18079"/>
    <cellStyle name="Heading 1 2 3 3 2 10 2 2" xfId="18080"/>
    <cellStyle name="Heading 1 2 3 3 2 10 3" xfId="18081"/>
    <cellStyle name="Heading 1 2 3 3 2 11" xfId="18082"/>
    <cellStyle name="Heading 1 2 3 3 2 11 2" xfId="18083"/>
    <cellStyle name="Heading 1 2 3 3 2 11 2 2" xfId="18084"/>
    <cellStyle name="Heading 1 2 3 3 2 11 3" xfId="18085"/>
    <cellStyle name="Heading 1 2 3 3 2 12" xfId="18086"/>
    <cellStyle name="Heading 1 2 3 3 2 12 2" xfId="18087"/>
    <cellStyle name="Heading 1 2 3 3 2 12 2 2" xfId="18088"/>
    <cellStyle name="Heading 1 2 3 3 2 12 3" xfId="18089"/>
    <cellStyle name="Heading 1 2 3 3 2 13" xfId="18090"/>
    <cellStyle name="Heading 1 2 3 3 2 13 2" xfId="18091"/>
    <cellStyle name="Heading 1 2 3 3 2 13 2 2" xfId="18092"/>
    <cellStyle name="Heading 1 2 3 3 2 13 3" xfId="18093"/>
    <cellStyle name="Heading 1 2 3 3 2 14" xfId="18094"/>
    <cellStyle name="Heading 1 2 3 3 2 14 2" xfId="18095"/>
    <cellStyle name="Heading 1 2 3 3 2 14 2 2" xfId="18096"/>
    <cellStyle name="Heading 1 2 3 3 2 14 3" xfId="18097"/>
    <cellStyle name="Heading 1 2 3 3 2 15" xfId="18098"/>
    <cellStyle name="Heading 1 2 3 3 2 15 2" xfId="18099"/>
    <cellStyle name="Heading 1 2 3 3 2 15 2 2" xfId="18100"/>
    <cellStyle name="Heading 1 2 3 3 2 15 3" xfId="18101"/>
    <cellStyle name="Heading 1 2 3 3 2 16" xfId="18102"/>
    <cellStyle name="Heading 1 2 3 3 2 16 2" xfId="18103"/>
    <cellStyle name="Heading 1 2 3 3 2 16 2 2" xfId="18104"/>
    <cellStyle name="Heading 1 2 3 3 2 16 3" xfId="18105"/>
    <cellStyle name="Heading 1 2 3 3 2 17" xfId="18106"/>
    <cellStyle name="Heading 1 2 3 3 2 17 2" xfId="18107"/>
    <cellStyle name="Heading 1 2 3 3 2 17 2 2" xfId="18108"/>
    <cellStyle name="Heading 1 2 3 3 2 17 3" xfId="18109"/>
    <cellStyle name="Heading 1 2 3 3 2 18" xfId="18110"/>
    <cellStyle name="Heading 1 2 3 3 2 18 2" xfId="18111"/>
    <cellStyle name="Heading 1 2 3 3 2 18 2 2" xfId="18112"/>
    <cellStyle name="Heading 1 2 3 3 2 18 3" xfId="18113"/>
    <cellStyle name="Heading 1 2 3 3 2 19" xfId="18114"/>
    <cellStyle name="Heading 1 2 3 3 2 19 2" xfId="18115"/>
    <cellStyle name="Heading 1 2 3 3 2 19 2 2" xfId="18116"/>
    <cellStyle name="Heading 1 2 3 3 2 19 3" xfId="18117"/>
    <cellStyle name="Heading 1 2 3 3 2 2" xfId="18118"/>
    <cellStyle name="Heading 1 2 3 3 2 2 10" xfId="18119"/>
    <cellStyle name="Heading 1 2 3 3 2 2 10 2" xfId="18120"/>
    <cellStyle name="Heading 1 2 3 3 2 2 10 2 2" xfId="18121"/>
    <cellStyle name="Heading 1 2 3 3 2 2 10 3" xfId="18122"/>
    <cellStyle name="Heading 1 2 3 3 2 2 11" xfId="18123"/>
    <cellStyle name="Heading 1 2 3 3 2 2 11 2" xfId="18124"/>
    <cellStyle name="Heading 1 2 3 3 2 2 11 2 2" xfId="18125"/>
    <cellStyle name="Heading 1 2 3 3 2 2 11 3" xfId="18126"/>
    <cellStyle name="Heading 1 2 3 3 2 2 12" xfId="18127"/>
    <cellStyle name="Heading 1 2 3 3 2 2 12 2" xfId="18128"/>
    <cellStyle name="Heading 1 2 3 3 2 2 12 2 2" xfId="18129"/>
    <cellStyle name="Heading 1 2 3 3 2 2 12 3" xfId="18130"/>
    <cellStyle name="Heading 1 2 3 3 2 2 13" xfId="18131"/>
    <cellStyle name="Heading 1 2 3 3 2 2 13 2" xfId="18132"/>
    <cellStyle name="Heading 1 2 3 3 2 2 13 2 2" xfId="18133"/>
    <cellStyle name="Heading 1 2 3 3 2 2 13 3" xfId="18134"/>
    <cellStyle name="Heading 1 2 3 3 2 2 14" xfId="18135"/>
    <cellStyle name="Heading 1 2 3 3 2 2 14 2" xfId="18136"/>
    <cellStyle name="Heading 1 2 3 3 2 2 14 2 2" xfId="18137"/>
    <cellStyle name="Heading 1 2 3 3 2 2 14 3" xfId="18138"/>
    <cellStyle name="Heading 1 2 3 3 2 2 15" xfId="18139"/>
    <cellStyle name="Heading 1 2 3 3 2 2 15 2" xfId="18140"/>
    <cellStyle name="Heading 1 2 3 3 2 2 15 2 2" xfId="18141"/>
    <cellStyle name="Heading 1 2 3 3 2 2 15 3" xfId="18142"/>
    <cellStyle name="Heading 1 2 3 3 2 2 16" xfId="18143"/>
    <cellStyle name="Heading 1 2 3 3 2 2 16 2" xfId="18144"/>
    <cellStyle name="Heading 1 2 3 3 2 2 16 2 2" xfId="18145"/>
    <cellStyle name="Heading 1 2 3 3 2 2 16 3" xfId="18146"/>
    <cellStyle name="Heading 1 2 3 3 2 2 17" xfId="18147"/>
    <cellStyle name="Heading 1 2 3 3 2 2 17 2" xfId="18148"/>
    <cellStyle name="Heading 1 2 3 3 2 2 17 2 2" xfId="18149"/>
    <cellStyle name="Heading 1 2 3 3 2 2 17 3" xfId="18150"/>
    <cellStyle name="Heading 1 2 3 3 2 2 18" xfId="18151"/>
    <cellStyle name="Heading 1 2 3 3 2 2 18 2" xfId="18152"/>
    <cellStyle name="Heading 1 2 3 3 2 2 18 2 2" xfId="18153"/>
    <cellStyle name="Heading 1 2 3 3 2 2 18 3" xfId="18154"/>
    <cellStyle name="Heading 1 2 3 3 2 2 19" xfId="18155"/>
    <cellStyle name="Heading 1 2 3 3 2 2 19 2" xfId="18156"/>
    <cellStyle name="Heading 1 2 3 3 2 2 2" xfId="18157"/>
    <cellStyle name="Heading 1 2 3 3 2 2 2 2" xfId="18158"/>
    <cellStyle name="Heading 1 2 3 3 2 2 2 2 2" xfId="18159"/>
    <cellStyle name="Heading 1 2 3 3 2 2 2 2 2 2" xfId="18160"/>
    <cellStyle name="Heading 1 2 3 3 2 2 2 2 3" xfId="18161"/>
    <cellStyle name="Heading 1 2 3 3 2 2 2 3" xfId="18162"/>
    <cellStyle name="Heading 1 2 3 3 2 2 2 3 2" xfId="18163"/>
    <cellStyle name="Heading 1 2 3 3 2 2 2 3 2 2" xfId="18164"/>
    <cellStyle name="Heading 1 2 3 3 2 2 2 3 3" xfId="18165"/>
    <cellStyle name="Heading 1 2 3 3 2 2 2 4" xfId="18166"/>
    <cellStyle name="Heading 1 2 3 3 2 2 2 4 2" xfId="18167"/>
    <cellStyle name="Heading 1 2 3 3 2 2 2 4 2 2" xfId="18168"/>
    <cellStyle name="Heading 1 2 3 3 2 2 2 4 3" xfId="18169"/>
    <cellStyle name="Heading 1 2 3 3 2 2 2 5" xfId="18170"/>
    <cellStyle name="Heading 1 2 3 3 2 2 2 5 2" xfId="18171"/>
    <cellStyle name="Heading 1 2 3 3 2 2 2 5 2 2" xfId="18172"/>
    <cellStyle name="Heading 1 2 3 3 2 2 2 5 3" xfId="18173"/>
    <cellStyle name="Heading 1 2 3 3 2 2 2 6" xfId="18174"/>
    <cellStyle name="Heading 1 2 3 3 2 2 2 6 2" xfId="18175"/>
    <cellStyle name="Heading 1 2 3 3 2 2 2 6 2 2" xfId="18176"/>
    <cellStyle name="Heading 1 2 3 3 2 2 2 6 3" xfId="18177"/>
    <cellStyle name="Heading 1 2 3 3 2 2 2 7" xfId="18178"/>
    <cellStyle name="Heading 1 2 3 3 2 2 2 7 2" xfId="18179"/>
    <cellStyle name="Heading 1 2 3 3 2 2 2 7 2 2" xfId="18180"/>
    <cellStyle name="Heading 1 2 3 3 2 2 2 7 3" xfId="18181"/>
    <cellStyle name="Heading 1 2 3 3 2 2 2 8" xfId="18182"/>
    <cellStyle name="Heading 1 2 3 3 2 2 2 8 2" xfId="18183"/>
    <cellStyle name="Heading 1 2 3 3 2 2 2 9" xfId="18184"/>
    <cellStyle name="Heading 1 2 3 3 2 2 20" xfId="18185"/>
    <cellStyle name="Heading 1 2 3 3 2 2 20 2" xfId="18186"/>
    <cellStyle name="Heading 1 2 3 3 2 2 21" xfId="18187"/>
    <cellStyle name="Heading 1 2 3 3 2 2 21 2" xfId="18188"/>
    <cellStyle name="Heading 1 2 3 3 2 2 22" xfId="18189"/>
    <cellStyle name="Heading 1 2 3 3 2 2 3" xfId="18190"/>
    <cellStyle name="Heading 1 2 3 3 2 2 3 2" xfId="18191"/>
    <cellStyle name="Heading 1 2 3 3 2 2 3 2 2" xfId="18192"/>
    <cellStyle name="Heading 1 2 3 3 2 2 3 2 2 2" xfId="18193"/>
    <cellStyle name="Heading 1 2 3 3 2 2 3 2 3" xfId="18194"/>
    <cellStyle name="Heading 1 2 3 3 2 2 3 3" xfId="18195"/>
    <cellStyle name="Heading 1 2 3 3 2 2 3 3 2" xfId="18196"/>
    <cellStyle name="Heading 1 2 3 3 2 2 3 3 2 2" xfId="18197"/>
    <cellStyle name="Heading 1 2 3 3 2 2 3 3 3" xfId="18198"/>
    <cellStyle name="Heading 1 2 3 3 2 2 3 4" xfId="18199"/>
    <cellStyle name="Heading 1 2 3 3 2 2 3 4 2" xfId="18200"/>
    <cellStyle name="Heading 1 2 3 3 2 2 3 4 2 2" xfId="18201"/>
    <cellStyle name="Heading 1 2 3 3 2 2 3 4 3" xfId="18202"/>
    <cellStyle name="Heading 1 2 3 3 2 2 3 5" xfId="18203"/>
    <cellStyle name="Heading 1 2 3 3 2 2 3 5 2" xfId="18204"/>
    <cellStyle name="Heading 1 2 3 3 2 2 3 5 2 2" xfId="18205"/>
    <cellStyle name="Heading 1 2 3 3 2 2 3 5 3" xfId="18206"/>
    <cellStyle name="Heading 1 2 3 3 2 2 3 6" xfId="18207"/>
    <cellStyle name="Heading 1 2 3 3 2 2 3 6 2" xfId="18208"/>
    <cellStyle name="Heading 1 2 3 3 2 2 3 6 2 2" xfId="18209"/>
    <cellStyle name="Heading 1 2 3 3 2 2 3 6 3" xfId="18210"/>
    <cellStyle name="Heading 1 2 3 3 2 2 3 7" xfId="18211"/>
    <cellStyle name="Heading 1 2 3 3 2 2 3 7 2" xfId="18212"/>
    <cellStyle name="Heading 1 2 3 3 2 2 3 7 2 2" xfId="18213"/>
    <cellStyle name="Heading 1 2 3 3 2 2 3 7 3" xfId="18214"/>
    <cellStyle name="Heading 1 2 3 3 2 2 3 8" xfId="18215"/>
    <cellStyle name="Heading 1 2 3 3 2 2 3 8 2" xfId="18216"/>
    <cellStyle name="Heading 1 2 3 3 2 2 3 9" xfId="18217"/>
    <cellStyle name="Heading 1 2 3 3 2 2 4" xfId="18218"/>
    <cellStyle name="Heading 1 2 3 3 2 2 4 2" xfId="18219"/>
    <cellStyle name="Heading 1 2 3 3 2 2 4 2 2" xfId="18220"/>
    <cellStyle name="Heading 1 2 3 3 2 2 4 2 2 2" xfId="18221"/>
    <cellStyle name="Heading 1 2 3 3 2 2 4 2 3" xfId="18222"/>
    <cellStyle name="Heading 1 2 3 3 2 2 4 3" xfId="18223"/>
    <cellStyle name="Heading 1 2 3 3 2 2 4 3 2" xfId="18224"/>
    <cellStyle name="Heading 1 2 3 3 2 2 4 3 2 2" xfId="18225"/>
    <cellStyle name="Heading 1 2 3 3 2 2 4 3 3" xfId="18226"/>
    <cellStyle name="Heading 1 2 3 3 2 2 4 4" xfId="18227"/>
    <cellStyle name="Heading 1 2 3 3 2 2 4 4 2" xfId="18228"/>
    <cellStyle name="Heading 1 2 3 3 2 2 4 4 2 2" xfId="18229"/>
    <cellStyle name="Heading 1 2 3 3 2 2 4 4 3" xfId="18230"/>
    <cellStyle name="Heading 1 2 3 3 2 2 4 5" xfId="18231"/>
    <cellStyle name="Heading 1 2 3 3 2 2 4 5 2" xfId="18232"/>
    <cellStyle name="Heading 1 2 3 3 2 2 4 5 2 2" xfId="18233"/>
    <cellStyle name="Heading 1 2 3 3 2 2 4 5 3" xfId="18234"/>
    <cellStyle name="Heading 1 2 3 3 2 2 4 6" xfId="18235"/>
    <cellStyle name="Heading 1 2 3 3 2 2 4 6 2" xfId="18236"/>
    <cellStyle name="Heading 1 2 3 3 2 2 4 6 2 2" xfId="18237"/>
    <cellStyle name="Heading 1 2 3 3 2 2 4 6 3" xfId="18238"/>
    <cellStyle name="Heading 1 2 3 3 2 2 4 7" xfId="18239"/>
    <cellStyle name="Heading 1 2 3 3 2 2 4 7 2" xfId="18240"/>
    <cellStyle name="Heading 1 2 3 3 2 2 4 7 2 2" xfId="18241"/>
    <cellStyle name="Heading 1 2 3 3 2 2 4 7 3" xfId="18242"/>
    <cellStyle name="Heading 1 2 3 3 2 2 4 8" xfId="18243"/>
    <cellStyle name="Heading 1 2 3 3 2 2 4 8 2" xfId="18244"/>
    <cellStyle name="Heading 1 2 3 3 2 2 4 9" xfId="18245"/>
    <cellStyle name="Heading 1 2 3 3 2 2 5" xfId="18246"/>
    <cellStyle name="Heading 1 2 3 3 2 2 5 2" xfId="18247"/>
    <cellStyle name="Heading 1 2 3 3 2 2 5 2 2" xfId="18248"/>
    <cellStyle name="Heading 1 2 3 3 2 2 5 2 2 2" xfId="18249"/>
    <cellStyle name="Heading 1 2 3 3 2 2 5 2 3" xfId="18250"/>
    <cellStyle name="Heading 1 2 3 3 2 2 5 3" xfId="18251"/>
    <cellStyle name="Heading 1 2 3 3 2 2 5 3 2" xfId="18252"/>
    <cellStyle name="Heading 1 2 3 3 2 2 5 3 2 2" xfId="18253"/>
    <cellStyle name="Heading 1 2 3 3 2 2 5 3 3" xfId="18254"/>
    <cellStyle name="Heading 1 2 3 3 2 2 5 4" xfId="18255"/>
    <cellStyle name="Heading 1 2 3 3 2 2 5 4 2" xfId="18256"/>
    <cellStyle name="Heading 1 2 3 3 2 2 5 4 2 2" xfId="18257"/>
    <cellStyle name="Heading 1 2 3 3 2 2 5 4 3" xfId="18258"/>
    <cellStyle name="Heading 1 2 3 3 2 2 5 5" xfId="18259"/>
    <cellStyle name="Heading 1 2 3 3 2 2 5 5 2" xfId="18260"/>
    <cellStyle name="Heading 1 2 3 3 2 2 5 5 2 2" xfId="18261"/>
    <cellStyle name="Heading 1 2 3 3 2 2 5 5 3" xfId="18262"/>
    <cellStyle name="Heading 1 2 3 3 2 2 5 6" xfId="18263"/>
    <cellStyle name="Heading 1 2 3 3 2 2 5 6 2" xfId="18264"/>
    <cellStyle name="Heading 1 2 3 3 2 2 5 6 2 2" xfId="18265"/>
    <cellStyle name="Heading 1 2 3 3 2 2 5 6 3" xfId="18266"/>
    <cellStyle name="Heading 1 2 3 3 2 2 5 7" xfId="18267"/>
    <cellStyle name="Heading 1 2 3 3 2 2 5 7 2" xfId="18268"/>
    <cellStyle name="Heading 1 2 3 3 2 2 5 7 2 2" xfId="18269"/>
    <cellStyle name="Heading 1 2 3 3 2 2 5 7 3" xfId="18270"/>
    <cellStyle name="Heading 1 2 3 3 2 2 5 8" xfId="18271"/>
    <cellStyle name="Heading 1 2 3 3 2 2 5 8 2" xfId="18272"/>
    <cellStyle name="Heading 1 2 3 3 2 2 5 9" xfId="18273"/>
    <cellStyle name="Heading 1 2 3 3 2 2 6" xfId="18274"/>
    <cellStyle name="Heading 1 2 3 3 2 2 6 2" xfId="18275"/>
    <cellStyle name="Heading 1 2 3 3 2 2 6 2 2" xfId="18276"/>
    <cellStyle name="Heading 1 2 3 3 2 2 6 2 2 2" xfId="18277"/>
    <cellStyle name="Heading 1 2 3 3 2 2 6 2 3" xfId="18278"/>
    <cellStyle name="Heading 1 2 3 3 2 2 6 3" xfId="18279"/>
    <cellStyle name="Heading 1 2 3 3 2 2 6 3 2" xfId="18280"/>
    <cellStyle name="Heading 1 2 3 3 2 2 6 3 2 2" xfId="18281"/>
    <cellStyle name="Heading 1 2 3 3 2 2 6 3 3" xfId="18282"/>
    <cellStyle name="Heading 1 2 3 3 2 2 6 4" xfId="18283"/>
    <cellStyle name="Heading 1 2 3 3 2 2 6 4 2" xfId="18284"/>
    <cellStyle name="Heading 1 2 3 3 2 2 6 4 2 2" xfId="18285"/>
    <cellStyle name="Heading 1 2 3 3 2 2 6 4 3" xfId="18286"/>
    <cellStyle name="Heading 1 2 3 3 2 2 6 5" xfId="18287"/>
    <cellStyle name="Heading 1 2 3 3 2 2 6 5 2" xfId="18288"/>
    <cellStyle name="Heading 1 2 3 3 2 2 6 5 2 2" xfId="18289"/>
    <cellStyle name="Heading 1 2 3 3 2 2 6 5 3" xfId="18290"/>
    <cellStyle name="Heading 1 2 3 3 2 2 6 6" xfId="18291"/>
    <cellStyle name="Heading 1 2 3 3 2 2 6 6 2" xfId="18292"/>
    <cellStyle name="Heading 1 2 3 3 2 2 6 6 2 2" xfId="18293"/>
    <cellStyle name="Heading 1 2 3 3 2 2 6 6 3" xfId="18294"/>
    <cellStyle name="Heading 1 2 3 3 2 2 6 7" xfId="18295"/>
    <cellStyle name="Heading 1 2 3 3 2 2 6 7 2" xfId="18296"/>
    <cellStyle name="Heading 1 2 3 3 2 2 6 7 2 2" xfId="18297"/>
    <cellStyle name="Heading 1 2 3 3 2 2 6 7 3" xfId="18298"/>
    <cellStyle name="Heading 1 2 3 3 2 2 6 8" xfId="18299"/>
    <cellStyle name="Heading 1 2 3 3 2 2 6 8 2" xfId="18300"/>
    <cellStyle name="Heading 1 2 3 3 2 2 6 9" xfId="18301"/>
    <cellStyle name="Heading 1 2 3 3 2 2 7" xfId="18302"/>
    <cellStyle name="Heading 1 2 3 3 2 2 7 2" xfId="18303"/>
    <cellStyle name="Heading 1 2 3 3 2 2 7 2 2" xfId="18304"/>
    <cellStyle name="Heading 1 2 3 3 2 2 7 2 2 2" xfId="18305"/>
    <cellStyle name="Heading 1 2 3 3 2 2 7 2 3" xfId="18306"/>
    <cellStyle name="Heading 1 2 3 3 2 2 7 3" xfId="18307"/>
    <cellStyle name="Heading 1 2 3 3 2 2 7 3 2" xfId="18308"/>
    <cellStyle name="Heading 1 2 3 3 2 2 7 3 2 2" xfId="18309"/>
    <cellStyle name="Heading 1 2 3 3 2 2 7 3 3" xfId="18310"/>
    <cellStyle name="Heading 1 2 3 3 2 2 7 4" xfId="18311"/>
    <cellStyle name="Heading 1 2 3 3 2 2 7 4 2" xfId="18312"/>
    <cellStyle name="Heading 1 2 3 3 2 2 7 4 2 2" xfId="18313"/>
    <cellStyle name="Heading 1 2 3 3 2 2 7 4 3" xfId="18314"/>
    <cellStyle name="Heading 1 2 3 3 2 2 7 5" xfId="18315"/>
    <cellStyle name="Heading 1 2 3 3 2 2 7 5 2" xfId="18316"/>
    <cellStyle name="Heading 1 2 3 3 2 2 7 5 2 2" xfId="18317"/>
    <cellStyle name="Heading 1 2 3 3 2 2 7 5 3" xfId="18318"/>
    <cellStyle name="Heading 1 2 3 3 2 2 7 6" xfId="18319"/>
    <cellStyle name="Heading 1 2 3 3 2 2 7 6 2" xfId="18320"/>
    <cellStyle name="Heading 1 2 3 3 2 2 7 6 2 2" xfId="18321"/>
    <cellStyle name="Heading 1 2 3 3 2 2 7 6 3" xfId="18322"/>
    <cellStyle name="Heading 1 2 3 3 2 2 7 7" xfId="18323"/>
    <cellStyle name="Heading 1 2 3 3 2 2 7 7 2" xfId="18324"/>
    <cellStyle name="Heading 1 2 3 3 2 2 7 7 2 2" xfId="18325"/>
    <cellStyle name="Heading 1 2 3 3 2 2 7 7 3" xfId="18326"/>
    <cellStyle name="Heading 1 2 3 3 2 2 7 8" xfId="18327"/>
    <cellStyle name="Heading 1 2 3 3 2 2 7 8 2" xfId="18328"/>
    <cellStyle name="Heading 1 2 3 3 2 2 7 9" xfId="18329"/>
    <cellStyle name="Heading 1 2 3 3 2 2 8" xfId="18330"/>
    <cellStyle name="Heading 1 2 3 3 2 2 8 2" xfId="18331"/>
    <cellStyle name="Heading 1 2 3 3 2 2 8 2 2" xfId="18332"/>
    <cellStyle name="Heading 1 2 3 3 2 2 8 2 2 2" xfId="18333"/>
    <cellStyle name="Heading 1 2 3 3 2 2 8 2 3" xfId="18334"/>
    <cellStyle name="Heading 1 2 3 3 2 2 8 3" xfId="18335"/>
    <cellStyle name="Heading 1 2 3 3 2 2 8 3 2" xfId="18336"/>
    <cellStyle name="Heading 1 2 3 3 2 2 8 3 2 2" xfId="18337"/>
    <cellStyle name="Heading 1 2 3 3 2 2 8 3 3" xfId="18338"/>
    <cellStyle name="Heading 1 2 3 3 2 2 8 4" xfId="18339"/>
    <cellStyle name="Heading 1 2 3 3 2 2 8 4 2" xfId="18340"/>
    <cellStyle name="Heading 1 2 3 3 2 2 8 4 2 2" xfId="18341"/>
    <cellStyle name="Heading 1 2 3 3 2 2 8 4 3" xfId="18342"/>
    <cellStyle name="Heading 1 2 3 3 2 2 8 5" xfId="18343"/>
    <cellStyle name="Heading 1 2 3 3 2 2 8 5 2" xfId="18344"/>
    <cellStyle name="Heading 1 2 3 3 2 2 8 5 2 2" xfId="18345"/>
    <cellStyle name="Heading 1 2 3 3 2 2 8 5 3" xfId="18346"/>
    <cellStyle name="Heading 1 2 3 3 2 2 8 6" xfId="18347"/>
    <cellStyle name="Heading 1 2 3 3 2 2 8 6 2" xfId="18348"/>
    <cellStyle name="Heading 1 2 3 3 2 2 8 6 2 2" xfId="18349"/>
    <cellStyle name="Heading 1 2 3 3 2 2 8 6 3" xfId="18350"/>
    <cellStyle name="Heading 1 2 3 3 2 2 8 7" xfId="18351"/>
    <cellStyle name="Heading 1 2 3 3 2 2 8 7 2" xfId="18352"/>
    <cellStyle name="Heading 1 2 3 3 2 2 8 7 2 2" xfId="18353"/>
    <cellStyle name="Heading 1 2 3 3 2 2 8 7 3" xfId="18354"/>
    <cellStyle name="Heading 1 2 3 3 2 2 8 8" xfId="18355"/>
    <cellStyle name="Heading 1 2 3 3 2 2 8 8 2" xfId="18356"/>
    <cellStyle name="Heading 1 2 3 3 2 2 8 9" xfId="18357"/>
    <cellStyle name="Heading 1 2 3 3 2 2 9" xfId="18358"/>
    <cellStyle name="Heading 1 2 3 3 2 2 9 2" xfId="18359"/>
    <cellStyle name="Heading 1 2 3 3 2 2 9 2 2" xfId="18360"/>
    <cellStyle name="Heading 1 2 3 3 2 2 9 3" xfId="18361"/>
    <cellStyle name="Heading 1 2 3 3 2 20" xfId="18362"/>
    <cellStyle name="Heading 1 2 3 3 2 20 2" xfId="18363"/>
    <cellStyle name="Heading 1 2 3 3 2 21" xfId="18364"/>
    <cellStyle name="Heading 1 2 3 3 2 21 2" xfId="18365"/>
    <cellStyle name="Heading 1 2 3 3 2 22" xfId="18366"/>
    <cellStyle name="Heading 1 2 3 3 2 22 2" xfId="18367"/>
    <cellStyle name="Heading 1 2 3 3 2 23" xfId="18368"/>
    <cellStyle name="Heading 1 2 3 3 2 3" xfId="18369"/>
    <cellStyle name="Heading 1 2 3 3 2 3 2" xfId="18370"/>
    <cellStyle name="Heading 1 2 3 3 2 3 2 2" xfId="18371"/>
    <cellStyle name="Heading 1 2 3 3 2 3 2 2 2" xfId="18372"/>
    <cellStyle name="Heading 1 2 3 3 2 3 2 3" xfId="18373"/>
    <cellStyle name="Heading 1 2 3 3 2 3 3" xfId="18374"/>
    <cellStyle name="Heading 1 2 3 3 2 3 3 2" xfId="18375"/>
    <cellStyle name="Heading 1 2 3 3 2 3 3 2 2" xfId="18376"/>
    <cellStyle name="Heading 1 2 3 3 2 3 3 3" xfId="18377"/>
    <cellStyle name="Heading 1 2 3 3 2 3 4" xfId="18378"/>
    <cellStyle name="Heading 1 2 3 3 2 3 4 2" xfId="18379"/>
    <cellStyle name="Heading 1 2 3 3 2 3 4 2 2" xfId="18380"/>
    <cellStyle name="Heading 1 2 3 3 2 3 4 3" xfId="18381"/>
    <cellStyle name="Heading 1 2 3 3 2 3 5" xfId="18382"/>
    <cellStyle name="Heading 1 2 3 3 2 3 5 2" xfId="18383"/>
    <cellStyle name="Heading 1 2 3 3 2 3 5 2 2" xfId="18384"/>
    <cellStyle name="Heading 1 2 3 3 2 3 5 3" xfId="18385"/>
    <cellStyle name="Heading 1 2 3 3 2 3 6" xfId="18386"/>
    <cellStyle name="Heading 1 2 3 3 2 3 6 2" xfId="18387"/>
    <cellStyle name="Heading 1 2 3 3 2 3 6 2 2" xfId="18388"/>
    <cellStyle name="Heading 1 2 3 3 2 3 6 3" xfId="18389"/>
    <cellStyle name="Heading 1 2 3 3 2 3 7" xfId="18390"/>
    <cellStyle name="Heading 1 2 3 3 2 3 7 2" xfId="18391"/>
    <cellStyle name="Heading 1 2 3 3 2 3 7 2 2" xfId="18392"/>
    <cellStyle name="Heading 1 2 3 3 2 3 7 3" xfId="18393"/>
    <cellStyle name="Heading 1 2 3 3 2 3 8" xfId="18394"/>
    <cellStyle name="Heading 1 2 3 3 2 3 8 2" xfId="18395"/>
    <cellStyle name="Heading 1 2 3 3 2 3 9" xfId="18396"/>
    <cellStyle name="Heading 1 2 3 3 2 4" xfId="18397"/>
    <cellStyle name="Heading 1 2 3 3 2 4 2" xfId="18398"/>
    <cellStyle name="Heading 1 2 3 3 2 4 2 2" xfId="18399"/>
    <cellStyle name="Heading 1 2 3 3 2 4 2 2 2" xfId="18400"/>
    <cellStyle name="Heading 1 2 3 3 2 4 2 3" xfId="18401"/>
    <cellStyle name="Heading 1 2 3 3 2 4 3" xfId="18402"/>
    <cellStyle name="Heading 1 2 3 3 2 4 3 2" xfId="18403"/>
    <cellStyle name="Heading 1 2 3 3 2 4 3 2 2" xfId="18404"/>
    <cellStyle name="Heading 1 2 3 3 2 4 3 3" xfId="18405"/>
    <cellStyle name="Heading 1 2 3 3 2 4 4" xfId="18406"/>
    <cellStyle name="Heading 1 2 3 3 2 4 4 2" xfId="18407"/>
    <cellStyle name="Heading 1 2 3 3 2 4 4 2 2" xfId="18408"/>
    <cellStyle name="Heading 1 2 3 3 2 4 4 3" xfId="18409"/>
    <cellStyle name="Heading 1 2 3 3 2 4 5" xfId="18410"/>
    <cellStyle name="Heading 1 2 3 3 2 4 5 2" xfId="18411"/>
    <cellStyle name="Heading 1 2 3 3 2 4 5 2 2" xfId="18412"/>
    <cellStyle name="Heading 1 2 3 3 2 4 5 3" xfId="18413"/>
    <cellStyle name="Heading 1 2 3 3 2 4 6" xfId="18414"/>
    <cellStyle name="Heading 1 2 3 3 2 4 6 2" xfId="18415"/>
    <cellStyle name="Heading 1 2 3 3 2 4 6 2 2" xfId="18416"/>
    <cellStyle name="Heading 1 2 3 3 2 4 6 3" xfId="18417"/>
    <cellStyle name="Heading 1 2 3 3 2 4 7" xfId="18418"/>
    <cellStyle name="Heading 1 2 3 3 2 4 7 2" xfId="18419"/>
    <cellStyle name="Heading 1 2 3 3 2 4 7 2 2" xfId="18420"/>
    <cellStyle name="Heading 1 2 3 3 2 4 7 3" xfId="18421"/>
    <cellStyle name="Heading 1 2 3 3 2 4 8" xfId="18422"/>
    <cellStyle name="Heading 1 2 3 3 2 4 8 2" xfId="18423"/>
    <cellStyle name="Heading 1 2 3 3 2 4 9" xfId="18424"/>
    <cellStyle name="Heading 1 2 3 3 2 5" xfId="18425"/>
    <cellStyle name="Heading 1 2 3 3 2 5 2" xfId="18426"/>
    <cellStyle name="Heading 1 2 3 3 2 5 2 2" xfId="18427"/>
    <cellStyle name="Heading 1 2 3 3 2 5 2 2 2" xfId="18428"/>
    <cellStyle name="Heading 1 2 3 3 2 5 2 3" xfId="18429"/>
    <cellStyle name="Heading 1 2 3 3 2 5 3" xfId="18430"/>
    <cellStyle name="Heading 1 2 3 3 2 5 3 2" xfId="18431"/>
    <cellStyle name="Heading 1 2 3 3 2 5 3 2 2" xfId="18432"/>
    <cellStyle name="Heading 1 2 3 3 2 5 3 3" xfId="18433"/>
    <cellStyle name="Heading 1 2 3 3 2 5 4" xfId="18434"/>
    <cellStyle name="Heading 1 2 3 3 2 5 4 2" xfId="18435"/>
    <cellStyle name="Heading 1 2 3 3 2 5 4 2 2" xfId="18436"/>
    <cellStyle name="Heading 1 2 3 3 2 5 4 3" xfId="18437"/>
    <cellStyle name="Heading 1 2 3 3 2 5 5" xfId="18438"/>
    <cellStyle name="Heading 1 2 3 3 2 5 5 2" xfId="18439"/>
    <cellStyle name="Heading 1 2 3 3 2 5 5 2 2" xfId="18440"/>
    <cellStyle name="Heading 1 2 3 3 2 5 5 3" xfId="18441"/>
    <cellStyle name="Heading 1 2 3 3 2 5 6" xfId="18442"/>
    <cellStyle name="Heading 1 2 3 3 2 5 6 2" xfId="18443"/>
    <cellStyle name="Heading 1 2 3 3 2 5 6 2 2" xfId="18444"/>
    <cellStyle name="Heading 1 2 3 3 2 5 6 3" xfId="18445"/>
    <cellStyle name="Heading 1 2 3 3 2 5 7" xfId="18446"/>
    <cellStyle name="Heading 1 2 3 3 2 5 7 2" xfId="18447"/>
    <cellStyle name="Heading 1 2 3 3 2 5 7 2 2" xfId="18448"/>
    <cellStyle name="Heading 1 2 3 3 2 5 7 3" xfId="18449"/>
    <cellStyle name="Heading 1 2 3 3 2 5 8" xfId="18450"/>
    <cellStyle name="Heading 1 2 3 3 2 5 8 2" xfId="18451"/>
    <cellStyle name="Heading 1 2 3 3 2 5 9" xfId="18452"/>
    <cellStyle name="Heading 1 2 3 3 2 6" xfId="18453"/>
    <cellStyle name="Heading 1 2 3 3 2 6 2" xfId="18454"/>
    <cellStyle name="Heading 1 2 3 3 2 6 2 2" xfId="18455"/>
    <cellStyle name="Heading 1 2 3 3 2 6 2 2 2" xfId="18456"/>
    <cellStyle name="Heading 1 2 3 3 2 6 2 3" xfId="18457"/>
    <cellStyle name="Heading 1 2 3 3 2 6 3" xfId="18458"/>
    <cellStyle name="Heading 1 2 3 3 2 6 3 2" xfId="18459"/>
    <cellStyle name="Heading 1 2 3 3 2 6 3 2 2" xfId="18460"/>
    <cellStyle name="Heading 1 2 3 3 2 6 3 3" xfId="18461"/>
    <cellStyle name="Heading 1 2 3 3 2 6 4" xfId="18462"/>
    <cellStyle name="Heading 1 2 3 3 2 6 4 2" xfId="18463"/>
    <cellStyle name="Heading 1 2 3 3 2 6 4 2 2" xfId="18464"/>
    <cellStyle name="Heading 1 2 3 3 2 6 4 3" xfId="18465"/>
    <cellStyle name="Heading 1 2 3 3 2 6 5" xfId="18466"/>
    <cellStyle name="Heading 1 2 3 3 2 6 5 2" xfId="18467"/>
    <cellStyle name="Heading 1 2 3 3 2 6 5 2 2" xfId="18468"/>
    <cellStyle name="Heading 1 2 3 3 2 6 5 3" xfId="18469"/>
    <cellStyle name="Heading 1 2 3 3 2 6 6" xfId="18470"/>
    <cellStyle name="Heading 1 2 3 3 2 6 6 2" xfId="18471"/>
    <cellStyle name="Heading 1 2 3 3 2 6 6 2 2" xfId="18472"/>
    <cellStyle name="Heading 1 2 3 3 2 6 6 3" xfId="18473"/>
    <cellStyle name="Heading 1 2 3 3 2 6 7" xfId="18474"/>
    <cellStyle name="Heading 1 2 3 3 2 6 7 2" xfId="18475"/>
    <cellStyle name="Heading 1 2 3 3 2 6 7 2 2" xfId="18476"/>
    <cellStyle name="Heading 1 2 3 3 2 6 7 3" xfId="18477"/>
    <cellStyle name="Heading 1 2 3 3 2 6 8" xfId="18478"/>
    <cellStyle name="Heading 1 2 3 3 2 6 8 2" xfId="18479"/>
    <cellStyle name="Heading 1 2 3 3 2 6 9" xfId="18480"/>
    <cellStyle name="Heading 1 2 3 3 2 7" xfId="18481"/>
    <cellStyle name="Heading 1 2 3 3 2 7 2" xfId="18482"/>
    <cellStyle name="Heading 1 2 3 3 2 7 2 2" xfId="18483"/>
    <cellStyle name="Heading 1 2 3 3 2 7 2 2 2" xfId="18484"/>
    <cellStyle name="Heading 1 2 3 3 2 7 2 3" xfId="18485"/>
    <cellStyle name="Heading 1 2 3 3 2 7 3" xfId="18486"/>
    <cellStyle name="Heading 1 2 3 3 2 7 3 2" xfId="18487"/>
    <cellStyle name="Heading 1 2 3 3 2 7 3 2 2" xfId="18488"/>
    <cellStyle name="Heading 1 2 3 3 2 7 3 3" xfId="18489"/>
    <cellStyle name="Heading 1 2 3 3 2 7 4" xfId="18490"/>
    <cellStyle name="Heading 1 2 3 3 2 7 4 2" xfId="18491"/>
    <cellStyle name="Heading 1 2 3 3 2 7 4 2 2" xfId="18492"/>
    <cellStyle name="Heading 1 2 3 3 2 7 4 3" xfId="18493"/>
    <cellStyle name="Heading 1 2 3 3 2 7 5" xfId="18494"/>
    <cellStyle name="Heading 1 2 3 3 2 7 5 2" xfId="18495"/>
    <cellStyle name="Heading 1 2 3 3 2 7 5 2 2" xfId="18496"/>
    <cellStyle name="Heading 1 2 3 3 2 7 5 3" xfId="18497"/>
    <cellStyle name="Heading 1 2 3 3 2 7 6" xfId="18498"/>
    <cellStyle name="Heading 1 2 3 3 2 7 6 2" xfId="18499"/>
    <cellStyle name="Heading 1 2 3 3 2 7 6 2 2" xfId="18500"/>
    <cellStyle name="Heading 1 2 3 3 2 7 6 3" xfId="18501"/>
    <cellStyle name="Heading 1 2 3 3 2 7 7" xfId="18502"/>
    <cellStyle name="Heading 1 2 3 3 2 7 7 2" xfId="18503"/>
    <cellStyle name="Heading 1 2 3 3 2 7 7 2 2" xfId="18504"/>
    <cellStyle name="Heading 1 2 3 3 2 7 7 3" xfId="18505"/>
    <cellStyle name="Heading 1 2 3 3 2 7 8" xfId="18506"/>
    <cellStyle name="Heading 1 2 3 3 2 7 8 2" xfId="18507"/>
    <cellStyle name="Heading 1 2 3 3 2 7 9" xfId="18508"/>
    <cellStyle name="Heading 1 2 3 3 2 8" xfId="18509"/>
    <cellStyle name="Heading 1 2 3 3 2 8 2" xfId="18510"/>
    <cellStyle name="Heading 1 2 3 3 2 8 2 2" xfId="18511"/>
    <cellStyle name="Heading 1 2 3 3 2 8 2 2 2" xfId="18512"/>
    <cellStyle name="Heading 1 2 3 3 2 8 2 3" xfId="18513"/>
    <cellStyle name="Heading 1 2 3 3 2 8 3" xfId="18514"/>
    <cellStyle name="Heading 1 2 3 3 2 8 3 2" xfId="18515"/>
    <cellStyle name="Heading 1 2 3 3 2 8 3 2 2" xfId="18516"/>
    <cellStyle name="Heading 1 2 3 3 2 8 3 3" xfId="18517"/>
    <cellStyle name="Heading 1 2 3 3 2 8 4" xfId="18518"/>
    <cellStyle name="Heading 1 2 3 3 2 8 4 2" xfId="18519"/>
    <cellStyle name="Heading 1 2 3 3 2 8 4 2 2" xfId="18520"/>
    <cellStyle name="Heading 1 2 3 3 2 8 4 3" xfId="18521"/>
    <cellStyle name="Heading 1 2 3 3 2 8 5" xfId="18522"/>
    <cellStyle name="Heading 1 2 3 3 2 8 5 2" xfId="18523"/>
    <cellStyle name="Heading 1 2 3 3 2 8 5 2 2" xfId="18524"/>
    <cellStyle name="Heading 1 2 3 3 2 8 5 3" xfId="18525"/>
    <cellStyle name="Heading 1 2 3 3 2 8 6" xfId="18526"/>
    <cellStyle name="Heading 1 2 3 3 2 8 6 2" xfId="18527"/>
    <cellStyle name="Heading 1 2 3 3 2 8 6 2 2" xfId="18528"/>
    <cellStyle name="Heading 1 2 3 3 2 8 6 3" xfId="18529"/>
    <cellStyle name="Heading 1 2 3 3 2 8 7" xfId="18530"/>
    <cellStyle name="Heading 1 2 3 3 2 8 7 2" xfId="18531"/>
    <cellStyle name="Heading 1 2 3 3 2 8 7 2 2" xfId="18532"/>
    <cellStyle name="Heading 1 2 3 3 2 8 7 3" xfId="18533"/>
    <cellStyle name="Heading 1 2 3 3 2 8 8" xfId="18534"/>
    <cellStyle name="Heading 1 2 3 3 2 8 8 2" xfId="18535"/>
    <cellStyle name="Heading 1 2 3 3 2 8 9" xfId="18536"/>
    <cellStyle name="Heading 1 2 3 3 2 9" xfId="18537"/>
    <cellStyle name="Heading 1 2 3 3 2 9 2" xfId="18538"/>
    <cellStyle name="Heading 1 2 3 3 2 9 2 2" xfId="18539"/>
    <cellStyle name="Heading 1 2 3 3 2 9 2 2 2" xfId="18540"/>
    <cellStyle name="Heading 1 2 3 3 2 9 2 3" xfId="18541"/>
    <cellStyle name="Heading 1 2 3 3 2 9 3" xfId="18542"/>
    <cellStyle name="Heading 1 2 3 3 2 9 3 2" xfId="18543"/>
    <cellStyle name="Heading 1 2 3 3 2 9 3 2 2" xfId="18544"/>
    <cellStyle name="Heading 1 2 3 3 2 9 3 3" xfId="18545"/>
    <cellStyle name="Heading 1 2 3 3 2 9 4" xfId="18546"/>
    <cellStyle name="Heading 1 2 3 3 2 9 4 2" xfId="18547"/>
    <cellStyle name="Heading 1 2 3 3 2 9 4 2 2" xfId="18548"/>
    <cellStyle name="Heading 1 2 3 3 2 9 4 3" xfId="18549"/>
    <cellStyle name="Heading 1 2 3 3 2 9 5" xfId="18550"/>
    <cellStyle name="Heading 1 2 3 3 2 9 5 2" xfId="18551"/>
    <cellStyle name="Heading 1 2 3 3 2 9 5 2 2" xfId="18552"/>
    <cellStyle name="Heading 1 2 3 3 2 9 5 3" xfId="18553"/>
    <cellStyle name="Heading 1 2 3 3 2 9 6" xfId="18554"/>
    <cellStyle name="Heading 1 2 3 3 2 9 6 2" xfId="18555"/>
    <cellStyle name="Heading 1 2 3 3 2 9 6 2 2" xfId="18556"/>
    <cellStyle name="Heading 1 2 3 3 2 9 6 3" xfId="18557"/>
    <cellStyle name="Heading 1 2 3 3 2 9 7" xfId="18558"/>
    <cellStyle name="Heading 1 2 3 3 2 9 7 2" xfId="18559"/>
    <cellStyle name="Heading 1 2 3 3 2 9 7 2 2" xfId="18560"/>
    <cellStyle name="Heading 1 2 3 3 2 9 7 3" xfId="18561"/>
    <cellStyle name="Heading 1 2 3 3 2 9 8" xfId="18562"/>
    <cellStyle name="Heading 1 2 3 3 2 9 8 2" xfId="18563"/>
    <cellStyle name="Heading 1 2 3 3 2 9 9" xfId="18564"/>
    <cellStyle name="Heading 1 2 3 3 3" xfId="18565"/>
    <cellStyle name="Heading 1 2 3 3 3 10" xfId="18566"/>
    <cellStyle name="Heading 1 2 3 3 3 10 2" xfId="18567"/>
    <cellStyle name="Heading 1 2 3 3 3 10 2 2" xfId="18568"/>
    <cellStyle name="Heading 1 2 3 3 3 10 3" xfId="18569"/>
    <cellStyle name="Heading 1 2 3 3 3 11" xfId="18570"/>
    <cellStyle name="Heading 1 2 3 3 3 11 2" xfId="18571"/>
    <cellStyle name="Heading 1 2 3 3 3 11 2 2" xfId="18572"/>
    <cellStyle name="Heading 1 2 3 3 3 11 3" xfId="18573"/>
    <cellStyle name="Heading 1 2 3 3 3 12" xfId="18574"/>
    <cellStyle name="Heading 1 2 3 3 3 12 2" xfId="18575"/>
    <cellStyle name="Heading 1 2 3 3 3 12 2 2" xfId="18576"/>
    <cellStyle name="Heading 1 2 3 3 3 12 3" xfId="18577"/>
    <cellStyle name="Heading 1 2 3 3 3 13" xfId="18578"/>
    <cellStyle name="Heading 1 2 3 3 3 13 2" xfId="18579"/>
    <cellStyle name="Heading 1 2 3 3 3 13 2 2" xfId="18580"/>
    <cellStyle name="Heading 1 2 3 3 3 13 3" xfId="18581"/>
    <cellStyle name="Heading 1 2 3 3 3 14" xfId="18582"/>
    <cellStyle name="Heading 1 2 3 3 3 14 2" xfId="18583"/>
    <cellStyle name="Heading 1 2 3 3 3 14 2 2" xfId="18584"/>
    <cellStyle name="Heading 1 2 3 3 3 14 3" xfId="18585"/>
    <cellStyle name="Heading 1 2 3 3 3 15" xfId="18586"/>
    <cellStyle name="Heading 1 2 3 3 3 15 2" xfId="18587"/>
    <cellStyle name="Heading 1 2 3 3 3 15 2 2" xfId="18588"/>
    <cellStyle name="Heading 1 2 3 3 3 15 3" xfId="18589"/>
    <cellStyle name="Heading 1 2 3 3 3 16" xfId="18590"/>
    <cellStyle name="Heading 1 2 3 3 3 16 2" xfId="18591"/>
    <cellStyle name="Heading 1 2 3 3 3 16 2 2" xfId="18592"/>
    <cellStyle name="Heading 1 2 3 3 3 16 3" xfId="18593"/>
    <cellStyle name="Heading 1 2 3 3 3 17" xfId="18594"/>
    <cellStyle name="Heading 1 2 3 3 3 17 2" xfId="18595"/>
    <cellStyle name="Heading 1 2 3 3 3 17 2 2" xfId="18596"/>
    <cellStyle name="Heading 1 2 3 3 3 17 3" xfId="18597"/>
    <cellStyle name="Heading 1 2 3 3 3 18" xfId="18598"/>
    <cellStyle name="Heading 1 2 3 3 3 18 2" xfId="18599"/>
    <cellStyle name="Heading 1 2 3 3 3 18 2 2" xfId="18600"/>
    <cellStyle name="Heading 1 2 3 3 3 18 3" xfId="18601"/>
    <cellStyle name="Heading 1 2 3 3 3 19" xfId="18602"/>
    <cellStyle name="Heading 1 2 3 3 3 19 2" xfId="18603"/>
    <cellStyle name="Heading 1 2 3 3 3 2" xfId="18604"/>
    <cellStyle name="Heading 1 2 3 3 3 2 2" xfId="18605"/>
    <cellStyle name="Heading 1 2 3 3 3 2 2 2" xfId="18606"/>
    <cellStyle name="Heading 1 2 3 3 3 2 2 2 2" xfId="18607"/>
    <cellStyle name="Heading 1 2 3 3 3 2 2 3" xfId="18608"/>
    <cellStyle name="Heading 1 2 3 3 3 2 3" xfId="18609"/>
    <cellStyle name="Heading 1 2 3 3 3 2 3 2" xfId="18610"/>
    <cellStyle name="Heading 1 2 3 3 3 2 3 2 2" xfId="18611"/>
    <cellStyle name="Heading 1 2 3 3 3 2 3 3" xfId="18612"/>
    <cellStyle name="Heading 1 2 3 3 3 2 4" xfId="18613"/>
    <cellStyle name="Heading 1 2 3 3 3 2 4 2" xfId="18614"/>
    <cellStyle name="Heading 1 2 3 3 3 2 4 2 2" xfId="18615"/>
    <cellStyle name="Heading 1 2 3 3 3 2 4 3" xfId="18616"/>
    <cellStyle name="Heading 1 2 3 3 3 2 5" xfId="18617"/>
    <cellStyle name="Heading 1 2 3 3 3 2 5 2" xfId="18618"/>
    <cellStyle name="Heading 1 2 3 3 3 2 5 2 2" xfId="18619"/>
    <cellStyle name="Heading 1 2 3 3 3 2 5 3" xfId="18620"/>
    <cellStyle name="Heading 1 2 3 3 3 2 6" xfId="18621"/>
    <cellStyle name="Heading 1 2 3 3 3 2 6 2" xfId="18622"/>
    <cellStyle name="Heading 1 2 3 3 3 2 6 2 2" xfId="18623"/>
    <cellStyle name="Heading 1 2 3 3 3 2 6 3" xfId="18624"/>
    <cellStyle name="Heading 1 2 3 3 3 2 7" xfId="18625"/>
    <cellStyle name="Heading 1 2 3 3 3 2 7 2" xfId="18626"/>
    <cellStyle name="Heading 1 2 3 3 3 2 7 2 2" xfId="18627"/>
    <cellStyle name="Heading 1 2 3 3 3 2 7 3" xfId="18628"/>
    <cellStyle name="Heading 1 2 3 3 3 2 8" xfId="18629"/>
    <cellStyle name="Heading 1 2 3 3 3 2 8 2" xfId="18630"/>
    <cellStyle name="Heading 1 2 3 3 3 2 9" xfId="18631"/>
    <cellStyle name="Heading 1 2 3 3 3 20" xfId="18632"/>
    <cellStyle name="Heading 1 2 3 3 3 20 2" xfId="18633"/>
    <cellStyle name="Heading 1 2 3 3 3 21" xfId="18634"/>
    <cellStyle name="Heading 1 2 3 3 3 21 2" xfId="18635"/>
    <cellStyle name="Heading 1 2 3 3 3 22" xfId="18636"/>
    <cellStyle name="Heading 1 2 3 3 3 3" xfId="18637"/>
    <cellStyle name="Heading 1 2 3 3 3 3 2" xfId="18638"/>
    <cellStyle name="Heading 1 2 3 3 3 3 2 2" xfId="18639"/>
    <cellStyle name="Heading 1 2 3 3 3 3 2 2 2" xfId="18640"/>
    <cellStyle name="Heading 1 2 3 3 3 3 2 3" xfId="18641"/>
    <cellStyle name="Heading 1 2 3 3 3 3 3" xfId="18642"/>
    <cellStyle name="Heading 1 2 3 3 3 3 3 2" xfId="18643"/>
    <cellStyle name="Heading 1 2 3 3 3 3 3 2 2" xfId="18644"/>
    <cellStyle name="Heading 1 2 3 3 3 3 3 3" xfId="18645"/>
    <cellStyle name="Heading 1 2 3 3 3 3 4" xfId="18646"/>
    <cellStyle name="Heading 1 2 3 3 3 3 4 2" xfId="18647"/>
    <cellStyle name="Heading 1 2 3 3 3 3 4 2 2" xfId="18648"/>
    <cellStyle name="Heading 1 2 3 3 3 3 4 3" xfId="18649"/>
    <cellStyle name="Heading 1 2 3 3 3 3 5" xfId="18650"/>
    <cellStyle name="Heading 1 2 3 3 3 3 5 2" xfId="18651"/>
    <cellStyle name="Heading 1 2 3 3 3 3 5 2 2" xfId="18652"/>
    <cellStyle name="Heading 1 2 3 3 3 3 5 3" xfId="18653"/>
    <cellStyle name="Heading 1 2 3 3 3 3 6" xfId="18654"/>
    <cellStyle name="Heading 1 2 3 3 3 3 6 2" xfId="18655"/>
    <cellStyle name="Heading 1 2 3 3 3 3 6 2 2" xfId="18656"/>
    <cellStyle name="Heading 1 2 3 3 3 3 6 3" xfId="18657"/>
    <cellStyle name="Heading 1 2 3 3 3 3 7" xfId="18658"/>
    <cellStyle name="Heading 1 2 3 3 3 3 7 2" xfId="18659"/>
    <cellStyle name="Heading 1 2 3 3 3 3 7 2 2" xfId="18660"/>
    <cellStyle name="Heading 1 2 3 3 3 3 7 3" xfId="18661"/>
    <cellStyle name="Heading 1 2 3 3 3 3 8" xfId="18662"/>
    <cellStyle name="Heading 1 2 3 3 3 3 8 2" xfId="18663"/>
    <cellStyle name="Heading 1 2 3 3 3 3 9" xfId="18664"/>
    <cellStyle name="Heading 1 2 3 3 3 4" xfId="18665"/>
    <cellStyle name="Heading 1 2 3 3 3 4 2" xfId="18666"/>
    <cellStyle name="Heading 1 2 3 3 3 4 2 2" xfId="18667"/>
    <cellStyle name="Heading 1 2 3 3 3 4 2 2 2" xfId="18668"/>
    <cellStyle name="Heading 1 2 3 3 3 4 2 3" xfId="18669"/>
    <cellStyle name="Heading 1 2 3 3 3 4 3" xfId="18670"/>
    <cellStyle name="Heading 1 2 3 3 3 4 3 2" xfId="18671"/>
    <cellStyle name="Heading 1 2 3 3 3 4 3 2 2" xfId="18672"/>
    <cellStyle name="Heading 1 2 3 3 3 4 3 3" xfId="18673"/>
    <cellStyle name="Heading 1 2 3 3 3 4 4" xfId="18674"/>
    <cellStyle name="Heading 1 2 3 3 3 4 4 2" xfId="18675"/>
    <cellStyle name="Heading 1 2 3 3 3 4 4 2 2" xfId="18676"/>
    <cellStyle name="Heading 1 2 3 3 3 4 4 3" xfId="18677"/>
    <cellStyle name="Heading 1 2 3 3 3 4 5" xfId="18678"/>
    <cellStyle name="Heading 1 2 3 3 3 4 5 2" xfId="18679"/>
    <cellStyle name="Heading 1 2 3 3 3 4 5 2 2" xfId="18680"/>
    <cellStyle name="Heading 1 2 3 3 3 4 5 3" xfId="18681"/>
    <cellStyle name="Heading 1 2 3 3 3 4 6" xfId="18682"/>
    <cellStyle name="Heading 1 2 3 3 3 4 6 2" xfId="18683"/>
    <cellStyle name="Heading 1 2 3 3 3 4 6 2 2" xfId="18684"/>
    <cellStyle name="Heading 1 2 3 3 3 4 6 3" xfId="18685"/>
    <cellStyle name="Heading 1 2 3 3 3 4 7" xfId="18686"/>
    <cellStyle name="Heading 1 2 3 3 3 4 7 2" xfId="18687"/>
    <cellStyle name="Heading 1 2 3 3 3 4 7 2 2" xfId="18688"/>
    <cellStyle name="Heading 1 2 3 3 3 4 7 3" xfId="18689"/>
    <cellStyle name="Heading 1 2 3 3 3 4 8" xfId="18690"/>
    <cellStyle name="Heading 1 2 3 3 3 4 8 2" xfId="18691"/>
    <cellStyle name="Heading 1 2 3 3 3 4 9" xfId="18692"/>
    <cellStyle name="Heading 1 2 3 3 3 5" xfId="18693"/>
    <cellStyle name="Heading 1 2 3 3 3 5 2" xfId="18694"/>
    <cellStyle name="Heading 1 2 3 3 3 5 2 2" xfId="18695"/>
    <cellStyle name="Heading 1 2 3 3 3 5 2 2 2" xfId="18696"/>
    <cellStyle name="Heading 1 2 3 3 3 5 2 3" xfId="18697"/>
    <cellStyle name="Heading 1 2 3 3 3 5 3" xfId="18698"/>
    <cellStyle name="Heading 1 2 3 3 3 5 3 2" xfId="18699"/>
    <cellStyle name="Heading 1 2 3 3 3 5 3 2 2" xfId="18700"/>
    <cellStyle name="Heading 1 2 3 3 3 5 3 3" xfId="18701"/>
    <cellStyle name="Heading 1 2 3 3 3 5 4" xfId="18702"/>
    <cellStyle name="Heading 1 2 3 3 3 5 4 2" xfId="18703"/>
    <cellStyle name="Heading 1 2 3 3 3 5 4 2 2" xfId="18704"/>
    <cellStyle name="Heading 1 2 3 3 3 5 4 3" xfId="18705"/>
    <cellStyle name="Heading 1 2 3 3 3 5 5" xfId="18706"/>
    <cellStyle name="Heading 1 2 3 3 3 5 5 2" xfId="18707"/>
    <cellStyle name="Heading 1 2 3 3 3 5 5 2 2" xfId="18708"/>
    <cellStyle name="Heading 1 2 3 3 3 5 5 3" xfId="18709"/>
    <cellStyle name="Heading 1 2 3 3 3 5 6" xfId="18710"/>
    <cellStyle name="Heading 1 2 3 3 3 5 6 2" xfId="18711"/>
    <cellStyle name="Heading 1 2 3 3 3 5 6 2 2" xfId="18712"/>
    <cellStyle name="Heading 1 2 3 3 3 5 6 3" xfId="18713"/>
    <cellStyle name="Heading 1 2 3 3 3 5 7" xfId="18714"/>
    <cellStyle name="Heading 1 2 3 3 3 5 7 2" xfId="18715"/>
    <cellStyle name="Heading 1 2 3 3 3 5 7 2 2" xfId="18716"/>
    <cellStyle name="Heading 1 2 3 3 3 5 7 3" xfId="18717"/>
    <cellStyle name="Heading 1 2 3 3 3 5 8" xfId="18718"/>
    <cellStyle name="Heading 1 2 3 3 3 5 8 2" xfId="18719"/>
    <cellStyle name="Heading 1 2 3 3 3 5 9" xfId="18720"/>
    <cellStyle name="Heading 1 2 3 3 3 6" xfId="18721"/>
    <cellStyle name="Heading 1 2 3 3 3 6 2" xfId="18722"/>
    <cellStyle name="Heading 1 2 3 3 3 6 2 2" xfId="18723"/>
    <cellStyle name="Heading 1 2 3 3 3 6 2 2 2" xfId="18724"/>
    <cellStyle name="Heading 1 2 3 3 3 6 2 3" xfId="18725"/>
    <cellStyle name="Heading 1 2 3 3 3 6 3" xfId="18726"/>
    <cellStyle name="Heading 1 2 3 3 3 6 3 2" xfId="18727"/>
    <cellStyle name="Heading 1 2 3 3 3 6 3 2 2" xfId="18728"/>
    <cellStyle name="Heading 1 2 3 3 3 6 3 3" xfId="18729"/>
    <cellStyle name="Heading 1 2 3 3 3 6 4" xfId="18730"/>
    <cellStyle name="Heading 1 2 3 3 3 6 4 2" xfId="18731"/>
    <cellStyle name="Heading 1 2 3 3 3 6 4 2 2" xfId="18732"/>
    <cellStyle name="Heading 1 2 3 3 3 6 4 3" xfId="18733"/>
    <cellStyle name="Heading 1 2 3 3 3 6 5" xfId="18734"/>
    <cellStyle name="Heading 1 2 3 3 3 6 5 2" xfId="18735"/>
    <cellStyle name="Heading 1 2 3 3 3 6 5 2 2" xfId="18736"/>
    <cellStyle name="Heading 1 2 3 3 3 6 5 3" xfId="18737"/>
    <cellStyle name="Heading 1 2 3 3 3 6 6" xfId="18738"/>
    <cellStyle name="Heading 1 2 3 3 3 6 6 2" xfId="18739"/>
    <cellStyle name="Heading 1 2 3 3 3 6 6 2 2" xfId="18740"/>
    <cellStyle name="Heading 1 2 3 3 3 6 6 3" xfId="18741"/>
    <cellStyle name="Heading 1 2 3 3 3 6 7" xfId="18742"/>
    <cellStyle name="Heading 1 2 3 3 3 6 7 2" xfId="18743"/>
    <cellStyle name="Heading 1 2 3 3 3 6 7 2 2" xfId="18744"/>
    <cellStyle name="Heading 1 2 3 3 3 6 7 3" xfId="18745"/>
    <cellStyle name="Heading 1 2 3 3 3 6 8" xfId="18746"/>
    <cellStyle name="Heading 1 2 3 3 3 6 8 2" xfId="18747"/>
    <cellStyle name="Heading 1 2 3 3 3 6 9" xfId="18748"/>
    <cellStyle name="Heading 1 2 3 3 3 7" xfId="18749"/>
    <cellStyle name="Heading 1 2 3 3 3 7 2" xfId="18750"/>
    <cellStyle name="Heading 1 2 3 3 3 7 2 2" xfId="18751"/>
    <cellStyle name="Heading 1 2 3 3 3 7 2 2 2" xfId="18752"/>
    <cellStyle name="Heading 1 2 3 3 3 7 2 3" xfId="18753"/>
    <cellStyle name="Heading 1 2 3 3 3 7 3" xfId="18754"/>
    <cellStyle name="Heading 1 2 3 3 3 7 3 2" xfId="18755"/>
    <cellStyle name="Heading 1 2 3 3 3 7 3 2 2" xfId="18756"/>
    <cellStyle name="Heading 1 2 3 3 3 7 3 3" xfId="18757"/>
    <cellStyle name="Heading 1 2 3 3 3 7 4" xfId="18758"/>
    <cellStyle name="Heading 1 2 3 3 3 7 4 2" xfId="18759"/>
    <cellStyle name="Heading 1 2 3 3 3 7 4 2 2" xfId="18760"/>
    <cellStyle name="Heading 1 2 3 3 3 7 4 3" xfId="18761"/>
    <cellStyle name="Heading 1 2 3 3 3 7 5" xfId="18762"/>
    <cellStyle name="Heading 1 2 3 3 3 7 5 2" xfId="18763"/>
    <cellStyle name="Heading 1 2 3 3 3 7 5 2 2" xfId="18764"/>
    <cellStyle name="Heading 1 2 3 3 3 7 5 3" xfId="18765"/>
    <cellStyle name="Heading 1 2 3 3 3 7 6" xfId="18766"/>
    <cellStyle name="Heading 1 2 3 3 3 7 6 2" xfId="18767"/>
    <cellStyle name="Heading 1 2 3 3 3 7 6 2 2" xfId="18768"/>
    <cellStyle name="Heading 1 2 3 3 3 7 6 3" xfId="18769"/>
    <cellStyle name="Heading 1 2 3 3 3 7 7" xfId="18770"/>
    <cellStyle name="Heading 1 2 3 3 3 7 7 2" xfId="18771"/>
    <cellStyle name="Heading 1 2 3 3 3 7 7 2 2" xfId="18772"/>
    <cellStyle name="Heading 1 2 3 3 3 7 7 3" xfId="18773"/>
    <cellStyle name="Heading 1 2 3 3 3 7 8" xfId="18774"/>
    <cellStyle name="Heading 1 2 3 3 3 7 8 2" xfId="18775"/>
    <cellStyle name="Heading 1 2 3 3 3 7 9" xfId="18776"/>
    <cellStyle name="Heading 1 2 3 3 3 8" xfId="18777"/>
    <cellStyle name="Heading 1 2 3 3 3 8 2" xfId="18778"/>
    <cellStyle name="Heading 1 2 3 3 3 8 2 2" xfId="18779"/>
    <cellStyle name="Heading 1 2 3 3 3 8 2 2 2" xfId="18780"/>
    <cellStyle name="Heading 1 2 3 3 3 8 2 3" xfId="18781"/>
    <cellStyle name="Heading 1 2 3 3 3 8 3" xfId="18782"/>
    <cellStyle name="Heading 1 2 3 3 3 8 3 2" xfId="18783"/>
    <cellStyle name="Heading 1 2 3 3 3 8 3 2 2" xfId="18784"/>
    <cellStyle name="Heading 1 2 3 3 3 8 3 3" xfId="18785"/>
    <cellStyle name="Heading 1 2 3 3 3 8 4" xfId="18786"/>
    <cellStyle name="Heading 1 2 3 3 3 8 4 2" xfId="18787"/>
    <cellStyle name="Heading 1 2 3 3 3 8 4 2 2" xfId="18788"/>
    <cellStyle name="Heading 1 2 3 3 3 8 4 3" xfId="18789"/>
    <cellStyle name="Heading 1 2 3 3 3 8 5" xfId="18790"/>
    <cellStyle name="Heading 1 2 3 3 3 8 5 2" xfId="18791"/>
    <cellStyle name="Heading 1 2 3 3 3 8 5 2 2" xfId="18792"/>
    <cellStyle name="Heading 1 2 3 3 3 8 5 3" xfId="18793"/>
    <cellStyle name="Heading 1 2 3 3 3 8 6" xfId="18794"/>
    <cellStyle name="Heading 1 2 3 3 3 8 6 2" xfId="18795"/>
    <cellStyle name="Heading 1 2 3 3 3 8 6 2 2" xfId="18796"/>
    <cellStyle name="Heading 1 2 3 3 3 8 6 3" xfId="18797"/>
    <cellStyle name="Heading 1 2 3 3 3 8 7" xfId="18798"/>
    <cellStyle name="Heading 1 2 3 3 3 8 7 2" xfId="18799"/>
    <cellStyle name="Heading 1 2 3 3 3 8 7 2 2" xfId="18800"/>
    <cellStyle name="Heading 1 2 3 3 3 8 7 3" xfId="18801"/>
    <cellStyle name="Heading 1 2 3 3 3 8 8" xfId="18802"/>
    <cellStyle name="Heading 1 2 3 3 3 8 8 2" xfId="18803"/>
    <cellStyle name="Heading 1 2 3 3 3 8 9" xfId="18804"/>
    <cellStyle name="Heading 1 2 3 3 3 9" xfId="18805"/>
    <cellStyle name="Heading 1 2 3 3 3 9 2" xfId="18806"/>
    <cellStyle name="Heading 1 2 3 3 3 9 2 2" xfId="18807"/>
    <cellStyle name="Heading 1 2 3 3 3 9 3" xfId="18808"/>
    <cellStyle name="Heading 1 2 3 3 4" xfId="18809"/>
    <cellStyle name="Heading 1 2 3 3 4 2" xfId="18810"/>
    <cellStyle name="Heading 1 2 3 3 4 2 2" xfId="18811"/>
    <cellStyle name="Heading 1 2 3 3 4 3" xfId="18812"/>
    <cellStyle name="Heading 1 2 3 3 5" xfId="18813"/>
    <cellStyle name="Heading 1 2 3 3 5 2" xfId="18814"/>
    <cellStyle name="Heading 1 2 3 3 6" xfId="18815"/>
    <cellStyle name="Heading 1 2 3 4" xfId="18816"/>
    <cellStyle name="Heading 1 2 3 4 2" xfId="18817"/>
    <cellStyle name="Heading 1 2 3 4 2 10" xfId="18818"/>
    <cellStyle name="Heading 1 2 3 4 2 10 2" xfId="18819"/>
    <cellStyle name="Heading 1 2 3 4 2 10 2 2" xfId="18820"/>
    <cellStyle name="Heading 1 2 3 4 2 10 3" xfId="18821"/>
    <cellStyle name="Heading 1 2 3 4 2 11" xfId="18822"/>
    <cellStyle name="Heading 1 2 3 4 2 11 2" xfId="18823"/>
    <cellStyle name="Heading 1 2 3 4 2 11 2 2" xfId="18824"/>
    <cellStyle name="Heading 1 2 3 4 2 11 3" xfId="18825"/>
    <cellStyle name="Heading 1 2 3 4 2 12" xfId="18826"/>
    <cellStyle name="Heading 1 2 3 4 2 12 2" xfId="18827"/>
    <cellStyle name="Heading 1 2 3 4 2 12 2 2" xfId="18828"/>
    <cellStyle name="Heading 1 2 3 4 2 12 3" xfId="18829"/>
    <cellStyle name="Heading 1 2 3 4 2 13" xfId="18830"/>
    <cellStyle name="Heading 1 2 3 4 2 13 2" xfId="18831"/>
    <cellStyle name="Heading 1 2 3 4 2 13 2 2" xfId="18832"/>
    <cellStyle name="Heading 1 2 3 4 2 13 3" xfId="18833"/>
    <cellStyle name="Heading 1 2 3 4 2 14" xfId="18834"/>
    <cellStyle name="Heading 1 2 3 4 2 14 2" xfId="18835"/>
    <cellStyle name="Heading 1 2 3 4 2 14 2 2" xfId="18836"/>
    <cellStyle name="Heading 1 2 3 4 2 14 3" xfId="18837"/>
    <cellStyle name="Heading 1 2 3 4 2 15" xfId="18838"/>
    <cellStyle name="Heading 1 2 3 4 2 15 2" xfId="18839"/>
    <cellStyle name="Heading 1 2 3 4 2 15 2 2" xfId="18840"/>
    <cellStyle name="Heading 1 2 3 4 2 15 3" xfId="18841"/>
    <cellStyle name="Heading 1 2 3 4 2 16" xfId="18842"/>
    <cellStyle name="Heading 1 2 3 4 2 16 2" xfId="18843"/>
    <cellStyle name="Heading 1 2 3 4 2 16 2 2" xfId="18844"/>
    <cellStyle name="Heading 1 2 3 4 2 16 3" xfId="18845"/>
    <cellStyle name="Heading 1 2 3 4 2 17" xfId="18846"/>
    <cellStyle name="Heading 1 2 3 4 2 17 2" xfId="18847"/>
    <cellStyle name="Heading 1 2 3 4 2 17 2 2" xfId="18848"/>
    <cellStyle name="Heading 1 2 3 4 2 17 3" xfId="18849"/>
    <cellStyle name="Heading 1 2 3 4 2 18" xfId="18850"/>
    <cellStyle name="Heading 1 2 3 4 2 18 2" xfId="18851"/>
    <cellStyle name="Heading 1 2 3 4 2 18 2 2" xfId="18852"/>
    <cellStyle name="Heading 1 2 3 4 2 18 3" xfId="18853"/>
    <cellStyle name="Heading 1 2 3 4 2 19" xfId="18854"/>
    <cellStyle name="Heading 1 2 3 4 2 19 2" xfId="18855"/>
    <cellStyle name="Heading 1 2 3 4 2 19 2 2" xfId="18856"/>
    <cellStyle name="Heading 1 2 3 4 2 19 3" xfId="18857"/>
    <cellStyle name="Heading 1 2 3 4 2 2" xfId="18858"/>
    <cellStyle name="Heading 1 2 3 4 2 2 10" xfId="18859"/>
    <cellStyle name="Heading 1 2 3 4 2 2 10 2" xfId="18860"/>
    <cellStyle name="Heading 1 2 3 4 2 2 10 2 2" xfId="18861"/>
    <cellStyle name="Heading 1 2 3 4 2 2 10 3" xfId="18862"/>
    <cellStyle name="Heading 1 2 3 4 2 2 11" xfId="18863"/>
    <cellStyle name="Heading 1 2 3 4 2 2 11 2" xfId="18864"/>
    <cellStyle name="Heading 1 2 3 4 2 2 11 2 2" xfId="18865"/>
    <cellStyle name="Heading 1 2 3 4 2 2 11 3" xfId="18866"/>
    <cellStyle name="Heading 1 2 3 4 2 2 12" xfId="18867"/>
    <cellStyle name="Heading 1 2 3 4 2 2 12 2" xfId="18868"/>
    <cellStyle name="Heading 1 2 3 4 2 2 12 2 2" xfId="18869"/>
    <cellStyle name="Heading 1 2 3 4 2 2 12 3" xfId="18870"/>
    <cellStyle name="Heading 1 2 3 4 2 2 13" xfId="18871"/>
    <cellStyle name="Heading 1 2 3 4 2 2 13 2" xfId="18872"/>
    <cellStyle name="Heading 1 2 3 4 2 2 13 2 2" xfId="18873"/>
    <cellStyle name="Heading 1 2 3 4 2 2 13 3" xfId="18874"/>
    <cellStyle name="Heading 1 2 3 4 2 2 14" xfId="18875"/>
    <cellStyle name="Heading 1 2 3 4 2 2 14 2" xfId="18876"/>
    <cellStyle name="Heading 1 2 3 4 2 2 14 2 2" xfId="18877"/>
    <cellStyle name="Heading 1 2 3 4 2 2 14 3" xfId="18878"/>
    <cellStyle name="Heading 1 2 3 4 2 2 15" xfId="18879"/>
    <cellStyle name="Heading 1 2 3 4 2 2 15 2" xfId="18880"/>
    <cellStyle name="Heading 1 2 3 4 2 2 15 2 2" xfId="18881"/>
    <cellStyle name="Heading 1 2 3 4 2 2 15 3" xfId="18882"/>
    <cellStyle name="Heading 1 2 3 4 2 2 16" xfId="18883"/>
    <cellStyle name="Heading 1 2 3 4 2 2 16 2" xfId="18884"/>
    <cellStyle name="Heading 1 2 3 4 2 2 16 2 2" xfId="18885"/>
    <cellStyle name="Heading 1 2 3 4 2 2 16 3" xfId="18886"/>
    <cellStyle name="Heading 1 2 3 4 2 2 17" xfId="18887"/>
    <cellStyle name="Heading 1 2 3 4 2 2 17 2" xfId="18888"/>
    <cellStyle name="Heading 1 2 3 4 2 2 17 2 2" xfId="18889"/>
    <cellStyle name="Heading 1 2 3 4 2 2 17 3" xfId="18890"/>
    <cellStyle name="Heading 1 2 3 4 2 2 18" xfId="18891"/>
    <cellStyle name="Heading 1 2 3 4 2 2 18 2" xfId="18892"/>
    <cellStyle name="Heading 1 2 3 4 2 2 18 2 2" xfId="18893"/>
    <cellStyle name="Heading 1 2 3 4 2 2 18 3" xfId="18894"/>
    <cellStyle name="Heading 1 2 3 4 2 2 19" xfId="18895"/>
    <cellStyle name="Heading 1 2 3 4 2 2 19 2" xfId="18896"/>
    <cellStyle name="Heading 1 2 3 4 2 2 2" xfId="18897"/>
    <cellStyle name="Heading 1 2 3 4 2 2 2 2" xfId="18898"/>
    <cellStyle name="Heading 1 2 3 4 2 2 2 2 2" xfId="18899"/>
    <cellStyle name="Heading 1 2 3 4 2 2 2 2 2 2" xfId="18900"/>
    <cellStyle name="Heading 1 2 3 4 2 2 2 2 3" xfId="18901"/>
    <cellStyle name="Heading 1 2 3 4 2 2 2 3" xfId="18902"/>
    <cellStyle name="Heading 1 2 3 4 2 2 2 3 2" xfId="18903"/>
    <cellStyle name="Heading 1 2 3 4 2 2 2 3 2 2" xfId="18904"/>
    <cellStyle name="Heading 1 2 3 4 2 2 2 3 3" xfId="18905"/>
    <cellStyle name="Heading 1 2 3 4 2 2 2 4" xfId="18906"/>
    <cellStyle name="Heading 1 2 3 4 2 2 2 4 2" xfId="18907"/>
    <cellStyle name="Heading 1 2 3 4 2 2 2 4 2 2" xfId="18908"/>
    <cellStyle name="Heading 1 2 3 4 2 2 2 4 3" xfId="18909"/>
    <cellStyle name="Heading 1 2 3 4 2 2 2 5" xfId="18910"/>
    <cellStyle name="Heading 1 2 3 4 2 2 2 5 2" xfId="18911"/>
    <cellStyle name="Heading 1 2 3 4 2 2 2 5 2 2" xfId="18912"/>
    <cellStyle name="Heading 1 2 3 4 2 2 2 5 3" xfId="18913"/>
    <cellStyle name="Heading 1 2 3 4 2 2 2 6" xfId="18914"/>
    <cellStyle name="Heading 1 2 3 4 2 2 2 6 2" xfId="18915"/>
    <cellStyle name="Heading 1 2 3 4 2 2 2 6 2 2" xfId="18916"/>
    <cellStyle name="Heading 1 2 3 4 2 2 2 6 3" xfId="18917"/>
    <cellStyle name="Heading 1 2 3 4 2 2 2 7" xfId="18918"/>
    <cellStyle name="Heading 1 2 3 4 2 2 2 7 2" xfId="18919"/>
    <cellStyle name="Heading 1 2 3 4 2 2 2 7 2 2" xfId="18920"/>
    <cellStyle name="Heading 1 2 3 4 2 2 2 7 3" xfId="18921"/>
    <cellStyle name="Heading 1 2 3 4 2 2 2 8" xfId="18922"/>
    <cellStyle name="Heading 1 2 3 4 2 2 2 8 2" xfId="18923"/>
    <cellStyle name="Heading 1 2 3 4 2 2 2 9" xfId="18924"/>
    <cellStyle name="Heading 1 2 3 4 2 2 20" xfId="18925"/>
    <cellStyle name="Heading 1 2 3 4 2 2 20 2" xfId="18926"/>
    <cellStyle name="Heading 1 2 3 4 2 2 21" xfId="18927"/>
    <cellStyle name="Heading 1 2 3 4 2 2 21 2" xfId="18928"/>
    <cellStyle name="Heading 1 2 3 4 2 2 22" xfId="18929"/>
    <cellStyle name="Heading 1 2 3 4 2 2 3" xfId="18930"/>
    <cellStyle name="Heading 1 2 3 4 2 2 3 2" xfId="18931"/>
    <cellStyle name="Heading 1 2 3 4 2 2 3 2 2" xfId="18932"/>
    <cellStyle name="Heading 1 2 3 4 2 2 3 2 2 2" xfId="18933"/>
    <cellStyle name="Heading 1 2 3 4 2 2 3 2 3" xfId="18934"/>
    <cellStyle name="Heading 1 2 3 4 2 2 3 3" xfId="18935"/>
    <cellStyle name="Heading 1 2 3 4 2 2 3 3 2" xfId="18936"/>
    <cellStyle name="Heading 1 2 3 4 2 2 3 3 2 2" xfId="18937"/>
    <cellStyle name="Heading 1 2 3 4 2 2 3 3 3" xfId="18938"/>
    <cellStyle name="Heading 1 2 3 4 2 2 3 4" xfId="18939"/>
    <cellStyle name="Heading 1 2 3 4 2 2 3 4 2" xfId="18940"/>
    <cellStyle name="Heading 1 2 3 4 2 2 3 4 2 2" xfId="18941"/>
    <cellStyle name="Heading 1 2 3 4 2 2 3 4 3" xfId="18942"/>
    <cellStyle name="Heading 1 2 3 4 2 2 3 5" xfId="18943"/>
    <cellStyle name="Heading 1 2 3 4 2 2 3 5 2" xfId="18944"/>
    <cellStyle name="Heading 1 2 3 4 2 2 3 5 2 2" xfId="18945"/>
    <cellStyle name="Heading 1 2 3 4 2 2 3 5 3" xfId="18946"/>
    <cellStyle name="Heading 1 2 3 4 2 2 3 6" xfId="18947"/>
    <cellStyle name="Heading 1 2 3 4 2 2 3 6 2" xfId="18948"/>
    <cellStyle name="Heading 1 2 3 4 2 2 3 6 2 2" xfId="18949"/>
    <cellStyle name="Heading 1 2 3 4 2 2 3 6 3" xfId="18950"/>
    <cellStyle name="Heading 1 2 3 4 2 2 3 7" xfId="18951"/>
    <cellStyle name="Heading 1 2 3 4 2 2 3 7 2" xfId="18952"/>
    <cellStyle name="Heading 1 2 3 4 2 2 3 7 2 2" xfId="18953"/>
    <cellStyle name="Heading 1 2 3 4 2 2 3 7 3" xfId="18954"/>
    <cellStyle name="Heading 1 2 3 4 2 2 3 8" xfId="18955"/>
    <cellStyle name="Heading 1 2 3 4 2 2 3 8 2" xfId="18956"/>
    <cellStyle name="Heading 1 2 3 4 2 2 3 9" xfId="18957"/>
    <cellStyle name="Heading 1 2 3 4 2 2 4" xfId="18958"/>
    <cellStyle name="Heading 1 2 3 4 2 2 4 2" xfId="18959"/>
    <cellStyle name="Heading 1 2 3 4 2 2 4 2 2" xfId="18960"/>
    <cellStyle name="Heading 1 2 3 4 2 2 4 2 2 2" xfId="18961"/>
    <cellStyle name="Heading 1 2 3 4 2 2 4 2 3" xfId="18962"/>
    <cellStyle name="Heading 1 2 3 4 2 2 4 3" xfId="18963"/>
    <cellStyle name="Heading 1 2 3 4 2 2 4 3 2" xfId="18964"/>
    <cellStyle name="Heading 1 2 3 4 2 2 4 3 2 2" xfId="18965"/>
    <cellStyle name="Heading 1 2 3 4 2 2 4 3 3" xfId="18966"/>
    <cellStyle name="Heading 1 2 3 4 2 2 4 4" xfId="18967"/>
    <cellStyle name="Heading 1 2 3 4 2 2 4 4 2" xfId="18968"/>
    <cellStyle name="Heading 1 2 3 4 2 2 4 4 2 2" xfId="18969"/>
    <cellStyle name="Heading 1 2 3 4 2 2 4 4 3" xfId="18970"/>
    <cellStyle name="Heading 1 2 3 4 2 2 4 5" xfId="18971"/>
    <cellStyle name="Heading 1 2 3 4 2 2 4 5 2" xfId="18972"/>
    <cellStyle name="Heading 1 2 3 4 2 2 4 5 2 2" xfId="18973"/>
    <cellStyle name="Heading 1 2 3 4 2 2 4 5 3" xfId="18974"/>
    <cellStyle name="Heading 1 2 3 4 2 2 4 6" xfId="18975"/>
    <cellStyle name="Heading 1 2 3 4 2 2 4 6 2" xfId="18976"/>
    <cellStyle name="Heading 1 2 3 4 2 2 4 6 2 2" xfId="18977"/>
    <cellStyle name="Heading 1 2 3 4 2 2 4 6 3" xfId="18978"/>
    <cellStyle name="Heading 1 2 3 4 2 2 4 7" xfId="18979"/>
    <cellStyle name="Heading 1 2 3 4 2 2 4 7 2" xfId="18980"/>
    <cellStyle name="Heading 1 2 3 4 2 2 4 7 2 2" xfId="18981"/>
    <cellStyle name="Heading 1 2 3 4 2 2 4 7 3" xfId="18982"/>
    <cellStyle name="Heading 1 2 3 4 2 2 4 8" xfId="18983"/>
    <cellStyle name="Heading 1 2 3 4 2 2 4 8 2" xfId="18984"/>
    <cellStyle name="Heading 1 2 3 4 2 2 4 9" xfId="18985"/>
    <cellStyle name="Heading 1 2 3 4 2 2 5" xfId="18986"/>
    <cellStyle name="Heading 1 2 3 4 2 2 5 2" xfId="18987"/>
    <cellStyle name="Heading 1 2 3 4 2 2 5 2 2" xfId="18988"/>
    <cellStyle name="Heading 1 2 3 4 2 2 5 2 2 2" xfId="18989"/>
    <cellStyle name="Heading 1 2 3 4 2 2 5 2 3" xfId="18990"/>
    <cellStyle name="Heading 1 2 3 4 2 2 5 3" xfId="18991"/>
    <cellStyle name="Heading 1 2 3 4 2 2 5 3 2" xfId="18992"/>
    <cellStyle name="Heading 1 2 3 4 2 2 5 3 2 2" xfId="18993"/>
    <cellStyle name="Heading 1 2 3 4 2 2 5 3 3" xfId="18994"/>
    <cellStyle name="Heading 1 2 3 4 2 2 5 4" xfId="18995"/>
    <cellStyle name="Heading 1 2 3 4 2 2 5 4 2" xfId="18996"/>
    <cellStyle name="Heading 1 2 3 4 2 2 5 4 2 2" xfId="18997"/>
    <cellStyle name="Heading 1 2 3 4 2 2 5 4 3" xfId="18998"/>
    <cellStyle name="Heading 1 2 3 4 2 2 5 5" xfId="18999"/>
    <cellStyle name="Heading 1 2 3 4 2 2 5 5 2" xfId="19000"/>
    <cellStyle name="Heading 1 2 3 4 2 2 5 5 2 2" xfId="19001"/>
    <cellStyle name="Heading 1 2 3 4 2 2 5 5 3" xfId="19002"/>
    <cellStyle name="Heading 1 2 3 4 2 2 5 6" xfId="19003"/>
    <cellStyle name="Heading 1 2 3 4 2 2 5 6 2" xfId="19004"/>
    <cellStyle name="Heading 1 2 3 4 2 2 5 6 2 2" xfId="19005"/>
    <cellStyle name="Heading 1 2 3 4 2 2 5 6 3" xfId="19006"/>
    <cellStyle name="Heading 1 2 3 4 2 2 5 7" xfId="19007"/>
    <cellStyle name="Heading 1 2 3 4 2 2 5 7 2" xfId="19008"/>
    <cellStyle name="Heading 1 2 3 4 2 2 5 7 2 2" xfId="19009"/>
    <cellStyle name="Heading 1 2 3 4 2 2 5 7 3" xfId="19010"/>
    <cellStyle name="Heading 1 2 3 4 2 2 5 8" xfId="19011"/>
    <cellStyle name="Heading 1 2 3 4 2 2 5 8 2" xfId="19012"/>
    <cellStyle name="Heading 1 2 3 4 2 2 5 9" xfId="19013"/>
    <cellStyle name="Heading 1 2 3 4 2 2 6" xfId="19014"/>
    <cellStyle name="Heading 1 2 3 4 2 2 6 2" xfId="19015"/>
    <cellStyle name="Heading 1 2 3 4 2 2 6 2 2" xfId="19016"/>
    <cellStyle name="Heading 1 2 3 4 2 2 6 2 2 2" xfId="19017"/>
    <cellStyle name="Heading 1 2 3 4 2 2 6 2 3" xfId="19018"/>
    <cellStyle name="Heading 1 2 3 4 2 2 6 3" xfId="19019"/>
    <cellStyle name="Heading 1 2 3 4 2 2 6 3 2" xfId="19020"/>
    <cellStyle name="Heading 1 2 3 4 2 2 6 3 2 2" xfId="19021"/>
    <cellStyle name="Heading 1 2 3 4 2 2 6 3 3" xfId="19022"/>
    <cellStyle name="Heading 1 2 3 4 2 2 6 4" xfId="19023"/>
    <cellStyle name="Heading 1 2 3 4 2 2 6 4 2" xfId="19024"/>
    <cellStyle name="Heading 1 2 3 4 2 2 6 4 2 2" xfId="19025"/>
    <cellStyle name="Heading 1 2 3 4 2 2 6 4 3" xfId="19026"/>
    <cellStyle name="Heading 1 2 3 4 2 2 6 5" xfId="19027"/>
    <cellStyle name="Heading 1 2 3 4 2 2 6 5 2" xfId="19028"/>
    <cellStyle name="Heading 1 2 3 4 2 2 6 5 2 2" xfId="19029"/>
    <cellStyle name="Heading 1 2 3 4 2 2 6 5 3" xfId="19030"/>
    <cellStyle name="Heading 1 2 3 4 2 2 6 6" xfId="19031"/>
    <cellStyle name="Heading 1 2 3 4 2 2 6 6 2" xfId="19032"/>
    <cellStyle name="Heading 1 2 3 4 2 2 6 6 2 2" xfId="19033"/>
    <cellStyle name="Heading 1 2 3 4 2 2 6 6 3" xfId="19034"/>
    <cellStyle name="Heading 1 2 3 4 2 2 6 7" xfId="19035"/>
    <cellStyle name="Heading 1 2 3 4 2 2 6 7 2" xfId="19036"/>
    <cellStyle name="Heading 1 2 3 4 2 2 6 7 2 2" xfId="19037"/>
    <cellStyle name="Heading 1 2 3 4 2 2 6 7 3" xfId="19038"/>
    <cellStyle name="Heading 1 2 3 4 2 2 6 8" xfId="19039"/>
    <cellStyle name="Heading 1 2 3 4 2 2 6 8 2" xfId="19040"/>
    <cellStyle name="Heading 1 2 3 4 2 2 6 9" xfId="19041"/>
    <cellStyle name="Heading 1 2 3 4 2 2 7" xfId="19042"/>
    <cellStyle name="Heading 1 2 3 4 2 2 7 2" xfId="19043"/>
    <cellStyle name="Heading 1 2 3 4 2 2 7 2 2" xfId="19044"/>
    <cellStyle name="Heading 1 2 3 4 2 2 7 2 2 2" xfId="19045"/>
    <cellStyle name="Heading 1 2 3 4 2 2 7 2 3" xfId="19046"/>
    <cellStyle name="Heading 1 2 3 4 2 2 7 3" xfId="19047"/>
    <cellStyle name="Heading 1 2 3 4 2 2 7 3 2" xfId="19048"/>
    <cellStyle name="Heading 1 2 3 4 2 2 7 3 2 2" xfId="19049"/>
    <cellStyle name="Heading 1 2 3 4 2 2 7 3 3" xfId="19050"/>
    <cellStyle name="Heading 1 2 3 4 2 2 7 4" xfId="19051"/>
    <cellStyle name="Heading 1 2 3 4 2 2 7 4 2" xfId="19052"/>
    <cellStyle name="Heading 1 2 3 4 2 2 7 4 2 2" xfId="19053"/>
    <cellStyle name="Heading 1 2 3 4 2 2 7 4 3" xfId="19054"/>
    <cellStyle name="Heading 1 2 3 4 2 2 7 5" xfId="19055"/>
    <cellStyle name="Heading 1 2 3 4 2 2 7 5 2" xfId="19056"/>
    <cellStyle name="Heading 1 2 3 4 2 2 7 5 2 2" xfId="19057"/>
    <cellStyle name="Heading 1 2 3 4 2 2 7 5 3" xfId="19058"/>
    <cellStyle name="Heading 1 2 3 4 2 2 7 6" xfId="19059"/>
    <cellStyle name="Heading 1 2 3 4 2 2 7 6 2" xfId="19060"/>
    <cellStyle name="Heading 1 2 3 4 2 2 7 6 2 2" xfId="19061"/>
    <cellStyle name="Heading 1 2 3 4 2 2 7 6 3" xfId="19062"/>
    <cellStyle name="Heading 1 2 3 4 2 2 7 7" xfId="19063"/>
    <cellStyle name="Heading 1 2 3 4 2 2 7 7 2" xfId="19064"/>
    <cellStyle name="Heading 1 2 3 4 2 2 7 7 2 2" xfId="19065"/>
    <cellStyle name="Heading 1 2 3 4 2 2 7 7 3" xfId="19066"/>
    <cellStyle name="Heading 1 2 3 4 2 2 7 8" xfId="19067"/>
    <cellStyle name="Heading 1 2 3 4 2 2 7 8 2" xfId="19068"/>
    <cellStyle name="Heading 1 2 3 4 2 2 7 9" xfId="19069"/>
    <cellStyle name="Heading 1 2 3 4 2 2 8" xfId="19070"/>
    <cellStyle name="Heading 1 2 3 4 2 2 8 2" xfId="19071"/>
    <cellStyle name="Heading 1 2 3 4 2 2 8 2 2" xfId="19072"/>
    <cellStyle name="Heading 1 2 3 4 2 2 8 2 2 2" xfId="19073"/>
    <cellStyle name="Heading 1 2 3 4 2 2 8 2 3" xfId="19074"/>
    <cellStyle name="Heading 1 2 3 4 2 2 8 3" xfId="19075"/>
    <cellStyle name="Heading 1 2 3 4 2 2 8 3 2" xfId="19076"/>
    <cellStyle name="Heading 1 2 3 4 2 2 8 3 2 2" xfId="19077"/>
    <cellStyle name="Heading 1 2 3 4 2 2 8 3 3" xfId="19078"/>
    <cellStyle name="Heading 1 2 3 4 2 2 8 4" xfId="19079"/>
    <cellStyle name="Heading 1 2 3 4 2 2 8 4 2" xfId="19080"/>
    <cellStyle name="Heading 1 2 3 4 2 2 8 4 2 2" xfId="19081"/>
    <cellStyle name="Heading 1 2 3 4 2 2 8 4 3" xfId="19082"/>
    <cellStyle name="Heading 1 2 3 4 2 2 8 5" xfId="19083"/>
    <cellStyle name="Heading 1 2 3 4 2 2 8 5 2" xfId="19084"/>
    <cellStyle name="Heading 1 2 3 4 2 2 8 5 2 2" xfId="19085"/>
    <cellStyle name="Heading 1 2 3 4 2 2 8 5 3" xfId="19086"/>
    <cellStyle name="Heading 1 2 3 4 2 2 8 6" xfId="19087"/>
    <cellStyle name="Heading 1 2 3 4 2 2 8 6 2" xfId="19088"/>
    <cellStyle name="Heading 1 2 3 4 2 2 8 6 2 2" xfId="19089"/>
    <cellStyle name="Heading 1 2 3 4 2 2 8 6 3" xfId="19090"/>
    <cellStyle name="Heading 1 2 3 4 2 2 8 7" xfId="19091"/>
    <cellStyle name="Heading 1 2 3 4 2 2 8 7 2" xfId="19092"/>
    <cellStyle name="Heading 1 2 3 4 2 2 8 7 2 2" xfId="19093"/>
    <cellStyle name="Heading 1 2 3 4 2 2 8 7 3" xfId="19094"/>
    <cellStyle name="Heading 1 2 3 4 2 2 8 8" xfId="19095"/>
    <cellStyle name="Heading 1 2 3 4 2 2 8 8 2" xfId="19096"/>
    <cellStyle name="Heading 1 2 3 4 2 2 8 9" xfId="19097"/>
    <cellStyle name="Heading 1 2 3 4 2 2 9" xfId="19098"/>
    <cellStyle name="Heading 1 2 3 4 2 2 9 2" xfId="19099"/>
    <cellStyle name="Heading 1 2 3 4 2 2 9 2 2" xfId="19100"/>
    <cellStyle name="Heading 1 2 3 4 2 2 9 3" xfId="19101"/>
    <cellStyle name="Heading 1 2 3 4 2 20" xfId="19102"/>
    <cellStyle name="Heading 1 2 3 4 2 20 2" xfId="19103"/>
    <cellStyle name="Heading 1 2 3 4 2 21" xfId="19104"/>
    <cellStyle name="Heading 1 2 3 4 2 21 2" xfId="19105"/>
    <cellStyle name="Heading 1 2 3 4 2 22" xfId="19106"/>
    <cellStyle name="Heading 1 2 3 4 2 22 2" xfId="19107"/>
    <cellStyle name="Heading 1 2 3 4 2 23" xfId="19108"/>
    <cellStyle name="Heading 1 2 3 4 2 3" xfId="19109"/>
    <cellStyle name="Heading 1 2 3 4 2 3 2" xfId="19110"/>
    <cellStyle name="Heading 1 2 3 4 2 3 2 2" xfId="19111"/>
    <cellStyle name="Heading 1 2 3 4 2 3 2 2 2" xfId="19112"/>
    <cellStyle name="Heading 1 2 3 4 2 3 2 3" xfId="19113"/>
    <cellStyle name="Heading 1 2 3 4 2 3 3" xfId="19114"/>
    <cellStyle name="Heading 1 2 3 4 2 3 3 2" xfId="19115"/>
    <cellStyle name="Heading 1 2 3 4 2 3 3 2 2" xfId="19116"/>
    <cellStyle name="Heading 1 2 3 4 2 3 3 3" xfId="19117"/>
    <cellStyle name="Heading 1 2 3 4 2 3 4" xfId="19118"/>
    <cellStyle name="Heading 1 2 3 4 2 3 4 2" xfId="19119"/>
    <cellStyle name="Heading 1 2 3 4 2 3 4 2 2" xfId="19120"/>
    <cellStyle name="Heading 1 2 3 4 2 3 4 3" xfId="19121"/>
    <cellStyle name="Heading 1 2 3 4 2 3 5" xfId="19122"/>
    <cellStyle name="Heading 1 2 3 4 2 3 5 2" xfId="19123"/>
    <cellStyle name="Heading 1 2 3 4 2 3 5 2 2" xfId="19124"/>
    <cellStyle name="Heading 1 2 3 4 2 3 5 3" xfId="19125"/>
    <cellStyle name="Heading 1 2 3 4 2 3 6" xfId="19126"/>
    <cellStyle name="Heading 1 2 3 4 2 3 6 2" xfId="19127"/>
    <cellStyle name="Heading 1 2 3 4 2 3 6 2 2" xfId="19128"/>
    <cellStyle name="Heading 1 2 3 4 2 3 6 3" xfId="19129"/>
    <cellStyle name="Heading 1 2 3 4 2 3 7" xfId="19130"/>
    <cellStyle name="Heading 1 2 3 4 2 3 7 2" xfId="19131"/>
    <cellStyle name="Heading 1 2 3 4 2 3 7 2 2" xfId="19132"/>
    <cellStyle name="Heading 1 2 3 4 2 3 7 3" xfId="19133"/>
    <cellStyle name="Heading 1 2 3 4 2 3 8" xfId="19134"/>
    <cellStyle name="Heading 1 2 3 4 2 3 8 2" xfId="19135"/>
    <cellStyle name="Heading 1 2 3 4 2 3 9" xfId="19136"/>
    <cellStyle name="Heading 1 2 3 4 2 4" xfId="19137"/>
    <cellStyle name="Heading 1 2 3 4 2 4 2" xfId="19138"/>
    <cellStyle name="Heading 1 2 3 4 2 4 2 2" xfId="19139"/>
    <cellStyle name="Heading 1 2 3 4 2 4 2 2 2" xfId="19140"/>
    <cellStyle name="Heading 1 2 3 4 2 4 2 3" xfId="19141"/>
    <cellStyle name="Heading 1 2 3 4 2 4 3" xfId="19142"/>
    <cellStyle name="Heading 1 2 3 4 2 4 3 2" xfId="19143"/>
    <cellStyle name="Heading 1 2 3 4 2 4 3 2 2" xfId="19144"/>
    <cellStyle name="Heading 1 2 3 4 2 4 3 3" xfId="19145"/>
    <cellStyle name="Heading 1 2 3 4 2 4 4" xfId="19146"/>
    <cellStyle name="Heading 1 2 3 4 2 4 4 2" xfId="19147"/>
    <cellStyle name="Heading 1 2 3 4 2 4 4 2 2" xfId="19148"/>
    <cellStyle name="Heading 1 2 3 4 2 4 4 3" xfId="19149"/>
    <cellStyle name="Heading 1 2 3 4 2 4 5" xfId="19150"/>
    <cellStyle name="Heading 1 2 3 4 2 4 5 2" xfId="19151"/>
    <cellStyle name="Heading 1 2 3 4 2 4 5 2 2" xfId="19152"/>
    <cellStyle name="Heading 1 2 3 4 2 4 5 3" xfId="19153"/>
    <cellStyle name="Heading 1 2 3 4 2 4 6" xfId="19154"/>
    <cellStyle name="Heading 1 2 3 4 2 4 6 2" xfId="19155"/>
    <cellStyle name="Heading 1 2 3 4 2 4 6 2 2" xfId="19156"/>
    <cellStyle name="Heading 1 2 3 4 2 4 6 3" xfId="19157"/>
    <cellStyle name="Heading 1 2 3 4 2 4 7" xfId="19158"/>
    <cellStyle name="Heading 1 2 3 4 2 4 7 2" xfId="19159"/>
    <cellStyle name="Heading 1 2 3 4 2 4 7 2 2" xfId="19160"/>
    <cellStyle name="Heading 1 2 3 4 2 4 7 3" xfId="19161"/>
    <cellStyle name="Heading 1 2 3 4 2 4 8" xfId="19162"/>
    <cellStyle name="Heading 1 2 3 4 2 4 8 2" xfId="19163"/>
    <cellStyle name="Heading 1 2 3 4 2 4 9" xfId="19164"/>
    <cellStyle name="Heading 1 2 3 4 2 5" xfId="19165"/>
    <cellStyle name="Heading 1 2 3 4 2 5 2" xfId="19166"/>
    <cellStyle name="Heading 1 2 3 4 2 5 2 2" xfId="19167"/>
    <cellStyle name="Heading 1 2 3 4 2 5 2 2 2" xfId="19168"/>
    <cellStyle name="Heading 1 2 3 4 2 5 2 3" xfId="19169"/>
    <cellStyle name="Heading 1 2 3 4 2 5 3" xfId="19170"/>
    <cellStyle name="Heading 1 2 3 4 2 5 3 2" xfId="19171"/>
    <cellStyle name="Heading 1 2 3 4 2 5 3 2 2" xfId="19172"/>
    <cellStyle name="Heading 1 2 3 4 2 5 3 3" xfId="19173"/>
    <cellStyle name="Heading 1 2 3 4 2 5 4" xfId="19174"/>
    <cellStyle name="Heading 1 2 3 4 2 5 4 2" xfId="19175"/>
    <cellStyle name="Heading 1 2 3 4 2 5 4 2 2" xfId="19176"/>
    <cellStyle name="Heading 1 2 3 4 2 5 4 3" xfId="19177"/>
    <cellStyle name="Heading 1 2 3 4 2 5 5" xfId="19178"/>
    <cellStyle name="Heading 1 2 3 4 2 5 5 2" xfId="19179"/>
    <cellStyle name="Heading 1 2 3 4 2 5 5 2 2" xfId="19180"/>
    <cellStyle name="Heading 1 2 3 4 2 5 5 3" xfId="19181"/>
    <cellStyle name="Heading 1 2 3 4 2 5 6" xfId="19182"/>
    <cellStyle name="Heading 1 2 3 4 2 5 6 2" xfId="19183"/>
    <cellStyle name="Heading 1 2 3 4 2 5 6 2 2" xfId="19184"/>
    <cellStyle name="Heading 1 2 3 4 2 5 6 3" xfId="19185"/>
    <cellStyle name="Heading 1 2 3 4 2 5 7" xfId="19186"/>
    <cellStyle name="Heading 1 2 3 4 2 5 7 2" xfId="19187"/>
    <cellStyle name="Heading 1 2 3 4 2 5 7 2 2" xfId="19188"/>
    <cellStyle name="Heading 1 2 3 4 2 5 7 3" xfId="19189"/>
    <cellStyle name="Heading 1 2 3 4 2 5 8" xfId="19190"/>
    <cellStyle name="Heading 1 2 3 4 2 5 8 2" xfId="19191"/>
    <cellStyle name="Heading 1 2 3 4 2 5 9" xfId="19192"/>
    <cellStyle name="Heading 1 2 3 4 2 6" xfId="19193"/>
    <cellStyle name="Heading 1 2 3 4 2 6 2" xfId="19194"/>
    <cellStyle name="Heading 1 2 3 4 2 6 2 2" xfId="19195"/>
    <cellStyle name="Heading 1 2 3 4 2 6 2 2 2" xfId="19196"/>
    <cellStyle name="Heading 1 2 3 4 2 6 2 3" xfId="19197"/>
    <cellStyle name="Heading 1 2 3 4 2 6 3" xfId="19198"/>
    <cellStyle name="Heading 1 2 3 4 2 6 3 2" xfId="19199"/>
    <cellStyle name="Heading 1 2 3 4 2 6 3 2 2" xfId="19200"/>
    <cellStyle name="Heading 1 2 3 4 2 6 3 3" xfId="19201"/>
    <cellStyle name="Heading 1 2 3 4 2 6 4" xfId="19202"/>
    <cellStyle name="Heading 1 2 3 4 2 6 4 2" xfId="19203"/>
    <cellStyle name="Heading 1 2 3 4 2 6 4 2 2" xfId="19204"/>
    <cellStyle name="Heading 1 2 3 4 2 6 4 3" xfId="19205"/>
    <cellStyle name="Heading 1 2 3 4 2 6 5" xfId="19206"/>
    <cellStyle name="Heading 1 2 3 4 2 6 5 2" xfId="19207"/>
    <cellStyle name="Heading 1 2 3 4 2 6 5 2 2" xfId="19208"/>
    <cellStyle name="Heading 1 2 3 4 2 6 5 3" xfId="19209"/>
    <cellStyle name="Heading 1 2 3 4 2 6 6" xfId="19210"/>
    <cellStyle name="Heading 1 2 3 4 2 6 6 2" xfId="19211"/>
    <cellStyle name="Heading 1 2 3 4 2 6 6 2 2" xfId="19212"/>
    <cellStyle name="Heading 1 2 3 4 2 6 6 3" xfId="19213"/>
    <cellStyle name="Heading 1 2 3 4 2 6 7" xfId="19214"/>
    <cellStyle name="Heading 1 2 3 4 2 6 7 2" xfId="19215"/>
    <cellStyle name="Heading 1 2 3 4 2 6 7 2 2" xfId="19216"/>
    <cellStyle name="Heading 1 2 3 4 2 6 7 3" xfId="19217"/>
    <cellStyle name="Heading 1 2 3 4 2 6 8" xfId="19218"/>
    <cellStyle name="Heading 1 2 3 4 2 6 8 2" xfId="19219"/>
    <cellStyle name="Heading 1 2 3 4 2 6 9" xfId="19220"/>
    <cellStyle name="Heading 1 2 3 4 2 7" xfId="19221"/>
    <cellStyle name="Heading 1 2 3 4 2 7 2" xfId="19222"/>
    <cellStyle name="Heading 1 2 3 4 2 7 2 2" xfId="19223"/>
    <cellStyle name="Heading 1 2 3 4 2 7 2 2 2" xfId="19224"/>
    <cellStyle name="Heading 1 2 3 4 2 7 2 3" xfId="19225"/>
    <cellStyle name="Heading 1 2 3 4 2 7 3" xfId="19226"/>
    <cellStyle name="Heading 1 2 3 4 2 7 3 2" xfId="19227"/>
    <cellStyle name="Heading 1 2 3 4 2 7 3 2 2" xfId="19228"/>
    <cellStyle name="Heading 1 2 3 4 2 7 3 3" xfId="19229"/>
    <cellStyle name="Heading 1 2 3 4 2 7 4" xfId="19230"/>
    <cellStyle name="Heading 1 2 3 4 2 7 4 2" xfId="19231"/>
    <cellStyle name="Heading 1 2 3 4 2 7 4 2 2" xfId="19232"/>
    <cellStyle name="Heading 1 2 3 4 2 7 4 3" xfId="19233"/>
    <cellStyle name="Heading 1 2 3 4 2 7 5" xfId="19234"/>
    <cellStyle name="Heading 1 2 3 4 2 7 5 2" xfId="19235"/>
    <cellStyle name="Heading 1 2 3 4 2 7 5 2 2" xfId="19236"/>
    <cellStyle name="Heading 1 2 3 4 2 7 5 3" xfId="19237"/>
    <cellStyle name="Heading 1 2 3 4 2 7 6" xfId="19238"/>
    <cellStyle name="Heading 1 2 3 4 2 7 6 2" xfId="19239"/>
    <cellStyle name="Heading 1 2 3 4 2 7 6 2 2" xfId="19240"/>
    <cellStyle name="Heading 1 2 3 4 2 7 6 3" xfId="19241"/>
    <cellStyle name="Heading 1 2 3 4 2 7 7" xfId="19242"/>
    <cellStyle name="Heading 1 2 3 4 2 7 7 2" xfId="19243"/>
    <cellStyle name="Heading 1 2 3 4 2 7 7 2 2" xfId="19244"/>
    <cellStyle name="Heading 1 2 3 4 2 7 7 3" xfId="19245"/>
    <cellStyle name="Heading 1 2 3 4 2 7 8" xfId="19246"/>
    <cellStyle name="Heading 1 2 3 4 2 7 8 2" xfId="19247"/>
    <cellStyle name="Heading 1 2 3 4 2 7 9" xfId="19248"/>
    <cellStyle name="Heading 1 2 3 4 2 8" xfId="19249"/>
    <cellStyle name="Heading 1 2 3 4 2 8 2" xfId="19250"/>
    <cellStyle name="Heading 1 2 3 4 2 8 2 2" xfId="19251"/>
    <cellStyle name="Heading 1 2 3 4 2 8 2 2 2" xfId="19252"/>
    <cellStyle name="Heading 1 2 3 4 2 8 2 3" xfId="19253"/>
    <cellStyle name="Heading 1 2 3 4 2 8 3" xfId="19254"/>
    <cellStyle name="Heading 1 2 3 4 2 8 3 2" xfId="19255"/>
    <cellStyle name="Heading 1 2 3 4 2 8 3 2 2" xfId="19256"/>
    <cellStyle name="Heading 1 2 3 4 2 8 3 3" xfId="19257"/>
    <cellStyle name="Heading 1 2 3 4 2 8 4" xfId="19258"/>
    <cellStyle name="Heading 1 2 3 4 2 8 4 2" xfId="19259"/>
    <cellStyle name="Heading 1 2 3 4 2 8 4 2 2" xfId="19260"/>
    <cellStyle name="Heading 1 2 3 4 2 8 4 3" xfId="19261"/>
    <cellStyle name="Heading 1 2 3 4 2 8 5" xfId="19262"/>
    <cellStyle name="Heading 1 2 3 4 2 8 5 2" xfId="19263"/>
    <cellStyle name="Heading 1 2 3 4 2 8 5 2 2" xfId="19264"/>
    <cellStyle name="Heading 1 2 3 4 2 8 5 3" xfId="19265"/>
    <cellStyle name="Heading 1 2 3 4 2 8 6" xfId="19266"/>
    <cellStyle name="Heading 1 2 3 4 2 8 6 2" xfId="19267"/>
    <cellStyle name="Heading 1 2 3 4 2 8 6 2 2" xfId="19268"/>
    <cellStyle name="Heading 1 2 3 4 2 8 6 3" xfId="19269"/>
    <cellStyle name="Heading 1 2 3 4 2 8 7" xfId="19270"/>
    <cellStyle name="Heading 1 2 3 4 2 8 7 2" xfId="19271"/>
    <cellStyle name="Heading 1 2 3 4 2 8 7 2 2" xfId="19272"/>
    <cellStyle name="Heading 1 2 3 4 2 8 7 3" xfId="19273"/>
    <cellStyle name="Heading 1 2 3 4 2 8 8" xfId="19274"/>
    <cellStyle name="Heading 1 2 3 4 2 8 8 2" xfId="19275"/>
    <cellStyle name="Heading 1 2 3 4 2 8 9" xfId="19276"/>
    <cellStyle name="Heading 1 2 3 4 2 9" xfId="19277"/>
    <cellStyle name="Heading 1 2 3 4 2 9 2" xfId="19278"/>
    <cellStyle name="Heading 1 2 3 4 2 9 2 2" xfId="19279"/>
    <cellStyle name="Heading 1 2 3 4 2 9 2 2 2" xfId="19280"/>
    <cellStyle name="Heading 1 2 3 4 2 9 2 3" xfId="19281"/>
    <cellStyle name="Heading 1 2 3 4 2 9 3" xfId="19282"/>
    <cellStyle name="Heading 1 2 3 4 2 9 3 2" xfId="19283"/>
    <cellStyle name="Heading 1 2 3 4 2 9 3 2 2" xfId="19284"/>
    <cellStyle name="Heading 1 2 3 4 2 9 3 3" xfId="19285"/>
    <cellStyle name="Heading 1 2 3 4 2 9 4" xfId="19286"/>
    <cellStyle name="Heading 1 2 3 4 2 9 4 2" xfId="19287"/>
    <cellStyle name="Heading 1 2 3 4 2 9 4 2 2" xfId="19288"/>
    <cellStyle name="Heading 1 2 3 4 2 9 4 3" xfId="19289"/>
    <cellStyle name="Heading 1 2 3 4 2 9 5" xfId="19290"/>
    <cellStyle name="Heading 1 2 3 4 2 9 5 2" xfId="19291"/>
    <cellStyle name="Heading 1 2 3 4 2 9 5 2 2" xfId="19292"/>
    <cellStyle name="Heading 1 2 3 4 2 9 5 3" xfId="19293"/>
    <cellStyle name="Heading 1 2 3 4 2 9 6" xfId="19294"/>
    <cellStyle name="Heading 1 2 3 4 2 9 6 2" xfId="19295"/>
    <cellStyle name="Heading 1 2 3 4 2 9 6 2 2" xfId="19296"/>
    <cellStyle name="Heading 1 2 3 4 2 9 6 3" xfId="19297"/>
    <cellStyle name="Heading 1 2 3 4 2 9 7" xfId="19298"/>
    <cellStyle name="Heading 1 2 3 4 2 9 7 2" xfId="19299"/>
    <cellStyle name="Heading 1 2 3 4 2 9 7 2 2" xfId="19300"/>
    <cellStyle name="Heading 1 2 3 4 2 9 7 3" xfId="19301"/>
    <cellStyle name="Heading 1 2 3 4 2 9 8" xfId="19302"/>
    <cellStyle name="Heading 1 2 3 4 2 9 8 2" xfId="19303"/>
    <cellStyle name="Heading 1 2 3 4 2 9 9" xfId="19304"/>
    <cellStyle name="Heading 1 2 3 4 3" xfId="19305"/>
    <cellStyle name="Heading 1 2 3 4 3 10" xfId="19306"/>
    <cellStyle name="Heading 1 2 3 4 3 10 2" xfId="19307"/>
    <cellStyle name="Heading 1 2 3 4 3 10 2 2" xfId="19308"/>
    <cellStyle name="Heading 1 2 3 4 3 10 3" xfId="19309"/>
    <cellStyle name="Heading 1 2 3 4 3 11" xfId="19310"/>
    <cellStyle name="Heading 1 2 3 4 3 11 2" xfId="19311"/>
    <cellStyle name="Heading 1 2 3 4 3 11 2 2" xfId="19312"/>
    <cellStyle name="Heading 1 2 3 4 3 11 3" xfId="19313"/>
    <cellStyle name="Heading 1 2 3 4 3 12" xfId="19314"/>
    <cellStyle name="Heading 1 2 3 4 3 12 2" xfId="19315"/>
    <cellStyle name="Heading 1 2 3 4 3 12 2 2" xfId="19316"/>
    <cellStyle name="Heading 1 2 3 4 3 12 3" xfId="19317"/>
    <cellStyle name="Heading 1 2 3 4 3 13" xfId="19318"/>
    <cellStyle name="Heading 1 2 3 4 3 13 2" xfId="19319"/>
    <cellStyle name="Heading 1 2 3 4 3 13 2 2" xfId="19320"/>
    <cellStyle name="Heading 1 2 3 4 3 13 3" xfId="19321"/>
    <cellStyle name="Heading 1 2 3 4 3 14" xfId="19322"/>
    <cellStyle name="Heading 1 2 3 4 3 14 2" xfId="19323"/>
    <cellStyle name="Heading 1 2 3 4 3 14 2 2" xfId="19324"/>
    <cellStyle name="Heading 1 2 3 4 3 14 3" xfId="19325"/>
    <cellStyle name="Heading 1 2 3 4 3 15" xfId="19326"/>
    <cellStyle name="Heading 1 2 3 4 3 15 2" xfId="19327"/>
    <cellStyle name="Heading 1 2 3 4 3 15 2 2" xfId="19328"/>
    <cellStyle name="Heading 1 2 3 4 3 15 3" xfId="19329"/>
    <cellStyle name="Heading 1 2 3 4 3 16" xfId="19330"/>
    <cellStyle name="Heading 1 2 3 4 3 16 2" xfId="19331"/>
    <cellStyle name="Heading 1 2 3 4 3 16 2 2" xfId="19332"/>
    <cellStyle name="Heading 1 2 3 4 3 16 3" xfId="19333"/>
    <cellStyle name="Heading 1 2 3 4 3 17" xfId="19334"/>
    <cellStyle name="Heading 1 2 3 4 3 17 2" xfId="19335"/>
    <cellStyle name="Heading 1 2 3 4 3 17 2 2" xfId="19336"/>
    <cellStyle name="Heading 1 2 3 4 3 17 3" xfId="19337"/>
    <cellStyle name="Heading 1 2 3 4 3 18" xfId="19338"/>
    <cellStyle name="Heading 1 2 3 4 3 18 2" xfId="19339"/>
    <cellStyle name="Heading 1 2 3 4 3 18 2 2" xfId="19340"/>
    <cellStyle name="Heading 1 2 3 4 3 18 3" xfId="19341"/>
    <cellStyle name="Heading 1 2 3 4 3 19" xfId="19342"/>
    <cellStyle name="Heading 1 2 3 4 3 19 2" xfId="19343"/>
    <cellStyle name="Heading 1 2 3 4 3 2" xfId="19344"/>
    <cellStyle name="Heading 1 2 3 4 3 2 2" xfId="19345"/>
    <cellStyle name="Heading 1 2 3 4 3 2 2 2" xfId="19346"/>
    <cellStyle name="Heading 1 2 3 4 3 2 2 2 2" xfId="19347"/>
    <cellStyle name="Heading 1 2 3 4 3 2 2 3" xfId="19348"/>
    <cellStyle name="Heading 1 2 3 4 3 2 3" xfId="19349"/>
    <cellStyle name="Heading 1 2 3 4 3 2 3 2" xfId="19350"/>
    <cellStyle name="Heading 1 2 3 4 3 2 3 2 2" xfId="19351"/>
    <cellStyle name="Heading 1 2 3 4 3 2 3 3" xfId="19352"/>
    <cellStyle name="Heading 1 2 3 4 3 2 4" xfId="19353"/>
    <cellStyle name="Heading 1 2 3 4 3 2 4 2" xfId="19354"/>
    <cellStyle name="Heading 1 2 3 4 3 2 4 2 2" xfId="19355"/>
    <cellStyle name="Heading 1 2 3 4 3 2 4 3" xfId="19356"/>
    <cellStyle name="Heading 1 2 3 4 3 2 5" xfId="19357"/>
    <cellStyle name="Heading 1 2 3 4 3 2 5 2" xfId="19358"/>
    <cellStyle name="Heading 1 2 3 4 3 2 5 2 2" xfId="19359"/>
    <cellStyle name="Heading 1 2 3 4 3 2 5 3" xfId="19360"/>
    <cellStyle name="Heading 1 2 3 4 3 2 6" xfId="19361"/>
    <cellStyle name="Heading 1 2 3 4 3 2 6 2" xfId="19362"/>
    <cellStyle name="Heading 1 2 3 4 3 2 6 2 2" xfId="19363"/>
    <cellStyle name="Heading 1 2 3 4 3 2 6 3" xfId="19364"/>
    <cellStyle name="Heading 1 2 3 4 3 2 7" xfId="19365"/>
    <cellStyle name="Heading 1 2 3 4 3 2 7 2" xfId="19366"/>
    <cellStyle name="Heading 1 2 3 4 3 2 7 2 2" xfId="19367"/>
    <cellStyle name="Heading 1 2 3 4 3 2 7 3" xfId="19368"/>
    <cellStyle name="Heading 1 2 3 4 3 2 8" xfId="19369"/>
    <cellStyle name="Heading 1 2 3 4 3 2 8 2" xfId="19370"/>
    <cellStyle name="Heading 1 2 3 4 3 2 9" xfId="19371"/>
    <cellStyle name="Heading 1 2 3 4 3 20" xfId="19372"/>
    <cellStyle name="Heading 1 2 3 4 3 20 2" xfId="19373"/>
    <cellStyle name="Heading 1 2 3 4 3 21" xfId="19374"/>
    <cellStyle name="Heading 1 2 3 4 3 21 2" xfId="19375"/>
    <cellStyle name="Heading 1 2 3 4 3 22" xfId="19376"/>
    <cellStyle name="Heading 1 2 3 4 3 3" xfId="19377"/>
    <cellStyle name="Heading 1 2 3 4 3 3 2" xfId="19378"/>
    <cellStyle name="Heading 1 2 3 4 3 3 2 2" xfId="19379"/>
    <cellStyle name="Heading 1 2 3 4 3 3 2 2 2" xfId="19380"/>
    <cellStyle name="Heading 1 2 3 4 3 3 2 3" xfId="19381"/>
    <cellStyle name="Heading 1 2 3 4 3 3 3" xfId="19382"/>
    <cellStyle name="Heading 1 2 3 4 3 3 3 2" xfId="19383"/>
    <cellStyle name="Heading 1 2 3 4 3 3 3 2 2" xfId="19384"/>
    <cellStyle name="Heading 1 2 3 4 3 3 3 3" xfId="19385"/>
    <cellStyle name="Heading 1 2 3 4 3 3 4" xfId="19386"/>
    <cellStyle name="Heading 1 2 3 4 3 3 4 2" xfId="19387"/>
    <cellStyle name="Heading 1 2 3 4 3 3 4 2 2" xfId="19388"/>
    <cellStyle name="Heading 1 2 3 4 3 3 4 3" xfId="19389"/>
    <cellStyle name="Heading 1 2 3 4 3 3 5" xfId="19390"/>
    <cellStyle name="Heading 1 2 3 4 3 3 5 2" xfId="19391"/>
    <cellStyle name="Heading 1 2 3 4 3 3 5 2 2" xfId="19392"/>
    <cellStyle name="Heading 1 2 3 4 3 3 5 3" xfId="19393"/>
    <cellStyle name="Heading 1 2 3 4 3 3 6" xfId="19394"/>
    <cellStyle name="Heading 1 2 3 4 3 3 6 2" xfId="19395"/>
    <cellStyle name="Heading 1 2 3 4 3 3 6 2 2" xfId="19396"/>
    <cellStyle name="Heading 1 2 3 4 3 3 6 3" xfId="19397"/>
    <cellStyle name="Heading 1 2 3 4 3 3 7" xfId="19398"/>
    <cellStyle name="Heading 1 2 3 4 3 3 7 2" xfId="19399"/>
    <cellStyle name="Heading 1 2 3 4 3 3 7 2 2" xfId="19400"/>
    <cellStyle name="Heading 1 2 3 4 3 3 7 3" xfId="19401"/>
    <cellStyle name="Heading 1 2 3 4 3 3 8" xfId="19402"/>
    <cellStyle name="Heading 1 2 3 4 3 3 8 2" xfId="19403"/>
    <cellStyle name="Heading 1 2 3 4 3 3 9" xfId="19404"/>
    <cellStyle name="Heading 1 2 3 4 3 4" xfId="19405"/>
    <cellStyle name="Heading 1 2 3 4 3 4 2" xfId="19406"/>
    <cellStyle name="Heading 1 2 3 4 3 4 2 2" xfId="19407"/>
    <cellStyle name="Heading 1 2 3 4 3 4 2 2 2" xfId="19408"/>
    <cellStyle name="Heading 1 2 3 4 3 4 2 3" xfId="19409"/>
    <cellStyle name="Heading 1 2 3 4 3 4 3" xfId="19410"/>
    <cellStyle name="Heading 1 2 3 4 3 4 3 2" xfId="19411"/>
    <cellStyle name="Heading 1 2 3 4 3 4 3 2 2" xfId="19412"/>
    <cellStyle name="Heading 1 2 3 4 3 4 3 3" xfId="19413"/>
    <cellStyle name="Heading 1 2 3 4 3 4 4" xfId="19414"/>
    <cellStyle name="Heading 1 2 3 4 3 4 4 2" xfId="19415"/>
    <cellStyle name="Heading 1 2 3 4 3 4 4 2 2" xfId="19416"/>
    <cellStyle name="Heading 1 2 3 4 3 4 4 3" xfId="19417"/>
    <cellStyle name="Heading 1 2 3 4 3 4 5" xfId="19418"/>
    <cellStyle name="Heading 1 2 3 4 3 4 5 2" xfId="19419"/>
    <cellStyle name="Heading 1 2 3 4 3 4 5 2 2" xfId="19420"/>
    <cellStyle name="Heading 1 2 3 4 3 4 5 3" xfId="19421"/>
    <cellStyle name="Heading 1 2 3 4 3 4 6" xfId="19422"/>
    <cellStyle name="Heading 1 2 3 4 3 4 6 2" xfId="19423"/>
    <cellStyle name="Heading 1 2 3 4 3 4 6 2 2" xfId="19424"/>
    <cellStyle name="Heading 1 2 3 4 3 4 6 3" xfId="19425"/>
    <cellStyle name="Heading 1 2 3 4 3 4 7" xfId="19426"/>
    <cellStyle name="Heading 1 2 3 4 3 4 7 2" xfId="19427"/>
    <cellStyle name="Heading 1 2 3 4 3 4 7 2 2" xfId="19428"/>
    <cellStyle name="Heading 1 2 3 4 3 4 7 3" xfId="19429"/>
    <cellStyle name="Heading 1 2 3 4 3 4 8" xfId="19430"/>
    <cellStyle name="Heading 1 2 3 4 3 4 8 2" xfId="19431"/>
    <cellStyle name="Heading 1 2 3 4 3 4 9" xfId="19432"/>
    <cellStyle name="Heading 1 2 3 4 3 5" xfId="19433"/>
    <cellStyle name="Heading 1 2 3 4 3 5 2" xfId="19434"/>
    <cellStyle name="Heading 1 2 3 4 3 5 2 2" xfId="19435"/>
    <cellStyle name="Heading 1 2 3 4 3 5 2 2 2" xfId="19436"/>
    <cellStyle name="Heading 1 2 3 4 3 5 2 3" xfId="19437"/>
    <cellStyle name="Heading 1 2 3 4 3 5 3" xfId="19438"/>
    <cellStyle name="Heading 1 2 3 4 3 5 3 2" xfId="19439"/>
    <cellStyle name="Heading 1 2 3 4 3 5 3 2 2" xfId="19440"/>
    <cellStyle name="Heading 1 2 3 4 3 5 3 3" xfId="19441"/>
    <cellStyle name="Heading 1 2 3 4 3 5 4" xfId="19442"/>
    <cellStyle name="Heading 1 2 3 4 3 5 4 2" xfId="19443"/>
    <cellStyle name="Heading 1 2 3 4 3 5 4 2 2" xfId="19444"/>
    <cellStyle name="Heading 1 2 3 4 3 5 4 3" xfId="19445"/>
    <cellStyle name="Heading 1 2 3 4 3 5 5" xfId="19446"/>
    <cellStyle name="Heading 1 2 3 4 3 5 5 2" xfId="19447"/>
    <cellStyle name="Heading 1 2 3 4 3 5 5 2 2" xfId="19448"/>
    <cellStyle name="Heading 1 2 3 4 3 5 5 3" xfId="19449"/>
    <cellStyle name="Heading 1 2 3 4 3 5 6" xfId="19450"/>
    <cellStyle name="Heading 1 2 3 4 3 5 6 2" xfId="19451"/>
    <cellStyle name="Heading 1 2 3 4 3 5 6 2 2" xfId="19452"/>
    <cellStyle name="Heading 1 2 3 4 3 5 6 3" xfId="19453"/>
    <cellStyle name="Heading 1 2 3 4 3 5 7" xfId="19454"/>
    <cellStyle name="Heading 1 2 3 4 3 5 7 2" xfId="19455"/>
    <cellStyle name="Heading 1 2 3 4 3 5 7 2 2" xfId="19456"/>
    <cellStyle name="Heading 1 2 3 4 3 5 7 3" xfId="19457"/>
    <cellStyle name="Heading 1 2 3 4 3 5 8" xfId="19458"/>
    <cellStyle name="Heading 1 2 3 4 3 5 8 2" xfId="19459"/>
    <cellStyle name="Heading 1 2 3 4 3 5 9" xfId="19460"/>
    <cellStyle name="Heading 1 2 3 4 3 6" xfId="19461"/>
    <cellStyle name="Heading 1 2 3 4 3 6 2" xfId="19462"/>
    <cellStyle name="Heading 1 2 3 4 3 6 2 2" xfId="19463"/>
    <cellStyle name="Heading 1 2 3 4 3 6 2 2 2" xfId="19464"/>
    <cellStyle name="Heading 1 2 3 4 3 6 2 3" xfId="19465"/>
    <cellStyle name="Heading 1 2 3 4 3 6 3" xfId="19466"/>
    <cellStyle name="Heading 1 2 3 4 3 6 3 2" xfId="19467"/>
    <cellStyle name="Heading 1 2 3 4 3 6 3 2 2" xfId="19468"/>
    <cellStyle name="Heading 1 2 3 4 3 6 3 3" xfId="19469"/>
    <cellStyle name="Heading 1 2 3 4 3 6 4" xfId="19470"/>
    <cellStyle name="Heading 1 2 3 4 3 6 4 2" xfId="19471"/>
    <cellStyle name="Heading 1 2 3 4 3 6 4 2 2" xfId="19472"/>
    <cellStyle name="Heading 1 2 3 4 3 6 4 3" xfId="19473"/>
    <cellStyle name="Heading 1 2 3 4 3 6 5" xfId="19474"/>
    <cellStyle name="Heading 1 2 3 4 3 6 5 2" xfId="19475"/>
    <cellStyle name="Heading 1 2 3 4 3 6 5 2 2" xfId="19476"/>
    <cellStyle name="Heading 1 2 3 4 3 6 5 3" xfId="19477"/>
    <cellStyle name="Heading 1 2 3 4 3 6 6" xfId="19478"/>
    <cellStyle name="Heading 1 2 3 4 3 6 6 2" xfId="19479"/>
    <cellStyle name="Heading 1 2 3 4 3 6 6 2 2" xfId="19480"/>
    <cellStyle name="Heading 1 2 3 4 3 6 6 3" xfId="19481"/>
    <cellStyle name="Heading 1 2 3 4 3 6 7" xfId="19482"/>
    <cellStyle name="Heading 1 2 3 4 3 6 7 2" xfId="19483"/>
    <cellStyle name="Heading 1 2 3 4 3 6 7 2 2" xfId="19484"/>
    <cellStyle name="Heading 1 2 3 4 3 6 7 3" xfId="19485"/>
    <cellStyle name="Heading 1 2 3 4 3 6 8" xfId="19486"/>
    <cellStyle name="Heading 1 2 3 4 3 6 8 2" xfId="19487"/>
    <cellStyle name="Heading 1 2 3 4 3 6 9" xfId="19488"/>
    <cellStyle name="Heading 1 2 3 4 3 7" xfId="19489"/>
    <cellStyle name="Heading 1 2 3 4 3 7 2" xfId="19490"/>
    <cellStyle name="Heading 1 2 3 4 3 7 2 2" xfId="19491"/>
    <cellStyle name="Heading 1 2 3 4 3 7 2 2 2" xfId="19492"/>
    <cellStyle name="Heading 1 2 3 4 3 7 2 3" xfId="19493"/>
    <cellStyle name="Heading 1 2 3 4 3 7 3" xfId="19494"/>
    <cellStyle name="Heading 1 2 3 4 3 7 3 2" xfId="19495"/>
    <cellStyle name="Heading 1 2 3 4 3 7 3 2 2" xfId="19496"/>
    <cellStyle name="Heading 1 2 3 4 3 7 3 3" xfId="19497"/>
    <cellStyle name="Heading 1 2 3 4 3 7 4" xfId="19498"/>
    <cellStyle name="Heading 1 2 3 4 3 7 4 2" xfId="19499"/>
    <cellStyle name="Heading 1 2 3 4 3 7 4 2 2" xfId="19500"/>
    <cellStyle name="Heading 1 2 3 4 3 7 4 3" xfId="19501"/>
    <cellStyle name="Heading 1 2 3 4 3 7 5" xfId="19502"/>
    <cellStyle name="Heading 1 2 3 4 3 7 5 2" xfId="19503"/>
    <cellStyle name="Heading 1 2 3 4 3 7 5 2 2" xfId="19504"/>
    <cellStyle name="Heading 1 2 3 4 3 7 5 3" xfId="19505"/>
    <cellStyle name="Heading 1 2 3 4 3 7 6" xfId="19506"/>
    <cellStyle name="Heading 1 2 3 4 3 7 6 2" xfId="19507"/>
    <cellStyle name="Heading 1 2 3 4 3 7 6 2 2" xfId="19508"/>
    <cellStyle name="Heading 1 2 3 4 3 7 6 3" xfId="19509"/>
    <cellStyle name="Heading 1 2 3 4 3 7 7" xfId="19510"/>
    <cellStyle name="Heading 1 2 3 4 3 7 7 2" xfId="19511"/>
    <cellStyle name="Heading 1 2 3 4 3 7 7 2 2" xfId="19512"/>
    <cellStyle name="Heading 1 2 3 4 3 7 7 3" xfId="19513"/>
    <cellStyle name="Heading 1 2 3 4 3 7 8" xfId="19514"/>
    <cellStyle name="Heading 1 2 3 4 3 7 8 2" xfId="19515"/>
    <cellStyle name="Heading 1 2 3 4 3 7 9" xfId="19516"/>
    <cellStyle name="Heading 1 2 3 4 3 8" xfId="19517"/>
    <cellStyle name="Heading 1 2 3 4 3 8 2" xfId="19518"/>
    <cellStyle name="Heading 1 2 3 4 3 8 2 2" xfId="19519"/>
    <cellStyle name="Heading 1 2 3 4 3 8 2 2 2" xfId="19520"/>
    <cellStyle name="Heading 1 2 3 4 3 8 2 3" xfId="19521"/>
    <cellStyle name="Heading 1 2 3 4 3 8 3" xfId="19522"/>
    <cellStyle name="Heading 1 2 3 4 3 8 3 2" xfId="19523"/>
    <cellStyle name="Heading 1 2 3 4 3 8 3 2 2" xfId="19524"/>
    <cellStyle name="Heading 1 2 3 4 3 8 3 3" xfId="19525"/>
    <cellStyle name="Heading 1 2 3 4 3 8 4" xfId="19526"/>
    <cellStyle name="Heading 1 2 3 4 3 8 4 2" xfId="19527"/>
    <cellStyle name="Heading 1 2 3 4 3 8 4 2 2" xfId="19528"/>
    <cellStyle name="Heading 1 2 3 4 3 8 4 3" xfId="19529"/>
    <cellStyle name="Heading 1 2 3 4 3 8 5" xfId="19530"/>
    <cellStyle name="Heading 1 2 3 4 3 8 5 2" xfId="19531"/>
    <cellStyle name="Heading 1 2 3 4 3 8 5 2 2" xfId="19532"/>
    <cellStyle name="Heading 1 2 3 4 3 8 5 3" xfId="19533"/>
    <cellStyle name="Heading 1 2 3 4 3 8 6" xfId="19534"/>
    <cellStyle name="Heading 1 2 3 4 3 8 6 2" xfId="19535"/>
    <cellStyle name="Heading 1 2 3 4 3 8 6 2 2" xfId="19536"/>
    <cellStyle name="Heading 1 2 3 4 3 8 6 3" xfId="19537"/>
    <cellStyle name="Heading 1 2 3 4 3 8 7" xfId="19538"/>
    <cellStyle name="Heading 1 2 3 4 3 8 7 2" xfId="19539"/>
    <cellStyle name="Heading 1 2 3 4 3 8 7 2 2" xfId="19540"/>
    <cellStyle name="Heading 1 2 3 4 3 8 7 3" xfId="19541"/>
    <cellStyle name="Heading 1 2 3 4 3 8 8" xfId="19542"/>
    <cellStyle name="Heading 1 2 3 4 3 8 8 2" xfId="19543"/>
    <cellStyle name="Heading 1 2 3 4 3 8 9" xfId="19544"/>
    <cellStyle name="Heading 1 2 3 4 3 9" xfId="19545"/>
    <cellStyle name="Heading 1 2 3 4 3 9 2" xfId="19546"/>
    <cellStyle name="Heading 1 2 3 4 3 9 2 2" xfId="19547"/>
    <cellStyle name="Heading 1 2 3 4 3 9 3" xfId="19548"/>
    <cellStyle name="Heading 1 2 3 4 4" xfId="19549"/>
    <cellStyle name="Heading 1 2 3 4 4 2" xfId="19550"/>
    <cellStyle name="Heading 1 2 3 4 4 2 2" xfId="19551"/>
    <cellStyle name="Heading 1 2 3 4 4 3" xfId="19552"/>
    <cellStyle name="Heading 1 2 3 4 5" xfId="19553"/>
    <cellStyle name="Heading 1 2 3 4 5 2" xfId="19554"/>
    <cellStyle name="Heading 1 2 3 4 6" xfId="19555"/>
    <cellStyle name="Heading 1 2 3 5" xfId="19556"/>
    <cellStyle name="Heading 1 2 3 5 2" xfId="19557"/>
    <cellStyle name="Heading 1 2 3 5 2 10" xfId="19558"/>
    <cellStyle name="Heading 1 2 3 5 2 10 2" xfId="19559"/>
    <cellStyle name="Heading 1 2 3 5 2 10 2 2" xfId="19560"/>
    <cellStyle name="Heading 1 2 3 5 2 10 3" xfId="19561"/>
    <cellStyle name="Heading 1 2 3 5 2 11" xfId="19562"/>
    <cellStyle name="Heading 1 2 3 5 2 11 2" xfId="19563"/>
    <cellStyle name="Heading 1 2 3 5 2 11 2 2" xfId="19564"/>
    <cellStyle name="Heading 1 2 3 5 2 11 3" xfId="19565"/>
    <cellStyle name="Heading 1 2 3 5 2 12" xfId="19566"/>
    <cellStyle name="Heading 1 2 3 5 2 12 2" xfId="19567"/>
    <cellStyle name="Heading 1 2 3 5 2 12 2 2" xfId="19568"/>
    <cellStyle name="Heading 1 2 3 5 2 12 3" xfId="19569"/>
    <cellStyle name="Heading 1 2 3 5 2 13" xfId="19570"/>
    <cellStyle name="Heading 1 2 3 5 2 13 2" xfId="19571"/>
    <cellStyle name="Heading 1 2 3 5 2 13 2 2" xfId="19572"/>
    <cellStyle name="Heading 1 2 3 5 2 13 3" xfId="19573"/>
    <cellStyle name="Heading 1 2 3 5 2 14" xfId="19574"/>
    <cellStyle name="Heading 1 2 3 5 2 14 2" xfId="19575"/>
    <cellStyle name="Heading 1 2 3 5 2 14 2 2" xfId="19576"/>
    <cellStyle name="Heading 1 2 3 5 2 14 3" xfId="19577"/>
    <cellStyle name="Heading 1 2 3 5 2 15" xfId="19578"/>
    <cellStyle name="Heading 1 2 3 5 2 15 2" xfId="19579"/>
    <cellStyle name="Heading 1 2 3 5 2 15 2 2" xfId="19580"/>
    <cellStyle name="Heading 1 2 3 5 2 15 3" xfId="19581"/>
    <cellStyle name="Heading 1 2 3 5 2 16" xfId="19582"/>
    <cellStyle name="Heading 1 2 3 5 2 16 2" xfId="19583"/>
    <cellStyle name="Heading 1 2 3 5 2 16 2 2" xfId="19584"/>
    <cellStyle name="Heading 1 2 3 5 2 16 3" xfId="19585"/>
    <cellStyle name="Heading 1 2 3 5 2 17" xfId="19586"/>
    <cellStyle name="Heading 1 2 3 5 2 17 2" xfId="19587"/>
    <cellStyle name="Heading 1 2 3 5 2 17 2 2" xfId="19588"/>
    <cellStyle name="Heading 1 2 3 5 2 17 3" xfId="19589"/>
    <cellStyle name="Heading 1 2 3 5 2 18" xfId="19590"/>
    <cellStyle name="Heading 1 2 3 5 2 18 2" xfId="19591"/>
    <cellStyle name="Heading 1 2 3 5 2 18 2 2" xfId="19592"/>
    <cellStyle name="Heading 1 2 3 5 2 18 3" xfId="19593"/>
    <cellStyle name="Heading 1 2 3 5 2 19" xfId="19594"/>
    <cellStyle name="Heading 1 2 3 5 2 19 2" xfId="19595"/>
    <cellStyle name="Heading 1 2 3 5 2 19 2 2" xfId="19596"/>
    <cellStyle name="Heading 1 2 3 5 2 19 3" xfId="19597"/>
    <cellStyle name="Heading 1 2 3 5 2 2" xfId="19598"/>
    <cellStyle name="Heading 1 2 3 5 2 2 10" xfId="19599"/>
    <cellStyle name="Heading 1 2 3 5 2 2 10 2" xfId="19600"/>
    <cellStyle name="Heading 1 2 3 5 2 2 10 2 2" xfId="19601"/>
    <cellStyle name="Heading 1 2 3 5 2 2 10 3" xfId="19602"/>
    <cellStyle name="Heading 1 2 3 5 2 2 11" xfId="19603"/>
    <cellStyle name="Heading 1 2 3 5 2 2 11 2" xfId="19604"/>
    <cellStyle name="Heading 1 2 3 5 2 2 11 2 2" xfId="19605"/>
    <cellStyle name="Heading 1 2 3 5 2 2 11 3" xfId="19606"/>
    <cellStyle name="Heading 1 2 3 5 2 2 12" xfId="19607"/>
    <cellStyle name="Heading 1 2 3 5 2 2 12 2" xfId="19608"/>
    <cellStyle name="Heading 1 2 3 5 2 2 12 2 2" xfId="19609"/>
    <cellStyle name="Heading 1 2 3 5 2 2 12 3" xfId="19610"/>
    <cellStyle name="Heading 1 2 3 5 2 2 13" xfId="19611"/>
    <cellStyle name="Heading 1 2 3 5 2 2 13 2" xfId="19612"/>
    <cellStyle name="Heading 1 2 3 5 2 2 13 2 2" xfId="19613"/>
    <cellStyle name="Heading 1 2 3 5 2 2 13 3" xfId="19614"/>
    <cellStyle name="Heading 1 2 3 5 2 2 14" xfId="19615"/>
    <cellStyle name="Heading 1 2 3 5 2 2 14 2" xfId="19616"/>
    <cellStyle name="Heading 1 2 3 5 2 2 14 2 2" xfId="19617"/>
    <cellStyle name="Heading 1 2 3 5 2 2 14 3" xfId="19618"/>
    <cellStyle name="Heading 1 2 3 5 2 2 15" xfId="19619"/>
    <cellStyle name="Heading 1 2 3 5 2 2 15 2" xfId="19620"/>
    <cellStyle name="Heading 1 2 3 5 2 2 15 2 2" xfId="19621"/>
    <cellStyle name="Heading 1 2 3 5 2 2 15 3" xfId="19622"/>
    <cellStyle name="Heading 1 2 3 5 2 2 16" xfId="19623"/>
    <cellStyle name="Heading 1 2 3 5 2 2 16 2" xfId="19624"/>
    <cellStyle name="Heading 1 2 3 5 2 2 16 2 2" xfId="19625"/>
    <cellStyle name="Heading 1 2 3 5 2 2 16 3" xfId="19626"/>
    <cellStyle name="Heading 1 2 3 5 2 2 17" xfId="19627"/>
    <cellStyle name="Heading 1 2 3 5 2 2 17 2" xfId="19628"/>
    <cellStyle name="Heading 1 2 3 5 2 2 17 2 2" xfId="19629"/>
    <cellStyle name="Heading 1 2 3 5 2 2 17 3" xfId="19630"/>
    <cellStyle name="Heading 1 2 3 5 2 2 18" xfId="19631"/>
    <cellStyle name="Heading 1 2 3 5 2 2 18 2" xfId="19632"/>
    <cellStyle name="Heading 1 2 3 5 2 2 18 2 2" xfId="19633"/>
    <cellStyle name="Heading 1 2 3 5 2 2 18 3" xfId="19634"/>
    <cellStyle name="Heading 1 2 3 5 2 2 19" xfId="19635"/>
    <cellStyle name="Heading 1 2 3 5 2 2 19 2" xfId="19636"/>
    <cellStyle name="Heading 1 2 3 5 2 2 2" xfId="19637"/>
    <cellStyle name="Heading 1 2 3 5 2 2 2 2" xfId="19638"/>
    <cellStyle name="Heading 1 2 3 5 2 2 2 2 2" xfId="19639"/>
    <cellStyle name="Heading 1 2 3 5 2 2 2 2 2 2" xfId="19640"/>
    <cellStyle name="Heading 1 2 3 5 2 2 2 2 3" xfId="19641"/>
    <cellStyle name="Heading 1 2 3 5 2 2 2 3" xfId="19642"/>
    <cellStyle name="Heading 1 2 3 5 2 2 2 3 2" xfId="19643"/>
    <cellStyle name="Heading 1 2 3 5 2 2 2 3 2 2" xfId="19644"/>
    <cellStyle name="Heading 1 2 3 5 2 2 2 3 3" xfId="19645"/>
    <cellStyle name="Heading 1 2 3 5 2 2 2 4" xfId="19646"/>
    <cellStyle name="Heading 1 2 3 5 2 2 2 4 2" xfId="19647"/>
    <cellStyle name="Heading 1 2 3 5 2 2 2 4 2 2" xfId="19648"/>
    <cellStyle name="Heading 1 2 3 5 2 2 2 4 3" xfId="19649"/>
    <cellStyle name="Heading 1 2 3 5 2 2 2 5" xfId="19650"/>
    <cellStyle name="Heading 1 2 3 5 2 2 2 5 2" xfId="19651"/>
    <cellStyle name="Heading 1 2 3 5 2 2 2 5 2 2" xfId="19652"/>
    <cellStyle name="Heading 1 2 3 5 2 2 2 5 3" xfId="19653"/>
    <cellStyle name="Heading 1 2 3 5 2 2 2 6" xfId="19654"/>
    <cellStyle name="Heading 1 2 3 5 2 2 2 6 2" xfId="19655"/>
    <cellStyle name="Heading 1 2 3 5 2 2 2 6 2 2" xfId="19656"/>
    <cellStyle name="Heading 1 2 3 5 2 2 2 6 3" xfId="19657"/>
    <cellStyle name="Heading 1 2 3 5 2 2 2 7" xfId="19658"/>
    <cellStyle name="Heading 1 2 3 5 2 2 2 7 2" xfId="19659"/>
    <cellStyle name="Heading 1 2 3 5 2 2 2 7 2 2" xfId="19660"/>
    <cellStyle name="Heading 1 2 3 5 2 2 2 7 3" xfId="19661"/>
    <cellStyle name="Heading 1 2 3 5 2 2 2 8" xfId="19662"/>
    <cellStyle name="Heading 1 2 3 5 2 2 2 8 2" xfId="19663"/>
    <cellStyle name="Heading 1 2 3 5 2 2 2 9" xfId="19664"/>
    <cellStyle name="Heading 1 2 3 5 2 2 20" xfId="19665"/>
    <cellStyle name="Heading 1 2 3 5 2 2 20 2" xfId="19666"/>
    <cellStyle name="Heading 1 2 3 5 2 2 21" xfId="19667"/>
    <cellStyle name="Heading 1 2 3 5 2 2 21 2" xfId="19668"/>
    <cellStyle name="Heading 1 2 3 5 2 2 22" xfId="19669"/>
    <cellStyle name="Heading 1 2 3 5 2 2 3" xfId="19670"/>
    <cellStyle name="Heading 1 2 3 5 2 2 3 2" xfId="19671"/>
    <cellStyle name="Heading 1 2 3 5 2 2 3 2 2" xfId="19672"/>
    <cellStyle name="Heading 1 2 3 5 2 2 3 2 2 2" xfId="19673"/>
    <cellStyle name="Heading 1 2 3 5 2 2 3 2 3" xfId="19674"/>
    <cellStyle name="Heading 1 2 3 5 2 2 3 3" xfId="19675"/>
    <cellStyle name="Heading 1 2 3 5 2 2 3 3 2" xfId="19676"/>
    <cellStyle name="Heading 1 2 3 5 2 2 3 3 2 2" xfId="19677"/>
    <cellStyle name="Heading 1 2 3 5 2 2 3 3 3" xfId="19678"/>
    <cellStyle name="Heading 1 2 3 5 2 2 3 4" xfId="19679"/>
    <cellStyle name="Heading 1 2 3 5 2 2 3 4 2" xfId="19680"/>
    <cellStyle name="Heading 1 2 3 5 2 2 3 4 2 2" xfId="19681"/>
    <cellStyle name="Heading 1 2 3 5 2 2 3 4 3" xfId="19682"/>
    <cellStyle name="Heading 1 2 3 5 2 2 3 5" xfId="19683"/>
    <cellStyle name="Heading 1 2 3 5 2 2 3 5 2" xfId="19684"/>
    <cellStyle name="Heading 1 2 3 5 2 2 3 5 2 2" xfId="19685"/>
    <cellStyle name="Heading 1 2 3 5 2 2 3 5 3" xfId="19686"/>
    <cellStyle name="Heading 1 2 3 5 2 2 3 6" xfId="19687"/>
    <cellStyle name="Heading 1 2 3 5 2 2 3 6 2" xfId="19688"/>
    <cellStyle name="Heading 1 2 3 5 2 2 3 6 2 2" xfId="19689"/>
    <cellStyle name="Heading 1 2 3 5 2 2 3 6 3" xfId="19690"/>
    <cellStyle name="Heading 1 2 3 5 2 2 3 7" xfId="19691"/>
    <cellStyle name="Heading 1 2 3 5 2 2 3 7 2" xfId="19692"/>
    <cellStyle name="Heading 1 2 3 5 2 2 3 7 2 2" xfId="19693"/>
    <cellStyle name="Heading 1 2 3 5 2 2 3 7 3" xfId="19694"/>
    <cellStyle name="Heading 1 2 3 5 2 2 3 8" xfId="19695"/>
    <cellStyle name="Heading 1 2 3 5 2 2 3 8 2" xfId="19696"/>
    <cellStyle name="Heading 1 2 3 5 2 2 3 9" xfId="19697"/>
    <cellStyle name="Heading 1 2 3 5 2 2 4" xfId="19698"/>
    <cellStyle name="Heading 1 2 3 5 2 2 4 2" xfId="19699"/>
    <cellStyle name="Heading 1 2 3 5 2 2 4 2 2" xfId="19700"/>
    <cellStyle name="Heading 1 2 3 5 2 2 4 2 2 2" xfId="19701"/>
    <cellStyle name="Heading 1 2 3 5 2 2 4 2 3" xfId="19702"/>
    <cellStyle name="Heading 1 2 3 5 2 2 4 3" xfId="19703"/>
    <cellStyle name="Heading 1 2 3 5 2 2 4 3 2" xfId="19704"/>
    <cellStyle name="Heading 1 2 3 5 2 2 4 3 2 2" xfId="19705"/>
    <cellStyle name="Heading 1 2 3 5 2 2 4 3 3" xfId="19706"/>
    <cellStyle name="Heading 1 2 3 5 2 2 4 4" xfId="19707"/>
    <cellStyle name="Heading 1 2 3 5 2 2 4 4 2" xfId="19708"/>
    <cellStyle name="Heading 1 2 3 5 2 2 4 4 2 2" xfId="19709"/>
    <cellStyle name="Heading 1 2 3 5 2 2 4 4 3" xfId="19710"/>
    <cellStyle name="Heading 1 2 3 5 2 2 4 5" xfId="19711"/>
    <cellStyle name="Heading 1 2 3 5 2 2 4 5 2" xfId="19712"/>
    <cellStyle name="Heading 1 2 3 5 2 2 4 5 2 2" xfId="19713"/>
    <cellStyle name="Heading 1 2 3 5 2 2 4 5 3" xfId="19714"/>
    <cellStyle name="Heading 1 2 3 5 2 2 4 6" xfId="19715"/>
    <cellStyle name="Heading 1 2 3 5 2 2 4 6 2" xfId="19716"/>
    <cellStyle name="Heading 1 2 3 5 2 2 4 6 2 2" xfId="19717"/>
    <cellStyle name="Heading 1 2 3 5 2 2 4 6 3" xfId="19718"/>
    <cellStyle name="Heading 1 2 3 5 2 2 4 7" xfId="19719"/>
    <cellStyle name="Heading 1 2 3 5 2 2 4 7 2" xfId="19720"/>
    <cellStyle name="Heading 1 2 3 5 2 2 4 7 2 2" xfId="19721"/>
    <cellStyle name="Heading 1 2 3 5 2 2 4 7 3" xfId="19722"/>
    <cellStyle name="Heading 1 2 3 5 2 2 4 8" xfId="19723"/>
    <cellStyle name="Heading 1 2 3 5 2 2 4 8 2" xfId="19724"/>
    <cellStyle name="Heading 1 2 3 5 2 2 4 9" xfId="19725"/>
    <cellStyle name="Heading 1 2 3 5 2 2 5" xfId="19726"/>
    <cellStyle name="Heading 1 2 3 5 2 2 5 2" xfId="19727"/>
    <cellStyle name="Heading 1 2 3 5 2 2 5 2 2" xfId="19728"/>
    <cellStyle name="Heading 1 2 3 5 2 2 5 2 2 2" xfId="19729"/>
    <cellStyle name="Heading 1 2 3 5 2 2 5 2 3" xfId="19730"/>
    <cellStyle name="Heading 1 2 3 5 2 2 5 3" xfId="19731"/>
    <cellStyle name="Heading 1 2 3 5 2 2 5 3 2" xfId="19732"/>
    <cellStyle name="Heading 1 2 3 5 2 2 5 3 2 2" xfId="19733"/>
    <cellStyle name="Heading 1 2 3 5 2 2 5 3 3" xfId="19734"/>
    <cellStyle name="Heading 1 2 3 5 2 2 5 4" xfId="19735"/>
    <cellStyle name="Heading 1 2 3 5 2 2 5 4 2" xfId="19736"/>
    <cellStyle name="Heading 1 2 3 5 2 2 5 4 2 2" xfId="19737"/>
    <cellStyle name="Heading 1 2 3 5 2 2 5 4 3" xfId="19738"/>
    <cellStyle name="Heading 1 2 3 5 2 2 5 5" xfId="19739"/>
    <cellStyle name="Heading 1 2 3 5 2 2 5 5 2" xfId="19740"/>
    <cellStyle name="Heading 1 2 3 5 2 2 5 5 2 2" xfId="19741"/>
    <cellStyle name="Heading 1 2 3 5 2 2 5 5 3" xfId="19742"/>
    <cellStyle name="Heading 1 2 3 5 2 2 5 6" xfId="19743"/>
    <cellStyle name="Heading 1 2 3 5 2 2 5 6 2" xfId="19744"/>
    <cellStyle name="Heading 1 2 3 5 2 2 5 6 2 2" xfId="19745"/>
    <cellStyle name="Heading 1 2 3 5 2 2 5 6 3" xfId="19746"/>
    <cellStyle name="Heading 1 2 3 5 2 2 5 7" xfId="19747"/>
    <cellStyle name="Heading 1 2 3 5 2 2 5 7 2" xfId="19748"/>
    <cellStyle name="Heading 1 2 3 5 2 2 5 7 2 2" xfId="19749"/>
    <cellStyle name="Heading 1 2 3 5 2 2 5 7 3" xfId="19750"/>
    <cellStyle name="Heading 1 2 3 5 2 2 5 8" xfId="19751"/>
    <cellStyle name="Heading 1 2 3 5 2 2 5 8 2" xfId="19752"/>
    <cellStyle name="Heading 1 2 3 5 2 2 5 9" xfId="19753"/>
    <cellStyle name="Heading 1 2 3 5 2 2 6" xfId="19754"/>
    <cellStyle name="Heading 1 2 3 5 2 2 6 2" xfId="19755"/>
    <cellStyle name="Heading 1 2 3 5 2 2 6 2 2" xfId="19756"/>
    <cellStyle name="Heading 1 2 3 5 2 2 6 2 2 2" xfId="19757"/>
    <cellStyle name="Heading 1 2 3 5 2 2 6 2 3" xfId="19758"/>
    <cellStyle name="Heading 1 2 3 5 2 2 6 3" xfId="19759"/>
    <cellStyle name="Heading 1 2 3 5 2 2 6 3 2" xfId="19760"/>
    <cellStyle name="Heading 1 2 3 5 2 2 6 3 2 2" xfId="19761"/>
    <cellStyle name="Heading 1 2 3 5 2 2 6 3 3" xfId="19762"/>
    <cellStyle name="Heading 1 2 3 5 2 2 6 4" xfId="19763"/>
    <cellStyle name="Heading 1 2 3 5 2 2 6 4 2" xfId="19764"/>
    <cellStyle name="Heading 1 2 3 5 2 2 6 4 2 2" xfId="19765"/>
    <cellStyle name="Heading 1 2 3 5 2 2 6 4 3" xfId="19766"/>
    <cellStyle name="Heading 1 2 3 5 2 2 6 5" xfId="19767"/>
    <cellStyle name="Heading 1 2 3 5 2 2 6 5 2" xfId="19768"/>
    <cellStyle name="Heading 1 2 3 5 2 2 6 5 2 2" xfId="19769"/>
    <cellStyle name="Heading 1 2 3 5 2 2 6 5 3" xfId="19770"/>
    <cellStyle name="Heading 1 2 3 5 2 2 6 6" xfId="19771"/>
    <cellStyle name="Heading 1 2 3 5 2 2 6 6 2" xfId="19772"/>
    <cellStyle name="Heading 1 2 3 5 2 2 6 6 2 2" xfId="19773"/>
    <cellStyle name="Heading 1 2 3 5 2 2 6 6 3" xfId="19774"/>
    <cellStyle name="Heading 1 2 3 5 2 2 6 7" xfId="19775"/>
    <cellStyle name="Heading 1 2 3 5 2 2 6 7 2" xfId="19776"/>
    <cellStyle name="Heading 1 2 3 5 2 2 6 7 2 2" xfId="19777"/>
    <cellStyle name="Heading 1 2 3 5 2 2 6 7 3" xfId="19778"/>
    <cellStyle name="Heading 1 2 3 5 2 2 6 8" xfId="19779"/>
    <cellStyle name="Heading 1 2 3 5 2 2 6 8 2" xfId="19780"/>
    <cellStyle name="Heading 1 2 3 5 2 2 6 9" xfId="19781"/>
    <cellStyle name="Heading 1 2 3 5 2 2 7" xfId="19782"/>
    <cellStyle name="Heading 1 2 3 5 2 2 7 2" xfId="19783"/>
    <cellStyle name="Heading 1 2 3 5 2 2 7 2 2" xfId="19784"/>
    <cellStyle name="Heading 1 2 3 5 2 2 7 2 2 2" xfId="19785"/>
    <cellStyle name="Heading 1 2 3 5 2 2 7 2 3" xfId="19786"/>
    <cellStyle name="Heading 1 2 3 5 2 2 7 3" xfId="19787"/>
    <cellStyle name="Heading 1 2 3 5 2 2 7 3 2" xfId="19788"/>
    <cellStyle name="Heading 1 2 3 5 2 2 7 3 2 2" xfId="19789"/>
    <cellStyle name="Heading 1 2 3 5 2 2 7 3 3" xfId="19790"/>
    <cellStyle name="Heading 1 2 3 5 2 2 7 4" xfId="19791"/>
    <cellStyle name="Heading 1 2 3 5 2 2 7 4 2" xfId="19792"/>
    <cellStyle name="Heading 1 2 3 5 2 2 7 4 2 2" xfId="19793"/>
    <cellStyle name="Heading 1 2 3 5 2 2 7 4 3" xfId="19794"/>
    <cellStyle name="Heading 1 2 3 5 2 2 7 5" xfId="19795"/>
    <cellStyle name="Heading 1 2 3 5 2 2 7 5 2" xfId="19796"/>
    <cellStyle name="Heading 1 2 3 5 2 2 7 5 2 2" xfId="19797"/>
    <cellStyle name="Heading 1 2 3 5 2 2 7 5 3" xfId="19798"/>
    <cellStyle name="Heading 1 2 3 5 2 2 7 6" xfId="19799"/>
    <cellStyle name="Heading 1 2 3 5 2 2 7 6 2" xfId="19800"/>
    <cellStyle name="Heading 1 2 3 5 2 2 7 6 2 2" xfId="19801"/>
    <cellStyle name="Heading 1 2 3 5 2 2 7 6 3" xfId="19802"/>
    <cellStyle name="Heading 1 2 3 5 2 2 7 7" xfId="19803"/>
    <cellStyle name="Heading 1 2 3 5 2 2 7 7 2" xfId="19804"/>
    <cellStyle name="Heading 1 2 3 5 2 2 7 7 2 2" xfId="19805"/>
    <cellStyle name="Heading 1 2 3 5 2 2 7 7 3" xfId="19806"/>
    <cellStyle name="Heading 1 2 3 5 2 2 7 8" xfId="19807"/>
    <cellStyle name="Heading 1 2 3 5 2 2 7 8 2" xfId="19808"/>
    <cellStyle name="Heading 1 2 3 5 2 2 7 9" xfId="19809"/>
    <cellStyle name="Heading 1 2 3 5 2 2 8" xfId="19810"/>
    <cellStyle name="Heading 1 2 3 5 2 2 8 2" xfId="19811"/>
    <cellStyle name="Heading 1 2 3 5 2 2 8 2 2" xfId="19812"/>
    <cellStyle name="Heading 1 2 3 5 2 2 8 2 2 2" xfId="19813"/>
    <cellStyle name="Heading 1 2 3 5 2 2 8 2 3" xfId="19814"/>
    <cellStyle name="Heading 1 2 3 5 2 2 8 3" xfId="19815"/>
    <cellStyle name="Heading 1 2 3 5 2 2 8 3 2" xfId="19816"/>
    <cellStyle name="Heading 1 2 3 5 2 2 8 3 2 2" xfId="19817"/>
    <cellStyle name="Heading 1 2 3 5 2 2 8 3 3" xfId="19818"/>
    <cellStyle name="Heading 1 2 3 5 2 2 8 4" xfId="19819"/>
    <cellStyle name="Heading 1 2 3 5 2 2 8 4 2" xfId="19820"/>
    <cellStyle name="Heading 1 2 3 5 2 2 8 4 2 2" xfId="19821"/>
    <cellStyle name="Heading 1 2 3 5 2 2 8 4 3" xfId="19822"/>
    <cellStyle name="Heading 1 2 3 5 2 2 8 5" xfId="19823"/>
    <cellStyle name="Heading 1 2 3 5 2 2 8 5 2" xfId="19824"/>
    <cellStyle name="Heading 1 2 3 5 2 2 8 5 2 2" xfId="19825"/>
    <cellStyle name="Heading 1 2 3 5 2 2 8 5 3" xfId="19826"/>
    <cellStyle name="Heading 1 2 3 5 2 2 8 6" xfId="19827"/>
    <cellStyle name="Heading 1 2 3 5 2 2 8 6 2" xfId="19828"/>
    <cellStyle name="Heading 1 2 3 5 2 2 8 6 2 2" xfId="19829"/>
    <cellStyle name="Heading 1 2 3 5 2 2 8 6 3" xfId="19830"/>
    <cellStyle name="Heading 1 2 3 5 2 2 8 7" xfId="19831"/>
    <cellStyle name="Heading 1 2 3 5 2 2 8 7 2" xfId="19832"/>
    <cellStyle name="Heading 1 2 3 5 2 2 8 7 2 2" xfId="19833"/>
    <cellStyle name="Heading 1 2 3 5 2 2 8 7 3" xfId="19834"/>
    <cellStyle name="Heading 1 2 3 5 2 2 8 8" xfId="19835"/>
    <cellStyle name="Heading 1 2 3 5 2 2 8 8 2" xfId="19836"/>
    <cellStyle name="Heading 1 2 3 5 2 2 8 9" xfId="19837"/>
    <cellStyle name="Heading 1 2 3 5 2 2 9" xfId="19838"/>
    <cellStyle name="Heading 1 2 3 5 2 2 9 2" xfId="19839"/>
    <cellStyle name="Heading 1 2 3 5 2 2 9 2 2" xfId="19840"/>
    <cellStyle name="Heading 1 2 3 5 2 2 9 3" xfId="19841"/>
    <cellStyle name="Heading 1 2 3 5 2 20" xfId="19842"/>
    <cellStyle name="Heading 1 2 3 5 2 20 2" xfId="19843"/>
    <cellStyle name="Heading 1 2 3 5 2 21" xfId="19844"/>
    <cellStyle name="Heading 1 2 3 5 2 21 2" xfId="19845"/>
    <cellStyle name="Heading 1 2 3 5 2 22" xfId="19846"/>
    <cellStyle name="Heading 1 2 3 5 2 22 2" xfId="19847"/>
    <cellStyle name="Heading 1 2 3 5 2 23" xfId="19848"/>
    <cellStyle name="Heading 1 2 3 5 2 3" xfId="19849"/>
    <cellStyle name="Heading 1 2 3 5 2 3 2" xfId="19850"/>
    <cellStyle name="Heading 1 2 3 5 2 3 2 2" xfId="19851"/>
    <cellStyle name="Heading 1 2 3 5 2 3 2 2 2" xfId="19852"/>
    <cellStyle name="Heading 1 2 3 5 2 3 2 3" xfId="19853"/>
    <cellStyle name="Heading 1 2 3 5 2 3 3" xfId="19854"/>
    <cellStyle name="Heading 1 2 3 5 2 3 3 2" xfId="19855"/>
    <cellStyle name="Heading 1 2 3 5 2 3 3 2 2" xfId="19856"/>
    <cellStyle name="Heading 1 2 3 5 2 3 3 3" xfId="19857"/>
    <cellStyle name="Heading 1 2 3 5 2 3 4" xfId="19858"/>
    <cellStyle name="Heading 1 2 3 5 2 3 4 2" xfId="19859"/>
    <cellStyle name="Heading 1 2 3 5 2 3 4 2 2" xfId="19860"/>
    <cellStyle name="Heading 1 2 3 5 2 3 4 3" xfId="19861"/>
    <cellStyle name="Heading 1 2 3 5 2 3 5" xfId="19862"/>
    <cellStyle name="Heading 1 2 3 5 2 3 5 2" xfId="19863"/>
    <cellStyle name="Heading 1 2 3 5 2 3 5 2 2" xfId="19864"/>
    <cellStyle name="Heading 1 2 3 5 2 3 5 3" xfId="19865"/>
    <cellStyle name="Heading 1 2 3 5 2 3 6" xfId="19866"/>
    <cellStyle name="Heading 1 2 3 5 2 3 6 2" xfId="19867"/>
    <cellStyle name="Heading 1 2 3 5 2 3 6 2 2" xfId="19868"/>
    <cellStyle name="Heading 1 2 3 5 2 3 6 3" xfId="19869"/>
    <cellStyle name="Heading 1 2 3 5 2 3 7" xfId="19870"/>
    <cellStyle name="Heading 1 2 3 5 2 3 7 2" xfId="19871"/>
    <cellStyle name="Heading 1 2 3 5 2 3 7 2 2" xfId="19872"/>
    <cellStyle name="Heading 1 2 3 5 2 3 7 3" xfId="19873"/>
    <cellStyle name="Heading 1 2 3 5 2 3 8" xfId="19874"/>
    <cellStyle name="Heading 1 2 3 5 2 3 8 2" xfId="19875"/>
    <cellStyle name="Heading 1 2 3 5 2 3 9" xfId="19876"/>
    <cellStyle name="Heading 1 2 3 5 2 4" xfId="19877"/>
    <cellStyle name="Heading 1 2 3 5 2 4 2" xfId="19878"/>
    <cellStyle name="Heading 1 2 3 5 2 4 2 2" xfId="19879"/>
    <cellStyle name="Heading 1 2 3 5 2 4 2 2 2" xfId="19880"/>
    <cellStyle name="Heading 1 2 3 5 2 4 2 3" xfId="19881"/>
    <cellStyle name="Heading 1 2 3 5 2 4 3" xfId="19882"/>
    <cellStyle name="Heading 1 2 3 5 2 4 3 2" xfId="19883"/>
    <cellStyle name="Heading 1 2 3 5 2 4 3 2 2" xfId="19884"/>
    <cellStyle name="Heading 1 2 3 5 2 4 3 3" xfId="19885"/>
    <cellStyle name="Heading 1 2 3 5 2 4 4" xfId="19886"/>
    <cellStyle name="Heading 1 2 3 5 2 4 4 2" xfId="19887"/>
    <cellStyle name="Heading 1 2 3 5 2 4 4 2 2" xfId="19888"/>
    <cellStyle name="Heading 1 2 3 5 2 4 4 3" xfId="19889"/>
    <cellStyle name="Heading 1 2 3 5 2 4 5" xfId="19890"/>
    <cellStyle name="Heading 1 2 3 5 2 4 5 2" xfId="19891"/>
    <cellStyle name="Heading 1 2 3 5 2 4 5 2 2" xfId="19892"/>
    <cellStyle name="Heading 1 2 3 5 2 4 5 3" xfId="19893"/>
    <cellStyle name="Heading 1 2 3 5 2 4 6" xfId="19894"/>
    <cellStyle name="Heading 1 2 3 5 2 4 6 2" xfId="19895"/>
    <cellStyle name="Heading 1 2 3 5 2 4 6 2 2" xfId="19896"/>
    <cellStyle name="Heading 1 2 3 5 2 4 6 3" xfId="19897"/>
    <cellStyle name="Heading 1 2 3 5 2 4 7" xfId="19898"/>
    <cellStyle name="Heading 1 2 3 5 2 4 7 2" xfId="19899"/>
    <cellStyle name="Heading 1 2 3 5 2 4 7 2 2" xfId="19900"/>
    <cellStyle name="Heading 1 2 3 5 2 4 7 3" xfId="19901"/>
    <cellStyle name="Heading 1 2 3 5 2 4 8" xfId="19902"/>
    <cellStyle name="Heading 1 2 3 5 2 4 8 2" xfId="19903"/>
    <cellStyle name="Heading 1 2 3 5 2 4 9" xfId="19904"/>
    <cellStyle name="Heading 1 2 3 5 2 5" xfId="19905"/>
    <cellStyle name="Heading 1 2 3 5 2 5 2" xfId="19906"/>
    <cellStyle name="Heading 1 2 3 5 2 5 2 2" xfId="19907"/>
    <cellStyle name="Heading 1 2 3 5 2 5 2 2 2" xfId="19908"/>
    <cellStyle name="Heading 1 2 3 5 2 5 2 3" xfId="19909"/>
    <cellStyle name="Heading 1 2 3 5 2 5 3" xfId="19910"/>
    <cellStyle name="Heading 1 2 3 5 2 5 3 2" xfId="19911"/>
    <cellStyle name="Heading 1 2 3 5 2 5 3 2 2" xfId="19912"/>
    <cellStyle name="Heading 1 2 3 5 2 5 3 3" xfId="19913"/>
    <cellStyle name="Heading 1 2 3 5 2 5 4" xfId="19914"/>
    <cellStyle name="Heading 1 2 3 5 2 5 4 2" xfId="19915"/>
    <cellStyle name="Heading 1 2 3 5 2 5 4 2 2" xfId="19916"/>
    <cellStyle name="Heading 1 2 3 5 2 5 4 3" xfId="19917"/>
    <cellStyle name="Heading 1 2 3 5 2 5 5" xfId="19918"/>
    <cellStyle name="Heading 1 2 3 5 2 5 5 2" xfId="19919"/>
    <cellStyle name="Heading 1 2 3 5 2 5 5 2 2" xfId="19920"/>
    <cellStyle name="Heading 1 2 3 5 2 5 5 3" xfId="19921"/>
    <cellStyle name="Heading 1 2 3 5 2 5 6" xfId="19922"/>
    <cellStyle name="Heading 1 2 3 5 2 5 6 2" xfId="19923"/>
    <cellStyle name="Heading 1 2 3 5 2 5 6 2 2" xfId="19924"/>
    <cellStyle name="Heading 1 2 3 5 2 5 6 3" xfId="19925"/>
    <cellStyle name="Heading 1 2 3 5 2 5 7" xfId="19926"/>
    <cellStyle name="Heading 1 2 3 5 2 5 7 2" xfId="19927"/>
    <cellStyle name="Heading 1 2 3 5 2 5 7 2 2" xfId="19928"/>
    <cellStyle name="Heading 1 2 3 5 2 5 7 3" xfId="19929"/>
    <cellStyle name="Heading 1 2 3 5 2 5 8" xfId="19930"/>
    <cellStyle name="Heading 1 2 3 5 2 5 8 2" xfId="19931"/>
    <cellStyle name="Heading 1 2 3 5 2 5 9" xfId="19932"/>
    <cellStyle name="Heading 1 2 3 5 2 6" xfId="19933"/>
    <cellStyle name="Heading 1 2 3 5 2 6 2" xfId="19934"/>
    <cellStyle name="Heading 1 2 3 5 2 6 2 2" xfId="19935"/>
    <cellStyle name="Heading 1 2 3 5 2 6 2 2 2" xfId="19936"/>
    <cellStyle name="Heading 1 2 3 5 2 6 2 3" xfId="19937"/>
    <cellStyle name="Heading 1 2 3 5 2 6 3" xfId="19938"/>
    <cellStyle name="Heading 1 2 3 5 2 6 3 2" xfId="19939"/>
    <cellStyle name="Heading 1 2 3 5 2 6 3 2 2" xfId="19940"/>
    <cellStyle name="Heading 1 2 3 5 2 6 3 3" xfId="19941"/>
    <cellStyle name="Heading 1 2 3 5 2 6 4" xfId="19942"/>
    <cellStyle name="Heading 1 2 3 5 2 6 4 2" xfId="19943"/>
    <cellStyle name="Heading 1 2 3 5 2 6 4 2 2" xfId="19944"/>
    <cellStyle name="Heading 1 2 3 5 2 6 4 3" xfId="19945"/>
    <cellStyle name="Heading 1 2 3 5 2 6 5" xfId="19946"/>
    <cellStyle name="Heading 1 2 3 5 2 6 5 2" xfId="19947"/>
    <cellStyle name="Heading 1 2 3 5 2 6 5 2 2" xfId="19948"/>
    <cellStyle name="Heading 1 2 3 5 2 6 5 3" xfId="19949"/>
    <cellStyle name="Heading 1 2 3 5 2 6 6" xfId="19950"/>
    <cellStyle name="Heading 1 2 3 5 2 6 6 2" xfId="19951"/>
    <cellStyle name="Heading 1 2 3 5 2 6 6 2 2" xfId="19952"/>
    <cellStyle name="Heading 1 2 3 5 2 6 6 3" xfId="19953"/>
    <cellStyle name="Heading 1 2 3 5 2 6 7" xfId="19954"/>
    <cellStyle name="Heading 1 2 3 5 2 6 7 2" xfId="19955"/>
    <cellStyle name="Heading 1 2 3 5 2 6 7 2 2" xfId="19956"/>
    <cellStyle name="Heading 1 2 3 5 2 6 7 3" xfId="19957"/>
    <cellStyle name="Heading 1 2 3 5 2 6 8" xfId="19958"/>
    <cellStyle name="Heading 1 2 3 5 2 6 8 2" xfId="19959"/>
    <cellStyle name="Heading 1 2 3 5 2 6 9" xfId="19960"/>
    <cellStyle name="Heading 1 2 3 5 2 7" xfId="19961"/>
    <cellStyle name="Heading 1 2 3 5 2 7 2" xfId="19962"/>
    <cellStyle name="Heading 1 2 3 5 2 7 2 2" xfId="19963"/>
    <cellStyle name="Heading 1 2 3 5 2 7 2 2 2" xfId="19964"/>
    <cellStyle name="Heading 1 2 3 5 2 7 2 3" xfId="19965"/>
    <cellStyle name="Heading 1 2 3 5 2 7 3" xfId="19966"/>
    <cellStyle name="Heading 1 2 3 5 2 7 3 2" xfId="19967"/>
    <cellStyle name="Heading 1 2 3 5 2 7 3 2 2" xfId="19968"/>
    <cellStyle name="Heading 1 2 3 5 2 7 3 3" xfId="19969"/>
    <cellStyle name="Heading 1 2 3 5 2 7 4" xfId="19970"/>
    <cellStyle name="Heading 1 2 3 5 2 7 4 2" xfId="19971"/>
    <cellStyle name="Heading 1 2 3 5 2 7 4 2 2" xfId="19972"/>
    <cellStyle name="Heading 1 2 3 5 2 7 4 3" xfId="19973"/>
    <cellStyle name="Heading 1 2 3 5 2 7 5" xfId="19974"/>
    <cellStyle name="Heading 1 2 3 5 2 7 5 2" xfId="19975"/>
    <cellStyle name="Heading 1 2 3 5 2 7 5 2 2" xfId="19976"/>
    <cellStyle name="Heading 1 2 3 5 2 7 5 3" xfId="19977"/>
    <cellStyle name="Heading 1 2 3 5 2 7 6" xfId="19978"/>
    <cellStyle name="Heading 1 2 3 5 2 7 6 2" xfId="19979"/>
    <cellStyle name="Heading 1 2 3 5 2 7 6 2 2" xfId="19980"/>
    <cellStyle name="Heading 1 2 3 5 2 7 6 3" xfId="19981"/>
    <cellStyle name="Heading 1 2 3 5 2 7 7" xfId="19982"/>
    <cellStyle name="Heading 1 2 3 5 2 7 7 2" xfId="19983"/>
    <cellStyle name="Heading 1 2 3 5 2 7 7 2 2" xfId="19984"/>
    <cellStyle name="Heading 1 2 3 5 2 7 7 3" xfId="19985"/>
    <cellStyle name="Heading 1 2 3 5 2 7 8" xfId="19986"/>
    <cellStyle name="Heading 1 2 3 5 2 7 8 2" xfId="19987"/>
    <cellStyle name="Heading 1 2 3 5 2 7 9" xfId="19988"/>
    <cellStyle name="Heading 1 2 3 5 2 8" xfId="19989"/>
    <cellStyle name="Heading 1 2 3 5 2 8 2" xfId="19990"/>
    <cellStyle name="Heading 1 2 3 5 2 8 2 2" xfId="19991"/>
    <cellStyle name="Heading 1 2 3 5 2 8 2 2 2" xfId="19992"/>
    <cellStyle name="Heading 1 2 3 5 2 8 2 3" xfId="19993"/>
    <cellStyle name="Heading 1 2 3 5 2 8 3" xfId="19994"/>
    <cellStyle name="Heading 1 2 3 5 2 8 3 2" xfId="19995"/>
    <cellStyle name="Heading 1 2 3 5 2 8 3 2 2" xfId="19996"/>
    <cellStyle name="Heading 1 2 3 5 2 8 3 3" xfId="19997"/>
    <cellStyle name="Heading 1 2 3 5 2 8 4" xfId="19998"/>
    <cellStyle name="Heading 1 2 3 5 2 8 4 2" xfId="19999"/>
    <cellStyle name="Heading 1 2 3 5 2 8 4 2 2" xfId="20000"/>
    <cellStyle name="Heading 1 2 3 5 2 8 4 3" xfId="20001"/>
    <cellStyle name="Heading 1 2 3 5 2 8 5" xfId="20002"/>
    <cellStyle name="Heading 1 2 3 5 2 8 5 2" xfId="20003"/>
    <cellStyle name="Heading 1 2 3 5 2 8 5 2 2" xfId="20004"/>
    <cellStyle name="Heading 1 2 3 5 2 8 5 3" xfId="20005"/>
    <cellStyle name="Heading 1 2 3 5 2 8 6" xfId="20006"/>
    <cellStyle name="Heading 1 2 3 5 2 8 6 2" xfId="20007"/>
    <cellStyle name="Heading 1 2 3 5 2 8 6 2 2" xfId="20008"/>
    <cellStyle name="Heading 1 2 3 5 2 8 6 3" xfId="20009"/>
    <cellStyle name="Heading 1 2 3 5 2 8 7" xfId="20010"/>
    <cellStyle name="Heading 1 2 3 5 2 8 7 2" xfId="20011"/>
    <cellStyle name="Heading 1 2 3 5 2 8 7 2 2" xfId="20012"/>
    <cellStyle name="Heading 1 2 3 5 2 8 7 3" xfId="20013"/>
    <cellStyle name="Heading 1 2 3 5 2 8 8" xfId="20014"/>
    <cellStyle name="Heading 1 2 3 5 2 8 8 2" xfId="20015"/>
    <cellStyle name="Heading 1 2 3 5 2 8 9" xfId="20016"/>
    <cellStyle name="Heading 1 2 3 5 2 9" xfId="20017"/>
    <cellStyle name="Heading 1 2 3 5 2 9 2" xfId="20018"/>
    <cellStyle name="Heading 1 2 3 5 2 9 2 2" xfId="20019"/>
    <cellStyle name="Heading 1 2 3 5 2 9 2 2 2" xfId="20020"/>
    <cellStyle name="Heading 1 2 3 5 2 9 2 3" xfId="20021"/>
    <cellStyle name="Heading 1 2 3 5 2 9 3" xfId="20022"/>
    <cellStyle name="Heading 1 2 3 5 2 9 3 2" xfId="20023"/>
    <cellStyle name="Heading 1 2 3 5 2 9 3 2 2" xfId="20024"/>
    <cellStyle name="Heading 1 2 3 5 2 9 3 3" xfId="20025"/>
    <cellStyle name="Heading 1 2 3 5 2 9 4" xfId="20026"/>
    <cellStyle name="Heading 1 2 3 5 2 9 4 2" xfId="20027"/>
    <cellStyle name="Heading 1 2 3 5 2 9 4 2 2" xfId="20028"/>
    <cellStyle name="Heading 1 2 3 5 2 9 4 3" xfId="20029"/>
    <cellStyle name="Heading 1 2 3 5 2 9 5" xfId="20030"/>
    <cellStyle name="Heading 1 2 3 5 2 9 5 2" xfId="20031"/>
    <cellStyle name="Heading 1 2 3 5 2 9 5 2 2" xfId="20032"/>
    <cellStyle name="Heading 1 2 3 5 2 9 5 3" xfId="20033"/>
    <cellStyle name="Heading 1 2 3 5 2 9 6" xfId="20034"/>
    <cellStyle name="Heading 1 2 3 5 2 9 6 2" xfId="20035"/>
    <cellStyle name="Heading 1 2 3 5 2 9 6 2 2" xfId="20036"/>
    <cellStyle name="Heading 1 2 3 5 2 9 6 3" xfId="20037"/>
    <cellStyle name="Heading 1 2 3 5 2 9 7" xfId="20038"/>
    <cellStyle name="Heading 1 2 3 5 2 9 7 2" xfId="20039"/>
    <cellStyle name="Heading 1 2 3 5 2 9 7 2 2" xfId="20040"/>
    <cellStyle name="Heading 1 2 3 5 2 9 7 3" xfId="20041"/>
    <cellStyle name="Heading 1 2 3 5 2 9 8" xfId="20042"/>
    <cellStyle name="Heading 1 2 3 5 2 9 8 2" xfId="20043"/>
    <cellStyle name="Heading 1 2 3 5 2 9 9" xfId="20044"/>
    <cellStyle name="Heading 1 2 3 5 3" xfId="20045"/>
    <cellStyle name="Heading 1 2 3 5 3 10" xfId="20046"/>
    <cellStyle name="Heading 1 2 3 5 3 10 2" xfId="20047"/>
    <cellStyle name="Heading 1 2 3 5 3 10 2 2" xfId="20048"/>
    <cellStyle name="Heading 1 2 3 5 3 10 3" xfId="20049"/>
    <cellStyle name="Heading 1 2 3 5 3 11" xfId="20050"/>
    <cellStyle name="Heading 1 2 3 5 3 11 2" xfId="20051"/>
    <cellStyle name="Heading 1 2 3 5 3 11 2 2" xfId="20052"/>
    <cellStyle name="Heading 1 2 3 5 3 11 3" xfId="20053"/>
    <cellStyle name="Heading 1 2 3 5 3 12" xfId="20054"/>
    <cellStyle name="Heading 1 2 3 5 3 12 2" xfId="20055"/>
    <cellStyle name="Heading 1 2 3 5 3 12 2 2" xfId="20056"/>
    <cellStyle name="Heading 1 2 3 5 3 12 3" xfId="20057"/>
    <cellStyle name="Heading 1 2 3 5 3 13" xfId="20058"/>
    <cellStyle name="Heading 1 2 3 5 3 13 2" xfId="20059"/>
    <cellStyle name="Heading 1 2 3 5 3 13 2 2" xfId="20060"/>
    <cellStyle name="Heading 1 2 3 5 3 13 3" xfId="20061"/>
    <cellStyle name="Heading 1 2 3 5 3 14" xfId="20062"/>
    <cellStyle name="Heading 1 2 3 5 3 14 2" xfId="20063"/>
    <cellStyle name="Heading 1 2 3 5 3 14 2 2" xfId="20064"/>
    <cellStyle name="Heading 1 2 3 5 3 14 3" xfId="20065"/>
    <cellStyle name="Heading 1 2 3 5 3 15" xfId="20066"/>
    <cellStyle name="Heading 1 2 3 5 3 15 2" xfId="20067"/>
    <cellStyle name="Heading 1 2 3 5 3 15 2 2" xfId="20068"/>
    <cellStyle name="Heading 1 2 3 5 3 15 3" xfId="20069"/>
    <cellStyle name="Heading 1 2 3 5 3 16" xfId="20070"/>
    <cellStyle name="Heading 1 2 3 5 3 16 2" xfId="20071"/>
    <cellStyle name="Heading 1 2 3 5 3 16 2 2" xfId="20072"/>
    <cellStyle name="Heading 1 2 3 5 3 16 3" xfId="20073"/>
    <cellStyle name="Heading 1 2 3 5 3 17" xfId="20074"/>
    <cellStyle name="Heading 1 2 3 5 3 17 2" xfId="20075"/>
    <cellStyle name="Heading 1 2 3 5 3 17 2 2" xfId="20076"/>
    <cellStyle name="Heading 1 2 3 5 3 17 3" xfId="20077"/>
    <cellStyle name="Heading 1 2 3 5 3 18" xfId="20078"/>
    <cellStyle name="Heading 1 2 3 5 3 18 2" xfId="20079"/>
    <cellStyle name="Heading 1 2 3 5 3 18 2 2" xfId="20080"/>
    <cellStyle name="Heading 1 2 3 5 3 18 3" xfId="20081"/>
    <cellStyle name="Heading 1 2 3 5 3 19" xfId="20082"/>
    <cellStyle name="Heading 1 2 3 5 3 19 2" xfId="20083"/>
    <cellStyle name="Heading 1 2 3 5 3 2" xfId="20084"/>
    <cellStyle name="Heading 1 2 3 5 3 2 2" xfId="20085"/>
    <cellStyle name="Heading 1 2 3 5 3 2 2 2" xfId="20086"/>
    <cellStyle name="Heading 1 2 3 5 3 2 2 2 2" xfId="20087"/>
    <cellStyle name="Heading 1 2 3 5 3 2 2 3" xfId="20088"/>
    <cellStyle name="Heading 1 2 3 5 3 2 3" xfId="20089"/>
    <cellStyle name="Heading 1 2 3 5 3 2 3 2" xfId="20090"/>
    <cellStyle name="Heading 1 2 3 5 3 2 3 2 2" xfId="20091"/>
    <cellStyle name="Heading 1 2 3 5 3 2 3 3" xfId="20092"/>
    <cellStyle name="Heading 1 2 3 5 3 2 4" xfId="20093"/>
    <cellStyle name="Heading 1 2 3 5 3 2 4 2" xfId="20094"/>
    <cellStyle name="Heading 1 2 3 5 3 2 4 2 2" xfId="20095"/>
    <cellStyle name="Heading 1 2 3 5 3 2 4 3" xfId="20096"/>
    <cellStyle name="Heading 1 2 3 5 3 2 5" xfId="20097"/>
    <cellStyle name="Heading 1 2 3 5 3 2 5 2" xfId="20098"/>
    <cellStyle name="Heading 1 2 3 5 3 2 5 2 2" xfId="20099"/>
    <cellStyle name="Heading 1 2 3 5 3 2 5 3" xfId="20100"/>
    <cellStyle name="Heading 1 2 3 5 3 2 6" xfId="20101"/>
    <cellStyle name="Heading 1 2 3 5 3 2 6 2" xfId="20102"/>
    <cellStyle name="Heading 1 2 3 5 3 2 6 2 2" xfId="20103"/>
    <cellStyle name="Heading 1 2 3 5 3 2 6 3" xfId="20104"/>
    <cellStyle name="Heading 1 2 3 5 3 2 7" xfId="20105"/>
    <cellStyle name="Heading 1 2 3 5 3 2 7 2" xfId="20106"/>
    <cellStyle name="Heading 1 2 3 5 3 2 7 2 2" xfId="20107"/>
    <cellStyle name="Heading 1 2 3 5 3 2 7 3" xfId="20108"/>
    <cellStyle name="Heading 1 2 3 5 3 2 8" xfId="20109"/>
    <cellStyle name="Heading 1 2 3 5 3 2 8 2" xfId="20110"/>
    <cellStyle name="Heading 1 2 3 5 3 2 9" xfId="20111"/>
    <cellStyle name="Heading 1 2 3 5 3 20" xfId="20112"/>
    <cellStyle name="Heading 1 2 3 5 3 20 2" xfId="20113"/>
    <cellStyle name="Heading 1 2 3 5 3 21" xfId="20114"/>
    <cellStyle name="Heading 1 2 3 5 3 21 2" xfId="20115"/>
    <cellStyle name="Heading 1 2 3 5 3 22" xfId="20116"/>
    <cellStyle name="Heading 1 2 3 5 3 3" xfId="20117"/>
    <cellStyle name="Heading 1 2 3 5 3 3 2" xfId="20118"/>
    <cellStyle name="Heading 1 2 3 5 3 3 2 2" xfId="20119"/>
    <cellStyle name="Heading 1 2 3 5 3 3 2 2 2" xfId="20120"/>
    <cellStyle name="Heading 1 2 3 5 3 3 2 3" xfId="20121"/>
    <cellStyle name="Heading 1 2 3 5 3 3 3" xfId="20122"/>
    <cellStyle name="Heading 1 2 3 5 3 3 3 2" xfId="20123"/>
    <cellStyle name="Heading 1 2 3 5 3 3 3 2 2" xfId="20124"/>
    <cellStyle name="Heading 1 2 3 5 3 3 3 3" xfId="20125"/>
    <cellStyle name="Heading 1 2 3 5 3 3 4" xfId="20126"/>
    <cellStyle name="Heading 1 2 3 5 3 3 4 2" xfId="20127"/>
    <cellStyle name="Heading 1 2 3 5 3 3 4 2 2" xfId="20128"/>
    <cellStyle name="Heading 1 2 3 5 3 3 4 3" xfId="20129"/>
    <cellStyle name="Heading 1 2 3 5 3 3 5" xfId="20130"/>
    <cellStyle name="Heading 1 2 3 5 3 3 5 2" xfId="20131"/>
    <cellStyle name="Heading 1 2 3 5 3 3 5 2 2" xfId="20132"/>
    <cellStyle name="Heading 1 2 3 5 3 3 5 3" xfId="20133"/>
    <cellStyle name="Heading 1 2 3 5 3 3 6" xfId="20134"/>
    <cellStyle name="Heading 1 2 3 5 3 3 6 2" xfId="20135"/>
    <cellStyle name="Heading 1 2 3 5 3 3 6 2 2" xfId="20136"/>
    <cellStyle name="Heading 1 2 3 5 3 3 6 3" xfId="20137"/>
    <cellStyle name="Heading 1 2 3 5 3 3 7" xfId="20138"/>
    <cellStyle name="Heading 1 2 3 5 3 3 7 2" xfId="20139"/>
    <cellStyle name="Heading 1 2 3 5 3 3 7 2 2" xfId="20140"/>
    <cellStyle name="Heading 1 2 3 5 3 3 7 3" xfId="20141"/>
    <cellStyle name="Heading 1 2 3 5 3 3 8" xfId="20142"/>
    <cellStyle name="Heading 1 2 3 5 3 3 8 2" xfId="20143"/>
    <cellStyle name="Heading 1 2 3 5 3 3 9" xfId="20144"/>
    <cellStyle name="Heading 1 2 3 5 3 4" xfId="20145"/>
    <cellStyle name="Heading 1 2 3 5 3 4 2" xfId="20146"/>
    <cellStyle name="Heading 1 2 3 5 3 4 2 2" xfId="20147"/>
    <cellStyle name="Heading 1 2 3 5 3 4 2 2 2" xfId="20148"/>
    <cellStyle name="Heading 1 2 3 5 3 4 2 3" xfId="20149"/>
    <cellStyle name="Heading 1 2 3 5 3 4 3" xfId="20150"/>
    <cellStyle name="Heading 1 2 3 5 3 4 3 2" xfId="20151"/>
    <cellStyle name="Heading 1 2 3 5 3 4 3 2 2" xfId="20152"/>
    <cellStyle name="Heading 1 2 3 5 3 4 3 3" xfId="20153"/>
    <cellStyle name="Heading 1 2 3 5 3 4 4" xfId="20154"/>
    <cellStyle name="Heading 1 2 3 5 3 4 4 2" xfId="20155"/>
    <cellStyle name="Heading 1 2 3 5 3 4 4 2 2" xfId="20156"/>
    <cellStyle name="Heading 1 2 3 5 3 4 4 3" xfId="20157"/>
    <cellStyle name="Heading 1 2 3 5 3 4 5" xfId="20158"/>
    <cellStyle name="Heading 1 2 3 5 3 4 5 2" xfId="20159"/>
    <cellStyle name="Heading 1 2 3 5 3 4 5 2 2" xfId="20160"/>
    <cellStyle name="Heading 1 2 3 5 3 4 5 3" xfId="20161"/>
    <cellStyle name="Heading 1 2 3 5 3 4 6" xfId="20162"/>
    <cellStyle name="Heading 1 2 3 5 3 4 6 2" xfId="20163"/>
    <cellStyle name="Heading 1 2 3 5 3 4 6 2 2" xfId="20164"/>
    <cellStyle name="Heading 1 2 3 5 3 4 6 3" xfId="20165"/>
    <cellStyle name="Heading 1 2 3 5 3 4 7" xfId="20166"/>
    <cellStyle name="Heading 1 2 3 5 3 4 7 2" xfId="20167"/>
    <cellStyle name="Heading 1 2 3 5 3 4 7 2 2" xfId="20168"/>
    <cellStyle name="Heading 1 2 3 5 3 4 7 3" xfId="20169"/>
    <cellStyle name="Heading 1 2 3 5 3 4 8" xfId="20170"/>
    <cellStyle name="Heading 1 2 3 5 3 4 8 2" xfId="20171"/>
    <cellStyle name="Heading 1 2 3 5 3 4 9" xfId="20172"/>
    <cellStyle name="Heading 1 2 3 5 3 5" xfId="20173"/>
    <cellStyle name="Heading 1 2 3 5 3 5 2" xfId="20174"/>
    <cellStyle name="Heading 1 2 3 5 3 5 2 2" xfId="20175"/>
    <cellStyle name="Heading 1 2 3 5 3 5 2 2 2" xfId="20176"/>
    <cellStyle name="Heading 1 2 3 5 3 5 2 3" xfId="20177"/>
    <cellStyle name="Heading 1 2 3 5 3 5 3" xfId="20178"/>
    <cellStyle name="Heading 1 2 3 5 3 5 3 2" xfId="20179"/>
    <cellStyle name="Heading 1 2 3 5 3 5 3 2 2" xfId="20180"/>
    <cellStyle name="Heading 1 2 3 5 3 5 3 3" xfId="20181"/>
    <cellStyle name="Heading 1 2 3 5 3 5 4" xfId="20182"/>
    <cellStyle name="Heading 1 2 3 5 3 5 4 2" xfId="20183"/>
    <cellStyle name="Heading 1 2 3 5 3 5 4 2 2" xfId="20184"/>
    <cellStyle name="Heading 1 2 3 5 3 5 4 3" xfId="20185"/>
    <cellStyle name="Heading 1 2 3 5 3 5 5" xfId="20186"/>
    <cellStyle name="Heading 1 2 3 5 3 5 5 2" xfId="20187"/>
    <cellStyle name="Heading 1 2 3 5 3 5 5 2 2" xfId="20188"/>
    <cellStyle name="Heading 1 2 3 5 3 5 5 3" xfId="20189"/>
    <cellStyle name="Heading 1 2 3 5 3 5 6" xfId="20190"/>
    <cellStyle name="Heading 1 2 3 5 3 5 6 2" xfId="20191"/>
    <cellStyle name="Heading 1 2 3 5 3 5 6 2 2" xfId="20192"/>
    <cellStyle name="Heading 1 2 3 5 3 5 6 3" xfId="20193"/>
    <cellStyle name="Heading 1 2 3 5 3 5 7" xfId="20194"/>
    <cellStyle name="Heading 1 2 3 5 3 5 7 2" xfId="20195"/>
    <cellStyle name="Heading 1 2 3 5 3 5 7 2 2" xfId="20196"/>
    <cellStyle name="Heading 1 2 3 5 3 5 7 3" xfId="20197"/>
    <cellStyle name="Heading 1 2 3 5 3 5 8" xfId="20198"/>
    <cellStyle name="Heading 1 2 3 5 3 5 8 2" xfId="20199"/>
    <cellStyle name="Heading 1 2 3 5 3 5 9" xfId="20200"/>
    <cellStyle name="Heading 1 2 3 5 3 6" xfId="20201"/>
    <cellStyle name="Heading 1 2 3 5 3 6 2" xfId="20202"/>
    <cellStyle name="Heading 1 2 3 5 3 6 2 2" xfId="20203"/>
    <cellStyle name="Heading 1 2 3 5 3 6 2 2 2" xfId="20204"/>
    <cellStyle name="Heading 1 2 3 5 3 6 2 3" xfId="20205"/>
    <cellStyle name="Heading 1 2 3 5 3 6 3" xfId="20206"/>
    <cellStyle name="Heading 1 2 3 5 3 6 3 2" xfId="20207"/>
    <cellStyle name="Heading 1 2 3 5 3 6 3 2 2" xfId="20208"/>
    <cellStyle name="Heading 1 2 3 5 3 6 3 3" xfId="20209"/>
    <cellStyle name="Heading 1 2 3 5 3 6 4" xfId="20210"/>
    <cellStyle name="Heading 1 2 3 5 3 6 4 2" xfId="20211"/>
    <cellStyle name="Heading 1 2 3 5 3 6 4 2 2" xfId="20212"/>
    <cellStyle name="Heading 1 2 3 5 3 6 4 3" xfId="20213"/>
    <cellStyle name="Heading 1 2 3 5 3 6 5" xfId="20214"/>
    <cellStyle name="Heading 1 2 3 5 3 6 5 2" xfId="20215"/>
    <cellStyle name="Heading 1 2 3 5 3 6 5 2 2" xfId="20216"/>
    <cellStyle name="Heading 1 2 3 5 3 6 5 3" xfId="20217"/>
    <cellStyle name="Heading 1 2 3 5 3 6 6" xfId="20218"/>
    <cellStyle name="Heading 1 2 3 5 3 6 6 2" xfId="20219"/>
    <cellStyle name="Heading 1 2 3 5 3 6 6 2 2" xfId="20220"/>
    <cellStyle name="Heading 1 2 3 5 3 6 6 3" xfId="20221"/>
    <cellStyle name="Heading 1 2 3 5 3 6 7" xfId="20222"/>
    <cellStyle name="Heading 1 2 3 5 3 6 7 2" xfId="20223"/>
    <cellStyle name="Heading 1 2 3 5 3 6 7 2 2" xfId="20224"/>
    <cellStyle name="Heading 1 2 3 5 3 6 7 3" xfId="20225"/>
    <cellStyle name="Heading 1 2 3 5 3 6 8" xfId="20226"/>
    <cellStyle name="Heading 1 2 3 5 3 6 8 2" xfId="20227"/>
    <cellStyle name="Heading 1 2 3 5 3 6 9" xfId="20228"/>
    <cellStyle name="Heading 1 2 3 5 3 7" xfId="20229"/>
    <cellStyle name="Heading 1 2 3 5 3 7 2" xfId="20230"/>
    <cellStyle name="Heading 1 2 3 5 3 7 2 2" xfId="20231"/>
    <cellStyle name="Heading 1 2 3 5 3 7 2 2 2" xfId="20232"/>
    <cellStyle name="Heading 1 2 3 5 3 7 2 3" xfId="20233"/>
    <cellStyle name="Heading 1 2 3 5 3 7 3" xfId="20234"/>
    <cellStyle name="Heading 1 2 3 5 3 7 3 2" xfId="20235"/>
    <cellStyle name="Heading 1 2 3 5 3 7 3 2 2" xfId="20236"/>
    <cellStyle name="Heading 1 2 3 5 3 7 3 3" xfId="20237"/>
    <cellStyle name="Heading 1 2 3 5 3 7 4" xfId="20238"/>
    <cellStyle name="Heading 1 2 3 5 3 7 4 2" xfId="20239"/>
    <cellStyle name="Heading 1 2 3 5 3 7 4 2 2" xfId="20240"/>
    <cellStyle name="Heading 1 2 3 5 3 7 4 3" xfId="20241"/>
    <cellStyle name="Heading 1 2 3 5 3 7 5" xfId="20242"/>
    <cellStyle name="Heading 1 2 3 5 3 7 5 2" xfId="20243"/>
    <cellStyle name="Heading 1 2 3 5 3 7 5 2 2" xfId="20244"/>
    <cellStyle name="Heading 1 2 3 5 3 7 5 3" xfId="20245"/>
    <cellStyle name="Heading 1 2 3 5 3 7 6" xfId="20246"/>
    <cellStyle name="Heading 1 2 3 5 3 7 6 2" xfId="20247"/>
    <cellStyle name="Heading 1 2 3 5 3 7 6 2 2" xfId="20248"/>
    <cellStyle name="Heading 1 2 3 5 3 7 6 3" xfId="20249"/>
    <cellStyle name="Heading 1 2 3 5 3 7 7" xfId="20250"/>
    <cellStyle name="Heading 1 2 3 5 3 7 7 2" xfId="20251"/>
    <cellStyle name="Heading 1 2 3 5 3 7 7 2 2" xfId="20252"/>
    <cellStyle name="Heading 1 2 3 5 3 7 7 3" xfId="20253"/>
    <cellStyle name="Heading 1 2 3 5 3 7 8" xfId="20254"/>
    <cellStyle name="Heading 1 2 3 5 3 7 8 2" xfId="20255"/>
    <cellStyle name="Heading 1 2 3 5 3 7 9" xfId="20256"/>
    <cellStyle name="Heading 1 2 3 5 3 8" xfId="20257"/>
    <cellStyle name="Heading 1 2 3 5 3 8 2" xfId="20258"/>
    <cellStyle name="Heading 1 2 3 5 3 8 2 2" xfId="20259"/>
    <cellStyle name="Heading 1 2 3 5 3 8 2 2 2" xfId="20260"/>
    <cellStyle name="Heading 1 2 3 5 3 8 2 3" xfId="20261"/>
    <cellStyle name="Heading 1 2 3 5 3 8 3" xfId="20262"/>
    <cellStyle name="Heading 1 2 3 5 3 8 3 2" xfId="20263"/>
    <cellStyle name="Heading 1 2 3 5 3 8 3 2 2" xfId="20264"/>
    <cellStyle name="Heading 1 2 3 5 3 8 3 3" xfId="20265"/>
    <cellStyle name="Heading 1 2 3 5 3 8 4" xfId="20266"/>
    <cellStyle name="Heading 1 2 3 5 3 8 4 2" xfId="20267"/>
    <cellStyle name="Heading 1 2 3 5 3 8 4 2 2" xfId="20268"/>
    <cellStyle name="Heading 1 2 3 5 3 8 4 3" xfId="20269"/>
    <cellStyle name="Heading 1 2 3 5 3 8 5" xfId="20270"/>
    <cellStyle name="Heading 1 2 3 5 3 8 5 2" xfId="20271"/>
    <cellStyle name="Heading 1 2 3 5 3 8 5 2 2" xfId="20272"/>
    <cellStyle name="Heading 1 2 3 5 3 8 5 3" xfId="20273"/>
    <cellStyle name="Heading 1 2 3 5 3 8 6" xfId="20274"/>
    <cellStyle name="Heading 1 2 3 5 3 8 6 2" xfId="20275"/>
    <cellStyle name="Heading 1 2 3 5 3 8 6 2 2" xfId="20276"/>
    <cellStyle name="Heading 1 2 3 5 3 8 6 3" xfId="20277"/>
    <cellStyle name="Heading 1 2 3 5 3 8 7" xfId="20278"/>
    <cellStyle name="Heading 1 2 3 5 3 8 7 2" xfId="20279"/>
    <cellStyle name="Heading 1 2 3 5 3 8 7 2 2" xfId="20280"/>
    <cellStyle name="Heading 1 2 3 5 3 8 7 3" xfId="20281"/>
    <cellStyle name="Heading 1 2 3 5 3 8 8" xfId="20282"/>
    <cellStyle name="Heading 1 2 3 5 3 8 8 2" xfId="20283"/>
    <cellStyle name="Heading 1 2 3 5 3 8 9" xfId="20284"/>
    <cellStyle name="Heading 1 2 3 5 3 9" xfId="20285"/>
    <cellStyle name="Heading 1 2 3 5 3 9 2" xfId="20286"/>
    <cellStyle name="Heading 1 2 3 5 3 9 2 2" xfId="20287"/>
    <cellStyle name="Heading 1 2 3 5 3 9 3" xfId="20288"/>
    <cellStyle name="Heading 1 2 3 5 4" xfId="20289"/>
    <cellStyle name="Heading 1 2 3 5 4 2" xfId="20290"/>
    <cellStyle name="Heading 1 2 3 5 4 2 2" xfId="20291"/>
    <cellStyle name="Heading 1 2 3 5 4 3" xfId="20292"/>
    <cellStyle name="Heading 1 2 3 5 5" xfId="20293"/>
    <cellStyle name="Heading 1 2 3 5 5 2" xfId="20294"/>
    <cellStyle name="Heading 1 2 3 5 6" xfId="20295"/>
    <cellStyle name="Heading 1 2 3 6" xfId="20296"/>
    <cellStyle name="Heading 1 2 3 6 2" xfId="20297"/>
    <cellStyle name="Heading 1 2 3 6 2 10" xfId="20298"/>
    <cellStyle name="Heading 1 2 3 6 2 10 2" xfId="20299"/>
    <cellStyle name="Heading 1 2 3 6 2 10 2 2" xfId="20300"/>
    <cellStyle name="Heading 1 2 3 6 2 10 3" xfId="20301"/>
    <cellStyle name="Heading 1 2 3 6 2 11" xfId="20302"/>
    <cellStyle name="Heading 1 2 3 6 2 11 2" xfId="20303"/>
    <cellStyle name="Heading 1 2 3 6 2 11 2 2" xfId="20304"/>
    <cellStyle name="Heading 1 2 3 6 2 11 3" xfId="20305"/>
    <cellStyle name="Heading 1 2 3 6 2 12" xfId="20306"/>
    <cellStyle name="Heading 1 2 3 6 2 12 2" xfId="20307"/>
    <cellStyle name="Heading 1 2 3 6 2 12 2 2" xfId="20308"/>
    <cellStyle name="Heading 1 2 3 6 2 12 3" xfId="20309"/>
    <cellStyle name="Heading 1 2 3 6 2 13" xfId="20310"/>
    <cellStyle name="Heading 1 2 3 6 2 13 2" xfId="20311"/>
    <cellStyle name="Heading 1 2 3 6 2 13 2 2" xfId="20312"/>
    <cellStyle name="Heading 1 2 3 6 2 13 3" xfId="20313"/>
    <cellStyle name="Heading 1 2 3 6 2 14" xfId="20314"/>
    <cellStyle name="Heading 1 2 3 6 2 14 2" xfId="20315"/>
    <cellStyle name="Heading 1 2 3 6 2 14 2 2" xfId="20316"/>
    <cellStyle name="Heading 1 2 3 6 2 14 3" xfId="20317"/>
    <cellStyle name="Heading 1 2 3 6 2 15" xfId="20318"/>
    <cellStyle name="Heading 1 2 3 6 2 15 2" xfId="20319"/>
    <cellStyle name="Heading 1 2 3 6 2 15 2 2" xfId="20320"/>
    <cellStyle name="Heading 1 2 3 6 2 15 3" xfId="20321"/>
    <cellStyle name="Heading 1 2 3 6 2 16" xfId="20322"/>
    <cellStyle name="Heading 1 2 3 6 2 16 2" xfId="20323"/>
    <cellStyle name="Heading 1 2 3 6 2 16 2 2" xfId="20324"/>
    <cellStyle name="Heading 1 2 3 6 2 16 3" xfId="20325"/>
    <cellStyle name="Heading 1 2 3 6 2 17" xfId="20326"/>
    <cellStyle name="Heading 1 2 3 6 2 17 2" xfId="20327"/>
    <cellStyle name="Heading 1 2 3 6 2 17 2 2" xfId="20328"/>
    <cellStyle name="Heading 1 2 3 6 2 17 3" xfId="20329"/>
    <cellStyle name="Heading 1 2 3 6 2 18" xfId="20330"/>
    <cellStyle name="Heading 1 2 3 6 2 18 2" xfId="20331"/>
    <cellStyle name="Heading 1 2 3 6 2 18 2 2" xfId="20332"/>
    <cellStyle name="Heading 1 2 3 6 2 18 3" xfId="20333"/>
    <cellStyle name="Heading 1 2 3 6 2 19" xfId="20334"/>
    <cellStyle name="Heading 1 2 3 6 2 19 2" xfId="20335"/>
    <cellStyle name="Heading 1 2 3 6 2 19 2 2" xfId="20336"/>
    <cellStyle name="Heading 1 2 3 6 2 19 3" xfId="20337"/>
    <cellStyle name="Heading 1 2 3 6 2 2" xfId="20338"/>
    <cellStyle name="Heading 1 2 3 6 2 2 10" xfId="20339"/>
    <cellStyle name="Heading 1 2 3 6 2 2 10 2" xfId="20340"/>
    <cellStyle name="Heading 1 2 3 6 2 2 10 2 2" xfId="20341"/>
    <cellStyle name="Heading 1 2 3 6 2 2 10 3" xfId="20342"/>
    <cellStyle name="Heading 1 2 3 6 2 2 11" xfId="20343"/>
    <cellStyle name="Heading 1 2 3 6 2 2 11 2" xfId="20344"/>
    <cellStyle name="Heading 1 2 3 6 2 2 11 2 2" xfId="20345"/>
    <cellStyle name="Heading 1 2 3 6 2 2 11 3" xfId="20346"/>
    <cellStyle name="Heading 1 2 3 6 2 2 12" xfId="20347"/>
    <cellStyle name="Heading 1 2 3 6 2 2 12 2" xfId="20348"/>
    <cellStyle name="Heading 1 2 3 6 2 2 12 2 2" xfId="20349"/>
    <cellStyle name="Heading 1 2 3 6 2 2 12 3" xfId="20350"/>
    <cellStyle name="Heading 1 2 3 6 2 2 13" xfId="20351"/>
    <cellStyle name="Heading 1 2 3 6 2 2 13 2" xfId="20352"/>
    <cellStyle name="Heading 1 2 3 6 2 2 13 2 2" xfId="20353"/>
    <cellStyle name="Heading 1 2 3 6 2 2 13 3" xfId="20354"/>
    <cellStyle name="Heading 1 2 3 6 2 2 14" xfId="20355"/>
    <cellStyle name="Heading 1 2 3 6 2 2 14 2" xfId="20356"/>
    <cellStyle name="Heading 1 2 3 6 2 2 14 2 2" xfId="20357"/>
    <cellStyle name="Heading 1 2 3 6 2 2 14 3" xfId="20358"/>
    <cellStyle name="Heading 1 2 3 6 2 2 15" xfId="20359"/>
    <cellStyle name="Heading 1 2 3 6 2 2 15 2" xfId="20360"/>
    <cellStyle name="Heading 1 2 3 6 2 2 15 2 2" xfId="20361"/>
    <cellStyle name="Heading 1 2 3 6 2 2 15 3" xfId="20362"/>
    <cellStyle name="Heading 1 2 3 6 2 2 16" xfId="20363"/>
    <cellStyle name="Heading 1 2 3 6 2 2 16 2" xfId="20364"/>
    <cellStyle name="Heading 1 2 3 6 2 2 16 2 2" xfId="20365"/>
    <cellStyle name="Heading 1 2 3 6 2 2 16 3" xfId="20366"/>
    <cellStyle name="Heading 1 2 3 6 2 2 17" xfId="20367"/>
    <cellStyle name="Heading 1 2 3 6 2 2 17 2" xfId="20368"/>
    <cellStyle name="Heading 1 2 3 6 2 2 17 2 2" xfId="20369"/>
    <cellStyle name="Heading 1 2 3 6 2 2 17 3" xfId="20370"/>
    <cellStyle name="Heading 1 2 3 6 2 2 18" xfId="20371"/>
    <cellStyle name="Heading 1 2 3 6 2 2 18 2" xfId="20372"/>
    <cellStyle name="Heading 1 2 3 6 2 2 18 2 2" xfId="20373"/>
    <cellStyle name="Heading 1 2 3 6 2 2 18 3" xfId="20374"/>
    <cellStyle name="Heading 1 2 3 6 2 2 19" xfId="20375"/>
    <cellStyle name="Heading 1 2 3 6 2 2 19 2" xfId="20376"/>
    <cellStyle name="Heading 1 2 3 6 2 2 2" xfId="20377"/>
    <cellStyle name="Heading 1 2 3 6 2 2 2 2" xfId="20378"/>
    <cellStyle name="Heading 1 2 3 6 2 2 2 2 2" xfId="20379"/>
    <cellStyle name="Heading 1 2 3 6 2 2 2 2 2 2" xfId="20380"/>
    <cellStyle name="Heading 1 2 3 6 2 2 2 2 3" xfId="20381"/>
    <cellStyle name="Heading 1 2 3 6 2 2 2 3" xfId="20382"/>
    <cellStyle name="Heading 1 2 3 6 2 2 2 3 2" xfId="20383"/>
    <cellStyle name="Heading 1 2 3 6 2 2 2 3 2 2" xfId="20384"/>
    <cellStyle name="Heading 1 2 3 6 2 2 2 3 3" xfId="20385"/>
    <cellStyle name="Heading 1 2 3 6 2 2 2 4" xfId="20386"/>
    <cellStyle name="Heading 1 2 3 6 2 2 2 4 2" xfId="20387"/>
    <cellStyle name="Heading 1 2 3 6 2 2 2 4 2 2" xfId="20388"/>
    <cellStyle name="Heading 1 2 3 6 2 2 2 4 3" xfId="20389"/>
    <cellStyle name="Heading 1 2 3 6 2 2 2 5" xfId="20390"/>
    <cellStyle name="Heading 1 2 3 6 2 2 2 5 2" xfId="20391"/>
    <cellStyle name="Heading 1 2 3 6 2 2 2 5 2 2" xfId="20392"/>
    <cellStyle name="Heading 1 2 3 6 2 2 2 5 3" xfId="20393"/>
    <cellStyle name="Heading 1 2 3 6 2 2 2 6" xfId="20394"/>
    <cellStyle name="Heading 1 2 3 6 2 2 2 6 2" xfId="20395"/>
    <cellStyle name="Heading 1 2 3 6 2 2 2 6 2 2" xfId="20396"/>
    <cellStyle name="Heading 1 2 3 6 2 2 2 6 3" xfId="20397"/>
    <cellStyle name="Heading 1 2 3 6 2 2 2 7" xfId="20398"/>
    <cellStyle name="Heading 1 2 3 6 2 2 2 7 2" xfId="20399"/>
    <cellStyle name="Heading 1 2 3 6 2 2 2 7 2 2" xfId="20400"/>
    <cellStyle name="Heading 1 2 3 6 2 2 2 7 3" xfId="20401"/>
    <cellStyle name="Heading 1 2 3 6 2 2 2 8" xfId="20402"/>
    <cellStyle name="Heading 1 2 3 6 2 2 2 8 2" xfId="20403"/>
    <cellStyle name="Heading 1 2 3 6 2 2 2 9" xfId="20404"/>
    <cellStyle name="Heading 1 2 3 6 2 2 20" xfId="20405"/>
    <cellStyle name="Heading 1 2 3 6 2 2 20 2" xfId="20406"/>
    <cellStyle name="Heading 1 2 3 6 2 2 21" xfId="20407"/>
    <cellStyle name="Heading 1 2 3 6 2 2 21 2" xfId="20408"/>
    <cellStyle name="Heading 1 2 3 6 2 2 22" xfId="20409"/>
    <cellStyle name="Heading 1 2 3 6 2 2 3" xfId="20410"/>
    <cellStyle name="Heading 1 2 3 6 2 2 3 2" xfId="20411"/>
    <cellStyle name="Heading 1 2 3 6 2 2 3 2 2" xfId="20412"/>
    <cellStyle name="Heading 1 2 3 6 2 2 3 2 2 2" xfId="20413"/>
    <cellStyle name="Heading 1 2 3 6 2 2 3 2 3" xfId="20414"/>
    <cellStyle name="Heading 1 2 3 6 2 2 3 3" xfId="20415"/>
    <cellStyle name="Heading 1 2 3 6 2 2 3 3 2" xfId="20416"/>
    <cellStyle name="Heading 1 2 3 6 2 2 3 3 2 2" xfId="20417"/>
    <cellStyle name="Heading 1 2 3 6 2 2 3 3 3" xfId="20418"/>
    <cellStyle name="Heading 1 2 3 6 2 2 3 4" xfId="20419"/>
    <cellStyle name="Heading 1 2 3 6 2 2 3 4 2" xfId="20420"/>
    <cellStyle name="Heading 1 2 3 6 2 2 3 4 2 2" xfId="20421"/>
    <cellStyle name="Heading 1 2 3 6 2 2 3 4 3" xfId="20422"/>
    <cellStyle name="Heading 1 2 3 6 2 2 3 5" xfId="20423"/>
    <cellStyle name="Heading 1 2 3 6 2 2 3 5 2" xfId="20424"/>
    <cellStyle name="Heading 1 2 3 6 2 2 3 5 2 2" xfId="20425"/>
    <cellStyle name="Heading 1 2 3 6 2 2 3 5 3" xfId="20426"/>
    <cellStyle name="Heading 1 2 3 6 2 2 3 6" xfId="20427"/>
    <cellStyle name="Heading 1 2 3 6 2 2 3 6 2" xfId="20428"/>
    <cellStyle name="Heading 1 2 3 6 2 2 3 6 2 2" xfId="20429"/>
    <cellStyle name="Heading 1 2 3 6 2 2 3 6 3" xfId="20430"/>
    <cellStyle name="Heading 1 2 3 6 2 2 3 7" xfId="20431"/>
    <cellStyle name="Heading 1 2 3 6 2 2 3 7 2" xfId="20432"/>
    <cellStyle name="Heading 1 2 3 6 2 2 3 7 2 2" xfId="20433"/>
    <cellStyle name="Heading 1 2 3 6 2 2 3 7 3" xfId="20434"/>
    <cellStyle name="Heading 1 2 3 6 2 2 3 8" xfId="20435"/>
    <cellStyle name="Heading 1 2 3 6 2 2 3 8 2" xfId="20436"/>
    <cellStyle name="Heading 1 2 3 6 2 2 3 9" xfId="20437"/>
    <cellStyle name="Heading 1 2 3 6 2 2 4" xfId="20438"/>
    <cellStyle name="Heading 1 2 3 6 2 2 4 2" xfId="20439"/>
    <cellStyle name="Heading 1 2 3 6 2 2 4 2 2" xfId="20440"/>
    <cellStyle name="Heading 1 2 3 6 2 2 4 2 2 2" xfId="20441"/>
    <cellStyle name="Heading 1 2 3 6 2 2 4 2 3" xfId="20442"/>
    <cellStyle name="Heading 1 2 3 6 2 2 4 3" xfId="20443"/>
    <cellStyle name="Heading 1 2 3 6 2 2 4 3 2" xfId="20444"/>
    <cellStyle name="Heading 1 2 3 6 2 2 4 3 2 2" xfId="20445"/>
    <cellStyle name="Heading 1 2 3 6 2 2 4 3 3" xfId="20446"/>
    <cellStyle name="Heading 1 2 3 6 2 2 4 4" xfId="20447"/>
    <cellStyle name="Heading 1 2 3 6 2 2 4 4 2" xfId="20448"/>
    <cellStyle name="Heading 1 2 3 6 2 2 4 4 2 2" xfId="20449"/>
    <cellStyle name="Heading 1 2 3 6 2 2 4 4 3" xfId="20450"/>
    <cellStyle name="Heading 1 2 3 6 2 2 4 5" xfId="20451"/>
    <cellStyle name="Heading 1 2 3 6 2 2 4 5 2" xfId="20452"/>
    <cellStyle name="Heading 1 2 3 6 2 2 4 5 2 2" xfId="20453"/>
    <cellStyle name="Heading 1 2 3 6 2 2 4 5 3" xfId="20454"/>
    <cellStyle name="Heading 1 2 3 6 2 2 4 6" xfId="20455"/>
    <cellStyle name="Heading 1 2 3 6 2 2 4 6 2" xfId="20456"/>
    <cellStyle name="Heading 1 2 3 6 2 2 4 6 2 2" xfId="20457"/>
    <cellStyle name="Heading 1 2 3 6 2 2 4 6 3" xfId="20458"/>
    <cellStyle name="Heading 1 2 3 6 2 2 4 7" xfId="20459"/>
    <cellStyle name="Heading 1 2 3 6 2 2 4 7 2" xfId="20460"/>
    <cellStyle name="Heading 1 2 3 6 2 2 4 7 2 2" xfId="20461"/>
    <cellStyle name="Heading 1 2 3 6 2 2 4 7 3" xfId="20462"/>
    <cellStyle name="Heading 1 2 3 6 2 2 4 8" xfId="20463"/>
    <cellStyle name="Heading 1 2 3 6 2 2 4 8 2" xfId="20464"/>
    <cellStyle name="Heading 1 2 3 6 2 2 4 9" xfId="20465"/>
    <cellStyle name="Heading 1 2 3 6 2 2 5" xfId="20466"/>
    <cellStyle name="Heading 1 2 3 6 2 2 5 2" xfId="20467"/>
    <cellStyle name="Heading 1 2 3 6 2 2 5 2 2" xfId="20468"/>
    <cellStyle name="Heading 1 2 3 6 2 2 5 2 2 2" xfId="20469"/>
    <cellStyle name="Heading 1 2 3 6 2 2 5 2 3" xfId="20470"/>
    <cellStyle name="Heading 1 2 3 6 2 2 5 3" xfId="20471"/>
    <cellStyle name="Heading 1 2 3 6 2 2 5 3 2" xfId="20472"/>
    <cellStyle name="Heading 1 2 3 6 2 2 5 3 2 2" xfId="20473"/>
    <cellStyle name="Heading 1 2 3 6 2 2 5 3 3" xfId="20474"/>
    <cellStyle name="Heading 1 2 3 6 2 2 5 4" xfId="20475"/>
    <cellStyle name="Heading 1 2 3 6 2 2 5 4 2" xfId="20476"/>
    <cellStyle name="Heading 1 2 3 6 2 2 5 4 2 2" xfId="20477"/>
    <cellStyle name="Heading 1 2 3 6 2 2 5 4 3" xfId="20478"/>
    <cellStyle name="Heading 1 2 3 6 2 2 5 5" xfId="20479"/>
    <cellStyle name="Heading 1 2 3 6 2 2 5 5 2" xfId="20480"/>
    <cellStyle name="Heading 1 2 3 6 2 2 5 5 2 2" xfId="20481"/>
    <cellStyle name="Heading 1 2 3 6 2 2 5 5 3" xfId="20482"/>
    <cellStyle name="Heading 1 2 3 6 2 2 5 6" xfId="20483"/>
    <cellStyle name="Heading 1 2 3 6 2 2 5 6 2" xfId="20484"/>
    <cellStyle name="Heading 1 2 3 6 2 2 5 6 2 2" xfId="20485"/>
    <cellStyle name="Heading 1 2 3 6 2 2 5 6 3" xfId="20486"/>
    <cellStyle name="Heading 1 2 3 6 2 2 5 7" xfId="20487"/>
    <cellStyle name="Heading 1 2 3 6 2 2 5 7 2" xfId="20488"/>
    <cellStyle name="Heading 1 2 3 6 2 2 5 7 2 2" xfId="20489"/>
    <cellStyle name="Heading 1 2 3 6 2 2 5 7 3" xfId="20490"/>
    <cellStyle name="Heading 1 2 3 6 2 2 5 8" xfId="20491"/>
    <cellStyle name="Heading 1 2 3 6 2 2 5 8 2" xfId="20492"/>
    <cellStyle name="Heading 1 2 3 6 2 2 5 9" xfId="20493"/>
    <cellStyle name="Heading 1 2 3 6 2 2 6" xfId="20494"/>
    <cellStyle name="Heading 1 2 3 6 2 2 6 2" xfId="20495"/>
    <cellStyle name="Heading 1 2 3 6 2 2 6 2 2" xfId="20496"/>
    <cellStyle name="Heading 1 2 3 6 2 2 6 2 2 2" xfId="20497"/>
    <cellStyle name="Heading 1 2 3 6 2 2 6 2 3" xfId="20498"/>
    <cellStyle name="Heading 1 2 3 6 2 2 6 3" xfId="20499"/>
    <cellStyle name="Heading 1 2 3 6 2 2 6 3 2" xfId="20500"/>
    <cellStyle name="Heading 1 2 3 6 2 2 6 3 2 2" xfId="20501"/>
    <cellStyle name="Heading 1 2 3 6 2 2 6 3 3" xfId="20502"/>
    <cellStyle name="Heading 1 2 3 6 2 2 6 4" xfId="20503"/>
    <cellStyle name="Heading 1 2 3 6 2 2 6 4 2" xfId="20504"/>
    <cellStyle name="Heading 1 2 3 6 2 2 6 4 2 2" xfId="20505"/>
    <cellStyle name="Heading 1 2 3 6 2 2 6 4 3" xfId="20506"/>
    <cellStyle name="Heading 1 2 3 6 2 2 6 5" xfId="20507"/>
    <cellStyle name="Heading 1 2 3 6 2 2 6 5 2" xfId="20508"/>
    <cellStyle name="Heading 1 2 3 6 2 2 6 5 2 2" xfId="20509"/>
    <cellStyle name="Heading 1 2 3 6 2 2 6 5 3" xfId="20510"/>
    <cellStyle name="Heading 1 2 3 6 2 2 6 6" xfId="20511"/>
    <cellStyle name="Heading 1 2 3 6 2 2 6 6 2" xfId="20512"/>
    <cellStyle name="Heading 1 2 3 6 2 2 6 6 2 2" xfId="20513"/>
    <cellStyle name="Heading 1 2 3 6 2 2 6 6 3" xfId="20514"/>
    <cellStyle name="Heading 1 2 3 6 2 2 6 7" xfId="20515"/>
    <cellStyle name="Heading 1 2 3 6 2 2 6 7 2" xfId="20516"/>
    <cellStyle name="Heading 1 2 3 6 2 2 6 7 2 2" xfId="20517"/>
    <cellStyle name="Heading 1 2 3 6 2 2 6 7 3" xfId="20518"/>
    <cellStyle name="Heading 1 2 3 6 2 2 6 8" xfId="20519"/>
    <cellStyle name="Heading 1 2 3 6 2 2 6 8 2" xfId="20520"/>
    <cellStyle name="Heading 1 2 3 6 2 2 6 9" xfId="20521"/>
    <cellStyle name="Heading 1 2 3 6 2 2 7" xfId="20522"/>
    <cellStyle name="Heading 1 2 3 6 2 2 7 2" xfId="20523"/>
    <cellStyle name="Heading 1 2 3 6 2 2 7 2 2" xfId="20524"/>
    <cellStyle name="Heading 1 2 3 6 2 2 7 2 2 2" xfId="20525"/>
    <cellStyle name="Heading 1 2 3 6 2 2 7 2 3" xfId="20526"/>
    <cellStyle name="Heading 1 2 3 6 2 2 7 3" xfId="20527"/>
    <cellStyle name="Heading 1 2 3 6 2 2 7 3 2" xfId="20528"/>
    <cellStyle name="Heading 1 2 3 6 2 2 7 3 2 2" xfId="20529"/>
    <cellStyle name="Heading 1 2 3 6 2 2 7 3 3" xfId="20530"/>
    <cellStyle name="Heading 1 2 3 6 2 2 7 4" xfId="20531"/>
    <cellStyle name="Heading 1 2 3 6 2 2 7 4 2" xfId="20532"/>
    <cellStyle name="Heading 1 2 3 6 2 2 7 4 2 2" xfId="20533"/>
    <cellStyle name="Heading 1 2 3 6 2 2 7 4 3" xfId="20534"/>
    <cellStyle name="Heading 1 2 3 6 2 2 7 5" xfId="20535"/>
    <cellStyle name="Heading 1 2 3 6 2 2 7 5 2" xfId="20536"/>
    <cellStyle name="Heading 1 2 3 6 2 2 7 5 2 2" xfId="20537"/>
    <cellStyle name="Heading 1 2 3 6 2 2 7 5 3" xfId="20538"/>
    <cellStyle name="Heading 1 2 3 6 2 2 7 6" xfId="20539"/>
    <cellStyle name="Heading 1 2 3 6 2 2 7 6 2" xfId="20540"/>
    <cellStyle name="Heading 1 2 3 6 2 2 7 6 2 2" xfId="20541"/>
    <cellStyle name="Heading 1 2 3 6 2 2 7 6 3" xfId="20542"/>
    <cellStyle name="Heading 1 2 3 6 2 2 7 7" xfId="20543"/>
    <cellStyle name="Heading 1 2 3 6 2 2 7 7 2" xfId="20544"/>
    <cellStyle name="Heading 1 2 3 6 2 2 7 7 2 2" xfId="20545"/>
    <cellStyle name="Heading 1 2 3 6 2 2 7 7 3" xfId="20546"/>
    <cellStyle name="Heading 1 2 3 6 2 2 7 8" xfId="20547"/>
    <cellStyle name="Heading 1 2 3 6 2 2 7 8 2" xfId="20548"/>
    <cellStyle name="Heading 1 2 3 6 2 2 7 9" xfId="20549"/>
    <cellStyle name="Heading 1 2 3 6 2 2 8" xfId="20550"/>
    <cellStyle name="Heading 1 2 3 6 2 2 8 2" xfId="20551"/>
    <cellStyle name="Heading 1 2 3 6 2 2 8 2 2" xfId="20552"/>
    <cellStyle name="Heading 1 2 3 6 2 2 8 2 2 2" xfId="20553"/>
    <cellStyle name="Heading 1 2 3 6 2 2 8 2 3" xfId="20554"/>
    <cellStyle name="Heading 1 2 3 6 2 2 8 3" xfId="20555"/>
    <cellStyle name="Heading 1 2 3 6 2 2 8 3 2" xfId="20556"/>
    <cellStyle name="Heading 1 2 3 6 2 2 8 3 2 2" xfId="20557"/>
    <cellStyle name="Heading 1 2 3 6 2 2 8 3 3" xfId="20558"/>
    <cellStyle name="Heading 1 2 3 6 2 2 8 4" xfId="20559"/>
    <cellStyle name="Heading 1 2 3 6 2 2 8 4 2" xfId="20560"/>
    <cellStyle name="Heading 1 2 3 6 2 2 8 4 2 2" xfId="20561"/>
    <cellStyle name="Heading 1 2 3 6 2 2 8 4 3" xfId="20562"/>
    <cellStyle name="Heading 1 2 3 6 2 2 8 5" xfId="20563"/>
    <cellStyle name="Heading 1 2 3 6 2 2 8 5 2" xfId="20564"/>
    <cellStyle name="Heading 1 2 3 6 2 2 8 5 2 2" xfId="20565"/>
    <cellStyle name="Heading 1 2 3 6 2 2 8 5 3" xfId="20566"/>
    <cellStyle name="Heading 1 2 3 6 2 2 8 6" xfId="20567"/>
    <cellStyle name="Heading 1 2 3 6 2 2 8 6 2" xfId="20568"/>
    <cellStyle name="Heading 1 2 3 6 2 2 8 6 2 2" xfId="20569"/>
    <cellStyle name="Heading 1 2 3 6 2 2 8 6 3" xfId="20570"/>
    <cellStyle name="Heading 1 2 3 6 2 2 8 7" xfId="20571"/>
    <cellStyle name="Heading 1 2 3 6 2 2 8 7 2" xfId="20572"/>
    <cellStyle name="Heading 1 2 3 6 2 2 8 7 2 2" xfId="20573"/>
    <cellStyle name="Heading 1 2 3 6 2 2 8 7 3" xfId="20574"/>
    <cellStyle name="Heading 1 2 3 6 2 2 8 8" xfId="20575"/>
    <cellStyle name="Heading 1 2 3 6 2 2 8 8 2" xfId="20576"/>
    <cellStyle name="Heading 1 2 3 6 2 2 8 9" xfId="20577"/>
    <cellStyle name="Heading 1 2 3 6 2 2 9" xfId="20578"/>
    <cellStyle name="Heading 1 2 3 6 2 2 9 2" xfId="20579"/>
    <cellStyle name="Heading 1 2 3 6 2 2 9 2 2" xfId="20580"/>
    <cellStyle name="Heading 1 2 3 6 2 2 9 3" xfId="20581"/>
    <cellStyle name="Heading 1 2 3 6 2 20" xfId="20582"/>
    <cellStyle name="Heading 1 2 3 6 2 20 2" xfId="20583"/>
    <cellStyle name="Heading 1 2 3 6 2 21" xfId="20584"/>
    <cellStyle name="Heading 1 2 3 6 2 21 2" xfId="20585"/>
    <cellStyle name="Heading 1 2 3 6 2 22" xfId="20586"/>
    <cellStyle name="Heading 1 2 3 6 2 22 2" xfId="20587"/>
    <cellStyle name="Heading 1 2 3 6 2 23" xfId="20588"/>
    <cellStyle name="Heading 1 2 3 6 2 3" xfId="20589"/>
    <cellStyle name="Heading 1 2 3 6 2 3 2" xfId="20590"/>
    <cellStyle name="Heading 1 2 3 6 2 3 2 2" xfId="20591"/>
    <cellStyle name="Heading 1 2 3 6 2 3 2 2 2" xfId="20592"/>
    <cellStyle name="Heading 1 2 3 6 2 3 2 3" xfId="20593"/>
    <cellStyle name="Heading 1 2 3 6 2 3 3" xfId="20594"/>
    <cellStyle name="Heading 1 2 3 6 2 3 3 2" xfId="20595"/>
    <cellStyle name="Heading 1 2 3 6 2 3 3 2 2" xfId="20596"/>
    <cellStyle name="Heading 1 2 3 6 2 3 3 3" xfId="20597"/>
    <cellStyle name="Heading 1 2 3 6 2 3 4" xfId="20598"/>
    <cellStyle name="Heading 1 2 3 6 2 3 4 2" xfId="20599"/>
    <cellStyle name="Heading 1 2 3 6 2 3 4 2 2" xfId="20600"/>
    <cellStyle name="Heading 1 2 3 6 2 3 4 3" xfId="20601"/>
    <cellStyle name="Heading 1 2 3 6 2 3 5" xfId="20602"/>
    <cellStyle name="Heading 1 2 3 6 2 3 5 2" xfId="20603"/>
    <cellStyle name="Heading 1 2 3 6 2 3 5 2 2" xfId="20604"/>
    <cellStyle name="Heading 1 2 3 6 2 3 5 3" xfId="20605"/>
    <cellStyle name="Heading 1 2 3 6 2 3 6" xfId="20606"/>
    <cellStyle name="Heading 1 2 3 6 2 3 6 2" xfId="20607"/>
    <cellStyle name="Heading 1 2 3 6 2 3 6 2 2" xfId="20608"/>
    <cellStyle name="Heading 1 2 3 6 2 3 6 3" xfId="20609"/>
    <cellStyle name="Heading 1 2 3 6 2 3 7" xfId="20610"/>
    <cellStyle name="Heading 1 2 3 6 2 3 7 2" xfId="20611"/>
    <cellStyle name="Heading 1 2 3 6 2 3 7 2 2" xfId="20612"/>
    <cellStyle name="Heading 1 2 3 6 2 3 7 3" xfId="20613"/>
    <cellStyle name="Heading 1 2 3 6 2 3 8" xfId="20614"/>
    <cellStyle name="Heading 1 2 3 6 2 3 8 2" xfId="20615"/>
    <cellStyle name="Heading 1 2 3 6 2 3 9" xfId="20616"/>
    <cellStyle name="Heading 1 2 3 6 2 4" xfId="20617"/>
    <cellStyle name="Heading 1 2 3 6 2 4 2" xfId="20618"/>
    <cellStyle name="Heading 1 2 3 6 2 4 2 2" xfId="20619"/>
    <cellStyle name="Heading 1 2 3 6 2 4 2 2 2" xfId="20620"/>
    <cellStyle name="Heading 1 2 3 6 2 4 2 3" xfId="20621"/>
    <cellStyle name="Heading 1 2 3 6 2 4 3" xfId="20622"/>
    <cellStyle name="Heading 1 2 3 6 2 4 3 2" xfId="20623"/>
    <cellStyle name="Heading 1 2 3 6 2 4 3 2 2" xfId="20624"/>
    <cellStyle name="Heading 1 2 3 6 2 4 3 3" xfId="20625"/>
    <cellStyle name="Heading 1 2 3 6 2 4 4" xfId="20626"/>
    <cellStyle name="Heading 1 2 3 6 2 4 4 2" xfId="20627"/>
    <cellStyle name="Heading 1 2 3 6 2 4 4 2 2" xfId="20628"/>
    <cellStyle name="Heading 1 2 3 6 2 4 4 3" xfId="20629"/>
    <cellStyle name="Heading 1 2 3 6 2 4 5" xfId="20630"/>
    <cellStyle name="Heading 1 2 3 6 2 4 5 2" xfId="20631"/>
    <cellStyle name="Heading 1 2 3 6 2 4 5 2 2" xfId="20632"/>
    <cellStyle name="Heading 1 2 3 6 2 4 5 3" xfId="20633"/>
    <cellStyle name="Heading 1 2 3 6 2 4 6" xfId="20634"/>
    <cellStyle name="Heading 1 2 3 6 2 4 6 2" xfId="20635"/>
    <cellStyle name="Heading 1 2 3 6 2 4 6 2 2" xfId="20636"/>
    <cellStyle name="Heading 1 2 3 6 2 4 6 3" xfId="20637"/>
    <cellStyle name="Heading 1 2 3 6 2 4 7" xfId="20638"/>
    <cellStyle name="Heading 1 2 3 6 2 4 7 2" xfId="20639"/>
    <cellStyle name="Heading 1 2 3 6 2 4 7 2 2" xfId="20640"/>
    <cellStyle name="Heading 1 2 3 6 2 4 7 3" xfId="20641"/>
    <cellStyle name="Heading 1 2 3 6 2 4 8" xfId="20642"/>
    <cellStyle name="Heading 1 2 3 6 2 4 8 2" xfId="20643"/>
    <cellStyle name="Heading 1 2 3 6 2 4 9" xfId="20644"/>
    <cellStyle name="Heading 1 2 3 6 2 5" xfId="20645"/>
    <cellStyle name="Heading 1 2 3 6 2 5 2" xfId="20646"/>
    <cellStyle name="Heading 1 2 3 6 2 5 2 2" xfId="20647"/>
    <cellStyle name="Heading 1 2 3 6 2 5 2 2 2" xfId="20648"/>
    <cellStyle name="Heading 1 2 3 6 2 5 2 3" xfId="20649"/>
    <cellStyle name="Heading 1 2 3 6 2 5 3" xfId="20650"/>
    <cellStyle name="Heading 1 2 3 6 2 5 3 2" xfId="20651"/>
    <cellStyle name="Heading 1 2 3 6 2 5 3 2 2" xfId="20652"/>
    <cellStyle name="Heading 1 2 3 6 2 5 3 3" xfId="20653"/>
    <cellStyle name="Heading 1 2 3 6 2 5 4" xfId="20654"/>
    <cellStyle name="Heading 1 2 3 6 2 5 4 2" xfId="20655"/>
    <cellStyle name="Heading 1 2 3 6 2 5 4 2 2" xfId="20656"/>
    <cellStyle name="Heading 1 2 3 6 2 5 4 3" xfId="20657"/>
    <cellStyle name="Heading 1 2 3 6 2 5 5" xfId="20658"/>
    <cellStyle name="Heading 1 2 3 6 2 5 5 2" xfId="20659"/>
    <cellStyle name="Heading 1 2 3 6 2 5 5 2 2" xfId="20660"/>
    <cellStyle name="Heading 1 2 3 6 2 5 5 3" xfId="20661"/>
    <cellStyle name="Heading 1 2 3 6 2 5 6" xfId="20662"/>
    <cellStyle name="Heading 1 2 3 6 2 5 6 2" xfId="20663"/>
    <cellStyle name="Heading 1 2 3 6 2 5 6 2 2" xfId="20664"/>
    <cellStyle name="Heading 1 2 3 6 2 5 6 3" xfId="20665"/>
    <cellStyle name="Heading 1 2 3 6 2 5 7" xfId="20666"/>
    <cellStyle name="Heading 1 2 3 6 2 5 7 2" xfId="20667"/>
    <cellStyle name="Heading 1 2 3 6 2 5 7 2 2" xfId="20668"/>
    <cellStyle name="Heading 1 2 3 6 2 5 7 3" xfId="20669"/>
    <cellStyle name="Heading 1 2 3 6 2 5 8" xfId="20670"/>
    <cellStyle name="Heading 1 2 3 6 2 5 8 2" xfId="20671"/>
    <cellStyle name="Heading 1 2 3 6 2 5 9" xfId="20672"/>
    <cellStyle name="Heading 1 2 3 6 2 6" xfId="20673"/>
    <cellStyle name="Heading 1 2 3 6 2 6 2" xfId="20674"/>
    <cellStyle name="Heading 1 2 3 6 2 6 2 2" xfId="20675"/>
    <cellStyle name="Heading 1 2 3 6 2 6 2 2 2" xfId="20676"/>
    <cellStyle name="Heading 1 2 3 6 2 6 2 3" xfId="20677"/>
    <cellStyle name="Heading 1 2 3 6 2 6 3" xfId="20678"/>
    <cellStyle name="Heading 1 2 3 6 2 6 3 2" xfId="20679"/>
    <cellStyle name="Heading 1 2 3 6 2 6 3 2 2" xfId="20680"/>
    <cellStyle name="Heading 1 2 3 6 2 6 3 3" xfId="20681"/>
    <cellStyle name="Heading 1 2 3 6 2 6 4" xfId="20682"/>
    <cellStyle name="Heading 1 2 3 6 2 6 4 2" xfId="20683"/>
    <cellStyle name="Heading 1 2 3 6 2 6 4 2 2" xfId="20684"/>
    <cellStyle name="Heading 1 2 3 6 2 6 4 3" xfId="20685"/>
    <cellStyle name="Heading 1 2 3 6 2 6 5" xfId="20686"/>
    <cellStyle name="Heading 1 2 3 6 2 6 5 2" xfId="20687"/>
    <cellStyle name="Heading 1 2 3 6 2 6 5 2 2" xfId="20688"/>
    <cellStyle name="Heading 1 2 3 6 2 6 5 3" xfId="20689"/>
    <cellStyle name="Heading 1 2 3 6 2 6 6" xfId="20690"/>
    <cellStyle name="Heading 1 2 3 6 2 6 6 2" xfId="20691"/>
    <cellStyle name="Heading 1 2 3 6 2 6 6 2 2" xfId="20692"/>
    <cellStyle name="Heading 1 2 3 6 2 6 6 3" xfId="20693"/>
    <cellStyle name="Heading 1 2 3 6 2 6 7" xfId="20694"/>
    <cellStyle name="Heading 1 2 3 6 2 6 7 2" xfId="20695"/>
    <cellStyle name="Heading 1 2 3 6 2 6 7 2 2" xfId="20696"/>
    <cellStyle name="Heading 1 2 3 6 2 6 7 3" xfId="20697"/>
    <cellStyle name="Heading 1 2 3 6 2 6 8" xfId="20698"/>
    <cellStyle name="Heading 1 2 3 6 2 6 8 2" xfId="20699"/>
    <cellStyle name="Heading 1 2 3 6 2 6 9" xfId="20700"/>
    <cellStyle name="Heading 1 2 3 6 2 7" xfId="20701"/>
    <cellStyle name="Heading 1 2 3 6 2 7 2" xfId="20702"/>
    <cellStyle name="Heading 1 2 3 6 2 7 2 2" xfId="20703"/>
    <cellStyle name="Heading 1 2 3 6 2 7 2 2 2" xfId="20704"/>
    <cellStyle name="Heading 1 2 3 6 2 7 2 3" xfId="20705"/>
    <cellStyle name="Heading 1 2 3 6 2 7 3" xfId="20706"/>
    <cellStyle name="Heading 1 2 3 6 2 7 3 2" xfId="20707"/>
    <cellStyle name="Heading 1 2 3 6 2 7 3 2 2" xfId="20708"/>
    <cellStyle name="Heading 1 2 3 6 2 7 3 3" xfId="20709"/>
    <cellStyle name="Heading 1 2 3 6 2 7 4" xfId="20710"/>
    <cellStyle name="Heading 1 2 3 6 2 7 4 2" xfId="20711"/>
    <cellStyle name="Heading 1 2 3 6 2 7 4 2 2" xfId="20712"/>
    <cellStyle name="Heading 1 2 3 6 2 7 4 3" xfId="20713"/>
    <cellStyle name="Heading 1 2 3 6 2 7 5" xfId="20714"/>
    <cellStyle name="Heading 1 2 3 6 2 7 5 2" xfId="20715"/>
    <cellStyle name="Heading 1 2 3 6 2 7 5 2 2" xfId="20716"/>
    <cellStyle name="Heading 1 2 3 6 2 7 5 3" xfId="20717"/>
    <cellStyle name="Heading 1 2 3 6 2 7 6" xfId="20718"/>
    <cellStyle name="Heading 1 2 3 6 2 7 6 2" xfId="20719"/>
    <cellStyle name="Heading 1 2 3 6 2 7 6 2 2" xfId="20720"/>
    <cellStyle name="Heading 1 2 3 6 2 7 6 3" xfId="20721"/>
    <cellStyle name="Heading 1 2 3 6 2 7 7" xfId="20722"/>
    <cellStyle name="Heading 1 2 3 6 2 7 7 2" xfId="20723"/>
    <cellStyle name="Heading 1 2 3 6 2 7 7 2 2" xfId="20724"/>
    <cellStyle name="Heading 1 2 3 6 2 7 7 3" xfId="20725"/>
    <cellStyle name="Heading 1 2 3 6 2 7 8" xfId="20726"/>
    <cellStyle name="Heading 1 2 3 6 2 7 8 2" xfId="20727"/>
    <cellStyle name="Heading 1 2 3 6 2 7 9" xfId="20728"/>
    <cellStyle name="Heading 1 2 3 6 2 8" xfId="20729"/>
    <cellStyle name="Heading 1 2 3 6 2 8 2" xfId="20730"/>
    <cellStyle name="Heading 1 2 3 6 2 8 2 2" xfId="20731"/>
    <cellStyle name="Heading 1 2 3 6 2 8 2 2 2" xfId="20732"/>
    <cellStyle name="Heading 1 2 3 6 2 8 2 3" xfId="20733"/>
    <cellStyle name="Heading 1 2 3 6 2 8 3" xfId="20734"/>
    <cellStyle name="Heading 1 2 3 6 2 8 3 2" xfId="20735"/>
    <cellStyle name="Heading 1 2 3 6 2 8 3 2 2" xfId="20736"/>
    <cellStyle name="Heading 1 2 3 6 2 8 3 3" xfId="20737"/>
    <cellStyle name="Heading 1 2 3 6 2 8 4" xfId="20738"/>
    <cellStyle name="Heading 1 2 3 6 2 8 4 2" xfId="20739"/>
    <cellStyle name="Heading 1 2 3 6 2 8 4 2 2" xfId="20740"/>
    <cellStyle name="Heading 1 2 3 6 2 8 4 3" xfId="20741"/>
    <cellStyle name="Heading 1 2 3 6 2 8 5" xfId="20742"/>
    <cellStyle name="Heading 1 2 3 6 2 8 5 2" xfId="20743"/>
    <cellStyle name="Heading 1 2 3 6 2 8 5 2 2" xfId="20744"/>
    <cellStyle name="Heading 1 2 3 6 2 8 5 3" xfId="20745"/>
    <cellStyle name="Heading 1 2 3 6 2 8 6" xfId="20746"/>
    <cellStyle name="Heading 1 2 3 6 2 8 6 2" xfId="20747"/>
    <cellStyle name="Heading 1 2 3 6 2 8 6 2 2" xfId="20748"/>
    <cellStyle name="Heading 1 2 3 6 2 8 6 3" xfId="20749"/>
    <cellStyle name="Heading 1 2 3 6 2 8 7" xfId="20750"/>
    <cellStyle name="Heading 1 2 3 6 2 8 7 2" xfId="20751"/>
    <cellStyle name="Heading 1 2 3 6 2 8 7 2 2" xfId="20752"/>
    <cellStyle name="Heading 1 2 3 6 2 8 7 3" xfId="20753"/>
    <cellStyle name="Heading 1 2 3 6 2 8 8" xfId="20754"/>
    <cellStyle name="Heading 1 2 3 6 2 8 8 2" xfId="20755"/>
    <cellStyle name="Heading 1 2 3 6 2 8 9" xfId="20756"/>
    <cellStyle name="Heading 1 2 3 6 2 9" xfId="20757"/>
    <cellStyle name="Heading 1 2 3 6 2 9 2" xfId="20758"/>
    <cellStyle name="Heading 1 2 3 6 2 9 2 2" xfId="20759"/>
    <cellStyle name="Heading 1 2 3 6 2 9 2 2 2" xfId="20760"/>
    <cellStyle name="Heading 1 2 3 6 2 9 2 3" xfId="20761"/>
    <cellStyle name="Heading 1 2 3 6 2 9 3" xfId="20762"/>
    <cellStyle name="Heading 1 2 3 6 2 9 3 2" xfId="20763"/>
    <cellStyle name="Heading 1 2 3 6 2 9 3 2 2" xfId="20764"/>
    <cellStyle name="Heading 1 2 3 6 2 9 3 3" xfId="20765"/>
    <cellStyle name="Heading 1 2 3 6 2 9 4" xfId="20766"/>
    <cellStyle name="Heading 1 2 3 6 2 9 4 2" xfId="20767"/>
    <cellStyle name="Heading 1 2 3 6 2 9 4 2 2" xfId="20768"/>
    <cellStyle name="Heading 1 2 3 6 2 9 4 3" xfId="20769"/>
    <cellStyle name="Heading 1 2 3 6 2 9 5" xfId="20770"/>
    <cellStyle name="Heading 1 2 3 6 2 9 5 2" xfId="20771"/>
    <cellStyle name="Heading 1 2 3 6 2 9 5 2 2" xfId="20772"/>
    <cellStyle name="Heading 1 2 3 6 2 9 5 3" xfId="20773"/>
    <cellStyle name="Heading 1 2 3 6 2 9 6" xfId="20774"/>
    <cellStyle name="Heading 1 2 3 6 2 9 6 2" xfId="20775"/>
    <cellStyle name="Heading 1 2 3 6 2 9 6 2 2" xfId="20776"/>
    <cellStyle name="Heading 1 2 3 6 2 9 6 3" xfId="20777"/>
    <cellStyle name="Heading 1 2 3 6 2 9 7" xfId="20778"/>
    <cellStyle name="Heading 1 2 3 6 2 9 7 2" xfId="20779"/>
    <cellStyle name="Heading 1 2 3 6 2 9 7 2 2" xfId="20780"/>
    <cellStyle name="Heading 1 2 3 6 2 9 7 3" xfId="20781"/>
    <cellStyle name="Heading 1 2 3 6 2 9 8" xfId="20782"/>
    <cellStyle name="Heading 1 2 3 6 2 9 8 2" xfId="20783"/>
    <cellStyle name="Heading 1 2 3 6 2 9 9" xfId="20784"/>
    <cellStyle name="Heading 1 2 3 6 3" xfId="20785"/>
    <cellStyle name="Heading 1 2 3 6 3 10" xfId="20786"/>
    <cellStyle name="Heading 1 2 3 6 3 10 2" xfId="20787"/>
    <cellStyle name="Heading 1 2 3 6 3 10 2 2" xfId="20788"/>
    <cellStyle name="Heading 1 2 3 6 3 10 3" xfId="20789"/>
    <cellStyle name="Heading 1 2 3 6 3 11" xfId="20790"/>
    <cellStyle name="Heading 1 2 3 6 3 11 2" xfId="20791"/>
    <cellStyle name="Heading 1 2 3 6 3 11 2 2" xfId="20792"/>
    <cellStyle name="Heading 1 2 3 6 3 11 3" xfId="20793"/>
    <cellStyle name="Heading 1 2 3 6 3 12" xfId="20794"/>
    <cellStyle name="Heading 1 2 3 6 3 12 2" xfId="20795"/>
    <cellStyle name="Heading 1 2 3 6 3 12 2 2" xfId="20796"/>
    <cellStyle name="Heading 1 2 3 6 3 12 3" xfId="20797"/>
    <cellStyle name="Heading 1 2 3 6 3 13" xfId="20798"/>
    <cellStyle name="Heading 1 2 3 6 3 13 2" xfId="20799"/>
    <cellStyle name="Heading 1 2 3 6 3 13 2 2" xfId="20800"/>
    <cellStyle name="Heading 1 2 3 6 3 13 3" xfId="20801"/>
    <cellStyle name="Heading 1 2 3 6 3 14" xfId="20802"/>
    <cellStyle name="Heading 1 2 3 6 3 14 2" xfId="20803"/>
    <cellStyle name="Heading 1 2 3 6 3 14 2 2" xfId="20804"/>
    <cellStyle name="Heading 1 2 3 6 3 14 3" xfId="20805"/>
    <cellStyle name="Heading 1 2 3 6 3 15" xfId="20806"/>
    <cellStyle name="Heading 1 2 3 6 3 15 2" xfId="20807"/>
    <cellStyle name="Heading 1 2 3 6 3 15 2 2" xfId="20808"/>
    <cellStyle name="Heading 1 2 3 6 3 15 3" xfId="20809"/>
    <cellStyle name="Heading 1 2 3 6 3 16" xfId="20810"/>
    <cellStyle name="Heading 1 2 3 6 3 16 2" xfId="20811"/>
    <cellStyle name="Heading 1 2 3 6 3 16 2 2" xfId="20812"/>
    <cellStyle name="Heading 1 2 3 6 3 16 3" xfId="20813"/>
    <cellStyle name="Heading 1 2 3 6 3 17" xfId="20814"/>
    <cellStyle name="Heading 1 2 3 6 3 17 2" xfId="20815"/>
    <cellStyle name="Heading 1 2 3 6 3 17 2 2" xfId="20816"/>
    <cellStyle name="Heading 1 2 3 6 3 17 3" xfId="20817"/>
    <cellStyle name="Heading 1 2 3 6 3 18" xfId="20818"/>
    <cellStyle name="Heading 1 2 3 6 3 18 2" xfId="20819"/>
    <cellStyle name="Heading 1 2 3 6 3 18 2 2" xfId="20820"/>
    <cellStyle name="Heading 1 2 3 6 3 18 3" xfId="20821"/>
    <cellStyle name="Heading 1 2 3 6 3 19" xfId="20822"/>
    <cellStyle name="Heading 1 2 3 6 3 19 2" xfId="20823"/>
    <cellStyle name="Heading 1 2 3 6 3 2" xfId="20824"/>
    <cellStyle name="Heading 1 2 3 6 3 2 2" xfId="20825"/>
    <cellStyle name="Heading 1 2 3 6 3 2 2 2" xfId="20826"/>
    <cellStyle name="Heading 1 2 3 6 3 2 2 2 2" xfId="20827"/>
    <cellStyle name="Heading 1 2 3 6 3 2 2 3" xfId="20828"/>
    <cellStyle name="Heading 1 2 3 6 3 2 3" xfId="20829"/>
    <cellStyle name="Heading 1 2 3 6 3 2 3 2" xfId="20830"/>
    <cellStyle name="Heading 1 2 3 6 3 2 3 2 2" xfId="20831"/>
    <cellStyle name="Heading 1 2 3 6 3 2 3 3" xfId="20832"/>
    <cellStyle name="Heading 1 2 3 6 3 2 4" xfId="20833"/>
    <cellStyle name="Heading 1 2 3 6 3 2 4 2" xfId="20834"/>
    <cellStyle name="Heading 1 2 3 6 3 2 4 2 2" xfId="20835"/>
    <cellStyle name="Heading 1 2 3 6 3 2 4 3" xfId="20836"/>
    <cellStyle name="Heading 1 2 3 6 3 2 5" xfId="20837"/>
    <cellStyle name="Heading 1 2 3 6 3 2 5 2" xfId="20838"/>
    <cellStyle name="Heading 1 2 3 6 3 2 5 2 2" xfId="20839"/>
    <cellStyle name="Heading 1 2 3 6 3 2 5 3" xfId="20840"/>
    <cellStyle name="Heading 1 2 3 6 3 2 6" xfId="20841"/>
    <cellStyle name="Heading 1 2 3 6 3 2 6 2" xfId="20842"/>
    <cellStyle name="Heading 1 2 3 6 3 2 6 2 2" xfId="20843"/>
    <cellStyle name="Heading 1 2 3 6 3 2 6 3" xfId="20844"/>
    <cellStyle name="Heading 1 2 3 6 3 2 7" xfId="20845"/>
    <cellStyle name="Heading 1 2 3 6 3 2 7 2" xfId="20846"/>
    <cellStyle name="Heading 1 2 3 6 3 2 7 2 2" xfId="20847"/>
    <cellStyle name="Heading 1 2 3 6 3 2 7 3" xfId="20848"/>
    <cellStyle name="Heading 1 2 3 6 3 2 8" xfId="20849"/>
    <cellStyle name="Heading 1 2 3 6 3 2 8 2" xfId="20850"/>
    <cellStyle name="Heading 1 2 3 6 3 2 9" xfId="20851"/>
    <cellStyle name="Heading 1 2 3 6 3 20" xfId="20852"/>
    <cellStyle name="Heading 1 2 3 6 3 20 2" xfId="20853"/>
    <cellStyle name="Heading 1 2 3 6 3 21" xfId="20854"/>
    <cellStyle name="Heading 1 2 3 6 3 21 2" xfId="20855"/>
    <cellStyle name="Heading 1 2 3 6 3 22" xfId="20856"/>
    <cellStyle name="Heading 1 2 3 6 3 3" xfId="20857"/>
    <cellStyle name="Heading 1 2 3 6 3 3 2" xfId="20858"/>
    <cellStyle name="Heading 1 2 3 6 3 3 2 2" xfId="20859"/>
    <cellStyle name="Heading 1 2 3 6 3 3 2 2 2" xfId="20860"/>
    <cellStyle name="Heading 1 2 3 6 3 3 2 3" xfId="20861"/>
    <cellStyle name="Heading 1 2 3 6 3 3 3" xfId="20862"/>
    <cellStyle name="Heading 1 2 3 6 3 3 3 2" xfId="20863"/>
    <cellStyle name="Heading 1 2 3 6 3 3 3 2 2" xfId="20864"/>
    <cellStyle name="Heading 1 2 3 6 3 3 3 3" xfId="20865"/>
    <cellStyle name="Heading 1 2 3 6 3 3 4" xfId="20866"/>
    <cellStyle name="Heading 1 2 3 6 3 3 4 2" xfId="20867"/>
    <cellStyle name="Heading 1 2 3 6 3 3 4 2 2" xfId="20868"/>
    <cellStyle name="Heading 1 2 3 6 3 3 4 3" xfId="20869"/>
    <cellStyle name="Heading 1 2 3 6 3 3 5" xfId="20870"/>
    <cellStyle name="Heading 1 2 3 6 3 3 5 2" xfId="20871"/>
    <cellStyle name="Heading 1 2 3 6 3 3 5 2 2" xfId="20872"/>
    <cellStyle name="Heading 1 2 3 6 3 3 5 3" xfId="20873"/>
    <cellStyle name="Heading 1 2 3 6 3 3 6" xfId="20874"/>
    <cellStyle name="Heading 1 2 3 6 3 3 6 2" xfId="20875"/>
    <cellStyle name="Heading 1 2 3 6 3 3 6 2 2" xfId="20876"/>
    <cellStyle name="Heading 1 2 3 6 3 3 6 3" xfId="20877"/>
    <cellStyle name="Heading 1 2 3 6 3 3 7" xfId="20878"/>
    <cellStyle name="Heading 1 2 3 6 3 3 7 2" xfId="20879"/>
    <cellStyle name="Heading 1 2 3 6 3 3 7 2 2" xfId="20880"/>
    <cellStyle name="Heading 1 2 3 6 3 3 7 3" xfId="20881"/>
    <cellStyle name="Heading 1 2 3 6 3 3 8" xfId="20882"/>
    <cellStyle name="Heading 1 2 3 6 3 3 8 2" xfId="20883"/>
    <cellStyle name="Heading 1 2 3 6 3 3 9" xfId="20884"/>
    <cellStyle name="Heading 1 2 3 6 3 4" xfId="20885"/>
    <cellStyle name="Heading 1 2 3 6 3 4 2" xfId="20886"/>
    <cellStyle name="Heading 1 2 3 6 3 4 2 2" xfId="20887"/>
    <cellStyle name="Heading 1 2 3 6 3 4 2 2 2" xfId="20888"/>
    <cellStyle name="Heading 1 2 3 6 3 4 2 3" xfId="20889"/>
    <cellStyle name="Heading 1 2 3 6 3 4 3" xfId="20890"/>
    <cellStyle name="Heading 1 2 3 6 3 4 3 2" xfId="20891"/>
    <cellStyle name="Heading 1 2 3 6 3 4 3 2 2" xfId="20892"/>
    <cellStyle name="Heading 1 2 3 6 3 4 3 3" xfId="20893"/>
    <cellStyle name="Heading 1 2 3 6 3 4 4" xfId="20894"/>
    <cellStyle name="Heading 1 2 3 6 3 4 4 2" xfId="20895"/>
    <cellStyle name="Heading 1 2 3 6 3 4 4 2 2" xfId="20896"/>
    <cellStyle name="Heading 1 2 3 6 3 4 4 3" xfId="20897"/>
    <cellStyle name="Heading 1 2 3 6 3 4 5" xfId="20898"/>
    <cellStyle name="Heading 1 2 3 6 3 4 5 2" xfId="20899"/>
    <cellStyle name="Heading 1 2 3 6 3 4 5 2 2" xfId="20900"/>
    <cellStyle name="Heading 1 2 3 6 3 4 5 3" xfId="20901"/>
    <cellStyle name="Heading 1 2 3 6 3 4 6" xfId="20902"/>
    <cellStyle name="Heading 1 2 3 6 3 4 6 2" xfId="20903"/>
    <cellStyle name="Heading 1 2 3 6 3 4 6 2 2" xfId="20904"/>
    <cellStyle name="Heading 1 2 3 6 3 4 6 3" xfId="20905"/>
    <cellStyle name="Heading 1 2 3 6 3 4 7" xfId="20906"/>
    <cellStyle name="Heading 1 2 3 6 3 4 7 2" xfId="20907"/>
    <cellStyle name="Heading 1 2 3 6 3 4 7 2 2" xfId="20908"/>
    <cellStyle name="Heading 1 2 3 6 3 4 7 3" xfId="20909"/>
    <cellStyle name="Heading 1 2 3 6 3 4 8" xfId="20910"/>
    <cellStyle name="Heading 1 2 3 6 3 4 8 2" xfId="20911"/>
    <cellStyle name="Heading 1 2 3 6 3 4 9" xfId="20912"/>
    <cellStyle name="Heading 1 2 3 6 3 5" xfId="20913"/>
    <cellStyle name="Heading 1 2 3 6 3 5 2" xfId="20914"/>
    <cellStyle name="Heading 1 2 3 6 3 5 2 2" xfId="20915"/>
    <cellStyle name="Heading 1 2 3 6 3 5 2 2 2" xfId="20916"/>
    <cellStyle name="Heading 1 2 3 6 3 5 2 3" xfId="20917"/>
    <cellStyle name="Heading 1 2 3 6 3 5 3" xfId="20918"/>
    <cellStyle name="Heading 1 2 3 6 3 5 3 2" xfId="20919"/>
    <cellStyle name="Heading 1 2 3 6 3 5 3 2 2" xfId="20920"/>
    <cellStyle name="Heading 1 2 3 6 3 5 3 3" xfId="20921"/>
    <cellStyle name="Heading 1 2 3 6 3 5 4" xfId="20922"/>
    <cellStyle name="Heading 1 2 3 6 3 5 4 2" xfId="20923"/>
    <cellStyle name="Heading 1 2 3 6 3 5 4 2 2" xfId="20924"/>
    <cellStyle name="Heading 1 2 3 6 3 5 4 3" xfId="20925"/>
    <cellStyle name="Heading 1 2 3 6 3 5 5" xfId="20926"/>
    <cellStyle name="Heading 1 2 3 6 3 5 5 2" xfId="20927"/>
    <cellStyle name="Heading 1 2 3 6 3 5 5 2 2" xfId="20928"/>
    <cellStyle name="Heading 1 2 3 6 3 5 5 3" xfId="20929"/>
    <cellStyle name="Heading 1 2 3 6 3 5 6" xfId="20930"/>
    <cellStyle name="Heading 1 2 3 6 3 5 6 2" xfId="20931"/>
    <cellStyle name="Heading 1 2 3 6 3 5 6 2 2" xfId="20932"/>
    <cellStyle name="Heading 1 2 3 6 3 5 6 3" xfId="20933"/>
    <cellStyle name="Heading 1 2 3 6 3 5 7" xfId="20934"/>
    <cellStyle name="Heading 1 2 3 6 3 5 7 2" xfId="20935"/>
    <cellStyle name="Heading 1 2 3 6 3 5 7 2 2" xfId="20936"/>
    <cellStyle name="Heading 1 2 3 6 3 5 7 3" xfId="20937"/>
    <cellStyle name="Heading 1 2 3 6 3 5 8" xfId="20938"/>
    <cellStyle name="Heading 1 2 3 6 3 5 8 2" xfId="20939"/>
    <cellStyle name="Heading 1 2 3 6 3 5 9" xfId="20940"/>
    <cellStyle name="Heading 1 2 3 6 3 6" xfId="20941"/>
    <cellStyle name="Heading 1 2 3 6 3 6 2" xfId="20942"/>
    <cellStyle name="Heading 1 2 3 6 3 6 2 2" xfId="20943"/>
    <cellStyle name="Heading 1 2 3 6 3 6 2 2 2" xfId="20944"/>
    <cellStyle name="Heading 1 2 3 6 3 6 2 3" xfId="20945"/>
    <cellStyle name="Heading 1 2 3 6 3 6 3" xfId="20946"/>
    <cellStyle name="Heading 1 2 3 6 3 6 3 2" xfId="20947"/>
    <cellStyle name="Heading 1 2 3 6 3 6 3 2 2" xfId="20948"/>
    <cellStyle name="Heading 1 2 3 6 3 6 3 3" xfId="20949"/>
    <cellStyle name="Heading 1 2 3 6 3 6 4" xfId="20950"/>
    <cellStyle name="Heading 1 2 3 6 3 6 4 2" xfId="20951"/>
    <cellStyle name="Heading 1 2 3 6 3 6 4 2 2" xfId="20952"/>
    <cellStyle name="Heading 1 2 3 6 3 6 4 3" xfId="20953"/>
    <cellStyle name="Heading 1 2 3 6 3 6 5" xfId="20954"/>
    <cellStyle name="Heading 1 2 3 6 3 6 5 2" xfId="20955"/>
    <cellStyle name="Heading 1 2 3 6 3 6 5 2 2" xfId="20956"/>
    <cellStyle name="Heading 1 2 3 6 3 6 5 3" xfId="20957"/>
    <cellStyle name="Heading 1 2 3 6 3 6 6" xfId="20958"/>
    <cellStyle name="Heading 1 2 3 6 3 6 6 2" xfId="20959"/>
    <cellStyle name="Heading 1 2 3 6 3 6 6 2 2" xfId="20960"/>
    <cellStyle name="Heading 1 2 3 6 3 6 6 3" xfId="20961"/>
    <cellStyle name="Heading 1 2 3 6 3 6 7" xfId="20962"/>
    <cellStyle name="Heading 1 2 3 6 3 6 7 2" xfId="20963"/>
    <cellStyle name="Heading 1 2 3 6 3 6 7 2 2" xfId="20964"/>
    <cellStyle name="Heading 1 2 3 6 3 6 7 3" xfId="20965"/>
    <cellStyle name="Heading 1 2 3 6 3 6 8" xfId="20966"/>
    <cellStyle name="Heading 1 2 3 6 3 6 8 2" xfId="20967"/>
    <cellStyle name="Heading 1 2 3 6 3 6 9" xfId="20968"/>
    <cellStyle name="Heading 1 2 3 6 3 7" xfId="20969"/>
    <cellStyle name="Heading 1 2 3 6 3 7 2" xfId="20970"/>
    <cellStyle name="Heading 1 2 3 6 3 7 2 2" xfId="20971"/>
    <cellStyle name="Heading 1 2 3 6 3 7 2 2 2" xfId="20972"/>
    <cellStyle name="Heading 1 2 3 6 3 7 2 3" xfId="20973"/>
    <cellStyle name="Heading 1 2 3 6 3 7 3" xfId="20974"/>
    <cellStyle name="Heading 1 2 3 6 3 7 3 2" xfId="20975"/>
    <cellStyle name="Heading 1 2 3 6 3 7 3 2 2" xfId="20976"/>
    <cellStyle name="Heading 1 2 3 6 3 7 3 3" xfId="20977"/>
    <cellStyle name="Heading 1 2 3 6 3 7 4" xfId="20978"/>
    <cellStyle name="Heading 1 2 3 6 3 7 4 2" xfId="20979"/>
    <cellStyle name="Heading 1 2 3 6 3 7 4 2 2" xfId="20980"/>
    <cellStyle name="Heading 1 2 3 6 3 7 4 3" xfId="20981"/>
    <cellStyle name="Heading 1 2 3 6 3 7 5" xfId="20982"/>
    <cellStyle name="Heading 1 2 3 6 3 7 5 2" xfId="20983"/>
    <cellStyle name="Heading 1 2 3 6 3 7 5 2 2" xfId="20984"/>
    <cellStyle name="Heading 1 2 3 6 3 7 5 3" xfId="20985"/>
    <cellStyle name="Heading 1 2 3 6 3 7 6" xfId="20986"/>
    <cellStyle name="Heading 1 2 3 6 3 7 6 2" xfId="20987"/>
    <cellStyle name="Heading 1 2 3 6 3 7 6 2 2" xfId="20988"/>
    <cellStyle name="Heading 1 2 3 6 3 7 6 3" xfId="20989"/>
    <cellStyle name="Heading 1 2 3 6 3 7 7" xfId="20990"/>
    <cellStyle name="Heading 1 2 3 6 3 7 7 2" xfId="20991"/>
    <cellStyle name="Heading 1 2 3 6 3 7 7 2 2" xfId="20992"/>
    <cellStyle name="Heading 1 2 3 6 3 7 7 3" xfId="20993"/>
    <cellStyle name="Heading 1 2 3 6 3 7 8" xfId="20994"/>
    <cellStyle name="Heading 1 2 3 6 3 7 8 2" xfId="20995"/>
    <cellStyle name="Heading 1 2 3 6 3 7 9" xfId="20996"/>
    <cellStyle name="Heading 1 2 3 6 3 8" xfId="20997"/>
    <cellStyle name="Heading 1 2 3 6 3 8 2" xfId="20998"/>
    <cellStyle name="Heading 1 2 3 6 3 8 2 2" xfId="20999"/>
    <cellStyle name="Heading 1 2 3 6 3 8 2 2 2" xfId="21000"/>
    <cellStyle name="Heading 1 2 3 6 3 8 2 3" xfId="21001"/>
    <cellStyle name="Heading 1 2 3 6 3 8 3" xfId="21002"/>
    <cellStyle name="Heading 1 2 3 6 3 8 3 2" xfId="21003"/>
    <cellStyle name="Heading 1 2 3 6 3 8 3 2 2" xfId="21004"/>
    <cellStyle name="Heading 1 2 3 6 3 8 3 3" xfId="21005"/>
    <cellStyle name="Heading 1 2 3 6 3 8 4" xfId="21006"/>
    <cellStyle name="Heading 1 2 3 6 3 8 4 2" xfId="21007"/>
    <cellStyle name="Heading 1 2 3 6 3 8 4 2 2" xfId="21008"/>
    <cellStyle name="Heading 1 2 3 6 3 8 4 3" xfId="21009"/>
    <cellStyle name="Heading 1 2 3 6 3 8 5" xfId="21010"/>
    <cellStyle name="Heading 1 2 3 6 3 8 5 2" xfId="21011"/>
    <cellStyle name="Heading 1 2 3 6 3 8 5 2 2" xfId="21012"/>
    <cellStyle name="Heading 1 2 3 6 3 8 5 3" xfId="21013"/>
    <cellStyle name="Heading 1 2 3 6 3 8 6" xfId="21014"/>
    <cellStyle name="Heading 1 2 3 6 3 8 6 2" xfId="21015"/>
    <cellStyle name="Heading 1 2 3 6 3 8 6 2 2" xfId="21016"/>
    <cellStyle name="Heading 1 2 3 6 3 8 6 3" xfId="21017"/>
    <cellStyle name="Heading 1 2 3 6 3 8 7" xfId="21018"/>
    <cellStyle name="Heading 1 2 3 6 3 8 7 2" xfId="21019"/>
    <cellStyle name="Heading 1 2 3 6 3 8 7 2 2" xfId="21020"/>
    <cellStyle name="Heading 1 2 3 6 3 8 7 3" xfId="21021"/>
    <cellStyle name="Heading 1 2 3 6 3 8 8" xfId="21022"/>
    <cellStyle name="Heading 1 2 3 6 3 8 8 2" xfId="21023"/>
    <cellStyle name="Heading 1 2 3 6 3 8 9" xfId="21024"/>
    <cellStyle name="Heading 1 2 3 6 3 9" xfId="21025"/>
    <cellStyle name="Heading 1 2 3 6 3 9 2" xfId="21026"/>
    <cellStyle name="Heading 1 2 3 6 3 9 2 2" xfId="21027"/>
    <cellStyle name="Heading 1 2 3 6 3 9 3" xfId="21028"/>
    <cellStyle name="Heading 1 2 3 6 4" xfId="21029"/>
    <cellStyle name="Heading 1 2 3 6 4 2" xfId="21030"/>
    <cellStyle name="Heading 1 2 3 6 4 2 2" xfId="21031"/>
    <cellStyle name="Heading 1 2 3 6 4 3" xfId="21032"/>
    <cellStyle name="Heading 1 2 3 6 5" xfId="21033"/>
    <cellStyle name="Heading 1 2 3 6 5 2" xfId="21034"/>
    <cellStyle name="Heading 1 2 3 6 6" xfId="21035"/>
    <cellStyle name="Heading 1 2 3 7" xfId="21036"/>
    <cellStyle name="Heading 1 2 3 7 2" xfId="21037"/>
    <cellStyle name="Heading 1 2 3 7 2 10" xfId="21038"/>
    <cellStyle name="Heading 1 2 3 7 2 10 2" xfId="21039"/>
    <cellStyle name="Heading 1 2 3 7 2 10 2 2" xfId="21040"/>
    <cellStyle name="Heading 1 2 3 7 2 10 3" xfId="21041"/>
    <cellStyle name="Heading 1 2 3 7 2 11" xfId="21042"/>
    <cellStyle name="Heading 1 2 3 7 2 11 2" xfId="21043"/>
    <cellStyle name="Heading 1 2 3 7 2 11 2 2" xfId="21044"/>
    <cellStyle name="Heading 1 2 3 7 2 11 3" xfId="21045"/>
    <cellStyle name="Heading 1 2 3 7 2 12" xfId="21046"/>
    <cellStyle name="Heading 1 2 3 7 2 12 2" xfId="21047"/>
    <cellStyle name="Heading 1 2 3 7 2 12 2 2" xfId="21048"/>
    <cellStyle name="Heading 1 2 3 7 2 12 3" xfId="21049"/>
    <cellStyle name="Heading 1 2 3 7 2 13" xfId="21050"/>
    <cellStyle name="Heading 1 2 3 7 2 13 2" xfId="21051"/>
    <cellStyle name="Heading 1 2 3 7 2 13 2 2" xfId="21052"/>
    <cellStyle name="Heading 1 2 3 7 2 13 3" xfId="21053"/>
    <cellStyle name="Heading 1 2 3 7 2 14" xfId="21054"/>
    <cellStyle name="Heading 1 2 3 7 2 14 2" xfId="21055"/>
    <cellStyle name="Heading 1 2 3 7 2 14 2 2" xfId="21056"/>
    <cellStyle name="Heading 1 2 3 7 2 14 3" xfId="21057"/>
    <cellStyle name="Heading 1 2 3 7 2 15" xfId="21058"/>
    <cellStyle name="Heading 1 2 3 7 2 15 2" xfId="21059"/>
    <cellStyle name="Heading 1 2 3 7 2 15 2 2" xfId="21060"/>
    <cellStyle name="Heading 1 2 3 7 2 15 3" xfId="21061"/>
    <cellStyle name="Heading 1 2 3 7 2 16" xfId="21062"/>
    <cellStyle name="Heading 1 2 3 7 2 16 2" xfId="21063"/>
    <cellStyle name="Heading 1 2 3 7 2 16 2 2" xfId="21064"/>
    <cellStyle name="Heading 1 2 3 7 2 16 3" xfId="21065"/>
    <cellStyle name="Heading 1 2 3 7 2 17" xfId="21066"/>
    <cellStyle name="Heading 1 2 3 7 2 17 2" xfId="21067"/>
    <cellStyle name="Heading 1 2 3 7 2 17 2 2" xfId="21068"/>
    <cellStyle name="Heading 1 2 3 7 2 17 3" xfId="21069"/>
    <cellStyle name="Heading 1 2 3 7 2 18" xfId="21070"/>
    <cellStyle name="Heading 1 2 3 7 2 18 2" xfId="21071"/>
    <cellStyle name="Heading 1 2 3 7 2 18 2 2" xfId="21072"/>
    <cellStyle name="Heading 1 2 3 7 2 18 3" xfId="21073"/>
    <cellStyle name="Heading 1 2 3 7 2 19" xfId="21074"/>
    <cellStyle name="Heading 1 2 3 7 2 19 2" xfId="21075"/>
    <cellStyle name="Heading 1 2 3 7 2 19 2 2" xfId="21076"/>
    <cellStyle name="Heading 1 2 3 7 2 19 3" xfId="21077"/>
    <cellStyle name="Heading 1 2 3 7 2 2" xfId="21078"/>
    <cellStyle name="Heading 1 2 3 7 2 2 10" xfId="21079"/>
    <cellStyle name="Heading 1 2 3 7 2 2 10 2" xfId="21080"/>
    <cellStyle name="Heading 1 2 3 7 2 2 10 2 2" xfId="21081"/>
    <cellStyle name="Heading 1 2 3 7 2 2 10 3" xfId="21082"/>
    <cellStyle name="Heading 1 2 3 7 2 2 11" xfId="21083"/>
    <cellStyle name="Heading 1 2 3 7 2 2 11 2" xfId="21084"/>
    <cellStyle name="Heading 1 2 3 7 2 2 11 2 2" xfId="21085"/>
    <cellStyle name="Heading 1 2 3 7 2 2 11 3" xfId="21086"/>
    <cellStyle name="Heading 1 2 3 7 2 2 12" xfId="21087"/>
    <cellStyle name="Heading 1 2 3 7 2 2 12 2" xfId="21088"/>
    <cellStyle name="Heading 1 2 3 7 2 2 12 2 2" xfId="21089"/>
    <cellStyle name="Heading 1 2 3 7 2 2 12 3" xfId="21090"/>
    <cellStyle name="Heading 1 2 3 7 2 2 13" xfId="21091"/>
    <cellStyle name="Heading 1 2 3 7 2 2 13 2" xfId="21092"/>
    <cellStyle name="Heading 1 2 3 7 2 2 13 2 2" xfId="21093"/>
    <cellStyle name="Heading 1 2 3 7 2 2 13 3" xfId="21094"/>
    <cellStyle name="Heading 1 2 3 7 2 2 14" xfId="21095"/>
    <cellStyle name="Heading 1 2 3 7 2 2 14 2" xfId="21096"/>
    <cellStyle name="Heading 1 2 3 7 2 2 14 2 2" xfId="21097"/>
    <cellStyle name="Heading 1 2 3 7 2 2 14 3" xfId="21098"/>
    <cellStyle name="Heading 1 2 3 7 2 2 15" xfId="21099"/>
    <cellStyle name="Heading 1 2 3 7 2 2 15 2" xfId="21100"/>
    <cellStyle name="Heading 1 2 3 7 2 2 15 2 2" xfId="21101"/>
    <cellStyle name="Heading 1 2 3 7 2 2 15 3" xfId="21102"/>
    <cellStyle name="Heading 1 2 3 7 2 2 16" xfId="21103"/>
    <cellStyle name="Heading 1 2 3 7 2 2 16 2" xfId="21104"/>
    <cellStyle name="Heading 1 2 3 7 2 2 16 2 2" xfId="21105"/>
    <cellStyle name="Heading 1 2 3 7 2 2 16 3" xfId="21106"/>
    <cellStyle name="Heading 1 2 3 7 2 2 17" xfId="21107"/>
    <cellStyle name="Heading 1 2 3 7 2 2 17 2" xfId="21108"/>
    <cellStyle name="Heading 1 2 3 7 2 2 17 2 2" xfId="21109"/>
    <cellStyle name="Heading 1 2 3 7 2 2 17 3" xfId="21110"/>
    <cellStyle name="Heading 1 2 3 7 2 2 18" xfId="21111"/>
    <cellStyle name="Heading 1 2 3 7 2 2 18 2" xfId="21112"/>
    <cellStyle name="Heading 1 2 3 7 2 2 18 2 2" xfId="21113"/>
    <cellStyle name="Heading 1 2 3 7 2 2 18 3" xfId="21114"/>
    <cellStyle name="Heading 1 2 3 7 2 2 19" xfId="21115"/>
    <cellStyle name="Heading 1 2 3 7 2 2 19 2" xfId="21116"/>
    <cellStyle name="Heading 1 2 3 7 2 2 2" xfId="21117"/>
    <cellStyle name="Heading 1 2 3 7 2 2 2 2" xfId="21118"/>
    <cellStyle name="Heading 1 2 3 7 2 2 2 2 2" xfId="21119"/>
    <cellStyle name="Heading 1 2 3 7 2 2 2 2 2 2" xfId="21120"/>
    <cellStyle name="Heading 1 2 3 7 2 2 2 2 3" xfId="21121"/>
    <cellStyle name="Heading 1 2 3 7 2 2 2 3" xfId="21122"/>
    <cellStyle name="Heading 1 2 3 7 2 2 2 3 2" xfId="21123"/>
    <cellStyle name="Heading 1 2 3 7 2 2 2 3 2 2" xfId="21124"/>
    <cellStyle name="Heading 1 2 3 7 2 2 2 3 3" xfId="21125"/>
    <cellStyle name="Heading 1 2 3 7 2 2 2 4" xfId="21126"/>
    <cellStyle name="Heading 1 2 3 7 2 2 2 4 2" xfId="21127"/>
    <cellStyle name="Heading 1 2 3 7 2 2 2 4 2 2" xfId="21128"/>
    <cellStyle name="Heading 1 2 3 7 2 2 2 4 3" xfId="21129"/>
    <cellStyle name="Heading 1 2 3 7 2 2 2 5" xfId="21130"/>
    <cellStyle name="Heading 1 2 3 7 2 2 2 5 2" xfId="21131"/>
    <cellStyle name="Heading 1 2 3 7 2 2 2 5 2 2" xfId="21132"/>
    <cellStyle name="Heading 1 2 3 7 2 2 2 5 3" xfId="21133"/>
    <cellStyle name="Heading 1 2 3 7 2 2 2 6" xfId="21134"/>
    <cellStyle name="Heading 1 2 3 7 2 2 2 6 2" xfId="21135"/>
    <cellStyle name="Heading 1 2 3 7 2 2 2 6 2 2" xfId="21136"/>
    <cellStyle name="Heading 1 2 3 7 2 2 2 6 3" xfId="21137"/>
    <cellStyle name="Heading 1 2 3 7 2 2 2 7" xfId="21138"/>
    <cellStyle name="Heading 1 2 3 7 2 2 2 7 2" xfId="21139"/>
    <cellStyle name="Heading 1 2 3 7 2 2 2 7 2 2" xfId="21140"/>
    <cellStyle name="Heading 1 2 3 7 2 2 2 7 3" xfId="21141"/>
    <cellStyle name="Heading 1 2 3 7 2 2 2 8" xfId="21142"/>
    <cellStyle name="Heading 1 2 3 7 2 2 2 8 2" xfId="21143"/>
    <cellStyle name="Heading 1 2 3 7 2 2 2 9" xfId="21144"/>
    <cellStyle name="Heading 1 2 3 7 2 2 20" xfId="21145"/>
    <cellStyle name="Heading 1 2 3 7 2 2 20 2" xfId="21146"/>
    <cellStyle name="Heading 1 2 3 7 2 2 21" xfId="21147"/>
    <cellStyle name="Heading 1 2 3 7 2 2 21 2" xfId="21148"/>
    <cellStyle name="Heading 1 2 3 7 2 2 22" xfId="21149"/>
    <cellStyle name="Heading 1 2 3 7 2 2 3" xfId="21150"/>
    <cellStyle name="Heading 1 2 3 7 2 2 3 2" xfId="21151"/>
    <cellStyle name="Heading 1 2 3 7 2 2 3 2 2" xfId="21152"/>
    <cellStyle name="Heading 1 2 3 7 2 2 3 2 2 2" xfId="21153"/>
    <cellStyle name="Heading 1 2 3 7 2 2 3 2 3" xfId="21154"/>
    <cellStyle name="Heading 1 2 3 7 2 2 3 3" xfId="21155"/>
    <cellStyle name="Heading 1 2 3 7 2 2 3 3 2" xfId="21156"/>
    <cellStyle name="Heading 1 2 3 7 2 2 3 3 2 2" xfId="21157"/>
    <cellStyle name="Heading 1 2 3 7 2 2 3 3 3" xfId="21158"/>
    <cellStyle name="Heading 1 2 3 7 2 2 3 4" xfId="21159"/>
    <cellStyle name="Heading 1 2 3 7 2 2 3 4 2" xfId="21160"/>
    <cellStyle name="Heading 1 2 3 7 2 2 3 4 2 2" xfId="21161"/>
    <cellStyle name="Heading 1 2 3 7 2 2 3 4 3" xfId="21162"/>
    <cellStyle name="Heading 1 2 3 7 2 2 3 5" xfId="21163"/>
    <cellStyle name="Heading 1 2 3 7 2 2 3 5 2" xfId="21164"/>
    <cellStyle name="Heading 1 2 3 7 2 2 3 5 2 2" xfId="21165"/>
    <cellStyle name="Heading 1 2 3 7 2 2 3 5 3" xfId="21166"/>
    <cellStyle name="Heading 1 2 3 7 2 2 3 6" xfId="21167"/>
    <cellStyle name="Heading 1 2 3 7 2 2 3 6 2" xfId="21168"/>
    <cellStyle name="Heading 1 2 3 7 2 2 3 6 2 2" xfId="21169"/>
    <cellStyle name="Heading 1 2 3 7 2 2 3 6 3" xfId="21170"/>
    <cellStyle name="Heading 1 2 3 7 2 2 3 7" xfId="21171"/>
    <cellStyle name="Heading 1 2 3 7 2 2 3 7 2" xfId="21172"/>
    <cellStyle name="Heading 1 2 3 7 2 2 3 7 2 2" xfId="21173"/>
    <cellStyle name="Heading 1 2 3 7 2 2 3 7 3" xfId="21174"/>
    <cellStyle name="Heading 1 2 3 7 2 2 3 8" xfId="21175"/>
    <cellStyle name="Heading 1 2 3 7 2 2 3 8 2" xfId="21176"/>
    <cellStyle name="Heading 1 2 3 7 2 2 3 9" xfId="21177"/>
    <cellStyle name="Heading 1 2 3 7 2 2 4" xfId="21178"/>
    <cellStyle name="Heading 1 2 3 7 2 2 4 2" xfId="21179"/>
    <cellStyle name="Heading 1 2 3 7 2 2 4 2 2" xfId="21180"/>
    <cellStyle name="Heading 1 2 3 7 2 2 4 2 2 2" xfId="21181"/>
    <cellStyle name="Heading 1 2 3 7 2 2 4 2 3" xfId="21182"/>
    <cellStyle name="Heading 1 2 3 7 2 2 4 3" xfId="21183"/>
    <cellStyle name="Heading 1 2 3 7 2 2 4 3 2" xfId="21184"/>
    <cellStyle name="Heading 1 2 3 7 2 2 4 3 2 2" xfId="21185"/>
    <cellStyle name="Heading 1 2 3 7 2 2 4 3 3" xfId="21186"/>
    <cellStyle name="Heading 1 2 3 7 2 2 4 4" xfId="21187"/>
    <cellStyle name="Heading 1 2 3 7 2 2 4 4 2" xfId="21188"/>
    <cellStyle name="Heading 1 2 3 7 2 2 4 4 2 2" xfId="21189"/>
    <cellStyle name="Heading 1 2 3 7 2 2 4 4 3" xfId="21190"/>
    <cellStyle name="Heading 1 2 3 7 2 2 4 5" xfId="21191"/>
    <cellStyle name="Heading 1 2 3 7 2 2 4 5 2" xfId="21192"/>
    <cellStyle name="Heading 1 2 3 7 2 2 4 5 2 2" xfId="21193"/>
    <cellStyle name="Heading 1 2 3 7 2 2 4 5 3" xfId="21194"/>
    <cellStyle name="Heading 1 2 3 7 2 2 4 6" xfId="21195"/>
    <cellStyle name="Heading 1 2 3 7 2 2 4 6 2" xfId="21196"/>
    <cellStyle name="Heading 1 2 3 7 2 2 4 6 2 2" xfId="21197"/>
    <cellStyle name="Heading 1 2 3 7 2 2 4 6 3" xfId="21198"/>
    <cellStyle name="Heading 1 2 3 7 2 2 4 7" xfId="21199"/>
    <cellStyle name="Heading 1 2 3 7 2 2 4 7 2" xfId="21200"/>
    <cellStyle name="Heading 1 2 3 7 2 2 4 7 2 2" xfId="21201"/>
    <cellStyle name="Heading 1 2 3 7 2 2 4 7 3" xfId="21202"/>
    <cellStyle name="Heading 1 2 3 7 2 2 4 8" xfId="21203"/>
    <cellStyle name="Heading 1 2 3 7 2 2 4 8 2" xfId="21204"/>
    <cellStyle name="Heading 1 2 3 7 2 2 4 9" xfId="21205"/>
    <cellStyle name="Heading 1 2 3 7 2 2 5" xfId="21206"/>
    <cellStyle name="Heading 1 2 3 7 2 2 5 2" xfId="21207"/>
    <cellStyle name="Heading 1 2 3 7 2 2 5 2 2" xfId="21208"/>
    <cellStyle name="Heading 1 2 3 7 2 2 5 2 2 2" xfId="21209"/>
    <cellStyle name="Heading 1 2 3 7 2 2 5 2 3" xfId="21210"/>
    <cellStyle name="Heading 1 2 3 7 2 2 5 3" xfId="21211"/>
    <cellStyle name="Heading 1 2 3 7 2 2 5 3 2" xfId="21212"/>
    <cellStyle name="Heading 1 2 3 7 2 2 5 3 2 2" xfId="21213"/>
    <cellStyle name="Heading 1 2 3 7 2 2 5 3 3" xfId="21214"/>
    <cellStyle name="Heading 1 2 3 7 2 2 5 4" xfId="21215"/>
    <cellStyle name="Heading 1 2 3 7 2 2 5 4 2" xfId="21216"/>
    <cellStyle name="Heading 1 2 3 7 2 2 5 4 2 2" xfId="21217"/>
    <cellStyle name="Heading 1 2 3 7 2 2 5 4 3" xfId="21218"/>
    <cellStyle name="Heading 1 2 3 7 2 2 5 5" xfId="21219"/>
    <cellStyle name="Heading 1 2 3 7 2 2 5 5 2" xfId="21220"/>
    <cellStyle name="Heading 1 2 3 7 2 2 5 5 2 2" xfId="21221"/>
    <cellStyle name="Heading 1 2 3 7 2 2 5 5 3" xfId="21222"/>
    <cellStyle name="Heading 1 2 3 7 2 2 5 6" xfId="21223"/>
    <cellStyle name="Heading 1 2 3 7 2 2 5 6 2" xfId="21224"/>
    <cellStyle name="Heading 1 2 3 7 2 2 5 6 2 2" xfId="21225"/>
    <cellStyle name="Heading 1 2 3 7 2 2 5 6 3" xfId="21226"/>
    <cellStyle name="Heading 1 2 3 7 2 2 5 7" xfId="21227"/>
    <cellStyle name="Heading 1 2 3 7 2 2 5 7 2" xfId="21228"/>
    <cellStyle name="Heading 1 2 3 7 2 2 5 7 2 2" xfId="21229"/>
    <cellStyle name="Heading 1 2 3 7 2 2 5 7 3" xfId="21230"/>
    <cellStyle name="Heading 1 2 3 7 2 2 5 8" xfId="21231"/>
    <cellStyle name="Heading 1 2 3 7 2 2 5 8 2" xfId="21232"/>
    <cellStyle name="Heading 1 2 3 7 2 2 5 9" xfId="21233"/>
    <cellStyle name="Heading 1 2 3 7 2 2 6" xfId="21234"/>
    <cellStyle name="Heading 1 2 3 7 2 2 6 2" xfId="21235"/>
    <cellStyle name="Heading 1 2 3 7 2 2 6 2 2" xfId="21236"/>
    <cellStyle name="Heading 1 2 3 7 2 2 6 2 2 2" xfId="21237"/>
    <cellStyle name="Heading 1 2 3 7 2 2 6 2 3" xfId="21238"/>
    <cellStyle name="Heading 1 2 3 7 2 2 6 3" xfId="21239"/>
    <cellStyle name="Heading 1 2 3 7 2 2 6 3 2" xfId="21240"/>
    <cellStyle name="Heading 1 2 3 7 2 2 6 3 2 2" xfId="21241"/>
    <cellStyle name="Heading 1 2 3 7 2 2 6 3 3" xfId="21242"/>
    <cellStyle name="Heading 1 2 3 7 2 2 6 4" xfId="21243"/>
    <cellStyle name="Heading 1 2 3 7 2 2 6 4 2" xfId="21244"/>
    <cellStyle name="Heading 1 2 3 7 2 2 6 4 2 2" xfId="21245"/>
    <cellStyle name="Heading 1 2 3 7 2 2 6 4 3" xfId="21246"/>
    <cellStyle name="Heading 1 2 3 7 2 2 6 5" xfId="21247"/>
    <cellStyle name="Heading 1 2 3 7 2 2 6 5 2" xfId="21248"/>
    <cellStyle name="Heading 1 2 3 7 2 2 6 5 2 2" xfId="21249"/>
    <cellStyle name="Heading 1 2 3 7 2 2 6 5 3" xfId="21250"/>
    <cellStyle name="Heading 1 2 3 7 2 2 6 6" xfId="21251"/>
    <cellStyle name="Heading 1 2 3 7 2 2 6 6 2" xfId="21252"/>
    <cellStyle name="Heading 1 2 3 7 2 2 6 6 2 2" xfId="21253"/>
    <cellStyle name="Heading 1 2 3 7 2 2 6 6 3" xfId="21254"/>
    <cellStyle name="Heading 1 2 3 7 2 2 6 7" xfId="21255"/>
    <cellStyle name="Heading 1 2 3 7 2 2 6 7 2" xfId="21256"/>
    <cellStyle name="Heading 1 2 3 7 2 2 6 7 2 2" xfId="21257"/>
    <cellStyle name="Heading 1 2 3 7 2 2 6 7 3" xfId="21258"/>
    <cellStyle name="Heading 1 2 3 7 2 2 6 8" xfId="21259"/>
    <cellStyle name="Heading 1 2 3 7 2 2 6 8 2" xfId="21260"/>
    <cellStyle name="Heading 1 2 3 7 2 2 6 9" xfId="21261"/>
    <cellStyle name="Heading 1 2 3 7 2 2 7" xfId="21262"/>
    <cellStyle name="Heading 1 2 3 7 2 2 7 2" xfId="21263"/>
    <cellStyle name="Heading 1 2 3 7 2 2 7 2 2" xfId="21264"/>
    <cellStyle name="Heading 1 2 3 7 2 2 7 2 2 2" xfId="21265"/>
    <cellStyle name="Heading 1 2 3 7 2 2 7 2 3" xfId="21266"/>
    <cellStyle name="Heading 1 2 3 7 2 2 7 3" xfId="21267"/>
    <cellStyle name="Heading 1 2 3 7 2 2 7 3 2" xfId="21268"/>
    <cellStyle name="Heading 1 2 3 7 2 2 7 3 2 2" xfId="21269"/>
    <cellStyle name="Heading 1 2 3 7 2 2 7 3 3" xfId="21270"/>
    <cellStyle name="Heading 1 2 3 7 2 2 7 4" xfId="21271"/>
    <cellStyle name="Heading 1 2 3 7 2 2 7 4 2" xfId="21272"/>
    <cellStyle name="Heading 1 2 3 7 2 2 7 4 2 2" xfId="21273"/>
    <cellStyle name="Heading 1 2 3 7 2 2 7 4 3" xfId="21274"/>
    <cellStyle name="Heading 1 2 3 7 2 2 7 5" xfId="21275"/>
    <cellStyle name="Heading 1 2 3 7 2 2 7 5 2" xfId="21276"/>
    <cellStyle name="Heading 1 2 3 7 2 2 7 5 2 2" xfId="21277"/>
    <cellStyle name="Heading 1 2 3 7 2 2 7 5 3" xfId="21278"/>
    <cellStyle name="Heading 1 2 3 7 2 2 7 6" xfId="21279"/>
    <cellStyle name="Heading 1 2 3 7 2 2 7 6 2" xfId="21280"/>
    <cellStyle name="Heading 1 2 3 7 2 2 7 6 2 2" xfId="21281"/>
    <cellStyle name="Heading 1 2 3 7 2 2 7 6 3" xfId="21282"/>
    <cellStyle name="Heading 1 2 3 7 2 2 7 7" xfId="21283"/>
    <cellStyle name="Heading 1 2 3 7 2 2 7 7 2" xfId="21284"/>
    <cellStyle name="Heading 1 2 3 7 2 2 7 7 2 2" xfId="21285"/>
    <cellStyle name="Heading 1 2 3 7 2 2 7 7 3" xfId="21286"/>
    <cellStyle name="Heading 1 2 3 7 2 2 7 8" xfId="21287"/>
    <cellStyle name="Heading 1 2 3 7 2 2 7 8 2" xfId="21288"/>
    <cellStyle name="Heading 1 2 3 7 2 2 7 9" xfId="21289"/>
    <cellStyle name="Heading 1 2 3 7 2 2 8" xfId="21290"/>
    <cellStyle name="Heading 1 2 3 7 2 2 8 2" xfId="21291"/>
    <cellStyle name="Heading 1 2 3 7 2 2 8 2 2" xfId="21292"/>
    <cellStyle name="Heading 1 2 3 7 2 2 8 2 2 2" xfId="21293"/>
    <cellStyle name="Heading 1 2 3 7 2 2 8 2 3" xfId="21294"/>
    <cellStyle name="Heading 1 2 3 7 2 2 8 3" xfId="21295"/>
    <cellStyle name="Heading 1 2 3 7 2 2 8 3 2" xfId="21296"/>
    <cellStyle name="Heading 1 2 3 7 2 2 8 3 2 2" xfId="21297"/>
    <cellStyle name="Heading 1 2 3 7 2 2 8 3 3" xfId="21298"/>
    <cellStyle name="Heading 1 2 3 7 2 2 8 4" xfId="21299"/>
    <cellStyle name="Heading 1 2 3 7 2 2 8 4 2" xfId="21300"/>
    <cellStyle name="Heading 1 2 3 7 2 2 8 4 2 2" xfId="21301"/>
    <cellStyle name="Heading 1 2 3 7 2 2 8 4 3" xfId="21302"/>
    <cellStyle name="Heading 1 2 3 7 2 2 8 5" xfId="21303"/>
    <cellStyle name="Heading 1 2 3 7 2 2 8 5 2" xfId="21304"/>
    <cellStyle name="Heading 1 2 3 7 2 2 8 5 2 2" xfId="21305"/>
    <cellStyle name="Heading 1 2 3 7 2 2 8 5 3" xfId="21306"/>
    <cellStyle name="Heading 1 2 3 7 2 2 8 6" xfId="21307"/>
    <cellStyle name="Heading 1 2 3 7 2 2 8 6 2" xfId="21308"/>
    <cellStyle name="Heading 1 2 3 7 2 2 8 6 2 2" xfId="21309"/>
    <cellStyle name="Heading 1 2 3 7 2 2 8 6 3" xfId="21310"/>
    <cellStyle name="Heading 1 2 3 7 2 2 8 7" xfId="21311"/>
    <cellStyle name="Heading 1 2 3 7 2 2 8 7 2" xfId="21312"/>
    <cellStyle name="Heading 1 2 3 7 2 2 8 7 2 2" xfId="21313"/>
    <cellStyle name="Heading 1 2 3 7 2 2 8 7 3" xfId="21314"/>
    <cellStyle name="Heading 1 2 3 7 2 2 8 8" xfId="21315"/>
    <cellStyle name="Heading 1 2 3 7 2 2 8 8 2" xfId="21316"/>
    <cellStyle name="Heading 1 2 3 7 2 2 8 9" xfId="21317"/>
    <cellStyle name="Heading 1 2 3 7 2 2 9" xfId="21318"/>
    <cellStyle name="Heading 1 2 3 7 2 2 9 2" xfId="21319"/>
    <cellStyle name="Heading 1 2 3 7 2 2 9 2 2" xfId="21320"/>
    <cellStyle name="Heading 1 2 3 7 2 2 9 3" xfId="21321"/>
    <cellStyle name="Heading 1 2 3 7 2 20" xfId="21322"/>
    <cellStyle name="Heading 1 2 3 7 2 20 2" xfId="21323"/>
    <cellStyle name="Heading 1 2 3 7 2 21" xfId="21324"/>
    <cellStyle name="Heading 1 2 3 7 2 21 2" xfId="21325"/>
    <cellStyle name="Heading 1 2 3 7 2 22" xfId="21326"/>
    <cellStyle name="Heading 1 2 3 7 2 22 2" xfId="21327"/>
    <cellStyle name="Heading 1 2 3 7 2 23" xfId="21328"/>
    <cellStyle name="Heading 1 2 3 7 2 3" xfId="21329"/>
    <cellStyle name="Heading 1 2 3 7 2 3 2" xfId="21330"/>
    <cellStyle name="Heading 1 2 3 7 2 3 2 2" xfId="21331"/>
    <cellStyle name="Heading 1 2 3 7 2 3 2 2 2" xfId="21332"/>
    <cellStyle name="Heading 1 2 3 7 2 3 2 3" xfId="21333"/>
    <cellStyle name="Heading 1 2 3 7 2 3 3" xfId="21334"/>
    <cellStyle name="Heading 1 2 3 7 2 3 3 2" xfId="21335"/>
    <cellStyle name="Heading 1 2 3 7 2 3 3 2 2" xfId="21336"/>
    <cellStyle name="Heading 1 2 3 7 2 3 3 3" xfId="21337"/>
    <cellStyle name="Heading 1 2 3 7 2 3 4" xfId="21338"/>
    <cellStyle name="Heading 1 2 3 7 2 3 4 2" xfId="21339"/>
    <cellStyle name="Heading 1 2 3 7 2 3 4 2 2" xfId="21340"/>
    <cellStyle name="Heading 1 2 3 7 2 3 4 3" xfId="21341"/>
    <cellStyle name="Heading 1 2 3 7 2 3 5" xfId="21342"/>
    <cellStyle name="Heading 1 2 3 7 2 3 5 2" xfId="21343"/>
    <cellStyle name="Heading 1 2 3 7 2 3 5 2 2" xfId="21344"/>
    <cellStyle name="Heading 1 2 3 7 2 3 5 3" xfId="21345"/>
    <cellStyle name="Heading 1 2 3 7 2 3 6" xfId="21346"/>
    <cellStyle name="Heading 1 2 3 7 2 3 6 2" xfId="21347"/>
    <cellStyle name="Heading 1 2 3 7 2 3 6 2 2" xfId="21348"/>
    <cellStyle name="Heading 1 2 3 7 2 3 6 3" xfId="21349"/>
    <cellStyle name="Heading 1 2 3 7 2 3 7" xfId="21350"/>
    <cellStyle name="Heading 1 2 3 7 2 3 7 2" xfId="21351"/>
    <cellStyle name="Heading 1 2 3 7 2 3 7 2 2" xfId="21352"/>
    <cellStyle name="Heading 1 2 3 7 2 3 7 3" xfId="21353"/>
    <cellStyle name="Heading 1 2 3 7 2 3 8" xfId="21354"/>
    <cellStyle name="Heading 1 2 3 7 2 3 8 2" xfId="21355"/>
    <cellStyle name="Heading 1 2 3 7 2 3 9" xfId="21356"/>
    <cellStyle name="Heading 1 2 3 7 2 4" xfId="21357"/>
    <cellStyle name="Heading 1 2 3 7 2 4 2" xfId="21358"/>
    <cellStyle name="Heading 1 2 3 7 2 4 2 2" xfId="21359"/>
    <cellStyle name="Heading 1 2 3 7 2 4 2 2 2" xfId="21360"/>
    <cellStyle name="Heading 1 2 3 7 2 4 2 3" xfId="21361"/>
    <cellStyle name="Heading 1 2 3 7 2 4 3" xfId="21362"/>
    <cellStyle name="Heading 1 2 3 7 2 4 3 2" xfId="21363"/>
    <cellStyle name="Heading 1 2 3 7 2 4 3 2 2" xfId="21364"/>
    <cellStyle name="Heading 1 2 3 7 2 4 3 3" xfId="21365"/>
    <cellStyle name="Heading 1 2 3 7 2 4 4" xfId="21366"/>
    <cellStyle name="Heading 1 2 3 7 2 4 4 2" xfId="21367"/>
    <cellStyle name="Heading 1 2 3 7 2 4 4 2 2" xfId="21368"/>
    <cellStyle name="Heading 1 2 3 7 2 4 4 3" xfId="21369"/>
    <cellStyle name="Heading 1 2 3 7 2 4 5" xfId="21370"/>
    <cellStyle name="Heading 1 2 3 7 2 4 5 2" xfId="21371"/>
    <cellStyle name="Heading 1 2 3 7 2 4 5 2 2" xfId="21372"/>
    <cellStyle name="Heading 1 2 3 7 2 4 5 3" xfId="21373"/>
    <cellStyle name="Heading 1 2 3 7 2 4 6" xfId="21374"/>
    <cellStyle name="Heading 1 2 3 7 2 4 6 2" xfId="21375"/>
    <cellStyle name="Heading 1 2 3 7 2 4 6 2 2" xfId="21376"/>
    <cellStyle name="Heading 1 2 3 7 2 4 6 3" xfId="21377"/>
    <cellStyle name="Heading 1 2 3 7 2 4 7" xfId="21378"/>
    <cellStyle name="Heading 1 2 3 7 2 4 7 2" xfId="21379"/>
    <cellStyle name="Heading 1 2 3 7 2 4 7 2 2" xfId="21380"/>
    <cellStyle name="Heading 1 2 3 7 2 4 7 3" xfId="21381"/>
    <cellStyle name="Heading 1 2 3 7 2 4 8" xfId="21382"/>
    <cellStyle name="Heading 1 2 3 7 2 4 8 2" xfId="21383"/>
    <cellStyle name="Heading 1 2 3 7 2 4 9" xfId="21384"/>
    <cellStyle name="Heading 1 2 3 7 2 5" xfId="21385"/>
    <cellStyle name="Heading 1 2 3 7 2 5 2" xfId="21386"/>
    <cellStyle name="Heading 1 2 3 7 2 5 2 2" xfId="21387"/>
    <cellStyle name="Heading 1 2 3 7 2 5 2 2 2" xfId="21388"/>
    <cellStyle name="Heading 1 2 3 7 2 5 2 3" xfId="21389"/>
    <cellStyle name="Heading 1 2 3 7 2 5 3" xfId="21390"/>
    <cellStyle name="Heading 1 2 3 7 2 5 3 2" xfId="21391"/>
    <cellStyle name="Heading 1 2 3 7 2 5 3 2 2" xfId="21392"/>
    <cellStyle name="Heading 1 2 3 7 2 5 3 3" xfId="21393"/>
    <cellStyle name="Heading 1 2 3 7 2 5 4" xfId="21394"/>
    <cellStyle name="Heading 1 2 3 7 2 5 4 2" xfId="21395"/>
    <cellStyle name="Heading 1 2 3 7 2 5 4 2 2" xfId="21396"/>
    <cellStyle name="Heading 1 2 3 7 2 5 4 3" xfId="21397"/>
    <cellStyle name="Heading 1 2 3 7 2 5 5" xfId="21398"/>
    <cellStyle name="Heading 1 2 3 7 2 5 5 2" xfId="21399"/>
    <cellStyle name="Heading 1 2 3 7 2 5 5 2 2" xfId="21400"/>
    <cellStyle name="Heading 1 2 3 7 2 5 5 3" xfId="21401"/>
    <cellStyle name="Heading 1 2 3 7 2 5 6" xfId="21402"/>
    <cellStyle name="Heading 1 2 3 7 2 5 6 2" xfId="21403"/>
    <cellStyle name="Heading 1 2 3 7 2 5 6 2 2" xfId="21404"/>
    <cellStyle name="Heading 1 2 3 7 2 5 6 3" xfId="21405"/>
    <cellStyle name="Heading 1 2 3 7 2 5 7" xfId="21406"/>
    <cellStyle name="Heading 1 2 3 7 2 5 7 2" xfId="21407"/>
    <cellStyle name="Heading 1 2 3 7 2 5 7 2 2" xfId="21408"/>
    <cellStyle name="Heading 1 2 3 7 2 5 7 3" xfId="21409"/>
    <cellStyle name="Heading 1 2 3 7 2 5 8" xfId="21410"/>
    <cellStyle name="Heading 1 2 3 7 2 5 8 2" xfId="21411"/>
    <cellStyle name="Heading 1 2 3 7 2 5 9" xfId="21412"/>
    <cellStyle name="Heading 1 2 3 7 2 6" xfId="21413"/>
    <cellStyle name="Heading 1 2 3 7 2 6 2" xfId="21414"/>
    <cellStyle name="Heading 1 2 3 7 2 6 2 2" xfId="21415"/>
    <cellStyle name="Heading 1 2 3 7 2 6 2 2 2" xfId="21416"/>
    <cellStyle name="Heading 1 2 3 7 2 6 2 3" xfId="21417"/>
    <cellStyle name="Heading 1 2 3 7 2 6 3" xfId="21418"/>
    <cellStyle name="Heading 1 2 3 7 2 6 3 2" xfId="21419"/>
    <cellStyle name="Heading 1 2 3 7 2 6 3 2 2" xfId="21420"/>
    <cellStyle name="Heading 1 2 3 7 2 6 3 3" xfId="21421"/>
    <cellStyle name="Heading 1 2 3 7 2 6 4" xfId="21422"/>
    <cellStyle name="Heading 1 2 3 7 2 6 4 2" xfId="21423"/>
    <cellStyle name="Heading 1 2 3 7 2 6 4 2 2" xfId="21424"/>
    <cellStyle name="Heading 1 2 3 7 2 6 4 3" xfId="21425"/>
    <cellStyle name="Heading 1 2 3 7 2 6 5" xfId="21426"/>
    <cellStyle name="Heading 1 2 3 7 2 6 5 2" xfId="21427"/>
    <cellStyle name="Heading 1 2 3 7 2 6 5 2 2" xfId="21428"/>
    <cellStyle name="Heading 1 2 3 7 2 6 5 3" xfId="21429"/>
    <cellStyle name="Heading 1 2 3 7 2 6 6" xfId="21430"/>
    <cellStyle name="Heading 1 2 3 7 2 6 6 2" xfId="21431"/>
    <cellStyle name="Heading 1 2 3 7 2 6 6 2 2" xfId="21432"/>
    <cellStyle name="Heading 1 2 3 7 2 6 6 3" xfId="21433"/>
    <cellStyle name="Heading 1 2 3 7 2 6 7" xfId="21434"/>
    <cellStyle name="Heading 1 2 3 7 2 6 7 2" xfId="21435"/>
    <cellStyle name="Heading 1 2 3 7 2 6 7 2 2" xfId="21436"/>
    <cellStyle name="Heading 1 2 3 7 2 6 7 3" xfId="21437"/>
    <cellStyle name="Heading 1 2 3 7 2 6 8" xfId="21438"/>
    <cellStyle name="Heading 1 2 3 7 2 6 8 2" xfId="21439"/>
    <cellStyle name="Heading 1 2 3 7 2 6 9" xfId="21440"/>
    <cellStyle name="Heading 1 2 3 7 2 7" xfId="21441"/>
    <cellStyle name="Heading 1 2 3 7 2 7 2" xfId="21442"/>
    <cellStyle name="Heading 1 2 3 7 2 7 2 2" xfId="21443"/>
    <cellStyle name="Heading 1 2 3 7 2 7 2 2 2" xfId="21444"/>
    <cellStyle name="Heading 1 2 3 7 2 7 2 3" xfId="21445"/>
    <cellStyle name="Heading 1 2 3 7 2 7 3" xfId="21446"/>
    <cellStyle name="Heading 1 2 3 7 2 7 3 2" xfId="21447"/>
    <cellStyle name="Heading 1 2 3 7 2 7 3 2 2" xfId="21448"/>
    <cellStyle name="Heading 1 2 3 7 2 7 3 3" xfId="21449"/>
    <cellStyle name="Heading 1 2 3 7 2 7 4" xfId="21450"/>
    <cellStyle name="Heading 1 2 3 7 2 7 4 2" xfId="21451"/>
    <cellStyle name="Heading 1 2 3 7 2 7 4 2 2" xfId="21452"/>
    <cellStyle name="Heading 1 2 3 7 2 7 4 3" xfId="21453"/>
    <cellStyle name="Heading 1 2 3 7 2 7 5" xfId="21454"/>
    <cellStyle name="Heading 1 2 3 7 2 7 5 2" xfId="21455"/>
    <cellStyle name="Heading 1 2 3 7 2 7 5 2 2" xfId="21456"/>
    <cellStyle name="Heading 1 2 3 7 2 7 5 3" xfId="21457"/>
    <cellStyle name="Heading 1 2 3 7 2 7 6" xfId="21458"/>
    <cellStyle name="Heading 1 2 3 7 2 7 6 2" xfId="21459"/>
    <cellStyle name="Heading 1 2 3 7 2 7 6 2 2" xfId="21460"/>
    <cellStyle name="Heading 1 2 3 7 2 7 6 3" xfId="21461"/>
    <cellStyle name="Heading 1 2 3 7 2 7 7" xfId="21462"/>
    <cellStyle name="Heading 1 2 3 7 2 7 7 2" xfId="21463"/>
    <cellStyle name="Heading 1 2 3 7 2 7 7 2 2" xfId="21464"/>
    <cellStyle name="Heading 1 2 3 7 2 7 7 3" xfId="21465"/>
    <cellStyle name="Heading 1 2 3 7 2 7 8" xfId="21466"/>
    <cellStyle name="Heading 1 2 3 7 2 7 8 2" xfId="21467"/>
    <cellStyle name="Heading 1 2 3 7 2 7 9" xfId="21468"/>
    <cellStyle name="Heading 1 2 3 7 2 8" xfId="21469"/>
    <cellStyle name="Heading 1 2 3 7 2 8 2" xfId="21470"/>
    <cellStyle name="Heading 1 2 3 7 2 8 2 2" xfId="21471"/>
    <cellStyle name="Heading 1 2 3 7 2 8 2 2 2" xfId="21472"/>
    <cellStyle name="Heading 1 2 3 7 2 8 2 3" xfId="21473"/>
    <cellStyle name="Heading 1 2 3 7 2 8 3" xfId="21474"/>
    <cellStyle name="Heading 1 2 3 7 2 8 3 2" xfId="21475"/>
    <cellStyle name="Heading 1 2 3 7 2 8 3 2 2" xfId="21476"/>
    <cellStyle name="Heading 1 2 3 7 2 8 3 3" xfId="21477"/>
    <cellStyle name="Heading 1 2 3 7 2 8 4" xfId="21478"/>
    <cellStyle name="Heading 1 2 3 7 2 8 4 2" xfId="21479"/>
    <cellStyle name="Heading 1 2 3 7 2 8 4 2 2" xfId="21480"/>
    <cellStyle name="Heading 1 2 3 7 2 8 4 3" xfId="21481"/>
    <cellStyle name="Heading 1 2 3 7 2 8 5" xfId="21482"/>
    <cellStyle name="Heading 1 2 3 7 2 8 5 2" xfId="21483"/>
    <cellStyle name="Heading 1 2 3 7 2 8 5 2 2" xfId="21484"/>
    <cellStyle name="Heading 1 2 3 7 2 8 5 3" xfId="21485"/>
    <cellStyle name="Heading 1 2 3 7 2 8 6" xfId="21486"/>
    <cellStyle name="Heading 1 2 3 7 2 8 6 2" xfId="21487"/>
    <cellStyle name="Heading 1 2 3 7 2 8 6 2 2" xfId="21488"/>
    <cellStyle name="Heading 1 2 3 7 2 8 6 3" xfId="21489"/>
    <cellStyle name="Heading 1 2 3 7 2 8 7" xfId="21490"/>
    <cellStyle name="Heading 1 2 3 7 2 8 7 2" xfId="21491"/>
    <cellStyle name="Heading 1 2 3 7 2 8 7 2 2" xfId="21492"/>
    <cellStyle name="Heading 1 2 3 7 2 8 7 3" xfId="21493"/>
    <cellStyle name="Heading 1 2 3 7 2 8 8" xfId="21494"/>
    <cellStyle name="Heading 1 2 3 7 2 8 8 2" xfId="21495"/>
    <cellStyle name="Heading 1 2 3 7 2 8 9" xfId="21496"/>
    <cellStyle name="Heading 1 2 3 7 2 9" xfId="21497"/>
    <cellStyle name="Heading 1 2 3 7 2 9 2" xfId="21498"/>
    <cellStyle name="Heading 1 2 3 7 2 9 2 2" xfId="21499"/>
    <cellStyle name="Heading 1 2 3 7 2 9 2 2 2" xfId="21500"/>
    <cellStyle name="Heading 1 2 3 7 2 9 2 3" xfId="21501"/>
    <cellStyle name="Heading 1 2 3 7 2 9 3" xfId="21502"/>
    <cellStyle name="Heading 1 2 3 7 2 9 3 2" xfId="21503"/>
    <cellStyle name="Heading 1 2 3 7 2 9 3 2 2" xfId="21504"/>
    <cellStyle name="Heading 1 2 3 7 2 9 3 3" xfId="21505"/>
    <cellStyle name="Heading 1 2 3 7 2 9 4" xfId="21506"/>
    <cellStyle name="Heading 1 2 3 7 2 9 4 2" xfId="21507"/>
    <cellStyle name="Heading 1 2 3 7 2 9 4 2 2" xfId="21508"/>
    <cellStyle name="Heading 1 2 3 7 2 9 4 3" xfId="21509"/>
    <cellStyle name="Heading 1 2 3 7 2 9 5" xfId="21510"/>
    <cellStyle name="Heading 1 2 3 7 2 9 5 2" xfId="21511"/>
    <cellStyle name="Heading 1 2 3 7 2 9 5 2 2" xfId="21512"/>
    <cellStyle name="Heading 1 2 3 7 2 9 5 3" xfId="21513"/>
    <cellStyle name="Heading 1 2 3 7 2 9 6" xfId="21514"/>
    <cellStyle name="Heading 1 2 3 7 2 9 6 2" xfId="21515"/>
    <cellStyle name="Heading 1 2 3 7 2 9 6 2 2" xfId="21516"/>
    <cellStyle name="Heading 1 2 3 7 2 9 6 3" xfId="21517"/>
    <cellStyle name="Heading 1 2 3 7 2 9 7" xfId="21518"/>
    <cellStyle name="Heading 1 2 3 7 2 9 7 2" xfId="21519"/>
    <cellStyle name="Heading 1 2 3 7 2 9 7 2 2" xfId="21520"/>
    <cellStyle name="Heading 1 2 3 7 2 9 7 3" xfId="21521"/>
    <cellStyle name="Heading 1 2 3 7 2 9 8" xfId="21522"/>
    <cellStyle name="Heading 1 2 3 7 2 9 8 2" xfId="21523"/>
    <cellStyle name="Heading 1 2 3 7 2 9 9" xfId="21524"/>
    <cellStyle name="Heading 1 2 3 7 3" xfId="21525"/>
    <cellStyle name="Heading 1 2 3 7 3 10" xfId="21526"/>
    <cellStyle name="Heading 1 2 3 7 3 10 2" xfId="21527"/>
    <cellStyle name="Heading 1 2 3 7 3 10 2 2" xfId="21528"/>
    <cellStyle name="Heading 1 2 3 7 3 10 3" xfId="21529"/>
    <cellStyle name="Heading 1 2 3 7 3 11" xfId="21530"/>
    <cellStyle name="Heading 1 2 3 7 3 11 2" xfId="21531"/>
    <cellStyle name="Heading 1 2 3 7 3 11 2 2" xfId="21532"/>
    <cellStyle name="Heading 1 2 3 7 3 11 3" xfId="21533"/>
    <cellStyle name="Heading 1 2 3 7 3 12" xfId="21534"/>
    <cellStyle name="Heading 1 2 3 7 3 12 2" xfId="21535"/>
    <cellStyle name="Heading 1 2 3 7 3 12 2 2" xfId="21536"/>
    <cellStyle name="Heading 1 2 3 7 3 12 3" xfId="21537"/>
    <cellStyle name="Heading 1 2 3 7 3 13" xfId="21538"/>
    <cellStyle name="Heading 1 2 3 7 3 13 2" xfId="21539"/>
    <cellStyle name="Heading 1 2 3 7 3 13 2 2" xfId="21540"/>
    <cellStyle name="Heading 1 2 3 7 3 13 3" xfId="21541"/>
    <cellStyle name="Heading 1 2 3 7 3 14" xfId="21542"/>
    <cellStyle name="Heading 1 2 3 7 3 14 2" xfId="21543"/>
    <cellStyle name="Heading 1 2 3 7 3 14 2 2" xfId="21544"/>
    <cellStyle name="Heading 1 2 3 7 3 14 3" xfId="21545"/>
    <cellStyle name="Heading 1 2 3 7 3 15" xfId="21546"/>
    <cellStyle name="Heading 1 2 3 7 3 15 2" xfId="21547"/>
    <cellStyle name="Heading 1 2 3 7 3 15 2 2" xfId="21548"/>
    <cellStyle name="Heading 1 2 3 7 3 15 3" xfId="21549"/>
    <cellStyle name="Heading 1 2 3 7 3 16" xfId="21550"/>
    <cellStyle name="Heading 1 2 3 7 3 16 2" xfId="21551"/>
    <cellStyle name="Heading 1 2 3 7 3 16 2 2" xfId="21552"/>
    <cellStyle name="Heading 1 2 3 7 3 16 3" xfId="21553"/>
    <cellStyle name="Heading 1 2 3 7 3 17" xfId="21554"/>
    <cellStyle name="Heading 1 2 3 7 3 17 2" xfId="21555"/>
    <cellStyle name="Heading 1 2 3 7 3 17 2 2" xfId="21556"/>
    <cellStyle name="Heading 1 2 3 7 3 17 3" xfId="21557"/>
    <cellStyle name="Heading 1 2 3 7 3 18" xfId="21558"/>
    <cellStyle name="Heading 1 2 3 7 3 18 2" xfId="21559"/>
    <cellStyle name="Heading 1 2 3 7 3 18 2 2" xfId="21560"/>
    <cellStyle name="Heading 1 2 3 7 3 18 3" xfId="21561"/>
    <cellStyle name="Heading 1 2 3 7 3 19" xfId="21562"/>
    <cellStyle name="Heading 1 2 3 7 3 19 2" xfId="21563"/>
    <cellStyle name="Heading 1 2 3 7 3 2" xfId="21564"/>
    <cellStyle name="Heading 1 2 3 7 3 2 2" xfId="21565"/>
    <cellStyle name="Heading 1 2 3 7 3 2 2 2" xfId="21566"/>
    <cellStyle name="Heading 1 2 3 7 3 2 2 2 2" xfId="21567"/>
    <cellStyle name="Heading 1 2 3 7 3 2 2 3" xfId="21568"/>
    <cellStyle name="Heading 1 2 3 7 3 2 3" xfId="21569"/>
    <cellStyle name="Heading 1 2 3 7 3 2 3 2" xfId="21570"/>
    <cellStyle name="Heading 1 2 3 7 3 2 3 2 2" xfId="21571"/>
    <cellStyle name="Heading 1 2 3 7 3 2 3 3" xfId="21572"/>
    <cellStyle name="Heading 1 2 3 7 3 2 4" xfId="21573"/>
    <cellStyle name="Heading 1 2 3 7 3 2 4 2" xfId="21574"/>
    <cellStyle name="Heading 1 2 3 7 3 2 4 2 2" xfId="21575"/>
    <cellStyle name="Heading 1 2 3 7 3 2 4 3" xfId="21576"/>
    <cellStyle name="Heading 1 2 3 7 3 2 5" xfId="21577"/>
    <cellStyle name="Heading 1 2 3 7 3 2 5 2" xfId="21578"/>
    <cellStyle name="Heading 1 2 3 7 3 2 5 2 2" xfId="21579"/>
    <cellStyle name="Heading 1 2 3 7 3 2 5 3" xfId="21580"/>
    <cellStyle name="Heading 1 2 3 7 3 2 6" xfId="21581"/>
    <cellStyle name="Heading 1 2 3 7 3 2 6 2" xfId="21582"/>
    <cellStyle name="Heading 1 2 3 7 3 2 6 2 2" xfId="21583"/>
    <cellStyle name="Heading 1 2 3 7 3 2 6 3" xfId="21584"/>
    <cellStyle name="Heading 1 2 3 7 3 2 7" xfId="21585"/>
    <cellStyle name="Heading 1 2 3 7 3 2 7 2" xfId="21586"/>
    <cellStyle name="Heading 1 2 3 7 3 2 7 2 2" xfId="21587"/>
    <cellStyle name="Heading 1 2 3 7 3 2 7 3" xfId="21588"/>
    <cellStyle name="Heading 1 2 3 7 3 2 8" xfId="21589"/>
    <cellStyle name="Heading 1 2 3 7 3 2 8 2" xfId="21590"/>
    <cellStyle name="Heading 1 2 3 7 3 2 9" xfId="21591"/>
    <cellStyle name="Heading 1 2 3 7 3 20" xfId="21592"/>
    <cellStyle name="Heading 1 2 3 7 3 20 2" xfId="21593"/>
    <cellStyle name="Heading 1 2 3 7 3 21" xfId="21594"/>
    <cellStyle name="Heading 1 2 3 7 3 21 2" xfId="21595"/>
    <cellStyle name="Heading 1 2 3 7 3 22" xfId="21596"/>
    <cellStyle name="Heading 1 2 3 7 3 3" xfId="21597"/>
    <cellStyle name="Heading 1 2 3 7 3 3 2" xfId="21598"/>
    <cellStyle name="Heading 1 2 3 7 3 3 2 2" xfId="21599"/>
    <cellStyle name="Heading 1 2 3 7 3 3 2 2 2" xfId="21600"/>
    <cellStyle name="Heading 1 2 3 7 3 3 2 3" xfId="21601"/>
    <cellStyle name="Heading 1 2 3 7 3 3 3" xfId="21602"/>
    <cellStyle name="Heading 1 2 3 7 3 3 3 2" xfId="21603"/>
    <cellStyle name="Heading 1 2 3 7 3 3 3 2 2" xfId="21604"/>
    <cellStyle name="Heading 1 2 3 7 3 3 3 3" xfId="21605"/>
    <cellStyle name="Heading 1 2 3 7 3 3 4" xfId="21606"/>
    <cellStyle name="Heading 1 2 3 7 3 3 4 2" xfId="21607"/>
    <cellStyle name="Heading 1 2 3 7 3 3 4 2 2" xfId="21608"/>
    <cellStyle name="Heading 1 2 3 7 3 3 4 3" xfId="21609"/>
    <cellStyle name="Heading 1 2 3 7 3 3 5" xfId="21610"/>
    <cellStyle name="Heading 1 2 3 7 3 3 5 2" xfId="21611"/>
    <cellStyle name="Heading 1 2 3 7 3 3 5 2 2" xfId="21612"/>
    <cellStyle name="Heading 1 2 3 7 3 3 5 3" xfId="21613"/>
    <cellStyle name="Heading 1 2 3 7 3 3 6" xfId="21614"/>
    <cellStyle name="Heading 1 2 3 7 3 3 6 2" xfId="21615"/>
    <cellStyle name="Heading 1 2 3 7 3 3 6 2 2" xfId="21616"/>
    <cellStyle name="Heading 1 2 3 7 3 3 6 3" xfId="21617"/>
    <cellStyle name="Heading 1 2 3 7 3 3 7" xfId="21618"/>
    <cellStyle name="Heading 1 2 3 7 3 3 7 2" xfId="21619"/>
    <cellStyle name="Heading 1 2 3 7 3 3 7 2 2" xfId="21620"/>
    <cellStyle name="Heading 1 2 3 7 3 3 7 3" xfId="21621"/>
    <cellStyle name="Heading 1 2 3 7 3 3 8" xfId="21622"/>
    <cellStyle name="Heading 1 2 3 7 3 3 8 2" xfId="21623"/>
    <cellStyle name="Heading 1 2 3 7 3 3 9" xfId="21624"/>
    <cellStyle name="Heading 1 2 3 7 3 4" xfId="21625"/>
    <cellStyle name="Heading 1 2 3 7 3 4 2" xfId="21626"/>
    <cellStyle name="Heading 1 2 3 7 3 4 2 2" xfId="21627"/>
    <cellStyle name="Heading 1 2 3 7 3 4 2 2 2" xfId="21628"/>
    <cellStyle name="Heading 1 2 3 7 3 4 2 3" xfId="21629"/>
    <cellStyle name="Heading 1 2 3 7 3 4 3" xfId="21630"/>
    <cellStyle name="Heading 1 2 3 7 3 4 3 2" xfId="21631"/>
    <cellStyle name="Heading 1 2 3 7 3 4 3 2 2" xfId="21632"/>
    <cellStyle name="Heading 1 2 3 7 3 4 3 3" xfId="21633"/>
    <cellStyle name="Heading 1 2 3 7 3 4 4" xfId="21634"/>
    <cellStyle name="Heading 1 2 3 7 3 4 4 2" xfId="21635"/>
    <cellStyle name="Heading 1 2 3 7 3 4 4 2 2" xfId="21636"/>
    <cellStyle name="Heading 1 2 3 7 3 4 4 3" xfId="21637"/>
    <cellStyle name="Heading 1 2 3 7 3 4 5" xfId="21638"/>
    <cellStyle name="Heading 1 2 3 7 3 4 5 2" xfId="21639"/>
    <cellStyle name="Heading 1 2 3 7 3 4 5 2 2" xfId="21640"/>
    <cellStyle name="Heading 1 2 3 7 3 4 5 3" xfId="21641"/>
    <cellStyle name="Heading 1 2 3 7 3 4 6" xfId="21642"/>
    <cellStyle name="Heading 1 2 3 7 3 4 6 2" xfId="21643"/>
    <cellStyle name="Heading 1 2 3 7 3 4 6 2 2" xfId="21644"/>
    <cellStyle name="Heading 1 2 3 7 3 4 6 3" xfId="21645"/>
    <cellStyle name="Heading 1 2 3 7 3 4 7" xfId="21646"/>
    <cellStyle name="Heading 1 2 3 7 3 4 7 2" xfId="21647"/>
    <cellStyle name="Heading 1 2 3 7 3 4 7 2 2" xfId="21648"/>
    <cellStyle name="Heading 1 2 3 7 3 4 7 3" xfId="21649"/>
    <cellStyle name="Heading 1 2 3 7 3 4 8" xfId="21650"/>
    <cellStyle name="Heading 1 2 3 7 3 4 8 2" xfId="21651"/>
    <cellStyle name="Heading 1 2 3 7 3 4 9" xfId="21652"/>
    <cellStyle name="Heading 1 2 3 7 3 5" xfId="21653"/>
    <cellStyle name="Heading 1 2 3 7 3 5 2" xfId="21654"/>
    <cellStyle name="Heading 1 2 3 7 3 5 2 2" xfId="21655"/>
    <cellStyle name="Heading 1 2 3 7 3 5 2 2 2" xfId="21656"/>
    <cellStyle name="Heading 1 2 3 7 3 5 2 3" xfId="21657"/>
    <cellStyle name="Heading 1 2 3 7 3 5 3" xfId="21658"/>
    <cellStyle name="Heading 1 2 3 7 3 5 3 2" xfId="21659"/>
    <cellStyle name="Heading 1 2 3 7 3 5 3 2 2" xfId="21660"/>
    <cellStyle name="Heading 1 2 3 7 3 5 3 3" xfId="21661"/>
    <cellStyle name="Heading 1 2 3 7 3 5 4" xfId="21662"/>
    <cellStyle name="Heading 1 2 3 7 3 5 4 2" xfId="21663"/>
    <cellStyle name="Heading 1 2 3 7 3 5 4 2 2" xfId="21664"/>
    <cellStyle name="Heading 1 2 3 7 3 5 4 3" xfId="21665"/>
    <cellStyle name="Heading 1 2 3 7 3 5 5" xfId="21666"/>
    <cellStyle name="Heading 1 2 3 7 3 5 5 2" xfId="21667"/>
    <cellStyle name="Heading 1 2 3 7 3 5 5 2 2" xfId="21668"/>
    <cellStyle name="Heading 1 2 3 7 3 5 5 3" xfId="21669"/>
    <cellStyle name="Heading 1 2 3 7 3 5 6" xfId="21670"/>
    <cellStyle name="Heading 1 2 3 7 3 5 6 2" xfId="21671"/>
    <cellStyle name="Heading 1 2 3 7 3 5 6 2 2" xfId="21672"/>
    <cellStyle name="Heading 1 2 3 7 3 5 6 3" xfId="21673"/>
    <cellStyle name="Heading 1 2 3 7 3 5 7" xfId="21674"/>
    <cellStyle name="Heading 1 2 3 7 3 5 7 2" xfId="21675"/>
    <cellStyle name="Heading 1 2 3 7 3 5 7 2 2" xfId="21676"/>
    <cellStyle name="Heading 1 2 3 7 3 5 7 3" xfId="21677"/>
    <cellStyle name="Heading 1 2 3 7 3 5 8" xfId="21678"/>
    <cellStyle name="Heading 1 2 3 7 3 5 8 2" xfId="21679"/>
    <cellStyle name="Heading 1 2 3 7 3 5 9" xfId="21680"/>
    <cellStyle name="Heading 1 2 3 7 3 6" xfId="21681"/>
    <cellStyle name="Heading 1 2 3 7 3 6 2" xfId="21682"/>
    <cellStyle name="Heading 1 2 3 7 3 6 2 2" xfId="21683"/>
    <cellStyle name="Heading 1 2 3 7 3 6 2 2 2" xfId="21684"/>
    <cellStyle name="Heading 1 2 3 7 3 6 2 3" xfId="21685"/>
    <cellStyle name="Heading 1 2 3 7 3 6 3" xfId="21686"/>
    <cellStyle name="Heading 1 2 3 7 3 6 3 2" xfId="21687"/>
    <cellStyle name="Heading 1 2 3 7 3 6 3 2 2" xfId="21688"/>
    <cellStyle name="Heading 1 2 3 7 3 6 3 3" xfId="21689"/>
    <cellStyle name="Heading 1 2 3 7 3 6 4" xfId="21690"/>
    <cellStyle name="Heading 1 2 3 7 3 6 4 2" xfId="21691"/>
    <cellStyle name="Heading 1 2 3 7 3 6 4 2 2" xfId="21692"/>
    <cellStyle name="Heading 1 2 3 7 3 6 4 3" xfId="21693"/>
    <cellStyle name="Heading 1 2 3 7 3 6 5" xfId="21694"/>
    <cellStyle name="Heading 1 2 3 7 3 6 5 2" xfId="21695"/>
    <cellStyle name="Heading 1 2 3 7 3 6 5 2 2" xfId="21696"/>
    <cellStyle name="Heading 1 2 3 7 3 6 5 3" xfId="21697"/>
    <cellStyle name="Heading 1 2 3 7 3 6 6" xfId="21698"/>
    <cellStyle name="Heading 1 2 3 7 3 6 6 2" xfId="21699"/>
    <cellStyle name="Heading 1 2 3 7 3 6 6 2 2" xfId="21700"/>
    <cellStyle name="Heading 1 2 3 7 3 6 6 3" xfId="21701"/>
    <cellStyle name="Heading 1 2 3 7 3 6 7" xfId="21702"/>
    <cellStyle name="Heading 1 2 3 7 3 6 7 2" xfId="21703"/>
    <cellStyle name="Heading 1 2 3 7 3 6 7 2 2" xfId="21704"/>
    <cellStyle name="Heading 1 2 3 7 3 6 7 3" xfId="21705"/>
    <cellStyle name="Heading 1 2 3 7 3 6 8" xfId="21706"/>
    <cellStyle name="Heading 1 2 3 7 3 6 8 2" xfId="21707"/>
    <cellStyle name="Heading 1 2 3 7 3 6 9" xfId="21708"/>
    <cellStyle name="Heading 1 2 3 7 3 7" xfId="21709"/>
    <cellStyle name="Heading 1 2 3 7 3 7 2" xfId="21710"/>
    <cellStyle name="Heading 1 2 3 7 3 7 2 2" xfId="21711"/>
    <cellStyle name="Heading 1 2 3 7 3 7 2 2 2" xfId="21712"/>
    <cellStyle name="Heading 1 2 3 7 3 7 2 3" xfId="21713"/>
    <cellStyle name="Heading 1 2 3 7 3 7 3" xfId="21714"/>
    <cellStyle name="Heading 1 2 3 7 3 7 3 2" xfId="21715"/>
    <cellStyle name="Heading 1 2 3 7 3 7 3 2 2" xfId="21716"/>
    <cellStyle name="Heading 1 2 3 7 3 7 3 3" xfId="21717"/>
    <cellStyle name="Heading 1 2 3 7 3 7 4" xfId="21718"/>
    <cellStyle name="Heading 1 2 3 7 3 7 4 2" xfId="21719"/>
    <cellStyle name="Heading 1 2 3 7 3 7 4 2 2" xfId="21720"/>
    <cellStyle name="Heading 1 2 3 7 3 7 4 3" xfId="21721"/>
    <cellStyle name="Heading 1 2 3 7 3 7 5" xfId="21722"/>
    <cellStyle name="Heading 1 2 3 7 3 7 5 2" xfId="21723"/>
    <cellStyle name="Heading 1 2 3 7 3 7 5 2 2" xfId="21724"/>
    <cellStyle name="Heading 1 2 3 7 3 7 5 3" xfId="21725"/>
    <cellStyle name="Heading 1 2 3 7 3 7 6" xfId="21726"/>
    <cellStyle name="Heading 1 2 3 7 3 7 6 2" xfId="21727"/>
    <cellStyle name="Heading 1 2 3 7 3 7 6 2 2" xfId="21728"/>
    <cellStyle name="Heading 1 2 3 7 3 7 6 3" xfId="21729"/>
    <cellStyle name="Heading 1 2 3 7 3 7 7" xfId="21730"/>
    <cellStyle name="Heading 1 2 3 7 3 7 7 2" xfId="21731"/>
    <cellStyle name="Heading 1 2 3 7 3 7 7 2 2" xfId="21732"/>
    <cellStyle name="Heading 1 2 3 7 3 7 7 3" xfId="21733"/>
    <cellStyle name="Heading 1 2 3 7 3 7 8" xfId="21734"/>
    <cellStyle name="Heading 1 2 3 7 3 7 8 2" xfId="21735"/>
    <cellStyle name="Heading 1 2 3 7 3 7 9" xfId="21736"/>
    <cellStyle name="Heading 1 2 3 7 3 8" xfId="21737"/>
    <cellStyle name="Heading 1 2 3 7 3 8 2" xfId="21738"/>
    <cellStyle name="Heading 1 2 3 7 3 8 2 2" xfId="21739"/>
    <cellStyle name="Heading 1 2 3 7 3 8 2 2 2" xfId="21740"/>
    <cellStyle name="Heading 1 2 3 7 3 8 2 3" xfId="21741"/>
    <cellStyle name="Heading 1 2 3 7 3 8 3" xfId="21742"/>
    <cellStyle name="Heading 1 2 3 7 3 8 3 2" xfId="21743"/>
    <cellStyle name="Heading 1 2 3 7 3 8 3 2 2" xfId="21744"/>
    <cellStyle name="Heading 1 2 3 7 3 8 3 3" xfId="21745"/>
    <cellStyle name="Heading 1 2 3 7 3 8 4" xfId="21746"/>
    <cellStyle name="Heading 1 2 3 7 3 8 4 2" xfId="21747"/>
    <cellStyle name="Heading 1 2 3 7 3 8 4 2 2" xfId="21748"/>
    <cellStyle name="Heading 1 2 3 7 3 8 4 3" xfId="21749"/>
    <cellStyle name="Heading 1 2 3 7 3 8 5" xfId="21750"/>
    <cellStyle name="Heading 1 2 3 7 3 8 5 2" xfId="21751"/>
    <cellStyle name="Heading 1 2 3 7 3 8 5 2 2" xfId="21752"/>
    <cellStyle name="Heading 1 2 3 7 3 8 5 3" xfId="21753"/>
    <cellStyle name="Heading 1 2 3 7 3 8 6" xfId="21754"/>
    <cellStyle name="Heading 1 2 3 7 3 8 6 2" xfId="21755"/>
    <cellStyle name="Heading 1 2 3 7 3 8 6 2 2" xfId="21756"/>
    <cellStyle name="Heading 1 2 3 7 3 8 6 3" xfId="21757"/>
    <cellStyle name="Heading 1 2 3 7 3 8 7" xfId="21758"/>
    <cellStyle name="Heading 1 2 3 7 3 8 7 2" xfId="21759"/>
    <cellStyle name="Heading 1 2 3 7 3 8 7 2 2" xfId="21760"/>
    <cellStyle name="Heading 1 2 3 7 3 8 7 3" xfId="21761"/>
    <cellStyle name="Heading 1 2 3 7 3 8 8" xfId="21762"/>
    <cellStyle name="Heading 1 2 3 7 3 8 8 2" xfId="21763"/>
    <cellStyle name="Heading 1 2 3 7 3 8 9" xfId="21764"/>
    <cellStyle name="Heading 1 2 3 7 3 9" xfId="21765"/>
    <cellStyle name="Heading 1 2 3 7 3 9 2" xfId="21766"/>
    <cellStyle name="Heading 1 2 3 7 3 9 2 2" xfId="21767"/>
    <cellStyle name="Heading 1 2 3 7 3 9 3" xfId="21768"/>
    <cellStyle name="Heading 1 2 3 7 4" xfId="21769"/>
    <cellStyle name="Heading 1 2 3 7 4 2" xfId="21770"/>
    <cellStyle name="Heading 1 2 3 7 4 2 2" xfId="21771"/>
    <cellStyle name="Heading 1 2 3 7 4 3" xfId="21772"/>
    <cellStyle name="Heading 1 2 3 7 5" xfId="21773"/>
    <cellStyle name="Heading 1 2 3 7 5 2" xfId="21774"/>
    <cellStyle name="Heading 1 2 3 7 6" xfId="21775"/>
    <cellStyle name="Heading 1 2 3 8" xfId="21776"/>
    <cellStyle name="Heading 1 2 3 8 10" xfId="21777"/>
    <cellStyle name="Heading 1 2 3 8 10 2" xfId="21778"/>
    <cellStyle name="Heading 1 2 3 8 10 2 2" xfId="21779"/>
    <cellStyle name="Heading 1 2 3 8 10 3" xfId="21780"/>
    <cellStyle name="Heading 1 2 3 8 11" xfId="21781"/>
    <cellStyle name="Heading 1 2 3 8 11 2" xfId="21782"/>
    <cellStyle name="Heading 1 2 3 8 11 2 2" xfId="21783"/>
    <cellStyle name="Heading 1 2 3 8 11 3" xfId="21784"/>
    <cellStyle name="Heading 1 2 3 8 12" xfId="21785"/>
    <cellStyle name="Heading 1 2 3 8 12 2" xfId="21786"/>
    <cellStyle name="Heading 1 2 3 8 12 2 2" xfId="21787"/>
    <cellStyle name="Heading 1 2 3 8 12 3" xfId="21788"/>
    <cellStyle name="Heading 1 2 3 8 13" xfId="21789"/>
    <cellStyle name="Heading 1 2 3 8 13 2" xfId="21790"/>
    <cellStyle name="Heading 1 2 3 8 13 2 2" xfId="21791"/>
    <cellStyle name="Heading 1 2 3 8 13 3" xfId="21792"/>
    <cellStyle name="Heading 1 2 3 8 14" xfId="21793"/>
    <cellStyle name="Heading 1 2 3 8 14 2" xfId="21794"/>
    <cellStyle name="Heading 1 2 3 8 14 2 2" xfId="21795"/>
    <cellStyle name="Heading 1 2 3 8 14 3" xfId="21796"/>
    <cellStyle name="Heading 1 2 3 8 15" xfId="21797"/>
    <cellStyle name="Heading 1 2 3 8 15 2" xfId="21798"/>
    <cellStyle name="Heading 1 2 3 8 15 2 2" xfId="21799"/>
    <cellStyle name="Heading 1 2 3 8 15 3" xfId="21800"/>
    <cellStyle name="Heading 1 2 3 8 16" xfId="21801"/>
    <cellStyle name="Heading 1 2 3 8 16 2" xfId="21802"/>
    <cellStyle name="Heading 1 2 3 8 16 2 2" xfId="21803"/>
    <cellStyle name="Heading 1 2 3 8 16 3" xfId="21804"/>
    <cellStyle name="Heading 1 2 3 8 17" xfId="21805"/>
    <cellStyle name="Heading 1 2 3 8 17 2" xfId="21806"/>
    <cellStyle name="Heading 1 2 3 8 17 2 2" xfId="21807"/>
    <cellStyle name="Heading 1 2 3 8 17 3" xfId="21808"/>
    <cellStyle name="Heading 1 2 3 8 18" xfId="21809"/>
    <cellStyle name="Heading 1 2 3 8 18 2" xfId="21810"/>
    <cellStyle name="Heading 1 2 3 8 18 2 2" xfId="21811"/>
    <cellStyle name="Heading 1 2 3 8 18 3" xfId="21812"/>
    <cellStyle name="Heading 1 2 3 8 19" xfId="21813"/>
    <cellStyle name="Heading 1 2 3 8 19 2" xfId="21814"/>
    <cellStyle name="Heading 1 2 3 8 19 2 2" xfId="21815"/>
    <cellStyle name="Heading 1 2 3 8 19 3" xfId="21816"/>
    <cellStyle name="Heading 1 2 3 8 2" xfId="21817"/>
    <cellStyle name="Heading 1 2 3 8 2 10" xfId="21818"/>
    <cellStyle name="Heading 1 2 3 8 2 10 2" xfId="21819"/>
    <cellStyle name="Heading 1 2 3 8 2 10 2 2" xfId="21820"/>
    <cellStyle name="Heading 1 2 3 8 2 10 3" xfId="21821"/>
    <cellStyle name="Heading 1 2 3 8 2 11" xfId="21822"/>
    <cellStyle name="Heading 1 2 3 8 2 11 2" xfId="21823"/>
    <cellStyle name="Heading 1 2 3 8 2 11 2 2" xfId="21824"/>
    <cellStyle name="Heading 1 2 3 8 2 11 3" xfId="21825"/>
    <cellStyle name="Heading 1 2 3 8 2 12" xfId="21826"/>
    <cellStyle name="Heading 1 2 3 8 2 12 2" xfId="21827"/>
    <cellStyle name="Heading 1 2 3 8 2 12 2 2" xfId="21828"/>
    <cellStyle name="Heading 1 2 3 8 2 12 3" xfId="21829"/>
    <cellStyle name="Heading 1 2 3 8 2 13" xfId="21830"/>
    <cellStyle name="Heading 1 2 3 8 2 13 2" xfId="21831"/>
    <cellStyle name="Heading 1 2 3 8 2 13 2 2" xfId="21832"/>
    <cellStyle name="Heading 1 2 3 8 2 13 3" xfId="21833"/>
    <cellStyle name="Heading 1 2 3 8 2 14" xfId="21834"/>
    <cellStyle name="Heading 1 2 3 8 2 14 2" xfId="21835"/>
    <cellStyle name="Heading 1 2 3 8 2 14 2 2" xfId="21836"/>
    <cellStyle name="Heading 1 2 3 8 2 14 3" xfId="21837"/>
    <cellStyle name="Heading 1 2 3 8 2 15" xfId="21838"/>
    <cellStyle name="Heading 1 2 3 8 2 15 2" xfId="21839"/>
    <cellStyle name="Heading 1 2 3 8 2 15 2 2" xfId="21840"/>
    <cellStyle name="Heading 1 2 3 8 2 15 3" xfId="21841"/>
    <cellStyle name="Heading 1 2 3 8 2 16" xfId="21842"/>
    <cellStyle name="Heading 1 2 3 8 2 16 2" xfId="21843"/>
    <cellStyle name="Heading 1 2 3 8 2 16 2 2" xfId="21844"/>
    <cellStyle name="Heading 1 2 3 8 2 16 3" xfId="21845"/>
    <cellStyle name="Heading 1 2 3 8 2 17" xfId="21846"/>
    <cellStyle name="Heading 1 2 3 8 2 17 2" xfId="21847"/>
    <cellStyle name="Heading 1 2 3 8 2 17 2 2" xfId="21848"/>
    <cellStyle name="Heading 1 2 3 8 2 17 3" xfId="21849"/>
    <cellStyle name="Heading 1 2 3 8 2 18" xfId="21850"/>
    <cellStyle name="Heading 1 2 3 8 2 18 2" xfId="21851"/>
    <cellStyle name="Heading 1 2 3 8 2 18 2 2" xfId="21852"/>
    <cellStyle name="Heading 1 2 3 8 2 18 3" xfId="21853"/>
    <cellStyle name="Heading 1 2 3 8 2 19" xfId="21854"/>
    <cellStyle name="Heading 1 2 3 8 2 19 2" xfId="21855"/>
    <cellStyle name="Heading 1 2 3 8 2 2" xfId="21856"/>
    <cellStyle name="Heading 1 2 3 8 2 2 2" xfId="21857"/>
    <cellStyle name="Heading 1 2 3 8 2 2 2 2" xfId="21858"/>
    <cellStyle name="Heading 1 2 3 8 2 2 2 2 2" xfId="21859"/>
    <cellStyle name="Heading 1 2 3 8 2 2 2 3" xfId="21860"/>
    <cellStyle name="Heading 1 2 3 8 2 2 3" xfId="21861"/>
    <cellStyle name="Heading 1 2 3 8 2 2 3 2" xfId="21862"/>
    <cellStyle name="Heading 1 2 3 8 2 2 3 2 2" xfId="21863"/>
    <cellStyle name="Heading 1 2 3 8 2 2 3 3" xfId="21864"/>
    <cellStyle name="Heading 1 2 3 8 2 2 4" xfId="21865"/>
    <cellStyle name="Heading 1 2 3 8 2 2 4 2" xfId="21866"/>
    <cellStyle name="Heading 1 2 3 8 2 2 4 2 2" xfId="21867"/>
    <cellStyle name="Heading 1 2 3 8 2 2 4 3" xfId="21868"/>
    <cellStyle name="Heading 1 2 3 8 2 2 5" xfId="21869"/>
    <cellStyle name="Heading 1 2 3 8 2 2 5 2" xfId="21870"/>
    <cellStyle name="Heading 1 2 3 8 2 2 5 2 2" xfId="21871"/>
    <cellStyle name="Heading 1 2 3 8 2 2 5 3" xfId="21872"/>
    <cellStyle name="Heading 1 2 3 8 2 2 6" xfId="21873"/>
    <cellStyle name="Heading 1 2 3 8 2 2 6 2" xfId="21874"/>
    <cellStyle name="Heading 1 2 3 8 2 2 6 2 2" xfId="21875"/>
    <cellStyle name="Heading 1 2 3 8 2 2 6 3" xfId="21876"/>
    <cellStyle name="Heading 1 2 3 8 2 2 7" xfId="21877"/>
    <cellStyle name="Heading 1 2 3 8 2 2 7 2" xfId="21878"/>
    <cellStyle name="Heading 1 2 3 8 2 2 7 2 2" xfId="21879"/>
    <cellStyle name="Heading 1 2 3 8 2 2 7 3" xfId="21880"/>
    <cellStyle name="Heading 1 2 3 8 2 2 8" xfId="21881"/>
    <cellStyle name="Heading 1 2 3 8 2 2 8 2" xfId="21882"/>
    <cellStyle name="Heading 1 2 3 8 2 2 9" xfId="21883"/>
    <cellStyle name="Heading 1 2 3 8 2 20" xfId="21884"/>
    <cellStyle name="Heading 1 2 3 8 2 20 2" xfId="21885"/>
    <cellStyle name="Heading 1 2 3 8 2 21" xfId="21886"/>
    <cellStyle name="Heading 1 2 3 8 2 21 2" xfId="21887"/>
    <cellStyle name="Heading 1 2 3 8 2 22" xfId="21888"/>
    <cellStyle name="Heading 1 2 3 8 2 3" xfId="21889"/>
    <cellStyle name="Heading 1 2 3 8 2 3 2" xfId="21890"/>
    <cellStyle name="Heading 1 2 3 8 2 3 2 2" xfId="21891"/>
    <cellStyle name="Heading 1 2 3 8 2 3 2 2 2" xfId="21892"/>
    <cellStyle name="Heading 1 2 3 8 2 3 2 3" xfId="21893"/>
    <cellStyle name="Heading 1 2 3 8 2 3 3" xfId="21894"/>
    <cellStyle name="Heading 1 2 3 8 2 3 3 2" xfId="21895"/>
    <cellStyle name="Heading 1 2 3 8 2 3 3 2 2" xfId="21896"/>
    <cellStyle name="Heading 1 2 3 8 2 3 3 3" xfId="21897"/>
    <cellStyle name="Heading 1 2 3 8 2 3 4" xfId="21898"/>
    <cellStyle name="Heading 1 2 3 8 2 3 4 2" xfId="21899"/>
    <cellStyle name="Heading 1 2 3 8 2 3 4 2 2" xfId="21900"/>
    <cellStyle name="Heading 1 2 3 8 2 3 4 3" xfId="21901"/>
    <cellStyle name="Heading 1 2 3 8 2 3 5" xfId="21902"/>
    <cellStyle name="Heading 1 2 3 8 2 3 5 2" xfId="21903"/>
    <cellStyle name="Heading 1 2 3 8 2 3 5 2 2" xfId="21904"/>
    <cellStyle name="Heading 1 2 3 8 2 3 5 3" xfId="21905"/>
    <cellStyle name="Heading 1 2 3 8 2 3 6" xfId="21906"/>
    <cellStyle name="Heading 1 2 3 8 2 3 6 2" xfId="21907"/>
    <cellStyle name="Heading 1 2 3 8 2 3 6 2 2" xfId="21908"/>
    <cellStyle name="Heading 1 2 3 8 2 3 6 3" xfId="21909"/>
    <cellStyle name="Heading 1 2 3 8 2 3 7" xfId="21910"/>
    <cellStyle name="Heading 1 2 3 8 2 3 7 2" xfId="21911"/>
    <cellStyle name="Heading 1 2 3 8 2 3 7 2 2" xfId="21912"/>
    <cellStyle name="Heading 1 2 3 8 2 3 7 3" xfId="21913"/>
    <cellStyle name="Heading 1 2 3 8 2 3 8" xfId="21914"/>
    <cellStyle name="Heading 1 2 3 8 2 3 8 2" xfId="21915"/>
    <cellStyle name="Heading 1 2 3 8 2 3 9" xfId="21916"/>
    <cellStyle name="Heading 1 2 3 8 2 4" xfId="21917"/>
    <cellStyle name="Heading 1 2 3 8 2 4 2" xfId="21918"/>
    <cellStyle name="Heading 1 2 3 8 2 4 2 2" xfId="21919"/>
    <cellStyle name="Heading 1 2 3 8 2 4 2 2 2" xfId="21920"/>
    <cellStyle name="Heading 1 2 3 8 2 4 2 3" xfId="21921"/>
    <cellStyle name="Heading 1 2 3 8 2 4 3" xfId="21922"/>
    <cellStyle name="Heading 1 2 3 8 2 4 3 2" xfId="21923"/>
    <cellStyle name="Heading 1 2 3 8 2 4 3 2 2" xfId="21924"/>
    <cellStyle name="Heading 1 2 3 8 2 4 3 3" xfId="21925"/>
    <cellStyle name="Heading 1 2 3 8 2 4 4" xfId="21926"/>
    <cellStyle name="Heading 1 2 3 8 2 4 4 2" xfId="21927"/>
    <cellStyle name="Heading 1 2 3 8 2 4 4 2 2" xfId="21928"/>
    <cellStyle name="Heading 1 2 3 8 2 4 4 3" xfId="21929"/>
    <cellStyle name="Heading 1 2 3 8 2 4 5" xfId="21930"/>
    <cellStyle name="Heading 1 2 3 8 2 4 5 2" xfId="21931"/>
    <cellStyle name="Heading 1 2 3 8 2 4 5 2 2" xfId="21932"/>
    <cellStyle name="Heading 1 2 3 8 2 4 5 3" xfId="21933"/>
    <cellStyle name="Heading 1 2 3 8 2 4 6" xfId="21934"/>
    <cellStyle name="Heading 1 2 3 8 2 4 6 2" xfId="21935"/>
    <cellStyle name="Heading 1 2 3 8 2 4 6 2 2" xfId="21936"/>
    <cellStyle name="Heading 1 2 3 8 2 4 6 3" xfId="21937"/>
    <cellStyle name="Heading 1 2 3 8 2 4 7" xfId="21938"/>
    <cellStyle name="Heading 1 2 3 8 2 4 7 2" xfId="21939"/>
    <cellStyle name="Heading 1 2 3 8 2 4 7 2 2" xfId="21940"/>
    <cellStyle name="Heading 1 2 3 8 2 4 7 3" xfId="21941"/>
    <cellStyle name="Heading 1 2 3 8 2 4 8" xfId="21942"/>
    <cellStyle name="Heading 1 2 3 8 2 4 8 2" xfId="21943"/>
    <cellStyle name="Heading 1 2 3 8 2 4 9" xfId="21944"/>
    <cellStyle name="Heading 1 2 3 8 2 5" xfId="21945"/>
    <cellStyle name="Heading 1 2 3 8 2 5 2" xfId="21946"/>
    <cellStyle name="Heading 1 2 3 8 2 5 2 2" xfId="21947"/>
    <cellStyle name="Heading 1 2 3 8 2 5 2 2 2" xfId="21948"/>
    <cellStyle name="Heading 1 2 3 8 2 5 2 3" xfId="21949"/>
    <cellStyle name="Heading 1 2 3 8 2 5 3" xfId="21950"/>
    <cellStyle name="Heading 1 2 3 8 2 5 3 2" xfId="21951"/>
    <cellStyle name="Heading 1 2 3 8 2 5 3 2 2" xfId="21952"/>
    <cellStyle name="Heading 1 2 3 8 2 5 3 3" xfId="21953"/>
    <cellStyle name="Heading 1 2 3 8 2 5 4" xfId="21954"/>
    <cellStyle name="Heading 1 2 3 8 2 5 4 2" xfId="21955"/>
    <cellStyle name="Heading 1 2 3 8 2 5 4 2 2" xfId="21956"/>
    <cellStyle name="Heading 1 2 3 8 2 5 4 3" xfId="21957"/>
    <cellStyle name="Heading 1 2 3 8 2 5 5" xfId="21958"/>
    <cellStyle name="Heading 1 2 3 8 2 5 5 2" xfId="21959"/>
    <cellStyle name="Heading 1 2 3 8 2 5 5 2 2" xfId="21960"/>
    <cellStyle name="Heading 1 2 3 8 2 5 5 3" xfId="21961"/>
    <cellStyle name="Heading 1 2 3 8 2 5 6" xfId="21962"/>
    <cellStyle name="Heading 1 2 3 8 2 5 6 2" xfId="21963"/>
    <cellStyle name="Heading 1 2 3 8 2 5 6 2 2" xfId="21964"/>
    <cellStyle name="Heading 1 2 3 8 2 5 6 3" xfId="21965"/>
    <cellStyle name="Heading 1 2 3 8 2 5 7" xfId="21966"/>
    <cellStyle name="Heading 1 2 3 8 2 5 7 2" xfId="21967"/>
    <cellStyle name="Heading 1 2 3 8 2 5 7 2 2" xfId="21968"/>
    <cellStyle name="Heading 1 2 3 8 2 5 7 3" xfId="21969"/>
    <cellStyle name="Heading 1 2 3 8 2 5 8" xfId="21970"/>
    <cellStyle name="Heading 1 2 3 8 2 5 8 2" xfId="21971"/>
    <cellStyle name="Heading 1 2 3 8 2 5 9" xfId="21972"/>
    <cellStyle name="Heading 1 2 3 8 2 6" xfId="21973"/>
    <cellStyle name="Heading 1 2 3 8 2 6 2" xfId="21974"/>
    <cellStyle name="Heading 1 2 3 8 2 6 2 2" xfId="21975"/>
    <cellStyle name="Heading 1 2 3 8 2 6 2 2 2" xfId="21976"/>
    <cellStyle name="Heading 1 2 3 8 2 6 2 3" xfId="21977"/>
    <cellStyle name="Heading 1 2 3 8 2 6 3" xfId="21978"/>
    <cellStyle name="Heading 1 2 3 8 2 6 3 2" xfId="21979"/>
    <cellStyle name="Heading 1 2 3 8 2 6 3 2 2" xfId="21980"/>
    <cellStyle name="Heading 1 2 3 8 2 6 3 3" xfId="21981"/>
    <cellStyle name="Heading 1 2 3 8 2 6 4" xfId="21982"/>
    <cellStyle name="Heading 1 2 3 8 2 6 4 2" xfId="21983"/>
    <cellStyle name="Heading 1 2 3 8 2 6 4 2 2" xfId="21984"/>
    <cellStyle name="Heading 1 2 3 8 2 6 4 3" xfId="21985"/>
    <cellStyle name="Heading 1 2 3 8 2 6 5" xfId="21986"/>
    <cellStyle name="Heading 1 2 3 8 2 6 5 2" xfId="21987"/>
    <cellStyle name="Heading 1 2 3 8 2 6 5 2 2" xfId="21988"/>
    <cellStyle name="Heading 1 2 3 8 2 6 5 3" xfId="21989"/>
    <cellStyle name="Heading 1 2 3 8 2 6 6" xfId="21990"/>
    <cellStyle name="Heading 1 2 3 8 2 6 6 2" xfId="21991"/>
    <cellStyle name="Heading 1 2 3 8 2 6 6 2 2" xfId="21992"/>
    <cellStyle name="Heading 1 2 3 8 2 6 6 3" xfId="21993"/>
    <cellStyle name="Heading 1 2 3 8 2 6 7" xfId="21994"/>
    <cellStyle name="Heading 1 2 3 8 2 6 7 2" xfId="21995"/>
    <cellStyle name="Heading 1 2 3 8 2 6 7 2 2" xfId="21996"/>
    <cellStyle name="Heading 1 2 3 8 2 6 7 3" xfId="21997"/>
    <cellStyle name="Heading 1 2 3 8 2 6 8" xfId="21998"/>
    <cellStyle name="Heading 1 2 3 8 2 6 8 2" xfId="21999"/>
    <cellStyle name="Heading 1 2 3 8 2 6 9" xfId="22000"/>
    <cellStyle name="Heading 1 2 3 8 2 7" xfId="22001"/>
    <cellStyle name="Heading 1 2 3 8 2 7 2" xfId="22002"/>
    <cellStyle name="Heading 1 2 3 8 2 7 2 2" xfId="22003"/>
    <cellStyle name="Heading 1 2 3 8 2 7 2 2 2" xfId="22004"/>
    <cellStyle name="Heading 1 2 3 8 2 7 2 3" xfId="22005"/>
    <cellStyle name="Heading 1 2 3 8 2 7 3" xfId="22006"/>
    <cellStyle name="Heading 1 2 3 8 2 7 3 2" xfId="22007"/>
    <cellStyle name="Heading 1 2 3 8 2 7 3 2 2" xfId="22008"/>
    <cellStyle name="Heading 1 2 3 8 2 7 3 3" xfId="22009"/>
    <cellStyle name="Heading 1 2 3 8 2 7 4" xfId="22010"/>
    <cellStyle name="Heading 1 2 3 8 2 7 4 2" xfId="22011"/>
    <cellStyle name="Heading 1 2 3 8 2 7 4 2 2" xfId="22012"/>
    <cellStyle name="Heading 1 2 3 8 2 7 4 3" xfId="22013"/>
    <cellStyle name="Heading 1 2 3 8 2 7 5" xfId="22014"/>
    <cellStyle name="Heading 1 2 3 8 2 7 5 2" xfId="22015"/>
    <cellStyle name="Heading 1 2 3 8 2 7 5 2 2" xfId="22016"/>
    <cellStyle name="Heading 1 2 3 8 2 7 5 3" xfId="22017"/>
    <cellStyle name="Heading 1 2 3 8 2 7 6" xfId="22018"/>
    <cellStyle name="Heading 1 2 3 8 2 7 6 2" xfId="22019"/>
    <cellStyle name="Heading 1 2 3 8 2 7 6 2 2" xfId="22020"/>
    <cellStyle name="Heading 1 2 3 8 2 7 6 3" xfId="22021"/>
    <cellStyle name="Heading 1 2 3 8 2 7 7" xfId="22022"/>
    <cellStyle name="Heading 1 2 3 8 2 7 7 2" xfId="22023"/>
    <cellStyle name="Heading 1 2 3 8 2 7 7 2 2" xfId="22024"/>
    <cellStyle name="Heading 1 2 3 8 2 7 7 3" xfId="22025"/>
    <cellStyle name="Heading 1 2 3 8 2 7 8" xfId="22026"/>
    <cellStyle name="Heading 1 2 3 8 2 7 8 2" xfId="22027"/>
    <cellStyle name="Heading 1 2 3 8 2 7 9" xfId="22028"/>
    <cellStyle name="Heading 1 2 3 8 2 8" xfId="22029"/>
    <cellStyle name="Heading 1 2 3 8 2 8 2" xfId="22030"/>
    <cellStyle name="Heading 1 2 3 8 2 8 2 2" xfId="22031"/>
    <cellStyle name="Heading 1 2 3 8 2 8 2 2 2" xfId="22032"/>
    <cellStyle name="Heading 1 2 3 8 2 8 2 3" xfId="22033"/>
    <cellStyle name="Heading 1 2 3 8 2 8 3" xfId="22034"/>
    <cellStyle name="Heading 1 2 3 8 2 8 3 2" xfId="22035"/>
    <cellStyle name="Heading 1 2 3 8 2 8 3 2 2" xfId="22036"/>
    <cellStyle name="Heading 1 2 3 8 2 8 3 3" xfId="22037"/>
    <cellStyle name="Heading 1 2 3 8 2 8 4" xfId="22038"/>
    <cellStyle name="Heading 1 2 3 8 2 8 4 2" xfId="22039"/>
    <cellStyle name="Heading 1 2 3 8 2 8 4 2 2" xfId="22040"/>
    <cellStyle name="Heading 1 2 3 8 2 8 4 3" xfId="22041"/>
    <cellStyle name="Heading 1 2 3 8 2 8 5" xfId="22042"/>
    <cellStyle name="Heading 1 2 3 8 2 8 5 2" xfId="22043"/>
    <cellStyle name="Heading 1 2 3 8 2 8 5 2 2" xfId="22044"/>
    <cellStyle name="Heading 1 2 3 8 2 8 5 3" xfId="22045"/>
    <cellStyle name="Heading 1 2 3 8 2 8 6" xfId="22046"/>
    <cellStyle name="Heading 1 2 3 8 2 8 6 2" xfId="22047"/>
    <cellStyle name="Heading 1 2 3 8 2 8 6 2 2" xfId="22048"/>
    <cellStyle name="Heading 1 2 3 8 2 8 6 3" xfId="22049"/>
    <cellStyle name="Heading 1 2 3 8 2 8 7" xfId="22050"/>
    <cellStyle name="Heading 1 2 3 8 2 8 7 2" xfId="22051"/>
    <cellStyle name="Heading 1 2 3 8 2 8 7 2 2" xfId="22052"/>
    <cellStyle name="Heading 1 2 3 8 2 8 7 3" xfId="22053"/>
    <cellStyle name="Heading 1 2 3 8 2 8 8" xfId="22054"/>
    <cellStyle name="Heading 1 2 3 8 2 8 8 2" xfId="22055"/>
    <cellStyle name="Heading 1 2 3 8 2 8 9" xfId="22056"/>
    <cellStyle name="Heading 1 2 3 8 2 9" xfId="22057"/>
    <cellStyle name="Heading 1 2 3 8 2 9 2" xfId="22058"/>
    <cellStyle name="Heading 1 2 3 8 2 9 2 2" xfId="22059"/>
    <cellStyle name="Heading 1 2 3 8 2 9 3" xfId="22060"/>
    <cellStyle name="Heading 1 2 3 8 20" xfId="22061"/>
    <cellStyle name="Heading 1 2 3 8 20 2" xfId="22062"/>
    <cellStyle name="Heading 1 2 3 8 21" xfId="22063"/>
    <cellStyle name="Heading 1 2 3 8 21 2" xfId="22064"/>
    <cellStyle name="Heading 1 2 3 8 22" xfId="22065"/>
    <cellStyle name="Heading 1 2 3 8 22 2" xfId="22066"/>
    <cellStyle name="Heading 1 2 3 8 23" xfId="22067"/>
    <cellStyle name="Heading 1 2 3 8 3" xfId="22068"/>
    <cellStyle name="Heading 1 2 3 8 3 2" xfId="22069"/>
    <cellStyle name="Heading 1 2 3 8 3 2 2" xfId="22070"/>
    <cellStyle name="Heading 1 2 3 8 3 2 2 2" xfId="22071"/>
    <cellStyle name="Heading 1 2 3 8 3 2 3" xfId="22072"/>
    <cellStyle name="Heading 1 2 3 8 3 3" xfId="22073"/>
    <cellStyle name="Heading 1 2 3 8 3 3 2" xfId="22074"/>
    <cellStyle name="Heading 1 2 3 8 3 3 2 2" xfId="22075"/>
    <cellStyle name="Heading 1 2 3 8 3 3 3" xfId="22076"/>
    <cellStyle name="Heading 1 2 3 8 3 4" xfId="22077"/>
    <cellStyle name="Heading 1 2 3 8 3 4 2" xfId="22078"/>
    <cellStyle name="Heading 1 2 3 8 3 4 2 2" xfId="22079"/>
    <cellStyle name="Heading 1 2 3 8 3 4 3" xfId="22080"/>
    <cellStyle name="Heading 1 2 3 8 3 5" xfId="22081"/>
    <cellStyle name="Heading 1 2 3 8 3 5 2" xfId="22082"/>
    <cellStyle name="Heading 1 2 3 8 3 5 2 2" xfId="22083"/>
    <cellStyle name="Heading 1 2 3 8 3 5 3" xfId="22084"/>
    <cellStyle name="Heading 1 2 3 8 3 6" xfId="22085"/>
    <cellStyle name="Heading 1 2 3 8 3 6 2" xfId="22086"/>
    <cellStyle name="Heading 1 2 3 8 3 6 2 2" xfId="22087"/>
    <cellStyle name="Heading 1 2 3 8 3 6 3" xfId="22088"/>
    <cellStyle name="Heading 1 2 3 8 3 7" xfId="22089"/>
    <cellStyle name="Heading 1 2 3 8 3 7 2" xfId="22090"/>
    <cellStyle name="Heading 1 2 3 8 3 7 2 2" xfId="22091"/>
    <cellStyle name="Heading 1 2 3 8 3 7 3" xfId="22092"/>
    <cellStyle name="Heading 1 2 3 8 3 8" xfId="22093"/>
    <cellStyle name="Heading 1 2 3 8 3 8 2" xfId="22094"/>
    <cellStyle name="Heading 1 2 3 8 3 9" xfId="22095"/>
    <cellStyle name="Heading 1 2 3 8 4" xfId="22096"/>
    <cellStyle name="Heading 1 2 3 8 4 2" xfId="22097"/>
    <cellStyle name="Heading 1 2 3 8 4 2 2" xfId="22098"/>
    <cellStyle name="Heading 1 2 3 8 4 2 2 2" xfId="22099"/>
    <cellStyle name="Heading 1 2 3 8 4 2 3" xfId="22100"/>
    <cellStyle name="Heading 1 2 3 8 4 3" xfId="22101"/>
    <cellStyle name="Heading 1 2 3 8 4 3 2" xfId="22102"/>
    <cellStyle name="Heading 1 2 3 8 4 3 2 2" xfId="22103"/>
    <cellStyle name="Heading 1 2 3 8 4 3 3" xfId="22104"/>
    <cellStyle name="Heading 1 2 3 8 4 4" xfId="22105"/>
    <cellStyle name="Heading 1 2 3 8 4 4 2" xfId="22106"/>
    <cellStyle name="Heading 1 2 3 8 4 4 2 2" xfId="22107"/>
    <cellStyle name="Heading 1 2 3 8 4 4 3" xfId="22108"/>
    <cellStyle name="Heading 1 2 3 8 4 5" xfId="22109"/>
    <cellStyle name="Heading 1 2 3 8 4 5 2" xfId="22110"/>
    <cellStyle name="Heading 1 2 3 8 4 5 2 2" xfId="22111"/>
    <cellStyle name="Heading 1 2 3 8 4 5 3" xfId="22112"/>
    <cellStyle name="Heading 1 2 3 8 4 6" xfId="22113"/>
    <cellStyle name="Heading 1 2 3 8 4 6 2" xfId="22114"/>
    <cellStyle name="Heading 1 2 3 8 4 6 2 2" xfId="22115"/>
    <cellStyle name="Heading 1 2 3 8 4 6 3" xfId="22116"/>
    <cellStyle name="Heading 1 2 3 8 4 7" xfId="22117"/>
    <cellStyle name="Heading 1 2 3 8 4 7 2" xfId="22118"/>
    <cellStyle name="Heading 1 2 3 8 4 7 2 2" xfId="22119"/>
    <cellStyle name="Heading 1 2 3 8 4 7 3" xfId="22120"/>
    <cellStyle name="Heading 1 2 3 8 4 8" xfId="22121"/>
    <cellStyle name="Heading 1 2 3 8 4 8 2" xfId="22122"/>
    <cellStyle name="Heading 1 2 3 8 4 9" xfId="22123"/>
    <cellStyle name="Heading 1 2 3 8 5" xfId="22124"/>
    <cellStyle name="Heading 1 2 3 8 5 2" xfId="22125"/>
    <cellStyle name="Heading 1 2 3 8 5 2 2" xfId="22126"/>
    <cellStyle name="Heading 1 2 3 8 5 2 2 2" xfId="22127"/>
    <cellStyle name="Heading 1 2 3 8 5 2 3" xfId="22128"/>
    <cellStyle name="Heading 1 2 3 8 5 3" xfId="22129"/>
    <cellStyle name="Heading 1 2 3 8 5 3 2" xfId="22130"/>
    <cellStyle name="Heading 1 2 3 8 5 3 2 2" xfId="22131"/>
    <cellStyle name="Heading 1 2 3 8 5 3 3" xfId="22132"/>
    <cellStyle name="Heading 1 2 3 8 5 4" xfId="22133"/>
    <cellStyle name="Heading 1 2 3 8 5 4 2" xfId="22134"/>
    <cellStyle name="Heading 1 2 3 8 5 4 2 2" xfId="22135"/>
    <cellStyle name="Heading 1 2 3 8 5 4 3" xfId="22136"/>
    <cellStyle name="Heading 1 2 3 8 5 5" xfId="22137"/>
    <cellStyle name="Heading 1 2 3 8 5 5 2" xfId="22138"/>
    <cellStyle name="Heading 1 2 3 8 5 5 2 2" xfId="22139"/>
    <cellStyle name="Heading 1 2 3 8 5 5 3" xfId="22140"/>
    <cellStyle name="Heading 1 2 3 8 5 6" xfId="22141"/>
    <cellStyle name="Heading 1 2 3 8 5 6 2" xfId="22142"/>
    <cellStyle name="Heading 1 2 3 8 5 6 2 2" xfId="22143"/>
    <cellStyle name="Heading 1 2 3 8 5 6 3" xfId="22144"/>
    <cellStyle name="Heading 1 2 3 8 5 7" xfId="22145"/>
    <cellStyle name="Heading 1 2 3 8 5 7 2" xfId="22146"/>
    <cellStyle name="Heading 1 2 3 8 5 7 2 2" xfId="22147"/>
    <cellStyle name="Heading 1 2 3 8 5 7 3" xfId="22148"/>
    <cellStyle name="Heading 1 2 3 8 5 8" xfId="22149"/>
    <cellStyle name="Heading 1 2 3 8 5 8 2" xfId="22150"/>
    <cellStyle name="Heading 1 2 3 8 5 9" xfId="22151"/>
    <cellStyle name="Heading 1 2 3 8 6" xfId="22152"/>
    <cellStyle name="Heading 1 2 3 8 6 2" xfId="22153"/>
    <cellStyle name="Heading 1 2 3 8 6 2 2" xfId="22154"/>
    <cellStyle name="Heading 1 2 3 8 6 2 2 2" xfId="22155"/>
    <cellStyle name="Heading 1 2 3 8 6 2 3" xfId="22156"/>
    <cellStyle name="Heading 1 2 3 8 6 3" xfId="22157"/>
    <cellStyle name="Heading 1 2 3 8 6 3 2" xfId="22158"/>
    <cellStyle name="Heading 1 2 3 8 6 3 2 2" xfId="22159"/>
    <cellStyle name="Heading 1 2 3 8 6 3 3" xfId="22160"/>
    <cellStyle name="Heading 1 2 3 8 6 4" xfId="22161"/>
    <cellStyle name="Heading 1 2 3 8 6 4 2" xfId="22162"/>
    <cellStyle name="Heading 1 2 3 8 6 4 2 2" xfId="22163"/>
    <cellStyle name="Heading 1 2 3 8 6 4 3" xfId="22164"/>
    <cellStyle name="Heading 1 2 3 8 6 5" xfId="22165"/>
    <cellStyle name="Heading 1 2 3 8 6 5 2" xfId="22166"/>
    <cellStyle name="Heading 1 2 3 8 6 5 2 2" xfId="22167"/>
    <cellStyle name="Heading 1 2 3 8 6 5 3" xfId="22168"/>
    <cellStyle name="Heading 1 2 3 8 6 6" xfId="22169"/>
    <cellStyle name="Heading 1 2 3 8 6 6 2" xfId="22170"/>
    <cellStyle name="Heading 1 2 3 8 6 6 2 2" xfId="22171"/>
    <cellStyle name="Heading 1 2 3 8 6 6 3" xfId="22172"/>
    <cellStyle name="Heading 1 2 3 8 6 7" xfId="22173"/>
    <cellStyle name="Heading 1 2 3 8 6 7 2" xfId="22174"/>
    <cellStyle name="Heading 1 2 3 8 6 7 2 2" xfId="22175"/>
    <cellStyle name="Heading 1 2 3 8 6 7 3" xfId="22176"/>
    <cellStyle name="Heading 1 2 3 8 6 8" xfId="22177"/>
    <cellStyle name="Heading 1 2 3 8 6 8 2" xfId="22178"/>
    <cellStyle name="Heading 1 2 3 8 6 9" xfId="22179"/>
    <cellStyle name="Heading 1 2 3 8 7" xfId="22180"/>
    <cellStyle name="Heading 1 2 3 8 7 2" xfId="22181"/>
    <cellStyle name="Heading 1 2 3 8 7 2 2" xfId="22182"/>
    <cellStyle name="Heading 1 2 3 8 7 2 2 2" xfId="22183"/>
    <cellStyle name="Heading 1 2 3 8 7 2 3" xfId="22184"/>
    <cellStyle name="Heading 1 2 3 8 7 3" xfId="22185"/>
    <cellStyle name="Heading 1 2 3 8 7 3 2" xfId="22186"/>
    <cellStyle name="Heading 1 2 3 8 7 3 2 2" xfId="22187"/>
    <cellStyle name="Heading 1 2 3 8 7 3 3" xfId="22188"/>
    <cellStyle name="Heading 1 2 3 8 7 4" xfId="22189"/>
    <cellStyle name="Heading 1 2 3 8 7 4 2" xfId="22190"/>
    <cellStyle name="Heading 1 2 3 8 7 4 2 2" xfId="22191"/>
    <cellStyle name="Heading 1 2 3 8 7 4 3" xfId="22192"/>
    <cellStyle name="Heading 1 2 3 8 7 5" xfId="22193"/>
    <cellStyle name="Heading 1 2 3 8 7 5 2" xfId="22194"/>
    <cellStyle name="Heading 1 2 3 8 7 5 2 2" xfId="22195"/>
    <cellStyle name="Heading 1 2 3 8 7 5 3" xfId="22196"/>
    <cellStyle name="Heading 1 2 3 8 7 6" xfId="22197"/>
    <cellStyle name="Heading 1 2 3 8 7 6 2" xfId="22198"/>
    <cellStyle name="Heading 1 2 3 8 7 6 2 2" xfId="22199"/>
    <cellStyle name="Heading 1 2 3 8 7 6 3" xfId="22200"/>
    <cellStyle name="Heading 1 2 3 8 7 7" xfId="22201"/>
    <cellStyle name="Heading 1 2 3 8 7 7 2" xfId="22202"/>
    <cellStyle name="Heading 1 2 3 8 7 7 2 2" xfId="22203"/>
    <cellStyle name="Heading 1 2 3 8 7 7 3" xfId="22204"/>
    <cellStyle name="Heading 1 2 3 8 7 8" xfId="22205"/>
    <cellStyle name="Heading 1 2 3 8 7 8 2" xfId="22206"/>
    <cellStyle name="Heading 1 2 3 8 7 9" xfId="22207"/>
    <cellStyle name="Heading 1 2 3 8 8" xfId="22208"/>
    <cellStyle name="Heading 1 2 3 8 8 2" xfId="22209"/>
    <cellStyle name="Heading 1 2 3 8 8 2 2" xfId="22210"/>
    <cellStyle name="Heading 1 2 3 8 8 2 2 2" xfId="22211"/>
    <cellStyle name="Heading 1 2 3 8 8 2 3" xfId="22212"/>
    <cellStyle name="Heading 1 2 3 8 8 3" xfId="22213"/>
    <cellStyle name="Heading 1 2 3 8 8 3 2" xfId="22214"/>
    <cellStyle name="Heading 1 2 3 8 8 3 2 2" xfId="22215"/>
    <cellStyle name="Heading 1 2 3 8 8 3 3" xfId="22216"/>
    <cellStyle name="Heading 1 2 3 8 8 4" xfId="22217"/>
    <cellStyle name="Heading 1 2 3 8 8 4 2" xfId="22218"/>
    <cellStyle name="Heading 1 2 3 8 8 4 2 2" xfId="22219"/>
    <cellStyle name="Heading 1 2 3 8 8 4 3" xfId="22220"/>
    <cellStyle name="Heading 1 2 3 8 8 5" xfId="22221"/>
    <cellStyle name="Heading 1 2 3 8 8 5 2" xfId="22222"/>
    <cellStyle name="Heading 1 2 3 8 8 5 2 2" xfId="22223"/>
    <cellStyle name="Heading 1 2 3 8 8 5 3" xfId="22224"/>
    <cellStyle name="Heading 1 2 3 8 8 6" xfId="22225"/>
    <cellStyle name="Heading 1 2 3 8 8 6 2" xfId="22226"/>
    <cellStyle name="Heading 1 2 3 8 8 6 2 2" xfId="22227"/>
    <cellStyle name="Heading 1 2 3 8 8 6 3" xfId="22228"/>
    <cellStyle name="Heading 1 2 3 8 8 7" xfId="22229"/>
    <cellStyle name="Heading 1 2 3 8 8 7 2" xfId="22230"/>
    <cellStyle name="Heading 1 2 3 8 8 7 2 2" xfId="22231"/>
    <cellStyle name="Heading 1 2 3 8 8 7 3" xfId="22232"/>
    <cellStyle name="Heading 1 2 3 8 8 8" xfId="22233"/>
    <cellStyle name="Heading 1 2 3 8 8 8 2" xfId="22234"/>
    <cellStyle name="Heading 1 2 3 8 8 9" xfId="22235"/>
    <cellStyle name="Heading 1 2 3 8 9" xfId="22236"/>
    <cellStyle name="Heading 1 2 3 8 9 2" xfId="22237"/>
    <cellStyle name="Heading 1 2 3 8 9 2 2" xfId="22238"/>
    <cellStyle name="Heading 1 2 3 8 9 2 2 2" xfId="22239"/>
    <cellStyle name="Heading 1 2 3 8 9 2 3" xfId="22240"/>
    <cellStyle name="Heading 1 2 3 8 9 3" xfId="22241"/>
    <cellStyle name="Heading 1 2 3 8 9 3 2" xfId="22242"/>
    <cellStyle name="Heading 1 2 3 8 9 3 2 2" xfId="22243"/>
    <cellStyle name="Heading 1 2 3 8 9 3 3" xfId="22244"/>
    <cellStyle name="Heading 1 2 3 8 9 4" xfId="22245"/>
    <cellStyle name="Heading 1 2 3 8 9 4 2" xfId="22246"/>
    <cellStyle name="Heading 1 2 3 8 9 4 2 2" xfId="22247"/>
    <cellStyle name="Heading 1 2 3 8 9 4 3" xfId="22248"/>
    <cellStyle name="Heading 1 2 3 8 9 5" xfId="22249"/>
    <cellStyle name="Heading 1 2 3 8 9 5 2" xfId="22250"/>
    <cellStyle name="Heading 1 2 3 8 9 5 2 2" xfId="22251"/>
    <cellStyle name="Heading 1 2 3 8 9 5 3" xfId="22252"/>
    <cellStyle name="Heading 1 2 3 8 9 6" xfId="22253"/>
    <cellStyle name="Heading 1 2 3 8 9 6 2" xfId="22254"/>
    <cellStyle name="Heading 1 2 3 8 9 6 2 2" xfId="22255"/>
    <cellStyle name="Heading 1 2 3 8 9 6 3" xfId="22256"/>
    <cellStyle name="Heading 1 2 3 8 9 7" xfId="22257"/>
    <cellStyle name="Heading 1 2 3 8 9 7 2" xfId="22258"/>
    <cellStyle name="Heading 1 2 3 8 9 7 2 2" xfId="22259"/>
    <cellStyle name="Heading 1 2 3 8 9 7 3" xfId="22260"/>
    <cellStyle name="Heading 1 2 3 8 9 8" xfId="22261"/>
    <cellStyle name="Heading 1 2 3 8 9 8 2" xfId="22262"/>
    <cellStyle name="Heading 1 2 3 8 9 9" xfId="22263"/>
    <cellStyle name="Heading 1 2 3 9" xfId="22264"/>
    <cellStyle name="Heading 1 2 3 9 2" xfId="22265"/>
    <cellStyle name="Heading 1 2 3 9 2 2" xfId="22266"/>
    <cellStyle name="Heading 1 2 3 9 3" xfId="22267"/>
    <cellStyle name="Heading 1 2 3 9 3 2" xfId="22268"/>
    <cellStyle name="Heading 1 2 3 9 4" xfId="22269"/>
    <cellStyle name="Heading 1 2 3 9 4 2" xfId="22270"/>
    <cellStyle name="Heading 1 2 3 9 5" xfId="22271"/>
    <cellStyle name="Heading 1 2 4" xfId="22272"/>
    <cellStyle name="Heading 1 2 4 2" xfId="22273"/>
    <cellStyle name="Heading 1 2 4 3" xfId="22274"/>
    <cellStyle name="Heading 1 2 4 3 10" xfId="22275"/>
    <cellStyle name="Heading 1 2 4 3 10 2" xfId="22276"/>
    <cellStyle name="Heading 1 2 4 3 10 2 2" xfId="22277"/>
    <cellStyle name="Heading 1 2 4 3 10 3" xfId="22278"/>
    <cellStyle name="Heading 1 2 4 3 11" xfId="22279"/>
    <cellStyle name="Heading 1 2 4 3 11 2" xfId="22280"/>
    <cellStyle name="Heading 1 2 4 3 11 2 2" xfId="22281"/>
    <cellStyle name="Heading 1 2 4 3 11 3" xfId="22282"/>
    <cellStyle name="Heading 1 2 4 3 12" xfId="22283"/>
    <cellStyle name="Heading 1 2 4 3 12 2" xfId="22284"/>
    <cellStyle name="Heading 1 2 4 3 12 2 2" xfId="22285"/>
    <cellStyle name="Heading 1 2 4 3 12 3" xfId="22286"/>
    <cellStyle name="Heading 1 2 4 3 13" xfId="22287"/>
    <cellStyle name="Heading 1 2 4 3 13 2" xfId="22288"/>
    <cellStyle name="Heading 1 2 4 3 13 2 2" xfId="22289"/>
    <cellStyle name="Heading 1 2 4 3 13 3" xfId="22290"/>
    <cellStyle name="Heading 1 2 4 3 14" xfId="22291"/>
    <cellStyle name="Heading 1 2 4 3 14 2" xfId="22292"/>
    <cellStyle name="Heading 1 2 4 3 14 2 2" xfId="22293"/>
    <cellStyle name="Heading 1 2 4 3 14 3" xfId="22294"/>
    <cellStyle name="Heading 1 2 4 3 15" xfId="22295"/>
    <cellStyle name="Heading 1 2 4 3 15 2" xfId="22296"/>
    <cellStyle name="Heading 1 2 4 3 15 2 2" xfId="22297"/>
    <cellStyle name="Heading 1 2 4 3 15 3" xfId="22298"/>
    <cellStyle name="Heading 1 2 4 3 16" xfId="22299"/>
    <cellStyle name="Heading 1 2 4 3 16 2" xfId="22300"/>
    <cellStyle name="Heading 1 2 4 3 16 2 2" xfId="22301"/>
    <cellStyle name="Heading 1 2 4 3 16 3" xfId="22302"/>
    <cellStyle name="Heading 1 2 4 3 17" xfId="22303"/>
    <cellStyle name="Heading 1 2 4 3 17 2" xfId="22304"/>
    <cellStyle name="Heading 1 2 4 3 17 2 2" xfId="22305"/>
    <cellStyle name="Heading 1 2 4 3 17 3" xfId="22306"/>
    <cellStyle name="Heading 1 2 4 3 18" xfId="22307"/>
    <cellStyle name="Heading 1 2 4 3 18 2" xfId="22308"/>
    <cellStyle name="Heading 1 2 4 3 18 2 2" xfId="22309"/>
    <cellStyle name="Heading 1 2 4 3 18 3" xfId="22310"/>
    <cellStyle name="Heading 1 2 4 3 19" xfId="22311"/>
    <cellStyle name="Heading 1 2 4 3 19 2" xfId="22312"/>
    <cellStyle name="Heading 1 2 4 3 19 2 2" xfId="22313"/>
    <cellStyle name="Heading 1 2 4 3 19 3" xfId="22314"/>
    <cellStyle name="Heading 1 2 4 3 2" xfId="22315"/>
    <cellStyle name="Heading 1 2 4 3 2 10" xfId="22316"/>
    <cellStyle name="Heading 1 2 4 3 2 10 2" xfId="22317"/>
    <cellStyle name="Heading 1 2 4 3 2 10 2 2" xfId="22318"/>
    <cellStyle name="Heading 1 2 4 3 2 10 3" xfId="22319"/>
    <cellStyle name="Heading 1 2 4 3 2 11" xfId="22320"/>
    <cellStyle name="Heading 1 2 4 3 2 11 2" xfId="22321"/>
    <cellStyle name="Heading 1 2 4 3 2 11 2 2" xfId="22322"/>
    <cellStyle name="Heading 1 2 4 3 2 11 3" xfId="22323"/>
    <cellStyle name="Heading 1 2 4 3 2 12" xfId="22324"/>
    <cellStyle name="Heading 1 2 4 3 2 12 2" xfId="22325"/>
    <cellStyle name="Heading 1 2 4 3 2 12 2 2" xfId="22326"/>
    <cellStyle name="Heading 1 2 4 3 2 12 3" xfId="22327"/>
    <cellStyle name="Heading 1 2 4 3 2 13" xfId="22328"/>
    <cellStyle name="Heading 1 2 4 3 2 13 2" xfId="22329"/>
    <cellStyle name="Heading 1 2 4 3 2 13 2 2" xfId="22330"/>
    <cellStyle name="Heading 1 2 4 3 2 13 3" xfId="22331"/>
    <cellStyle name="Heading 1 2 4 3 2 14" xfId="22332"/>
    <cellStyle name="Heading 1 2 4 3 2 14 2" xfId="22333"/>
    <cellStyle name="Heading 1 2 4 3 2 14 2 2" xfId="22334"/>
    <cellStyle name="Heading 1 2 4 3 2 14 3" xfId="22335"/>
    <cellStyle name="Heading 1 2 4 3 2 15" xfId="22336"/>
    <cellStyle name="Heading 1 2 4 3 2 15 2" xfId="22337"/>
    <cellStyle name="Heading 1 2 4 3 2 15 2 2" xfId="22338"/>
    <cellStyle name="Heading 1 2 4 3 2 15 3" xfId="22339"/>
    <cellStyle name="Heading 1 2 4 3 2 16" xfId="22340"/>
    <cellStyle name="Heading 1 2 4 3 2 16 2" xfId="22341"/>
    <cellStyle name="Heading 1 2 4 3 2 16 2 2" xfId="22342"/>
    <cellStyle name="Heading 1 2 4 3 2 16 3" xfId="22343"/>
    <cellStyle name="Heading 1 2 4 3 2 17" xfId="22344"/>
    <cellStyle name="Heading 1 2 4 3 2 17 2" xfId="22345"/>
    <cellStyle name="Heading 1 2 4 3 2 17 2 2" xfId="22346"/>
    <cellStyle name="Heading 1 2 4 3 2 17 3" xfId="22347"/>
    <cellStyle name="Heading 1 2 4 3 2 18" xfId="22348"/>
    <cellStyle name="Heading 1 2 4 3 2 18 2" xfId="22349"/>
    <cellStyle name="Heading 1 2 4 3 2 18 2 2" xfId="22350"/>
    <cellStyle name="Heading 1 2 4 3 2 18 3" xfId="22351"/>
    <cellStyle name="Heading 1 2 4 3 2 19" xfId="22352"/>
    <cellStyle name="Heading 1 2 4 3 2 19 2" xfId="22353"/>
    <cellStyle name="Heading 1 2 4 3 2 2" xfId="22354"/>
    <cellStyle name="Heading 1 2 4 3 2 2 2" xfId="22355"/>
    <cellStyle name="Heading 1 2 4 3 2 2 2 2" xfId="22356"/>
    <cellStyle name="Heading 1 2 4 3 2 2 2 2 2" xfId="22357"/>
    <cellStyle name="Heading 1 2 4 3 2 2 2 3" xfId="22358"/>
    <cellStyle name="Heading 1 2 4 3 2 2 3" xfId="22359"/>
    <cellStyle name="Heading 1 2 4 3 2 2 3 2" xfId="22360"/>
    <cellStyle name="Heading 1 2 4 3 2 2 3 2 2" xfId="22361"/>
    <cellStyle name="Heading 1 2 4 3 2 2 3 3" xfId="22362"/>
    <cellStyle name="Heading 1 2 4 3 2 2 4" xfId="22363"/>
    <cellStyle name="Heading 1 2 4 3 2 2 4 2" xfId="22364"/>
    <cellStyle name="Heading 1 2 4 3 2 2 4 2 2" xfId="22365"/>
    <cellStyle name="Heading 1 2 4 3 2 2 4 3" xfId="22366"/>
    <cellStyle name="Heading 1 2 4 3 2 2 5" xfId="22367"/>
    <cellStyle name="Heading 1 2 4 3 2 2 5 2" xfId="22368"/>
    <cellStyle name="Heading 1 2 4 3 2 2 5 2 2" xfId="22369"/>
    <cellStyle name="Heading 1 2 4 3 2 2 5 3" xfId="22370"/>
    <cellStyle name="Heading 1 2 4 3 2 2 6" xfId="22371"/>
    <cellStyle name="Heading 1 2 4 3 2 2 6 2" xfId="22372"/>
    <cellStyle name="Heading 1 2 4 3 2 2 6 2 2" xfId="22373"/>
    <cellStyle name="Heading 1 2 4 3 2 2 6 3" xfId="22374"/>
    <cellStyle name="Heading 1 2 4 3 2 2 7" xfId="22375"/>
    <cellStyle name="Heading 1 2 4 3 2 2 7 2" xfId="22376"/>
    <cellStyle name="Heading 1 2 4 3 2 2 7 2 2" xfId="22377"/>
    <cellStyle name="Heading 1 2 4 3 2 2 7 3" xfId="22378"/>
    <cellStyle name="Heading 1 2 4 3 2 2 8" xfId="22379"/>
    <cellStyle name="Heading 1 2 4 3 2 2 8 2" xfId="22380"/>
    <cellStyle name="Heading 1 2 4 3 2 2 9" xfId="22381"/>
    <cellStyle name="Heading 1 2 4 3 2 20" xfId="22382"/>
    <cellStyle name="Heading 1 2 4 3 2 20 2" xfId="22383"/>
    <cellStyle name="Heading 1 2 4 3 2 21" xfId="22384"/>
    <cellStyle name="Heading 1 2 4 3 2 21 2" xfId="22385"/>
    <cellStyle name="Heading 1 2 4 3 2 22" xfId="22386"/>
    <cellStyle name="Heading 1 2 4 3 2 3" xfId="22387"/>
    <cellStyle name="Heading 1 2 4 3 2 3 2" xfId="22388"/>
    <cellStyle name="Heading 1 2 4 3 2 3 2 2" xfId="22389"/>
    <cellStyle name="Heading 1 2 4 3 2 3 2 2 2" xfId="22390"/>
    <cellStyle name="Heading 1 2 4 3 2 3 2 3" xfId="22391"/>
    <cellStyle name="Heading 1 2 4 3 2 3 3" xfId="22392"/>
    <cellStyle name="Heading 1 2 4 3 2 3 3 2" xfId="22393"/>
    <cellStyle name="Heading 1 2 4 3 2 3 3 2 2" xfId="22394"/>
    <cellStyle name="Heading 1 2 4 3 2 3 3 3" xfId="22395"/>
    <cellStyle name="Heading 1 2 4 3 2 3 4" xfId="22396"/>
    <cellStyle name="Heading 1 2 4 3 2 3 4 2" xfId="22397"/>
    <cellStyle name="Heading 1 2 4 3 2 3 4 2 2" xfId="22398"/>
    <cellStyle name="Heading 1 2 4 3 2 3 4 3" xfId="22399"/>
    <cellStyle name="Heading 1 2 4 3 2 3 5" xfId="22400"/>
    <cellStyle name="Heading 1 2 4 3 2 3 5 2" xfId="22401"/>
    <cellStyle name="Heading 1 2 4 3 2 3 5 2 2" xfId="22402"/>
    <cellStyle name="Heading 1 2 4 3 2 3 5 3" xfId="22403"/>
    <cellStyle name="Heading 1 2 4 3 2 3 6" xfId="22404"/>
    <cellStyle name="Heading 1 2 4 3 2 3 6 2" xfId="22405"/>
    <cellStyle name="Heading 1 2 4 3 2 3 6 2 2" xfId="22406"/>
    <cellStyle name="Heading 1 2 4 3 2 3 6 3" xfId="22407"/>
    <cellStyle name="Heading 1 2 4 3 2 3 7" xfId="22408"/>
    <cellStyle name="Heading 1 2 4 3 2 3 7 2" xfId="22409"/>
    <cellStyle name="Heading 1 2 4 3 2 3 7 2 2" xfId="22410"/>
    <cellStyle name="Heading 1 2 4 3 2 3 7 3" xfId="22411"/>
    <cellStyle name="Heading 1 2 4 3 2 3 8" xfId="22412"/>
    <cellStyle name="Heading 1 2 4 3 2 3 8 2" xfId="22413"/>
    <cellStyle name="Heading 1 2 4 3 2 3 9" xfId="22414"/>
    <cellStyle name="Heading 1 2 4 3 2 4" xfId="22415"/>
    <cellStyle name="Heading 1 2 4 3 2 4 2" xfId="22416"/>
    <cellStyle name="Heading 1 2 4 3 2 4 2 2" xfId="22417"/>
    <cellStyle name="Heading 1 2 4 3 2 4 2 2 2" xfId="22418"/>
    <cellStyle name="Heading 1 2 4 3 2 4 2 3" xfId="22419"/>
    <cellStyle name="Heading 1 2 4 3 2 4 3" xfId="22420"/>
    <cellStyle name="Heading 1 2 4 3 2 4 3 2" xfId="22421"/>
    <cellStyle name="Heading 1 2 4 3 2 4 3 2 2" xfId="22422"/>
    <cellStyle name="Heading 1 2 4 3 2 4 3 3" xfId="22423"/>
    <cellStyle name="Heading 1 2 4 3 2 4 4" xfId="22424"/>
    <cellStyle name="Heading 1 2 4 3 2 4 4 2" xfId="22425"/>
    <cellStyle name="Heading 1 2 4 3 2 4 4 2 2" xfId="22426"/>
    <cellStyle name="Heading 1 2 4 3 2 4 4 3" xfId="22427"/>
    <cellStyle name="Heading 1 2 4 3 2 4 5" xfId="22428"/>
    <cellStyle name="Heading 1 2 4 3 2 4 5 2" xfId="22429"/>
    <cellStyle name="Heading 1 2 4 3 2 4 5 2 2" xfId="22430"/>
    <cellStyle name="Heading 1 2 4 3 2 4 5 3" xfId="22431"/>
    <cellStyle name="Heading 1 2 4 3 2 4 6" xfId="22432"/>
    <cellStyle name="Heading 1 2 4 3 2 4 6 2" xfId="22433"/>
    <cellStyle name="Heading 1 2 4 3 2 4 6 2 2" xfId="22434"/>
    <cellStyle name="Heading 1 2 4 3 2 4 6 3" xfId="22435"/>
    <cellStyle name="Heading 1 2 4 3 2 4 7" xfId="22436"/>
    <cellStyle name="Heading 1 2 4 3 2 4 7 2" xfId="22437"/>
    <cellStyle name="Heading 1 2 4 3 2 4 7 2 2" xfId="22438"/>
    <cellStyle name="Heading 1 2 4 3 2 4 7 3" xfId="22439"/>
    <cellStyle name="Heading 1 2 4 3 2 4 8" xfId="22440"/>
    <cellStyle name="Heading 1 2 4 3 2 4 8 2" xfId="22441"/>
    <cellStyle name="Heading 1 2 4 3 2 4 9" xfId="22442"/>
    <cellStyle name="Heading 1 2 4 3 2 5" xfId="22443"/>
    <cellStyle name="Heading 1 2 4 3 2 5 2" xfId="22444"/>
    <cellStyle name="Heading 1 2 4 3 2 5 2 2" xfId="22445"/>
    <cellStyle name="Heading 1 2 4 3 2 5 2 2 2" xfId="22446"/>
    <cellStyle name="Heading 1 2 4 3 2 5 2 3" xfId="22447"/>
    <cellStyle name="Heading 1 2 4 3 2 5 3" xfId="22448"/>
    <cellStyle name="Heading 1 2 4 3 2 5 3 2" xfId="22449"/>
    <cellStyle name="Heading 1 2 4 3 2 5 3 2 2" xfId="22450"/>
    <cellStyle name="Heading 1 2 4 3 2 5 3 3" xfId="22451"/>
    <cellStyle name="Heading 1 2 4 3 2 5 4" xfId="22452"/>
    <cellStyle name="Heading 1 2 4 3 2 5 4 2" xfId="22453"/>
    <cellStyle name="Heading 1 2 4 3 2 5 4 2 2" xfId="22454"/>
    <cellStyle name="Heading 1 2 4 3 2 5 4 3" xfId="22455"/>
    <cellStyle name="Heading 1 2 4 3 2 5 5" xfId="22456"/>
    <cellStyle name="Heading 1 2 4 3 2 5 5 2" xfId="22457"/>
    <cellStyle name="Heading 1 2 4 3 2 5 5 2 2" xfId="22458"/>
    <cellStyle name="Heading 1 2 4 3 2 5 5 3" xfId="22459"/>
    <cellStyle name="Heading 1 2 4 3 2 5 6" xfId="22460"/>
    <cellStyle name="Heading 1 2 4 3 2 5 6 2" xfId="22461"/>
    <cellStyle name="Heading 1 2 4 3 2 5 6 2 2" xfId="22462"/>
    <cellStyle name="Heading 1 2 4 3 2 5 6 3" xfId="22463"/>
    <cellStyle name="Heading 1 2 4 3 2 5 7" xfId="22464"/>
    <cellStyle name="Heading 1 2 4 3 2 5 7 2" xfId="22465"/>
    <cellStyle name="Heading 1 2 4 3 2 5 7 2 2" xfId="22466"/>
    <cellStyle name="Heading 1 2 4 3 2 5 7 3" xfId="22467"/>
    <cellStyle name="Heading 1 2 4 3 2 5 8" xfId="22468"/>
    <cellStyle name="Heading 1 2 4 3 2 5 8 2" xfId="22469"/>
    <cellStyle name="Heading 1 2 4 3 2 5 9" xfId="22470"/>
    <cellStyle name="Heading 1 2 4 3 2 6" xfId="22471"/>
    <cellStyle name="Heading 1 2 4 3 2 6 2" xfId="22472"/>
    <cellStyle name="Heading 1 2 4 3 2 6 2 2" xfId="22473"/>
    <cellStyle name="Heading 1 2 4 3 2 6 2 2 2" xfId="22474"/>
    <cellStyle name="Heading 1 2 4 3 2 6 2 3" xfId="22475"/>
    <cellStyle name="Heading 1 2 4 3 2 6 3" xfId="22476"/>
    <cellStyle name="Heading 1 2 4 3 2 6 3 2" xfId="22477"/>
    <cellStyle name="Heading 1 2 4 3 2 6 3 2 2" xfId="22478"/>
    <cellStyle name="Heading 1 2 4 3 2 6 3 3" xfId="22479"/>
    <cellStyle name="Heading 1 2 4 3 2 6 4" xfId="22480"/>
    <cellStyle name="Heading 1 2 4 3 2 6 4 2" xfId="22481"/>
    <cellStyle name="Heading 1 2 4 3 2 6 4 2 2" xfId="22482"/>
    <cellStyle name="Heading 1 2 4 3 2 6 4 3" xfId="22483"/>
    <cellStyle name="Heading 1 2 4 3 2 6 5" xfId="22484"/>
    <cellStyle name="Heading 1 2 4 3 2 6 5 2" xfId="22485"/>
    <cellStyle name="Heading 1 2 4 3 2 6 5 2 2" xfId="22486"/>
    <cellStyle name="Heading 1 2 4 3 2 6 5 3" xfId="22487"/>
    <cellStyle name="Heading 1 2 4 3 2 6 6" xfId="22488"/>
    <cellStyle name="Heading 1 2 4 3 2 6 6 2" xfId="22489"/>
    <cellStyle name="Heading 1 2 4 3 2 6 6 2 2" xfId="22490"/>
    <cellStyle name="Heading 1 2 4 3 2 6 6 3" xfId="22491"/>
    <cellStyle name="Heading 1 2 4 3 2 6 7" xfId="22492"/>
    <cellStyle name="Heading 1 2 4 3 2 6 7 2" xfId="22493"/>
    <cellStyle name="Heading 1 2 4 3 2 6 7 2 2" xfId="22494"/>
    <cellStyle name="Heading 1 2 4 3 2 6 7 3" xfId="22495"/>
    <cellStyle name="Heading 1 2 4 3 2 6 8" xfId="22496"/>
    <cellStyle name="Heading 1 2 4 3 2 6 8 2" xfId="22497"/>
    <cellStyle name="Heading 1 2 4 3 2 6 9" xfId="22498"/>
    <cellStyle name="Heading 1 2 4 3 2 7" xfId="22499"/>
    <cellStyle name="Heading 1 2 4 3 2 7 2" xfId="22500"/>
    <cellStyle name="Heading 1 2 4 3 2 7 2 2" xfId="22501"/>
    <cellStyle name="Heading 1 2 4 3 2 7 2 2 2" xfId="22502"/>
    <cellStyle name="Heading 1 2 4 3 2 7 2 3" xfId="22503"/>
    <cellStyle name="Heading 1 2 4 3 2 7 3" xfId="22504"/>
    <cellStyle name="Heading 1 2 4 3 2 7 3 2" xfId="22505"/>
    <cellStyle name="Heading 1 2 4 3 2 7 3 2 2" xfId="22506"/>
    <cellStyle name="Heading 1 2 4 3 2 7 3 3" xfId="22507"/>
    <cellStyle name="Heading 1 2 4 3 2 7 4" xfId="22508"/>
    <cellStyle name="Heading 1 2 4 3 2 7 4 2" xfId="22509"/>
    <cellStyle name="Heading 1 2 4 3 2 7 4 2 2" xfId="22510"/>
    <cellStyle name="Heading 1 2 4 3 2 7 4 3" xfId="22511"/>
    <cellStyle name="Heading 1 2 4 3 2 7 5" xfId="22512"/>
    <cellStyle name="Heading 1 2 4 3 2 7 5 2" xfId="22513"/>
    <cellStyle name="Heading 1 2 4 3 2 7 5 2 2" xfId="22514"/>
    <cellStyle name="Heading 1 2 4 3 2 7 5 3" xfId="22515"/>
    <cellStyle name="Heading 1 2 4 3 2 7 6" xfId="22516"/>
    <cellStyle name="Heading 1 2 4 3 2 7 6 2" xfId="22517"/>
    <cellStyle name="Heading 1 2 4 3 2 7 6 2 2" xfId="22518"/>
    <cellStyle name="Heading 1 2 4 3 2 7 6 3" xfId="22519"/>
    <cellStyle name="Heading 1 2 4 3 2 7 7" xfId="22520"/>
    <cellStyle name="Heading 1 2 4 3 2 7 7 2" xfId="22521"/>
    <cellStyle name="Heading 1 2 4 3 2 7 7 2 2" xfId="22522"/>
    <cellStyle name="Heading 1 2 4 3 2 7 7 3" xfId="22523"/>
    <cellStyle name="Heading 1 2 4 3 2 7 8" xfId="22524"/>
    <cellStyle name="Heading 1 2 4 3 2 7 8 2" xfId="22525"/>
    <cellStyle name="Heading 1 2 4 3 2 7 9" xfId="22526"/>
    <cellStyle name="Heading 1 2 4 3 2 8" xfId="22527"/>
    <cellStyle name="Heading 1 2 4 3 2 8 2" xfId="22528"/>
    <cellStyle name="Heading 1 2 4 3 2 8 2 2" xfId="22529"/>
    <cellStyle name="Heading 1 2 4 3 2 8 2 2 2" xfId="22530"/>
    <cellStyle name="Heading 1 2 4 3 2 8 2 3" xfId="22531"/>
    <cellStyle name="Heading 1 2 4 3 2 8 3" xfId="22532"/>
    <cellStyle name="Heading 1 2 4 3 2 8 3 2" xfId="22533"/>
    <cellStyle name="Heading 1 2 4 3 2 8 3 2 2" xfId="22534"/>
    <cellStyle name="Heading 1 2 4 3 2 8 3 3" xfId="22535"/>
    <cellStyle name="Heading 1 2 4 3 2 8 4" xfId="22536"/>
    <cellStyle name="Heading 1 2 4 3 2 8 4 2" xfId="22537"/>
    <cellStyle name="Heading 1 2 4 3 2 8 4 2 2" xfId="22538"/>
    <cellStyle name="Heading 1 2 4 3 2 8 4 3" xfId="22539"/>
    <cellStyle name="Heading 1 2 4 3 2 8 5" xfId="22540"/>
    <cellStyle name="Heading 1 2 4 3 2 8 5 2" xfId="22541"/>
    <cellStyle name="Heading 1 2 4 3 2 8 5 2 2" xfId="22542"/>
    <cellStyle name="Heading 1 2 4 3 2 8 5 3" xfId="22543"/>
    <cellStyle name="Heading 1 2 4 3 2 8 6" xfId="22544"/>
    <cellStyle name="Heading 1 2 4 3 2 8 6 2" xfId="22545"/>
    <cellStyle name="Heading 1 2 4 3 2 8 6 2 2" xfId="22546"/>
    <cellStyle name="Heading 1 2 4 3 2 8 6 3" xfId="22547"/>
    <cellStyle name="Heading 1 2 4 3 2 8 7" xfId="22548"/>
    <cellStyle name="Heading 1 2 4 3 2 8 7 2" xfId="22549"/>
    <cellStyle name="Heading 1 2 4 3 2 8 7 2 2" xfId="22550"/>
    <cellStyle name="Heading 1 2 4 3 2 8 7 3" xfId="22551"/>
    <cellStyle name="Heading 1 2 4 3 2 8 8" xfId="22552"/>
    <cellStyle name="Heading 1 2 4 3 2 8 8 2" xfId="22553"/>
    <cellStyle name="Heading 1 2 4 3 2 8 9" xfId="22554"/>
    <cellStyle name="Heading 1 2 4 3 2 9" xfId="22555"/>
    <cellStyle name="Heading 1 2 4 3 2 9 2" xfId="22556"/>
    <cellStyle name="Heading 1 2 4 3 2 9 2 2" xfId="22557"/>
    <cellStyle name="Heading 1 2 4 3 2 9 3" xfId="22558"/>
    <cellStyle name="Heading 1 2 4 3 20" xfId="22559"/>
    <cellStyle name="Heading 1 2 4 3 20 2" xfId="22560"/>
    <cellStyle name="Heading 1 2 4 3 21" xfId="22561"/>
    <cellStyle name="Heading 1 2 4 3 21 2" xfId="22562"/>
    <cellStyle name="Heading 1 2 4 3 22" xfId="22563"/>
    <cellStyle name="Heading 1 2 4 3 22 2" xfId="22564"/>
    <cellStyle name="Heading 1 2 4 3 23" xfId="22565"/>
    <cellStyle name="Heading 1 2 4 3 3" xfId="22566"/>
    <cellStyle name="Heading 1 2 4 3 3 2" xfId="22567"/>
    <cellStyle name="Heading 1 2 4 3 3 2 2" xfId="22568"/>
    <cellStyle name="Heading 1 2 4 3 3 2 2 2" xfId="22569"/>
    <cellStyle name="Heading 1 2 4 3 3 2 3" xfId="22570"/>
    <cellStyle name="Heading 1 2 4 3 3 3" xfId="22571"/>
    <cellStyle name="Heading 1 2 4 3 3 3 2" xfId="22572"/>
    <cellStyle name="Heading 1 2 4 3 3 3 2 2" xfId="22573"/>
    <cellStyle name="Heading 1 2 4 3 3 3 3" xfId="22574"/>
    <cellStyle name="Heading 1 2 4 3 3 4" xfId="22575"/>
    <cellStyle name="Heading 1 2 4 3 3 4 2" xfId="22576"/>
    <cellStyle name="Heading 1 2 4 3 3 4 2 2" xfId="22577"/>
    <cellStyle name="Heading 1 2 4 3 3 4 3" xfId="22578"/>
    <cellStyle name="Heading 1 2 4 3 3 5" xfId="22579"/>
    <cellStyle name="Heading 1 2 4 3 3 5 2" xfId="22580"/>
    <cellStyle name="Heading 1 2 4 3 3 5 2 2" xfId="22581"/>
    <cellStyle name="Heading 1 2 4 3 3 5 3" xfId="22582"/>
    <cellStyle name="Heading 1 2 4 3 3 6" xfId="22583"/>
    <cellStyle name="Heading 1 2 4 3 3 6 2" xfId="22584"/>
    <cellStyle name="Heading 1 2 4 3 3 6 2 2" xfId="22585"/>
    <cellStyle name="Heading 1 2 4 3 3 6 3" xfId="22586"/>
    <cellStyle name="Heading 1 2 4 3 3 7" xfId="22587"/>
    <cellStyle name="Heading 1 2 4 3 3 7 2" xfId="22588"/>
    <cellStyle name="Heading 1 2 4 3 3 7 2 2" xfId="22589"/>
    <cellStyle name="Heading 1 2 4 3 3 7 3" xfId="22590"/>
    <cellStyle name="Heading 1 2 4 3 3 8" xfId="22591"/>
    <cellStyle name="Heading 1 2 4 3 3 8 2" xfId="22592"/>
    <cellStyle name="Heading 1 2 4 3 3 9" xfId="22593"/>
    <cellStyle name="Heading 1 2 4 3 4" xfId="22594"/>
    <cellStyle name="Heading 1 2 4 3 4 2" xfId="22595"/>
    <cellStyle name="Heading 1 2 4 3 4 2 2" xfId="22596"/>
    <cellStyle name="Heading 1 2 4 3 4 2 2 2" xfId="22597"/>
    <cellStyle name="Heading 1 2 4 3 4 2 3" xfId="22598"/>
    <cellStyle name="Heading 1 2 4 3 4 3" xfId="22599"/>
    <cellStyle name="Heading 1 2 4 3 4 3 2" xfId="22600"/>
    <cellStyle name="Heading 1 2 4 3 4 3 2 2" xfId="22601"/>
    <cellStyle name="Heading 1 2 4 3 4 3 3" xfId="22602"/>
    <cellStyle name="Heading 1 2 4 3 4 4" xfId="22603"/>
    <cellStyle name="Heading 1 2 4 3 4 4 2" xfId="22604"/>
    <cellStyle name="Heading 1 2 4 3 4 4 2 2" xfId="22605"/>
    <cellStyle name="Heading 1 2 4 3 4 4 3" xfId="22606"/>
    <cellStyle name="Heading 1 2 4 3 4 5" xfId="22607"/>
    <cellStyle name="Heading 1 2 4 3 4 5 2" xfId="22608"/>
    <cellStyle name="Heading 1 2 4 3 4 5 2 2" xfId="22609"/>
    <cellStyle name="Heading 1 2 4 3 4 5 3" xfId="22610"/>
    <cellStyle name="Heading 1 2 4 3 4 6" xfId="22611"/>
    <cellStyle name="Heading 1 2 4 3 4 6 2" xfId="22612"/>
    <cellStyle name="Heading 1 2 4 3 4 6 2 2" xfId="22613"/>
    <cellStyle name="Heading 1 2 4 3 4 6 3" xfId="22614"/>
    <cellStyle name="Heading 1 2 4 3 4 7" xfId="22615"/>
    <cellStyle name="Heading 1 2 4 3 4 7 2" xfId="22616"/>
    <cellStyle name="Heading 1 2 4 3 4 7 2 2" xfId="22617"/>
    <cellStyle name="Heading 1 2 4 3 4 7 3" xfId="22618"/>
    <cellStyle name="Heading 1 2 4 3 4 8" xfId="22619"/>
    <cellStyle name="Heading 1 2 4 3 4 8 2" xfId="22620"/>
    <cellStyle name="Heading 1 2 4 3 4 9" xfId="22621"/>
    <cellStyle name="Heading 1 2 4 3 5" xfId="22622"/>
    <cellStyle name="Heading 1 2 4 3 5 2" xfId="22623"/>
    <cellStyle name="Heading 1 2 4 3 5 2 2" xfId="22624"/>
    <cellStyle name="Heading 1 2 4 3 5 2 2 2" xfId="22625"/>
    <cellStyle name="Heading 1 2 4 3 5 2 3" xfId="22626"/>
    <cellStyle name="Heading 1 2 4 3 5 3" xfId="22627"/>
    <cellStyle name="Heading 1 2 4 3 5 3 2" xfId="22628"/>
    <cellStyle name="Heading 1 2 4 3 5 3 2 2" xfId="22629"/>
    <cellStyle name="Heading 1 2 4 3 5 3 3" xfId="22630"/>
    <cellStyle name="Heading 1 2 4 3 5 4" xfId="22631"/>
    <cellStyle name="Heading 1 2 4 3 5 4 2" xfId="22632"/>
    <cellStyle name="Heading 1 2 4 3 5 4 2 2" xfId="22633"/>
    <cellStyle name="Heading 1 2 4 3 5 4 3" xfId="22634"/>
    <cellStyle name="Heading 1 2 4 3 5 5" xfId="22635"/>
    <cellStyle name="Heading 1 2 4 3 5 5 2" xfId="22636"/>
    <cellStyle name="Heading 1 2 4 3 5 5 2 2" xfId="22637"/>
    <cellStyle name="Heading 1 2 4 3 5 5 3" xfId="22638"/>
    <cellStyle name="Heading 1 2 4 3 5 6" xfId="22639"/>
    <cellStyle name="Heading 1 2 4 3 5 6 2" xfId="22640"/>
    <cellStyle name="Heading 1 2 4 3 5 6 2 2" xfId="22641"/>
    <cellStyle name="Heading 1 2 4 3 5 6 3" xfId="22642"/>
    <cellStyle name="Heading 1 2 4 3 5 7" xfId="22643"/>
    <cellStyle name="Heading 1 2 4 3 5 7 2" xfId="22644"/>
    <cellStyle name="Heading 1 2 4 3 5 7 2 2" xfId="22645"/>
    <cellStyle name="Heading 1 2 4 3 5 7 3" xfId="22646"/>
    <cellStyle name="Heading 1 2 4 3 5 8" xfId="22647"/>
    <cellStyle name="Heading 1 2 4 3 5 8 2" xfId="22648"/>
    <cellStyle name="Heading 1 2 4 3 5 9" xfId="22649"/>
    <cellStyle name="Heading 1 2 4 3 6" xfId="22650"/>
    <cellStyle name="Heading 1 2 4 3 6 2" xfId="22651"/>
    <cellStyle name="Heading 1 2 4 3 6 2 2" xfId="22652"/>
    <cellStyle name="Heading 1 2 4 3 6 2 2 2" xfId="22653"/>
    <cellStyle name="Heading 1 2 4 3 6 2 3" xfId="22654"/>
    <cellStyle name="Heading 1 2 4 3 6 3" xfId="22655"/>
    <cellStyle name="Heading 1 2 4 3 6 3 2" xfId="22656"/>
    <cellStyle name="Heading 1 2 4 3 6 3 2 2" xfId="22657"/>
    <cellStyle name="Heading 1 2 4 3 6 3 3" xfId="22658"/>
    <cellStyle name="Heading 1 2 4 3 6 4" xfId="22659"/>
    <cellStyle name="Heading 1 2 4 3 6 4 2" xfId="22660"/>
    <cellStyle name="Heading 1 2 4 3 6 4 2 2" xfId="22661"/>
    <cellStyle name="Heading 1 2 4 3 6 4 3" xfId="22662"/>
    <cellStyle name="Heading 1 2 4 3 6 5" xfId="22663"/>
    <cellStyle name="Heading 1 2 4 3 6 5 2" xfId="22664"/>
    <cellStyle name="Heading 1 2 4 3 6 5 2 2" xfId="22665"/>
    <cellStyle name="Heading 1 2 4 3 6 5 3" xfId="22666"/>
    <cellStyle name="Heading 1 2 4 3 6 6" xfId="22667"/>
    <cellStyle name="Heading 1 2 4 3 6 6 2" xfId="22668"/>
    <cellStyle name="Heading 1 2 4 3 6 6 2 2" xfId="22669"/>
    <cellStyle name="Heading 1 2 4 3 6 6 3" xfId="22670"/>
    <cellStyle name="Heading 1 2 4 3 6 7" xfId="22671"/>
    <cellStyle name="Heading 1 2 4 3 6 7 2" xfId="22672"/>
    <cellStyle name="Heading 1 2 4 3 6 7 2 2" xfId="22673"/>
    <cellStyle name="Heading 1 2 4 3 6 7 3" xfId="22674"/>
    <cellStyle name="Heading 1 2 4 3 6 8" xfId="22675"/>
    <cellStyle name="Heading 1 2 4 3 6 8 2" xfId="22676"/>
    <cellStyle name="Heading 1 2 4 3 6 9" xfId="22677"/>
    <cellStyle name="Heading 1 2 4 3 7" xfId="22678"/>
    <cellStyle name="Heading 1 2 4 3 7 2" xfId="22679"/>
    <cellStyle name="Heading 1 2 4 3 7 2 2" xfId="22680"/>
    <cellStyle name="Heading 1 2 4 3 7 2 2 2" xfId="22681"/>
    <cellStyle name="Heading 1 2 4 3 7 2 3" xfId="22682"/>
    <cellStyle name="Heading 1 2 4 3 7 3" xfId="22683"/>
    <cellStyle name="Heading 1 2 4 3 7 3 2" xfId="22684"/>
    <cellStyle name="Heading 1 2 4 3 7 3 2 2" xfId="22685"/>
    <cellStyle name="Heading 1 2 4 3 7 3 3" xfId="22686"/>
    <cellStyle name="Heading 1 2 4 3 7 4" xfId="22687"/>
    <cellStyle name="Heading 1 2 4 3 7 4 2" xfId="22688"/>
    <cellStyle name="Heading 1 2 4 3 7 4 2 2" xfId="22689"/>
    <cellStyle name="Heading 1 2 4 3 7 4 3" xfId="22690"/>
    <cellStyle name="Heading 1 2 4 3 7 5" xfId="22691"/>
    <cellStyle name="Heading 1 2 4 3 7 5 2" xfId="22692"/>
    <cellStyle name="Heading 1 2 4 3 7 5 2 2" xfId="22693"/>
    <cellStyle name="Heading 1 2 4 3 7 5 3" xfId="22694"/>
    <cellStyle name="Heading 1 2 4 3 7 6" xfId="22695"/>
    <cellStyle name="Heading 1 2 4 3 7 6 2" xfId="22696"/>
    <cellStyle name="Heading 1 2 4 3 7 6 2 2" xfId="22697"/>
    <cellStyle name="Heading 1 2 4 3 7 6 3" xfId="22698"/>
    <cellStyle name="Heading 1 2 4 3 7 7" xfId="22699"/>
    <cellStyle name="Heading 1 2 4 3 7 7 2" xfId="22700"/>
    <cellStyle name="Heading 1 2 4 3 7 7 2 2" xfId="22701"/>
    <cellStyle name="Heading 1 2 4 3 7 7 3" xfId="22702"/>
    <cellStyle name="Heading 1 2 4 3 7 8" xfId="22703"/>
    <cellStyle name="Heading 1 2 4 3 7 8 2" xfId="22704"/>
    <cellStyle name="Heading 1 2 4 3 7 9" xfId="22705"/>
    <cellStyle name="Heading 1 2 4 3 8" xfId="22706"/>
    <cellStyle name="Heading 1 2 4 3 8 2" xfId="22707"/>
    <cellStyle name="Heading 1 2 4 3 8 2 2" xfId="22708"/>
    <cellStyle name="Heading 1 2 4 3 8 2 2 2" xfId="22709"/>
    <cellStyle name="Heading 1 2 4 3 8 2 3" xfId="22710"/>
    <cellStyle name="Heading 1 2 4 3 8 3" xfId="22711"/>
    <cellStyle name="Heading 1 2 4 3 8 3 2" xfId="22712"/>
    <cellStyle name="Heading 1 2 4 3 8 3 2 2" xfId="22713"/>
    <cellStyle name="Heading 1 2 4 3 8 3 3" xfId="22714"/>
    <cellStyle name="Heading 1 2 4 3 8 4" xfId="22715"/>
    <cellStyle name="Heading 1 2 4 3 8 4 2" xfId="22716"/>
    <cellStyle name="Heading 1 2 4 3 8 4 2 2" xfId="22717"/>
    <cellStyle name="Heading 1 2 4 3 8 4 3" xfId="22718"/>
    <cellStyle name="Heading 1 2 4 3 8 5" xfId="22719"/>
    <cellStyle name="Heading 1 2 4 3 8 5 2" xfId="22720"/>
    <cellStyle name="Heading 1 2 4 3 8 5 2 2" xfId="22721"/>
    <cellStyle name="Heading 1 2 4 3 8 5 3" xfId="22722"/>
    <cellStyle name="Heading 1 2 4 3 8 6" xfId="22723"/>
    <cellStyle name="Heading 1 2 4 3 8 6 2" xfId="22724"/>
    <cellStyle name="Heading 1 2 4 3 8 6 2 2" xfId="22725"/>
    <cellStyle name="Heading 1 2 4 3 8 6 3" xfId="22726"/>
    <cellStyle name="Heading 1 2 4 3 8 7" xfId="22727"/>
    <cellStyle name="Heading 1 2 4 3 8 7 2" xfId="22728"/>
    <cellStyle name="Heading 1 2 4 3 8 7 2 2" xfId="22729"/>
    <cellStyle name="Heading 1 2 4 3 8 7 3" xfId="22730"/>
    <cellStyle name="Heading 1 2 4 3 8 8" xfId="22731"/>
    <cellStyle name="Heading 1 2 4 3 8 8 2" xfId="22732"/>
    <cellStyle name="Heading 1 2 4 3 8 9" xfId="22733"/>
    <cellStyle name="Heading 1 2 4 3 9" xfId="22734"/>
    <cellStyle name="Heading 1 2 4 3 9 2" xfId="22735"/>
    <cellStyle name="Heading 1 2 4 3 9 2 2" xfId="22736"/>
    <cellStyle name="Heading 1 2 4 3 9 2 2 2" xfId="22737"/>
    <cellStyle name="Heading 1 2 4 3 9 2 3" xfId="22738"/>
    <cellStyle name="Heading 1 2 4 3 9 3" xfId="22739"/>
    <cellStyle name="Heading 1 2 4 3 9 3 2" xfId="22740"/>
    <cellStyle name="Heading 1 2 4 3 9 3 2 2" xfId="22741"/>
    <cellStyle name="Heading 1 2 4 3 9 3 3" xfId="22742"/>
    <cellStyle name="Heading 1 2 4 3 9 4" xfId="22743"/>
    <cellStyle name="Heading 1 2 4 3 9 4 2" xfId="22744"/>
    <cellStyle name="Heading 1 2 4 3 9 4 2 2" xfId="22745"/>
    <cellStyle name="Heading 1 2 4 3 9 4 3" xfId="22746"/>
    <cellStyle name="Heading 1 2 4 3 9 5" xfId="22747"/>
    <cellStyle name="Heading 1 2 4 3 9 5 2" xfId="22748"/>
    <cellStyle name="Heading 1 2 4 3 9 5 2 2" xfId="22749"/>
    <cellStyle name="Heading 1 2 4 3 9 5 3" xfId="22750"/>
    <cellStyle name="Heading 1 2 4 3 9 6" xfId="22751"/>
    <cellStyle name="Heading 1 2 4 3 9 6 2" xfId="22752"/>
    <cellStyle name="Heading 1 2 4 3 9 6 2 2" xfId="22753"/>
    <cellStyle name="Heading 1 2 4 3 9 6 3" xfId="22754"/>
    <cellStyle name="Heading 1 2 4 3 9 7" xfId="22755"/>
    <cellStyle name="Heading 1 2 4 3 9 7 2" xfId="22756"/>
    <cellStyle name="Heading 1 2 4 3 9 7 2 2" xfId="22757"/>
    <cellStyle name="Heading 1 2 4 3 9 7 3" xfId="22758"/>
    <cellStyle name="Heading 1 2 4 3 9 8" xfId="22759"/>
    <cellStyle name="Heading 1 2 4 3 9 8 2" xfId="22760"/>
    <cellStyle name="Heading 1 2 4 3 9 9" xfId="22761"/>
    <cellStyle name="Heading 1 2 4 4" xfId="22762"/>
    <cellStyle name="Heading 1 2 4 4 10" xfId="22763"/>
    <cellStyle name="Heading 1 2 4 4 10 2" xfId="22764"/>
    <cellStyle name="Heading 1 2 4 4 10 2 2" xfId="22765"/>
    <cellStyle name="Heading 1 2 4 4 10 3" xfId="22766"/>
    <cellStyle name="Heading 1 2 4 4 11" xfId="22767"/>
    <cellStyle name="Heading 1 2 4 4 11 2" xfId="22768"/>
    <cellStyle name="Heading 1 2 4 4 11 2 2" xfId="22769"/>
    <cellStyle name="Heading 1 2 4 4 11 3" xfId="22770"/>
    <cellStyle name="Heading 1 2 4 4 12" xfId="22771"/>
    <cellStyle name="Heading 1 2 4 4 12 2" xfId="22772"/>
    <cellStyle name="Heading 1 2 4 4 12 2 2" xfId="22773"/>
    <cellStyle name="Heading 1 2 4 4 12 3" xfId="22774"/>
    <cellStyle name="Heading 1 2 4 4 13" xfId="22775"/>
    <cellStyle name="Heading 1 2 4 4 13 2" xfId="22776"/>
    <cellStyle name="Heading 1 2 4 4 13 2 2" xfId="22777"/>
    <cellStyle name="Heading 1 2 4 4 13 3" xfId="22778"/>
    <cellStyle name="Heading 1 2 4 4 14" xfId="22779"/>
    <cellStyle name="Heading 1 2 4 4 14 2" xfId="22780"/>
    <cellStyle name="Heading 1 2 4 4 14 2 2" xfId="22781"/>
    <cellStyle name="Heading 1 2 4 4 14 3" xfId="22782"/>
    <cellStyle name="Heading 1 2 4 4 15" xfId="22783"/>
    <cellStyle name="Heading 1 2 4 4 15 2" xfId="22784"/>
    <cellStyle name="Heading 1 2 4 4 15 2 2" xfId="22785"/>
    <cellStyle name="Heading 1 2 4 4 15 3" xfId="22786"/>
    <cellStyle name="Heading 1 2 4 4 16" xfId="22787"/>
    <cellStyle name="Heading 1 2 4 4 16 2" xfId="22788"/>
    <cellStyle name="Heading 1 2 4 4 16 2 2" xfId="22789"/>
    <cellStyle name="Heading 1 2 4 4 16 3" xfId="22790"/>
    <cellStyle name="Heading 1 2 4 4 17" xfId="22791"/>
    <cellStyle name="Heading 1 2 4 4 17 2" xfId="22792"/>
    <cellStyle name="Heading 1 2 4 4 17 2 2" xfId="22793"/>
    <cellStyle name="Heading 1 2 4 4 17 3" xfId="22794"/>
    <cellStyle name="Heading 1 2 4 4 18" xfId="22795"/>
    <cellStyle name="Heading 1 2 4 4 18 2" xfId="22796"/>
    <cellStyle name="Heading 1 2 4 4 18 2 2" xfId="22797"/>
    <cellStyle name="Heading 1 2 4 4 18 3" xfId="22798"/>
    <cellStyle name="Heading 1 2 4 4 19" xfId="22799"/>
    <cellStyle name="Heading 1 2 4 4 19 2" xfId="22800"/>
    <cellStyle name="Heading 1 2 4 4 2" xfId="22801"/>
    <cellStyle name="Heading 1 2 4 4 2 2" xfId="22802"/>
    <cellStyle name="Heading 1 2 4 4 2 2 2" xfId="22803"/>
    <cellStyle name="Heading 1 2 4 4 2 2 2 2" xfId="22804"/>
    <cellStyle name="Heading 1 2 4 4 2 2 3" xfId="22805"/>
    <cellStyle name="Heading 1 2 4 4 2 3" xfId="22806"/>
    <cellStyle name="Heading 1 2 4 4 2 3 2" xfId="22807"/>
    <cellStyle name="Heading 1 2 4 4 2 3 2 2" xfId="22808"/>
    <cellStyle name="Heading 1 2 4 4 2 3 3" xfId="22809"/>
    <cellStyle name="Heading 1 2 4 4 2 4" xfId="22810"/>
    <cellStyle name="Heading 1 2 4 4 2 4 2" xfId="22811"/>
    <cellStyle name="Heading 1 2 4 4 2 4 2 2" xfId="22812"/>
    <cellStyle name="Heading 1 2 4 4 2 4 3" xfId="22813"/>
    <cellStyle name="Heading 1 2 4 4 2 5" xfId="22814"/>
    <cellStyle name="Heading 1 2 4 4 2 5 2" xfId="22815"/>
    <cellStyle name="Heading 1 2 4 4 2 5 2 2" xfId="22816"/>
    <cellStyle name="Heading 1 2 4 4 2 5 3" xfId="22817"/>
    <cellStyle name="Heading 1 2 4 4 2 6" xfId="22818"/>
    <cellStyle name="Heading 1 2 4 4 2 6 2" xfId="22819"/>
    <cellStyle name="Heading 1 2 4 4 2 6 2 2" xfId="22820"/>
    <cellStyle name="Heading 1 2 4 4 2 6 3" xfId="22821"/>
    <cellStyle name="Heading 1 2 4 4 2 7" xfId="22822"/>
    <cellStyle name="Heading 1 2 4 4 2 7 2" xfId="22823"/>
    <cellStyle name="Heading 1 2 4 4 2 7 2 2" xfId="22824"/>
    <cellStyle name="Heading 1 2 4 4 2 7 3" xfId="22825"/>
    <cellStyle name="Heading 1 2 4 4 2 8" xfId="22826"/>
    <cellStyle name="Heading 1 2 4 4 2 8 2" xfId="22827"/>
    <cellStyle name="Heading 1 2 4 4 2 9" xfId="22828"/>
    <cellStyle name="Heading 1 2 4 4 20" xfId="22829"/>
    <cellStyle name="Heading 1 2 4 4 20 2" xfId="22830"/>
    <cellStyle name="Heading 1 2 4 4 21" xfId="22831"/>
    <cellStyle name="Heading 1 2 4 4 21 2" xfId="22832"/>
    <cellStyle name="Heading 1 2 4 4 22" xfId="22833"/>
    <cellStyle name="Heading 1 2 4 4 3" xfId="22834"/>
    <cellStyle name="Heading 1 2 4 4 3 2" xfId="22835"/>
    <cellStyle name="Heading 1 2 4 4 3 2 2" xfId="22836"/>
    <cellStyle name="Heading 1 2 4 4 3 2 2 2" xfId="22837"/>
    <cellStyle name="Heading 1 2 4 4 3 2 3" xfId="22838"/>
    <cellStyle name="Heading 1 2 4 4 3 3" xfId="22839"/>
    <cellStyle name="Heading 1 2 4 4 3 3 2" xfId="22840"/>
    <cellStyle name="Heading 1 2 4 4 3 3 2 2" xfId="22841"/>
    <cellStyle name="Heading 1 2 4 4 3 3 3" xfId="22842"/>
    <cellStyle name="Heading 1 2 4 4 3 4" xfId="22843"/>
    <cellStyle name="Heading 1 2 4 4 3 4 2" xfId="22844"/>
    <cellStyle name="Heading 1 2 4 4 3 4 2 2" xfId="22845"/>
    <cellStyle name="Heading 1 2 4 4 3 4 3" xfId="22846"/>
    <cellStyle name="Heading 1 2 4 4 3 5" xfId="22847"/>
    <cellStyle name="Heading 1 2 4 4 3 5 2" xfId="22848"/>
    <cellStyle name="Heading 1 2 4 4 3 5 2 2" xfId="22849"/>
    <cellStyle name="Heading 1 2 4 4 3 5 3" xfId="22850"/>
    <cellStyle name="Heading 1 2 4 4 3 6" xfId="22851"/>
    <cellStyle name="Heading 1 2 4 4 3 6 2" xfId="22852"/>
    <cellStyle name="Heading 1 2 4 4 3 6 2 2" xfId="22853"/>
    <cellStyle name="Heading 1 2 4 4 3 6 3" xfId="22854"/>
    <cellStyle name="Heading 1 2 4 4 3 7" xfId="22855"/>
    <cellStyle name="Heading 1 2 4 4 3 7 2" xfId="22856"/>
    <cellStyle name="Heading 1 2 4 4 3 7 2 2" xfId="22857"/>
    <cellStyle name="Heading 1 2 4 4 3 7 3" xfId="22858"/>
    <cellStyle name="Heading 1 2 4 4 3 8" xfId="22859"/>
    <cellStyle name="Heading 1 2 4 4 3 8 2" xfId="22860"/>
    <cellStyle name="Heading 1 2 4 4 3 9" xfId="22861"/>
    <cellStyle name="Heading 1 2 4 4 4" xfId="22862"/>
    <cellStyle name="Heading 1 2 4 4 4 2" xfId="22863"/>
    <cellStyle name="Heading 1 2 4 4 4 2 2" xfId="22864"/>
    <cellStyle name="Heading 1 2 4 4 4 2 2 2" xfId="22865"/>
    <cellStyle name="Heading 1 2 4 4 4 2 3" xfId="22866"/>
    <cellStyle name="Heading 1 2 4 4 4 3" xfId="22867"/>
    <cellStyle name="Heading 1 2 4 4 4 3 2" xfId="22868"/>
    <cellStyle name="Heading 1 2 4 4 4 3 2 2" xfId="22869"/>
    <cellStyle name="Heading 1 2 4 4 4 3 3" xfId="22870"/>
    <cellStyle name="Heading 1 2 4 4 4 4" xfId="22871"/>
    <cellStyle name="Heading 1 2 4 4 4 4 2" xfId="22872"/>
    <cellStyle name="Heading 1 2 4 4 4 4 2 2" xfId="22873"/>
    <cellStyle name="Heading 1 2 4 4 4 4 3" xfId="22874"/>
    <cellStyle name="Heading 1 2 4 4 4 5" xfId="22875"/>
    <cellStyle name="Heading 1 2 4 4 4 5 2" xfId="22876"/>
    <cellStyle name="Heading 1 2 4 4 4 5 2 2" xfId="22877"/>
    <cellStyle name="Heading 1 2 4 4 4 5 3" xfId="22878"/>
    <cellStyle name="Heading 1 2 4 4 4 6" xfId="22879"/>
    <cellStyle name="Heading 1 2 4 4 4 6 2" xfId="22880"/>
    <cellStyle name="Heading 1 2 4 4 4 6 2 2" xfId="22881"/>
    <cellStyle name="Heading 1 2 4 4 4 6 3" xfId="22882"/>
    <cellStyle name="Heading 1 2 4 4 4 7" xfId="22883"/>
    <cellStyle name="Heading 1 2 4 4 4 7 2" xfId="22884"/>
    <cellStyle name="Heading 1 2 4 4 4 7 2 2" xfId="22885"/>
    <cellStyle name="Heading 1 2 4 4 4 7 3" xfId="22886"/>
    <cellStyle name="Heading 1 2 4 4 4 8" xfId="22887"/>
    <cellStyle name="Heading 1 2 4 4 4 8 2" xfId="22888"/>
    <cellStyle name="Heading 1 2 4 4 4 9" xfId="22889"/>
    <cellStyle name="Heading 1 2 4 4 5" xfId="22890"/>
    <cellStyle name="Heading 1 2 4 4 5 2" xfId="22891"/>
    <cellStyle name="Heading 1 2 4 4 5 2 2" xfId="22892"/>
    <cellStyle name="Heading 1 2 4 4 5 2 2 2" xfId="22893"/>
    <cellStyle name="Heading 1 2 4 4 5 2 3" xfId="22894"/>
    <cellStyle name="Heading 1 2 4 4 5 3" xfId="22895"/>
    <cellStyle name="Heading 1 2 4 4 5 3 2" xfId="22896"/>
    <cellStyle name="Heading 1 2 4 4 5 3 2 2" xfId="22897"/>
    <cellStyle name="Heading 1 2 4 4 5 3 3" xfId="22898"/>
    <cellStyle name="Heading 1 2 4 4 5 4" xfId="22899"/>
    <cellStyle name="Heading 1 2 4 4 5 4 2" xfId="22900"/>
    <cellStyle name="Heading 1 2 4 4 5 4 2 2" xfId="22901"/>
    <cellStyle name="Heading 1 2 4 4 5 4 3" xfId="22902"/>
    <cellStyle name="Heading 1 2 4 4 5 5" xfId="22903"/>
    <cellStyle name="Heading 1 2 4 4 5 5 2" xfId="22904"/>
    <cellStyle name="Heading 1 2 4 4 5 5 2 2" xfId="22905"/>
    <cellStyle name="Heading 1 2 4 4 5 5 3" xfId="22906"/>
    <cellStyle name="Heading 1 2 4 4 5 6" xfId="22907"/>
    <cellStyle name="Heading 1 2 4 4 5 6 2" xfId="22908"/>
    <cellStyle name="Heading 1 2 4 4 5 6 2 2" xfId="22909"/>
    <cellStyle name="Heading 1 2 4 4 5 6 3" xfId="22910"/>
    <cellStyle name="Heading 1 2 4 4 5 7" xfId="22911"/>
    <cellStyle name="Heading 1 2 4 4 5 7 2" xfId="22912"/>
    <cellStyle name="Heading 1 2 4 4 5 7 2 2" xfId="22913"/>
    <cellStyle name="Heading 1 2 4 4 5 7 3" xfId="22914"/>
    <cellStyle name="Heading 1 2 4 4 5 8" xfId="22915"/>
    <cellStyle name="Heading 1 2 4 4 5 8 2" xfId="22916"/>
    <cellStyle name="Heading 1 2 4 4 5 9" xfId="22917"/>
    <cellStyle name="Heading 1 2 4 4 6" xfId="22918"/>
    <cellStyle name="Heading 1 2 4 4 6 2" xfId="22919"/>
    <cellStyle name="Heading 1 2 4 4 6 2 2" xfId="22920"/>
    <cellStyle name="Heading 1 2 4 4 6 2 2 2" xfId="22921"/>
    <cellStyle name="Heading 1 2 4 4 6 2 3" xfId="22922"/>
    <cellStyle name="Heading 1 2 4 4 6 3" xfId="22923"/>
    <cellStyle name="Heading 1 2 4 4 6 3 2" xfId="22924"/>
    <cellStyle name="Heading 1 2 4 4 6 3 2 2" xfId="22925"/>
    <cellStyle name="Heading 1 2 4 4 6 3 3" xfId="22926"/>
    <cellStyle name="Heading 1 2 4 4 6 4" xfId="22927"/>
    <cellStyle name="Heading 1 2 4 4 6 4 2" xfId="22928"/>
    <cellStyle name="Heading 1 2 4 4 6 4 2 2" xfId="22929"/>
    <cellStyle name="Heading 1 2 4 4 6 4 3" xfId="22930"/>
    <cellStyle name="Heading 1 2 4 4 6 5" xfId="22931"/>
    <cellStyle name="Heading 1 2 4 4 6 5 2" xfId="22932"/>
    <cellStyle name="Heading 1 2 4 4 6 5 2 2" xfId="22933"/>
    <cellStyle name="Heading 1 2 4 4 6 5 3" xfId="22934"/>
    <cellStyle name="Heading 1 2 4 4 6 6" xfId="22935"/>
    <cellStyle name="Heading 1 2 4 4 6 6 2" xfId="22936"/>
    <cellStyle name="Heading 1 2 4 4 6 6 2 2" xfId="22937"/>
    <cellStyle name="Heading 1 2 4 4 6 6 3" xfId="22938"/>
    <cellStyle name="Heading 1 2 4 4 6 7" xfId="22939"/>
    <cellStyle name="Heading 1 2 4 4 6 7 2" xfId="22940"/>
    <cellStyle name="Heading 1 2 4 4 6 7 2 2" xfId="22941"/>
    <cellStyle name="Heading 1 2 4 4 6 7 3" xfId="22942"/>
    <cellStyle name="Heading 1 2 4 4 6 8" xfId="22943"/>
    <cellStyle name="Heading 1 2 4 4 6 8 2" xfId="22944"/>
    <cellStyle name="Heading 1 2 4 4 6 9" xfId="22945"/>
    <cellStyle name="Heading 1 2 4 4 7" xfId="22946"/>
    <cellStyle name="Heading 1 2 4 4 7 2" xfId="22947"/>
    <cellStyle name="Heading 1 2 4 4 7 2 2" xfId="22948"/>
    <cellStyle name="Heading 1 2 4 4 7 2 2 2" xfId="22949"/>
    <cellStyle name="Heading 1 2 4 4 7 2 3" xfId="22950"/>
    <cellStyle name="Heading 1 2 4 4 7 3" xfId="22951"/>
    <cellStyle name="Heading 1 2 4 4 7 3 2" xfId="22952"/>
    <cellStyle name="Heading 1 2 4 4 7 3 2 2" xfId="22953"/>
    <cellStyle name="Heading 1 2 4 4 7 3 3" xfId="22954"/>
    <cellStyle name="Heading 1 2 4 4 7 4" xfId="22955"/>
    <cellStyle name="Heading 1 2 4 4 7 4 2" xfId="22956"/>
    <cellStyle name="Heading 1 2 4 4 7 4 2 2" xfId="22957"/>
    <cellStyle name="Heading 1 2 4 4 7 4 3" xfId="22958"/>
    <cellStyle name="Heading 1 2 4 4 7 5" xfId="22959"/>
    <cellStyle name="Heading 1 2 4 4 7 5 2" xfId="22960"/>
    <cellStyle name="Heading 1 2 4 4 7 5 2 2" xfId="22961"/>
    <cellStyle name="Heading 1 2 4 4 7 5 3" xfId="22962"/>
    <cellStyle name="Heading 1 2 4 4 7 6" xfId="22963"/>
    <cellStyle name="Heading 1 2 4 4 7 6 2" xfId="22964"/>
    <cellStyle name="Heading 1 2 4 4 7 6 2 2" xfId="22965"/>
    <cellStyle name="Heading 1 2 4 4 7 6 3" xfId="22966"/>
    <cellStyle name="Heading 1 2 4 4 7 7" xfId="22967"/>
    <cellStyle name="Heading 1 2 4 4 7 7 2" xfId="22968"/>
    <cellStyle name="Heading 1 2 4 4 7 7 2 2" xfId="22969"/>
    <cellStyle name="Heading 1 2 4 4 7 7 3" xfId="22970"/>
    <cellStyle name="Heading 1 2 4 4 7 8" xfId="22971"/>
    <cellStyle name="Heading 1 2 4 4 7 8 2" xfId="22972"/>
    <cellStyle name="Heading 1 2 4 4 7 9" xfId="22973"/>
    <cellStyle name="Heading 1 2 4 4 8" xfId="22974"/>
    <cellStyle name="Heading 1 2 4 4 8 2" xfId="22975"/>
    <cellStyle name="Heading 1 2 4 4 8 2 2" xfId="22976"/>
    <cellStyle name="Heading 1 2 4 4 8 2 2 2" xfId="22977"/>
    <cellStyle name="Heading 1 2 4 4 8 2 3" xfId="22978"/>
    <cellStyle name="Heading 1 2 4 4 8 3" xfId="22979"/>
    <cellStyle name="Heading 1 2 4 4 8 3 2" xfId="22980"/>
    <cellStyle name="Heading 1 2 4 4 8 3 2 2" xfId="22981"/>
    <cellStyle name="Heading 1 2 4 4 8 3 3" xfId="22982"/>
    <cellStyle name="Heading 1 2 4 4 8 4" xfId="22983"/>
    <cellStyle name="Heading 1 2 4 4 8 4 2" xfId="22984"/>
    <cellStyle name="Heading 1 2 4 4 8 4 2 2" xfId="22985"/>
    <cellStyle name="Heading 1 2 4 4 8 4 3" xfId="22986"/>
    <cellStyle name="Heading 1 2 4 4 8 5" xfId="22987"/>
    <cellStyle name="Heading 1 2 4 4 8 5 2" xfId="22988"/>
    <cellStyle name="Heading 1 2 4 4 8 5 2 2" xfId="22989"/>
    <cellStyle name="Heading 1 2 4 4 8 5 3" xfId="22990"/>
    <cellStyle name="Heading 1 2 4 4 8 6" xfId="22991"/>
    <cellStyle name="Heading 1 2 4 4 8 6 2" xfId="22992"/>
    <cellStyle name="Heading 1 2 4 4 8 6 2 2" xfId="22993"/>
    <cellStyle name="Heading 1 2 4 4 8 6 3" xfId="22994"/>
    <cellStyle name="Heading 1 2 4 4 8 7" xfId="22995"/>
    <cellStyle name="Heading 1 2 4 4 8 7 2" xfId="22996"/>
    <cellStyle name="Heading 1 2 4 4 8 7 2 2" xfId="22997"/>
    <cellStyle name="Heading 1 2 4 4 8 7 3" xfId="22998"/>
    <cellStyle name="Heading 1 2 4 4 8 8" xfId="22999"/>
    <cellStyle name="Heading 1 2 4 4 8 8 2" xfId="23000"/>
    <cellStyle name="Heading 1 2 4 4 8 9" xfId="23001"/>
    <cellStyle name="Heading 1 2 4 4 9" xfId="23002"/>
    <cellStyle name="Heading 1 2 4 4 9 2" xfId="23003"/>
    <cellStyle name="Heading 1 2 4 4 9 2 2" xfId="23004"/>
    <cellStyle name="Heading 1 2 4 4 9 3" xfId="23005"/>
    <cellStyle name="Heading 1 2 4 5" xfId="23006"/>
    <cellStyle name="Heading 1 2 4 5 2" xfId="23007"/>
    <cellStyle name="Heading 1 2 4 5 2 2" xfId="23008"/>
    <cellStyle name="Heading 1 2 4 5 3" xfId="23009"/>
    <cellStyle name="Heading 1 2 4 6" xfId="23010"/>
    <cellStyle name="Heading 1 2 4 6 2" xfId="23011"/>
    <cellStyle name="Heading 1 2 4 7" xfId="23012"/>
    <cellStyle name="Heading 1 2 5" xfId="23013"/>
    <cellStyle name="Heading 1 2 5 2" xfId="23014"/>
    <cellStyle name="Heading 1 2 5 2 10" xfId="23015"/>
    <cellStyle name="Heading 1 2 5 2 10 2" xfId="23016"/>
    <cellStyle name="Heading 1 2 5 2 10 2 2" xfId="23017"/>
    <cellStyle name="Heading 1 2 5 2 10 3" xfId="23018"/>
    <cellStyle name="Heading 1 2 5 2 11" xfId="23019"/>
    <cellStyle name="Heading 1 2 5 2 11 2" xfId="23020"/>
    <cellStyle name="Heading 1 2 5 2 11 2 2" xfId="23021"/>
    <cellStyle name="Heading 1 2 5 2 11 3" xfId="23022"/>
    <cellStyle name="Heading 1 2 5 2 12" xfId="23023"/>
    <cellStyle name="Heading 1 2 5 2 12 2" xfId="23024"/>
    <cellStyle name="Heading 1 2 5 2 12 2 2" xfId="23025"/>
    <cellStyle name="Heading 1 2 5 2 12 3" xfId="23026"/>
    <cellStyle name="Heading 1 2 5 2 13" xfId="23027"/>
    <cellStyle name="Heading 1 2 5 2 13 2" xfId="23028"/>
    <cellStyle name="Heading 1 2 5 2 13 2 2" xfId="23029"/>
    <cellStyle name="Heading 1 2 5 2 13 3" xfId="23030"/>
    <cellStyle name="Heading 1 2 5 2 14" xfId="23031"/>
    <cellStyle name="Heading 1 2 5 2 14 2" xfId="23032"/>
    <cellStyle name="Heading 1 2 5 2 14 2 2" xfId="23033"/>
    <cellStyle name="Heading 1 2 5 2 14 3" xfId="23034"/>
    <cellStyle name="Heading 1 2 5 2 15" xfId="23035"/>
    <cellStyle name="Heading 1 2 5 2 15 2" xfId="23036"/>
    <cellStyle name="Heading 1 2 5 2 15 2 2" xfId="23037"/>
    <cellStyle name="Heading 1 2 5 2 15 3" xfId="23038"/>
    <cellStyle name="Heading 1 2 5 2 16" xfId="23039"/>
    <cellStyle name="Heading 1 2 5 2 16 2" xfId="23040"/>
    <cellStyle name="Heading 1 2 5 2 16 2 2" xfId="23041"/>
    <cellStyle name="Heading 1 2 5 2 16 3" xfId="23042"/>
    <cellStyle name="Heading 1 2 5 2 17" xfId="23043"/>
    <cellStyle name="Heading 1 2 5 2 17 2" xfId="23044"/>
    <cellStyle name="Heading 1 2 5 2 17 2 2" xfId="23045"/>
    <cellStyle name="Heading 1 2 5 2 17 3" xfId="23046"/>
    <cellStyle name="Heading 1 2 5 2 18" xfId="23047"/>
    <cellStyle name="Heading 1 2 5 2 18 2" xfId="23048"/>
    <cellStyle name="Heading 1 2 5 2 18 2 2" xfId="23049"/>
    <cellStyle name="Heading 1 2 5 2 18 3" xfId="23050"/>
    <cellStyle name="Heading 1 2 5 2 19" xfId="23051"/>
    <cellStyle name="Heading 1 2 5 2 19 2" xfId="23052"/>
    <cellStyle name="Heading 1 2 5 2 19 2 2" xfId="23053"/>
    <cellStyle name="Heading 1 2 5 2 19 3" xfId="23054"/>
    <cellStyle name="Heading 1 2 5 2 2" xfId="23055"/>
    <cellStyle name="Heading 1 2 5 2 2 10" xfId="23056"/>
    <cellStyle name="Heading 1 2 5 2 2 10 2" xfId="23057"/>
    <cellStyle name="Heading 1 2 5 2 2 10 2 2" xfId="23058"/>
    <cellStyle name="Heading 1 2 5 2 2 10 3" xfId="23059"/>
    <cellStyle name="Heading 1 2 5 2 2 11" xfId="23060"/>
    <cellStyle name="Heading 1 2 5 2 2 11 2" xfId="23061"/>
    <cellStyle name="Heading 1 2 5 2 2 11 2 2" xfId="23062"/>
    <cellStyle name="Heading 1 2 5 2 2 11 3" xfId="23063"/>
    <cellStyle name="Heading 1 2 5 2 2 12" xfId="23064"/>
    <cellStyle name="Heading 1 2 5 2 2 12 2" xfId="23065"/>
    <cellStyle name="Heading 1 2 5 2 2 12 2 2" xfId="23066"/>
    <cellStyle name="Heading 1 2 5 2 2 12 3" xfId="23067"/>
    <cellStyle name="Heading 1 2 5 2 2 13" xfId="23068"/>
    <cellStyle name="Heading 1 2 5 2 2 13 2" xfId="23069"/>
    <cellStyle name="Heading 1 2 5 2 2 13 2 2" xfId="23070"/>
    <cellStyle name="Heading 1 2 5 2 2 13 3" xfId="23071"/>
    <cellStyle name="Heading 1 2 5 2 2 14" xfId="23072"/>
    <cellStyle name="Heading 1 2 5 2 2 14 2" xfId="23073"/>
    <cellStyle name="Heading 1 2 5 2 2 14 2 2" xfId="23074"/>
    <cellStyle name="Heading 1 2 5 2 2 14 3" xfId="23075"/>
    <cellStyle name="Heading 1 2 5 2 2 15" xfId="23076"/>
    <cellStyle name="Heading 1 2 5 2 2 15 2" xfId="23077"/>
    <cellStyle name="Heading 1 2 5 2 2 15 2 2" xfId="23078"/>
    <cellStyle name="Heading 1 2 5 2 2 15 3" xfId="23079"/>
    <cellStyle name="Heading 1 2 5 2 2 16" xfId="23080"/>
    <cellStyle name="Heading 1 2 5 2 2 16 2" xfId="23081"/>
    <cellStyle name="Heading 1 2 5 2 2 16 2 2" xfId="23082"/>
    <cellStyle name="Heading 1 2 5 2 2 16 3" xfId="23083"/>
    <cellStyle name="Heading 1 2 5 2 2 17" xfId="23084"/>
    <cellStyle name="Heading 1 2 5 2 2 17 2" xfId="23085"/>
    <cellStyle name="Heading 1 2 5 2 2 17 2 2" xfId="23086"/>
    <cellStyle name="Heading 1 2 5 2 2 17 3" xfId="23087"/>
    <cellStyle name="Heading 1 2 5 2 2 18" xfId="23088"/>
    <cellStyle name="Heading 1 2 5 2 2 18 2" xfId="23089"/>
    <cellStyle name="Heading 1 2 5 2 2 18 2 2" xfId="23090"/>
    <cellStyle name="Heading 1 2 5 2 2 18 3" xfId="23091"/>
    <cellStyle name="Heading 1 2 5 2 2 19" xfId="23092"/>
    <cellStyle name="Heading 1 2 5 2 2 19 2" xfId="23093"/>
    <cellStyle name="Heading 1 2 5 2 2 2" xfId="23094"/>
    <cellStyle name="Heading 1 2 5 2 2 2 2" xfId="23095"/>
    <cellStyle name="Heading 1 2 5 2 2 2 2 2" xfId="23096"/>
    <cellStyle name="Heading 1 2 5 2 2 2 2 2 2" xfId="23097"/>
    <cellStyle name="Heading 1 2 5 2 2 2 2 3" xfId="23098"/>
    <cellStyle name="Heading 1 2 5 2 2 2 3" xfId="23099"/>
    <cellStyle name="Heading 1 2 5 2 2 2 3 2" xfId="23100"/>
    <cellStyle name="Heading 1 2 5 2 2 2 3 2 2" xfId="23101"/>
    <cellStyle name="Heading 1 2 5 2 2 2 3 3" xfId="23102"/>
    <cellStyle name="Heading 1 2 5 2 2 2 4" xfId="23103"/>
    <cellStyle name="Heading 1 2 5 2 2 2 4 2" xfId="23104"/>
    <cellStyle name="Heading 1 2 5 2 2 2 4 2 2" xfId="23105"/>
    <cellStyle name="Heading 1 2 5 2 2 2 4 3" xfId="23106"/>
    <cellStyle name="Heading 1 2 5 2 2 2 5" xfId="23107"/>
    <cellStyle name="Heading 1 2 5 2 2 2 5 2" xfId="23108"/>
    <cellStyle name="Heading 1 2 5 2 2 2 5 2 2" xfId="23109"/>
    <cellStyle name="Heading 1 2 5 2 2 2 5 3" xfId="23110"/>
    <cellStyle name="Heading 1 2 5 2 2 2 6" xfId="23111"/>
    <cellStyle name="Heading 1 2 5 2 2 2 6 2" xfId="23112"/>
    <cellStyle name="Heading 1 2 5 2 2 2 6 2 2" xfId="23113"/>
    <cellStyle name="Heading 1 2 5 2 2 2 6 3" xfId="23114"/>
    <cellStyle name="Heading 1 2 5 2 2 2 7" xfId="23115"/>
    <cellStyle name="Heading 1 2 5 2 2 2 7 2" xfId="23116"/>
    <cellStyle name="Heading 1 2 5 2 2 2 7 2 2" xfId="23117"/>
    <cellStyle name="Heading 1 2 5 2 2 2 7 3" xfId="23118"/>
    <cellStyle name="Heading 1 2 5 2 2 2 8" xfId="23119"/>
    <cellStyle name="Heading 1 2 5 2 2 2 8 2" xfId="23120"/>
    <cellStyle name="Heading 1 2 5 2 2 2 9" xfId="23121"/>
    <cellStyle name="Heading 1 2 5 2 2 20" xfId="23122"/>
    <cellStyle name="Heading 1 2 5 2 2 20 2" xfId="23123"/>
    <cellStyle name="Heading 1 2 5 2 2 21" xfId="23124"/>
    <cellStyle name="Heading 1 2 5 2 2 21 2" xfId="23125"/>
    <cellStyle name="Heading 1 2 5 2 2 22" xfId="23126"/>
    <cellStyle name="Heading 1 2 5 2 2 3" xfId="23127"/>
    <cellStyle name="Heading 1 2 5 2 2 3 2" xfId="23128"/>
    <cellStyle name="Heading 1 2 5 2 2 3 2 2" xfId="23129"/>
    <cellStyle name="Heading 1 2 5 2 2 3 2 2 2" xfId="23130"/>
    <cellStyle name="Heading 1 2 5 2 2 3 2 3" xfId="23131"/>
    <cellStyle name="Heading 1 2 5 2 2 3 3" xfId="23132"/>
    <cellStyle name="Heading 1 2 5 2 2 3 3 2" xfId="23133"/>
    <cellStyle name="Heading 1 2 5 2 2 3 3 2 2" xfId="23134"/>
    <cellStyle name="Heading 1 2 5 2 2 3 3 3" xfId="23135"/>
    <cellStyle name="Heading 1 2 5 2 2 3 4" xfId="23136"/>
    <cellStyle name="Heading 1 2 5 2 2 3 4 2" xfId="23137"/>
    <cellStyle name="Heading 1 2 5 2 2 3 4 2 2" xfId="23138"/>
    <cellStyle name="Heading 1 2 5 2 2 3 4 3" xfId="23139"/>
    <cellStyle name="Heading 1 2 5 2 2 3 5" xfId="23140"/>
    <cellStyle name="Heading 1 2 5 2 2 3 5 2" xfId="23141"/>
    <cellStyle name="Heading 1 2 5 2 2 3 5 2 2" xfId="23142"/>
    <cellStyle name="Heading 1 2 5 2 2 3 5 3" xfId="23143"/>
    <cellStyle name="Heading 1 2 5 2 2 3 6" xfId="23144"/>
    <cellStyle name="Heading 1 2 5 2 2 3 6 2" xfId="23145"/>
    <cellStyle name="Heading 1 2 5 2 2 3 6 2 2" xfId="23146"/>
    <cellStyle name="Heading 1 2 5 2 2 3 6 3" xfId="23147"/>
    <cellStyle name="Heading 1 2 5 2 2 3 7" xfId="23148"/>
    <cellStyle name="Heading 1 2 5 2 2 3 7 2" xfId="23149"/>
    <cellStyle name="Heading 1 2 5 2 2 3 7 2 2" xfId="23150"/>
    <cellStyle name="Heading 1 2 5 2 2 3 7 3" xfId="23151"/>
    <cellStyle name="Heading 1 2 5 2 2 3 8" xfId="23152"/>
    <cellStyle name="Heading 1 2 5 2 2 3 8 2" xfId="23153"/>
    <cellStyle name="Heading 1 2 5 2 2 3 9" xfId="23154"/>
    <cellStyle name="Heading 1 2 5 2 2 4" xfId="23155"/>
    <cellStyle name="Heading 1 2 5 2 2 4 2" xfId="23156"/>
    <cellStyle name="Heading 1 2 5 2 2 4 2 2" xfId="23157"/>
    <cellStyle name="Heading 1 2 5 2 2 4 2 2 2" xfId="23158"/>
    <cellStyle name="Heading 1 2 5 2 2 4 2 3" xfId="23159"/>
    <cellStyle name="Heading 1 2 5 2 2 4 3" xfId="23160"/>
    <cellStyle name="Heading 1 2 5 2 2 4 3 2" xfId="23161"/>
    <cellStyle name="Heading 1 2 5 2 2 4 3 2 2" xfId="23162"/>
    <cellStyle name="Heading 1 2 5 2 2 4 3 3" xfId="23163"/>
    <cellStyle name="Heading 1 2 5 2 2 4 4" xfId="23164"/>
    <cellStyle name="Heading 1 2 5 2 2 4 4 2" xfId="23165"/>
    <cellStyle name="Heading 1 2 5 2 2 4 4 2 2" xfId="23166"/>
    <cellStyle name="Heading 1 2 5 2 2 4 4 3" xfId="23167"/>
    <cellStyle name="Heading 1 2 5 2 2 4 5" xfId="23168"/>
    <cellStyle name="Heading 1 2 5 2 2 4 5 2" xfId="23169"/>
    <cellStyle name="Heading 1 2 5 2 2 4 5 2 2" xfId="23170"/>
    <cellStyle name="Heading 1 2 5 2 2 4 5 3" xfId="23171"/>
    <cellStyle name="Heading 1 2 5 2 2 4 6" xfId="23172"/>
    <cellStyle name="Heading 1 2 5 2 2 4 6 2" xfId="23173"/>
    <cellStyle name="Heading 1 2 5 2 2 4 6 2 2" xfId="23174"/>
    <cellStyle name="Heading 1 2 5 2 2 4 6 3" xfId="23175"/>
    <cellStyle name="Heading 1 2 5 2 2 4 7" xfId="23176"/>
    <cellStyle name="Heading 1 2 5 2 2 4 7 2" xfId="23177"/>
    <cellStyle name="Heading 1 2 5 2 2 4 7 2 2" xfId="23178"/>
    <cellStyle name="Heading 1 2 5 2 2 4 7 3" xfId="23179"/>
    <cellStyle name="Heading 1 2 5 2 2 4 8" xfId="23180"/>
    <cellStyle name="Heading 1 2 5 2 2 4 8 2" xfId="23181"/>
    <cellStyle name="Heading 1 2 5 2 2 4 9" xfId="23182"/>
    <cellStyle name="Heading 1 2 5 2 2 5" xfId="23183"/>
    <cellStyle name="Heading 1 2 5 2 2 5 2" xfId="23184"/>
    <cellStyle name="Heading 1 2 5 2 2 5 2 2" xfId="23185"/>
    <cellStyle name="Heading 1 2 5 2 2 5 2 2 2" xfId="23186"/>
    <cellStyle name="Heading 1 2 5 2 2 5 2 3" xfId="23187"/>
    <cellStyle name="Heading 1 2 5 2 2 5 3" xfId="23188"/>
    <cellStyle name="Heading 1 2 5 2 2 5 3 2" xfId="23189"/>
    <cellStyle name="Heading 1 2 5 2 2 5 3 2 2" xfId="23190"/>
    <cellStyle name="Heading 1 2 5 2 2 5 3 3" xfId="23191"/>
    <cellStyle name="Heading 1 2 5 2 2 5 4" xfId="23192"/>
    <cellStyle name="Heading 1 2 5 2 2 5 4 2" xfId="23193"/>
    <cellStyle name="Heading 1 2 5 2 2 5 4 2 2" xfId="23194"/>
    <cellStyle name="Heading 1 2 5 2 2 5 4 3" xfId="23195"/>
    <cellStyle name="Heading 1 2 5 2 2 5 5" xfId="23196"/>
    <cellStyle name="Heading 1 2 5 2 2 5 5 2" xfId="23197"/>
    <cellStyle name="Heading 1 2 5 2 2 5 5 2 2" xfId="23198"/>
    <cellStyle name="Heading 1 2 5 2 2 5 5 3" xfId="23199"/>
    <cellStyle name="Heading 1 2 5 2 2 5 6" xfId="23200"/>
    <cellStyle name="Heading 1 2 5 2 2 5 6 2" xfId="23201"/>
    <cellStyle name="Heading 1 2 5 2 2 5 6 2 2" xfId="23202"/>
    <cellStyle name="Heading 1 2 5 2 2 5 6 3" xfId="23203"/>
    <cellStyle name="Heading 1 2 5 2 2 5 7" xfId="23204"/>
    <cellStyle name="Heading 1 2 5 2 2 5 7 2" xfId="23205"/>
    <cellStyle name="Heading 1 2 5 2 2 5 7 2 2" xfId="23206"/>
    <cellStyle name="Heading 1 2 5 2 2 5 7 3" xfId="23207"/>
    <cellStyle name="Heading 1 2 5 2 2 5 8" xfId="23208"/>
    <cellStyle name="Heading 1 2 5 2 2 5 8 2" xfId="23209"/>
    <cellStyle name="Heading 1 2 5 2 2 5 9" xfId="23210"/>
    <cellStyle name="Heading 1 2 5 2 2 6" xfId="23211"/>
    <cellStyle name="Heading 1 2 5 2 2 6 2" xfId="23212"/>
    <cellStyle name="Heading 1 2 5 2 2 6 2 2" xfId="23213"/>
    <cellStyle name="Heading 1 2 5 2 2 6 2 2 2" xfId="23214"/>
    <cellStyle name="Heading 1 2 5 2 2 6 2 3" xfId="23215"/>
    <cellStyle name="Heading 1 2 5 2 2 6 3" xfId="23216"/>
    <cellStyle name="Heading 1 2 5 2 2 6 3 2" xfId="23217"/>
    <cellStyle name="Heading 1 2 5 2 2 6 3 2 2" xfId="23218"/>
    <cellStyle name="Heading 1 2 5 2 2 6 3 3" xfId="23219"/>
    <cellStyle name="Heading 1 2 5 2 2 6 4" xfId="23220"/>
    <cellStyle name="Heading 1 2 5 2 2 6 4 2" xfId="23221"/>
    <cellStyle name="Heading 1 2 5 2 2 6 4 2 2" xfId="23222"/>
    <cellStyle name="Heading 1 2 5 2 2 6 4 3" xfId="23223"/>
    <cellStyle name="Heading 1 2 5 2 2 6 5" xfId="23224"/>
    <cellStyle name="Heading 1 2 5 2 2 6 5 2" xfId="23225"/>
    <cellStyle name="Heading 1 2 5 2 2 6 5 2 2" xfId="23226"/>
    <cellStyle name="Heading 1 2 5 2 2 6 5 3" xfId="23227"/>
    <cellStyle name="Heading 1 2 5 2 2 6 6" xfId="23228"/>
    <cellStyle name="Heading 1 2 5 2 2 6 6 2" xfId="23229"/>
    <cellStyle name="Heading 1 2 5 2 2 6 6 2 2" xfId="23230"/>
    <cellStyle name="Heading 1 2 5 2 2 6 6 3" xfId="23231"/>
    <cellStyle name="Heading 1 2 5 2 2 6 7" xfId="23232"/>
    <cellStyle name="Heading 1 2 5 2 2 6 7 2" xfId="23233"/>
    <cellStyle name="Heading 1 2 5 2 2 6 7 2 2" xfId="23234"/>
    <cellStyle name="Heading 1 2 5 2 2 6 7 3" xfId="23235"/>
    <cellStyle name="Heading 1 2 5 2 2 6 8" xfId="23236"/>
    <cellStyle name="Heading 1 2 5 2 2 6 8 2" xfId="23237"/>
    <cellStyle name="Heading 1 2 5 2 2 6 9" xfId="23238"/>
    <cellStyle name="Heading 1 2 5 2 2 7" xfId="23239"/>
    <cellStyle name="Heading 1 2 5 2 2 7 2" xfId="23240"/>
    <cellStyle name="Heading 1 2 5 2 2 7 2 2" xfId="23241"/>
    <cellStyle name="Heading 1 2 5 2 2 7 2 2 2" xfId="23242"/>
    <cellStyle name="Heading 1 2 5 2 2 7 2 3" xfId="23243"/>
    <cellStyle name="Heading 1 2 5 2 2 7 3" xfId="23244"/>
    <cellStyle name="Heading 1 2 5 2 2 7 3 2" xfId="23245"/>
    <cellStyle name="Heading 1 2 5 2 2 7 3 2 2" xfId="23246"/>
    <cellStyle name="Heading 1 2 5 2 2 7 3 3" xfId="23247"/>
    <cellStyle name="Heading 1 2 5 2 2 7 4" xfId="23248"/>
    <cellStyle name="Heading 1 2 5 2 2 7 4 2" xfId="23249"/>
    <cellStyle name="Heading 1 2 5 2 2 7 4 2 2" xfId="23250"/>
    <cellStyle name="Heading 1 2 5 2 2 7 4 3" xfId="23251"/>
    <cellStyle name="Heading 1 2 5 2 2 7 5" xfId="23252"/>
    <cellStyle name="Heading 1 2 5 2 2 7 5 2" xfId="23253"/>
    <cellStyle name="Heading 1 2 5 2 2 7 5 2 2" xfId="23254"/>
    <cellStyle name="Heading 1 2 5 2 2 7 5 3" xfId="23255"/>
    <cellStyle name="Heading 1 2 5 2 2 7 6" xfId="23256"/>
    <cellStyle name="Heading 1 2 5 2 2 7 6 2" xfId="23257"/>
    <cellStyle name="Heading 1 2 5 2 2 7 6 2 2" xfId="23258"/>
    <cellStyle name="Heading 1 2 5 2 2 7 6 3" xfId="23259"/>
    <cellStyle name="Heading 1 2 5 2 2 7 7" xfId="23260"/>
    <cellStyle name="Heading 1 2 5 2 2 7 7 2" xfId="23261"/>
    <cellStyle name="Heading 1 2 5 2 2 7 7 2 2" xfId="23262"/>
    <cellStyle name="Heading 1 2 5 2 2 7 7 3" xfId="23263"/>
    <cellStyle name="Heading 1 2 5 2 2 7 8" xfId="23264"/>
    <cellStyle name="Heading 1 2 5 2 2 7 8 2" xfId="23265"/>
    <cellStyle name="Heading 1 2 5 2 2 7 9" xfId="23266"/>
    <cellStyle name="Heading 1 2 5 2 2 8" xfId="23267"/>
    <cellStyle name="Heading 1 2 5 2 2 8 2" xfId="23268"/>
    <cellStyle name="Heading 1 2 5 2 2 8 2 2" xfId="23269"/>
    <cellStyle name="Heading 1 2 5 2 2 8 2 2 2" xfId="23270"/>
    <cellStyle name="Heading 1 2 5 2 2 8 2 3" xfId="23271"/>
    <cellStyle name="Heading 1 2 5 2 2 8 3" xfId="23272"/>
    <cellStyle name="Heading 1 2 5 2 2 8 3 2" xfId="23273"/>
    <cellStyle name="Heading 1 2 5 2 2 8 3 2 2" xfId="23274"/>
    <cellStyle name="Heading 1 2 5 2 2 8 3 3" xfId="23275"/>
    <cellStyle name="Heading 1 2 5 2 2 8 4" xfId="23276"/>
    <cellStyle name="Heading 1 2 5 2 2 8 4 2" xfId="23277"/>
    <cellStyle name="Heading 1 2 5 2 2 8 4 2 2" xfId="23278"/>
    <cellStyle name="Heading 1 2 5 2 2 8 4 3" xfId="23279"/>
    <cellStyle name="Heading 1 2 5 2 2 8 5" xfId="23280"/>
    <cellStyle name="Heading 1 2 5 2 2 8 5 2" xfId="23281"/>
    <cellStyle name="Heading 1 2 5 2 2 8 5 2 2" xfId="23282"/>
    <cellStyle name="Heading 1 2 5 2 2 8 5 3" xfId="23283"/>
    <cellStyle name="Heading 1 2 5 2 2 8 6" xfId="23284"/>
    <cellStyle name="Heading 1 2 5 2 2 8 6 2" xfId="23285"/>
    <cellStyle name="Heading 1 2 5 2 2 8 6 2 2" xfId="23286"/>
    <cellStyle name="Heading 1 2 5 2 2 8 6 3" xfId="23287"/>
    <cellStyle name="Heading 1 2 5 2 2 8 7" xfId="23288"/>
    <cellStyle name="Heading 1 2 5 2 2 8 7 2" xfId="23289"/>
    <cellStyle name="Heading 1 2 5 2 2 8 7 2 2" xfId="23290"/>
    <cellStyle name="Heading 1 2 5 2 2 8 7 3" xfId="23291"/>
    <cellStyle name="Heading 1 2 5 2 2 8 8" xfId="23292"/>
    <cellStyle name="Heading 1 2 5 2 2 8 8 2" xfId="23293"/>
    <cellStyle name="Heading 1 2 5 2 2 8 9" xfId="23294"/>
    <cellStyle name="Heading 1 2 5 2 2 9" xfId="23295"/>
    <cellStyle name="Heading 1 2 5 2 2 9 2" xfId="23296"/>
    <cellStyle name="Heading 1 2 5 2 2 9 2 2" xfId="23297"/>
    <cellStyle name="Heading 1 2 5 2 2 9 3" xfId="23298"/>
    <cellStyle name="Heading 1 2 5 2 20" xfId="23299"/>
    <cellStyle name="Heading 1 2 5 2 20 2" xfId="23300"/>
    <cellStyle name="Heading 1 2 5 2 21" xfId="23301"/>
    <cellStyle name="Heading 1 2 5 2 21 2" xfId="23302"/>
    <cellStyle name="Heading 1 2 5 2 22" xfId="23303"/>
    <cellStyle name="Heading 1 2 5 2 22 2" xfId="23304"/>
    <cellStyle name="Heading 1 2 5 2 23" xfId="23305"/>
    <cellStyle name="Heading 1 2 5 2 3" xfId="23306"/>
    <cellStyle name="Heading 1 2 5 2 3 2" xfId="23307"/>
    <cellStyle name="Heading 1 2 5 2 3 2 2" xfId="23308"/>
    <cellStyle name="Heading 1 2 5 2 3 2 2 2" xfId="23309"/>
    <cellStyle name="Heading 1 2 5 2 3 2 3" xfId="23310"/>
    <cellStyle name="Heading 1 2 5 2 3 3" xfId="23311"/>
    <cellStyle name="Heading 1 2 5 2 3 3 2" xfId="23312"/>
    <cellStyle name="Heading 1 2 5 2 3 3 2 2" xfId="23313"/>
    <cellStyle name="Heading 1 2 5 2 3 3 3" xfId="23314"/>
    <cellStyle name="Heading 1 2 5 2 3 4" xfId="23315"/>
    <cellStyle name="Heading 1 2 5 2 3 4 2" xfId="23316"/>
    <cellStyle name="Heading 1 2 5 2 3 4 2 2" xfId="23317"/>
    <cellStyle name="Heading 1 2 5 2 3 4 3" xfId="23318"/>
    <cellStyle name="Heading 1 2 5 2 3 5" xfId="23319"/>
    <cellStyle name="Heading 1 2 5 2 3 5 2" xfId="23320"/>
    <cellStyle name="Heading 1 2 5 2 3 5 2 2" xfId="23321"/>
    <cellStyle name="Heading 1 2 5 2 3 5 3" xfId="23322"/>
    <cellStyle name="Heading 1 2 5 2 3 6" xfId="23323"/>
    <cellStyle name="Heading 1 2 5 2 3 6 2" xfId="23324"/>
    <cellStyle name="Heading 1 2 5 2 3 6 2 2" xfId="23325"/>
    <cellStyle name="Heading 1 2 5 2 3 6 3" xfId="23326"/>
    <cellStyle name="Heading 1 2 5 2 3 7" xfId="23327"/>
    <cellStyle name="Heading 1 2 5 2 3 7 2" xfId="23328"/>
    <cellStyle name="Heading 1 2 5 2 3 7 2 2" xfId="23329"/>
    <cellStyle name="Heading 1 2 5 2 3 7 3" xfId="23330"/>
    <cellStyle name="Heading 1 2 5 2 3 8" xfId="23331"/>
    <cellStyle name="Heading 1 2 5 2 3 8 2" xfId="23332"/>
    <cellStyle name="Heading 1 2 5 2 3 9" xfId="23333"/>
    <cellStyle name="Heading 1 2 5 2 4" xfId="23334"/>
    <cellStyle name="Heading 1 2 5 2 4 2" xfId="23335"/>
    <cellStyle name="Heading 1 2 5 2 4 2 2" xfId="23336"/>
    <cellStyle name="Heading 1 2 5 2 4 2 2 2" xfId="23337"/>
    <cellStyle name="Heading 1 2 5 2 4 2 3" xfId="23338"/>
    <cellStyle name="Heading 1 2 5 2 4 3" xfId="23339"/>
    <cellStyle name="Heading 1 2 5 2 4 3 2" xfId="23340"/>
    <cellStyle name="Heading 1 2 5 2 4 3 2 2" xfId="23341"/>
    <cellStyle name="Heading 1 2 5 2 4 3 3" xfId="23342"/>
    <cellStyle name="Heading 1 2 5 2 4 4" xfId="23343"/>
    <cellStyle name="Heading 1 2 5 2 4 4 2" xfId="23344"/>
    <cellStyle name="Heading 1 2 5 2 4 4 2 2" xfId="23345"/>
    <cellStyle name="Heading 1 2 5 2 4 4 3" xfId="23346"/>
    <cellStyle name="Heading 1 2 5 2 4 5" xfId="23347"/>
    <cellStyle name="Heading 1 2 5 2 4 5 2" xfId="23348"/>
    <cellStyle name="Heading 1 2 5 2 4 5 2 2" xfId="23349"/>
    <cellStyle name="Heading 1 2 5 2 4 5 3" xfId="23350"/>
    <cellStyle name="Heading 1 2 5 2 4 6" xfId="23351"/>
    <cellStyle name="Heading 1 2 5 2 4 6 2" xfId="23352"/>
    <cellStyle name="Heading 1 2 5 2 4 6 2 2" xfId="23353"/>
    <cellStyle name="Heading 1 2 5 2 4 6 3" xfId="23354"/>
    <cellStyle name="Heading 1 2 5 2 4 7" xfId="23355"/>
    <cellStyle name="Heading 1 2 5 2 4 7 2" xfId="23356"/>
    <cellStyle name="Heading 1 2 5 2 4 7 2 2" xfId="23357"/>
    <cellStyle name="Heading 1 2 5 2 4 7 3" xfId="23358"/>
    <cellStyle name="Heading 1 2 5 2 4 8" xfId="23359"/>
    <cellStyle name="Heading 1 2 5 2 4 8 2" xfId="23360"/>
    <cellStyle name="Heading 1 2 5 2 4 9" xfId="23361"/>
    <cellStyle name="Heading 1 2 5 2 5" xfId="23362"/>
    <cellStyle name="Heading 1 2 5 2 5 2" xfId="23363"/>
    <cellStyle name="Heading 1 2 5 2 5 2 2" xfId="23364"/>
    <cellStyle name="Heading 1 2 5 2 5 2 2 2" xfId="23365"/>
    <cellStyle name="Heading 1 2 5 2 5 2 3" xfId="23366"/>
    <cellStyle name="Heading 1 2 5 2 5 3" xfId="23367"/>
    <cellStyle name="Heading 1 2 5 2 5 3 2" xfId="23368"/>
    <cellStyle name="Heading 1 2 5 2 5 3 2 2" xfId="23369"/>
    <cellStyle name="Heading 1 2 5 2 5 3 3" xfId="23370"/>
    <cellStyle name="Heading 1 2 5 2 5 4" xfId="23371"/>
    <cellStyle name="Heading 1 2 5 2 5 4 2" xfId="23372"/>
    <cellStyle name="Heading 1 2 5 2 5 4 2 2" xfId="23373"/>
    <cellStyle name="Heading 1 2 5 2 5 4 3" xfId="23374"/>
    <cellStyle name="Heading 1 2 5 2 5 5" xfId="23375"/>
    <cellStyle name="Heading 1 2 5 2 5 5 2" xfId="23376"/>
    <cellStyle name="Heading 1 2 5 2 5 5 2 2" xfId="23377"/>
    <cellStyle name="Heading 1 2 5 2 5 5 3" xfId="23378"/>
    <cellStyle name="Heading 1 2 5 2 5 6" xfId="23379"/>
    <cellStyle name="Heading 1 2 5 2 5 6 2" xfId="23380"/>
    <cellStyle name="Heading 1 2 5 2 5 6 2 2" xfId="23381"/>
    <cellStyle name="Heading 1 2 5 2 5 6 3" xfId="23382"/>
    <cellStyle name="Heading 1 2 5 2 5 7" xfId="23383"/>
    <cellStyle name="Heading 1 2 5 2 5 7 2" xfId="23384"/>
    <cellStyle name="Heading 1 2 5 2 5 7 2 2" xfId="23385"/>
    <cellStyle name="Heading 1 2 5 2 5 7 3" xfId="23386"/>
    <cellStyle name="Heading 1 2 5 2 5 8" xfId="23387"/>
    <cellStyle name="Heading 1 2 5 2 5 8 2" xfId="23388"/>
    <cellStyle name="Heading 1 2 5 2 5 9" xfId="23389"/>
    <cellStyle name="Heading 1 2 5 2 6" xfId="23390"/>
    <cellStyle name="Heading 1 2 5 2 6 2" xfId="23391"/>
    <cellStyle name="Heading 1 2 5 2 6 2 2" xfId="23392"/>
    <cellStyle name="Heading 1 2 5 2 6 2 2 2" xfId="23393"/>
    <cellStyle name="Heading 1 2 5 2 6 2 3" xfId="23394"/>
    <cellStyle name="Heading 1 2 5 2 6 3" xfId="23395"/>
    <cellStyle name="Heading 1 2 5 2 6 3 2" xfId="23396"/>
    <cellStyle name="Heading 1 2 5 2 6 3 2 2" xfId="23397"/>
    <cellStyle name="Heading 1 2 5 2 6 3 3" xfId="23398"/>
    <cellStyle name="Heading 1 2 5 2 6 4" xfId="23399"/>
    <cellStyle name="Heading 1 2 5 2 6 4 2" xfId="23400"/>
    <cellStyle name="Heading 1 2 5 2 6 4 2 2" xfId="23401"/>
    <cellStyle name="Heading 1 2 5 2 6 4 3" xfId="23402"/>
    <cellStyle name="Heading 1 2 5 2 6 5" xfId="23403"/>
    <cellStyle name="Heading 1 2 5 2 6 5 2" xfId="23404"/>
    <cellStyle name="Heading 1 2 5 2 6 5 2 2" xfId="23405"/>
    <cellStyle name="Heading 1 2 5 2 6 5 3" xfId="23406"/>
    <cellStyle name="Heading 1 2 5 2 6 6" xfId="23407"/>
    <cellStyle name="Heading 1 2 5 2 6 6 2" xfId="23408"/>
    <cellStyle name="Heading 1 2 5 2 6 6 2 2" xfId="23409"/>
    <cellStyle name="Heading 1 2 5 2 6 6 3" xfId="23410"/>
    <cellStyle name="Heading 1 2 5 2 6 7" xfId="23411"/>
    <cellStyle name="Heading 1 2 5 2 6 7 2" xfId="23412"/>
    <cellStyle name="Heading 1 2 5 2 6 7 2 2" xfId="23413"/>
    <cellStyle name="Heading 1 2 5 2 6 7 3" xfId="23414"/>
    <cellStyle name="Heading 1 2 5 2 6 8" xfId="23415"/>
    <cellStyle name="Heading 1 2 5 2 6 8 2" xfId="23416"/>
    <cellStyle name="Heading 1 2 5 2 6 9" xfId="23417"/>
    <cellStyle name="Heading 1 2 5 2 7" xfId="23418"/>
    <cellStyle name="Heading 1 2 5 2 7 2" xfId="23419"/>
    <cellStyle name="Heading 1 2 5 2 7 2 2" xfId="23420"/>
    <cellStyle name="Heading 1 2 5 2 7 2 2 2" xfId="23421"/>
    <cellStyle name="Heading 1 2 5 2 7 2 3" xfId="23422"/>
    <cellStyle name="Heading 1 2 5 2 7 3" xfId="23423"/>
    <cellStyle name="Heading 1 2 5 2 7 3 2" xfId="23424"/>
    <cellStyle name="Heading 1 2 5 2 7 3 2 2" xfId="23425"/>
    <cellStyle name="Heading 1 2 5 2 7 3 3" xfId="23426"/>
    <cellStyle name="Heading 1 2 5 2 7 4" xfId="23427"/>
    <cellStyle name="Heading 1 2 5 2 7 4 2" xfId="23428"/>
    <cellStyle name="Heading 1 2 5 2 7 4 2 2" xfId="23429"/>
    <cellStyle name="Heading 1 2 5 2 7 4 3" xfId="23430"/>
    <cellStyle name="Heading 1 2 5 2 7 5" xfId="23431"/>
    <cellStyle name="Heading 1 2 5 2 7 5 2" xfId="23432"/>
    <cellStyle name="Heading 1 2 5 2 7 5 2 2" xfId="23433"/>
    <cellStyle name="Heading 1 2 5 2 7 5 3" xfId="23434"/>
    <cellStyle name="Heading 1 2 5 2 7 6" xfId="23435"/>
    <cellStyle name="Heading 1 2 5 2 7 6 2" xfId="23436"/>
    <cellStyle name="Heading 1 2 5 2 7 6 2 2" xfId="23437"/>
    <cellStyle name="Heading 1 2 5 2 7 6 3" xfId="23438"/>
    <cellStyle name="Heading 1 2 5 2 7 7" xfId="23439"/>
    <cellStyle name="Heading 1 2 5 2 7 7 2" xfId="23440"/>
    <cellStyle name="Heading 1 2 5 2 7 7 2 2" xfId="23441"/>
    <cellStyle name="Heading 1 2 5 2 7 7 3" xfId="23442"/>
    <cellStyle name="Heading 1 2 5 2 7 8" xfId="23443"/>
    <cellStyle name="Heading 1 2 5 2 7 8 2" xfId="23444"/>
    <cellStyle name="Heading 1 2 5 2 7 9" xfId="23445"/>
    <cellStyle name="Heading 1 2 5 2 8" xfId="23446"/>
    <cellStyle name="Heading 1 2 5 2 8 2" xfId="23447"/>
    <cellStyle name="Heading 1 2 5 2 8 2 2" xfId="23448"/>
    <cellStyle name="Heading 1 2 5 2 8 2 2 2" xfId="23449"/>
    <cellStyle name="Heading 1 2 5 2 8 2 3" xfId="23450"/>
    <cellStyle name="Heading 1 2 5 2 8 3" xfId="23451"/>
    <cellStyle name="Heading 1 2 5 2 8 3 2" xfId="23452"/>
    <cellStyle name="Heading 1 2 5 2 8 3 2 2" xfId="23453"/>
    <cellStyle name="Heading 1 2 5 2 8 3 3" xfId="23454"/>
    <cellStyle name="Heading 1 2 5 2 8 4" xfId="23455"/>
    <cellStyle name="Heading 1 2 5 2 8 4 2" xfId="23456"/>
    <cellStyle name="Heading 1 2 5 2 8 4 2 2" xfId="23457"/>
    <cellStyle name="Heading 1 2 5 2 8 4 3" xfId="23458"/>
    <cellStyle name="Heading 1 2 5 2 8 5" xfId="23459"/>
    <cellStyle name="Heading 1 2 5 2 8 5 2" xfId="23460"/>
    <cellStyle name="Heading 1 2 5 2 8 5 2 2" xfId="23461"/>
    <cellStyle name="Heading 1 2 5 2 8 5 3" xfId="23462"/>
    <cellStyle name="Heading 1 2 5 2 8 6" xfId="23463"/>
    <cellStyle name="Heading 1 2 5 2 8 6 2" xfId="23464"/>
    <cellStyle name="Heading 1 2 5 2 8 6 2 2" xfId="23465"/>
    <cellStyle name="Heading 1 2 5 2 8 6 3" xfId="23466"/>
    <cellStyle name="Heading 1 2 5 2 8 7" xfId="23467"/>
    <cellStyle name="Heading 1 2 5 2 8 7 2" xfId="23468"/>
    <cellStyle name="Heading 1 2 5 2 8 7 2 2" xfId="23469"/>
    <cellStyle name="Heading 1 2 5 2 8 7 3" xfId="23470"/>
    <cellStyle name="Heading 1 2 5 2 8 8" xfId="23471"/>
    <cellStyle name="Heading 1 2 5 2 8 8 2" xfId="23472"/>
    <cellStyle name="Heading 1 2 5 2 8 9" xfId="23473"/>
    <cellStyle name="Heading 1 2 5 2 9" xfId="23474"/>
    <cellStyle name="Heading 1 2 5 2 9 2" xfId="23475"/>
    <cellStyle name="Heading 1 2 5 2 9 2 2" xfId="23476"/>
    <cellStyle name="Heading 1 2 5 2 9 2 2 2" xfId="23477"/>
    <cellStyle name="Heading 1 2 5 2 9 2 3" xfId="23478"/>
    <cellStyle name="Heading 1 2 5 2 9 3" xfId="23479"/>
    <cellStyle name="Heading 1 2 5 2 9 3 2" xfId="23480"/>
    <cellStyle name="Heading 1 2 5 2 9 3 2 2" xfId="23481"/>
    <cellStyle name="Heading 1 2 5 2 9 3 3" xfId="23482"/>
    <cellStyle name="Heading 1 2 5 2 9 4" xfId="23483"/>
    <cellStyle name="Heading 1 2 5 2 9 4 2" xfId="23484"/>
    <cellStyle name="Heading 1 2 5 2 9 4 2 2" xfId="23485"/>
    <cellStyle name="Heading 1 2 5 2 9 4 3" xfId="23486"/>
    <cellStyle name="Heading 1 2 5 2 9 5" xfId="23487"/>
    <cellStyle name="Heading 1 2 5 2 9 5 2" xfId="23488"/>
    <cellStyle name="Heading 1 2 5 2 9 5 2 2" xfId="23489"/>
    <cellStyle name="Heading 1 2 5 2 9 5 3" xfId="23490"/>
    <cellStyle name="Heading 1 2 5 2 9 6" xfId="23491"/>
    <cellStyle name="Heading 1 2 5 2 9 6 2" xfId="23492"/>
    <cellStyle name="Heading 1 2 5 2 9 6 2 2" xfId="23493"/>
    <cellStyle name="Heading 1 2 5 2 9 6 3" xfId="23494"/>
    <cellStyle name="Heading 1 2 5 2 9 7" xfId="23495"/>
    <cellStyle name="Heading 1 2 5 2 9 7 2" xfId="23496"/>
    <cellStyle name="Heading 1 2 5 2 9 7 2 2" xfId="23497"/>
    <cellStyle name="Heading 1 2 5 2 9 7 3" xfId="23498"/>
    <cellStyle name="Heading 1 2 5 2 9 8" xfId="23499"/>
    <cellStyle name="Heading 1 2 5 2 9 8 2" xfId="23500"/>
    <cellStyle name="Heading 1 2 5 2 9 9" xfId="23501"/>
    <cellStyle name="Heading 1 2 5 3" xfId="23502"/>
    <cellStyle name="Heading 1 2 5 3 10" xfId="23503"/>
    <cellStyle name="Heading 1 2 5 3 10 2" xfId="23504"/>
    <cellStyle name="Heading 1 2 5 3 10 2 2" xfId="23505"/>
    <cellStyle name="Heading 1 2 5 3 10 3" xfId="23506"/>
    <cellStyle name="Heading 1 2 5 3 11" xfId="23507"/>
    <cellStyle name="Heading 1 2 5 3 11 2" xfId="23508"/>
    <cellStyle name="Heading 1 2 5 3 11 2 2" xfId="23509"/>
    <cellStyle name="Heading 1 2 5 3 11 3" xfId="23510"/>
    <cellStyle name="Heading 1 2 5 3 12" xfId="23511"/>
    <cellStyle name="Heading 1 2 5 3 12 2" xfId="23512"/>
    <cellStyle name="Heading 1 2 5 3 12 2 2" xfId="23513"/>
    <cellStyle name="Heading 1 2 5 3 12 3" xfId="23514"/>
    <cellStyle name="Heading 1 2 5 3 13" xfId="23515"/>
    <cellStyle name="Heading 1 2 5 3 13 2" xfId="23516"/>
    <cellStyle name="Heading 1 2 5 3 13 2 2" xfId="23517"/>
    <cellStyle name="Heading 1 2 5 3 13 3" xfId="23518"/>
    <cellStyle name="Heading 1 2 5 3 14" xfId="23519"/>
    <cellStyle name="Heading 1 2 5 3 14 2" xfId="23520"/>
    <cellStyle name="Heading 1 2 5 3 14 2 2" xfId="23521"/>
    <cellStyle name="Heading 1 2 5 3 14 3" xfId="23522"/>
    <cellStyle name="Heading 1 2 5 3 15" xfId="23523"/>
    <cellStyle name="Heading 1 2 5 3 15 2" xfId="23524"/>
    <cellStyle name="Heading 1 2 5 3 15 2 2" xfId="23525"/>
    <cellStyle name="Heading 1 2 5 3 15 3" xfId="23526"/>
    <cellStyle name="Heading 1 2 5 3 16" xfId="23527"/>
    <cellStyle name="Heading 1 2 5 3 16 2" xfId="23528"/>
    <cellStyle name="Heading 1 2 5 3 16 2 2" xfId="23529"/>
    <cellStyle name="Heading 1 2 5 3 16 3" xfId="23530"/>
    <cellStyle name="Heading 1 2 5 3 17" xfId="23531"/>
    <cellStyle name="Heading 1 2 5 3 17 2" xfId="23532"/>
    <cellStyle name="Heading 1 2 5 3 17 2 2" xfId="23533"/>
    <cellStyle name="Heading 1 2 5 3 17 3" xfId="23534"/>
    <cellStyle name="Heading 1 2 5 3 18" xfId="23535"/>
    <cellStyle name="Heading 1 2 5 3 18 2" xfId="23536"/>
    <cellStyle name="Heading 1 2 5 3 18 2 2" xfId="23537"/>
    <cellStyle name="Heading 1 2 5 3 18 3" xfId="23538"/>
    <cellStyle name="Heading 1 2 5 3 19" xfId="23539"/>
    <cellStyle name="Heading 1 2 5 3 19 2" xfId="23540"/>
    <cellStyle name="Heading 1 2 5 3 2" xfId="23541"/>
    <cellStyle name="Heading 1 2 5 3 2 2" xfId="23542"/>
    <cellStyle name="Heading 1 2 5 3 2 2 2" xfId="23543"/>
    <cellStyle name="Heading 1 2 5 3 2 2 2 2" xfId="23544"/>
    <cellStyle name="Heading 1 2 5 3 2 2 3" xfId="23545"/>
    <cellStyle name="Heading 1 2 5 3 2 3" xfId="23546"/>
    <cellStyle name="Heading 1 2 5 3 2 3 2" xfId="23547"/>
    <cellStyle name="Heading 1 2 5 3 2 3 2 2" xfId="23548"/>
    <cellStyle name="Heading 1 2 5 3 2 3 3" xfId="23549"/>
    <cellStyle name="Heading 1 2 5 3 2 4" xfId="23550"/>
    <cellStyle name="Heading 1 2 5 3 2 4 2" xfId="23551"/>
    <cellStyle name="Heading 1 2 5 3 2 4 2 2" xfId="23552"/>
    <cellStyle name="Heading 1 2 5 3 2 4 3" xfId="23553"/>
    <cellStyle name="Heading 1 2 5 3 2 5" xfId="23554"/>
    <cellStyle name="Heading 1 2 5 3 2 5 2" xfId="23555"/>
    <cellStyle name="Heading 1 2 5 3 2 5 2 2" xfId="23556"/>
    <cellStyle name="Heading 1 2 5 3 2 5 3" xfId="23557"/>
    <cellStyle name="Heading 1 2 5 3 2 6" xfId="23558"/>
    <cellStyle name="Heading 1 2 5 3 2 6 2" xfId="23559"/>
    <cellStyle name="Heading 1 2 5 3 2 6 2 2" xfId="23560"/>
    <cellStyle name="Heading 1 2 5 3 2 6 3" xfId="23561"/>
    <cellStyle name="Heading 1 2 5 3 2 7" xfId="23562"/>
    <cellStyle name="Heading 1 2 5 3 2 7 2" xfId="23563"/>
    <cellStyle name="Heading 1 2 5 3 2 7 2 2" xfId="23564"/>
    <cellStyle name="Heading 1 2 5 3 2 7 3" xfId="23565"/>
    <cellStyle name="Heading 1 2 5 3 2 8" xfId="23566"/>
    <cellStyle name="Heading 1 2 5 3 2 8 2" xfId="23567"/>
    <cellStyle name="Heading 1 2 5 3 2 9" xfId="23568"/>
    <cellStyle name="Heading 1 2 5 3 20" xfId="23569"/>
    <cellStyle name="Heading 1 2 5 3 20 2" xfId="23570"/>
    <cellStyle name="Heading 1 2 5 3 21" xfId="23571"/>
    <cellStyle name="Heading 1 2 5 3 21 2" xfId="23572"/>
    <cellStyle name="Heading 1 2 5 3 22" xfId="23573"/>
    <cellStyle name="Heading 1 2 5 3 3" xfId="23574"/>
    <cellStyle name="Heading 1 2 5 3 3 2" xfId="23575"/>
    <cellStyle name="Heading 1 2 5 3 3 2 2" xfId="23576"/>
    <cellStyle name="Heading 1 2 5 3 3 2 2 2" xfId="23577"/>
    <cellStyle name="Heading 1 2 5 3 3 2 3" xfId="23578"/>
    <cellStyle name="Heading 1 2 5 3 3 3" xfId="23579"/>
    <cellStyle name="Heading 1 2 5 3 3 3 2" xfId="23580"/>
    <cellStyle name="Heading 1 2 5 3 3 3 2 2" xfId="23581"/>
    <cellStyle name="Heading 1 2 5 3 3 3 3" xfId="23582"/>
    <cellStyle name="Heading 1 2 5 3 3 4" xfId="23583"/>
    <cellStyle name="Heading 1 2 5 3 3 4 2" xfId="23584"/>
    <cellStyle name="Heading 1 2 5 3 3 4 2 2" xfId="23585"/>
    <cellStyle name="Heading 1 2 5 3 3 4 3" xfId="23586"/>
    <cellStyle name="Heading 1 2 5 3 3 5" xfId="23587"/>
    <cellStyle name="Heading 1 2 5 3 3 5 2" xfId="23588"/>
    <cellStyle name="Heading 1 2 5 3 3 5 2 2" xfId="23589"/>
    <cellStyle name="Heading 1 2 5 3 3 5 3" xfId="23590"/>
    <cellStyle name="Heading 1 2 5 3 3 6" xfId="23591"/>
    <cellStyle name="Heading 1 2 5 3 3 6 2" xfId="23592"/>
    <cellStyle name="Heading 1 2 5 3 3 6 2 2" xfId="23593"/>
    <cellStyle name="Heading 1 2 5 3 3 6 3" xfId="23594"/>
    <cellStyle name="Heading 1 2 5 3 3 7" xfId="23595"/>
    <cellStyle name="Heading 1 2 5 3 3 7 2" xfId="23596"/>
    <cellStyle name="Heading 1 2 5 3 3 7 2 2" xfId="23597"/>
    <cellStyle name="Heading 1 2 5 3 3 7 3" xfId="23598"/>
    <cellStyle name="Heading 1 2 5 3 3 8" xfId="23599"/>
    <cellStyle name="Heading 1 2 5 3 3 8 2" xfId="23600"/>
    <cellStyle name="Heading 1 2 5 3 3 9" xfId="23601"/>
    <cellStyle name="Heading 1 2 5 3 4" xfId="23602"/>
    <cellStyle name="Heading 1 2 5 3 4 2" xfId="23603"/>
    <cellStyle name="Heading 1 2 5 3 4 2 2" xfId="23604"/>
    <cellStyle name="Heading 1 2 5 3 4 2 2 2" xfId="23605"/>
    <cellStyle name="Heading 1 2 5 3 4 2 3" xfId="23606"/>
    <cellStyle name="Heading 1 2 5 3 4 3" xfId="23607"/>
    <cellStyle name="Heading 1 2 5 3 4 3 2" xfId="23608"/>
    <cellStyle name="Heading 1 2 5 3 4 3 2 2" xfId="23609"/>
    <cellStyle name="Heading 1 2 5 3 4 3 3" xfId="23610"/>
    <cellStyle name="Heading 1 2 5 3 4 4" xfId="23611"/>
    <cellStyle name="Heading 1 2 5 3 4 4 2" xfId="23612"/>
    <cellStyle name="Heading 1 2 5 3 4 4 2 2" xfId="23613"/>
    <cellStyle name="Heading 1 2 5 3 4 4 3" xfId="23614"/>
    <cellStyle name="Heading 1 2 5 3 4 5" xfId="23615"/>
    <cellStyle name="Heading 1 2 5 3 4 5 2" xfId="23616"/>
    <cellStyle name="Heading 1 2 5 3 4 5 2 2" xfId="23617"/>
    <cellStyle name="Heading 1 2 5 3 4 5 3" xfId="23618"/>
    <cellStyle name="Heading 1 2 5 3 4 6" xfId="23619"/>
    <cellStyle name="Heading 1 2 5 3 4 6 2" xfId="23620"/>
    <cellStyle name="Heading 1 2 5 3 4 6 2 2" xfId="23621"/>
    <cellStyle name="Heading 1 2 5 3 4 6 3" xfId="23622"/>
    <cellStyle name="Heading 1 2 5 3 4 7" xfId="23623"/>
    <cellStyle name="Heading 1 2 5 3 4 7 2" xfId="23624"/>
    <cellStyle name="Heading 1 2 5 3 4 7 2 2" xfId="23625"/>
    <cellStyle name="Heading 1 2 5 3 4 7 3" xfId="23626"/>
    <cellStyle name="Heading 1 2 5 3 4 8" xfId="23627"/>
    <cellStyle name="Heading 1 2 5 3 4 8 2" xfId="23628"/>
    <cellStyle name="Heading 1 2 5 3 4 9" xfId="23629"/>
    <cellStyle name="Heading 1 2 5 3 5" xfId="23630"/>
    <cellStyle name="Heading 1 2 5 3 5 2" xfId="23631"/>
    <cellStyle name="Heading 1 2 5 3 5 2 2" xfId="23632"/>
    <cellStyle name="Heading 1 2 5 3 5 2 2 2" xfId="23633"/>
    <cellStyle name="Heading 1 2 5 3 5 2 3" xfId="23634"/>
    <cellStyle name="Heading 1 2 5 3 5 3" xfId="23635"/>
    <cellStyle name="Heading 1 2 5 3 5 3 2" xfId="23636"/>
    <cellStyle name="Heading 1 2 5 3 5 3 2 2" xfId="23637"/>
    <cellStyle name="Heading 1 2 5 3 5 3 3" xfId="23638"/>
    <cellStyle name="Heading 1 2 5 3 5 4" xfId="23639"/>
    <cellStyle name="Heading 1 2 5 3 5 4 2" xfId="23640"/>
    <cellStyle name="Heading 1 2 5 3 5 4 2 2" xfId="23641"/>
    <cellStyle name="Heading 1 2 5 3 5 4 3" xfId="23642"/>
    <cellStyle name="Heading 1 2 5 3 5 5" xfId="23643"/>
    <cellStyle name="Heading 1 2 5 3 5 5 2" xfId="23644"/>
    <cellStyle name="Heading 1 2 5 3 5 5 2 2" xfId="23645"/>
    <cellStyle name="Heading 1 2 5 3 5 5 3" xfId="23646"/>
    <cellStyle name="Heading 1 2 5 3 5 6" xfId="23647"/>
    <cellStyle name="Heading 1 2 5 3 5 6 2" xfId="23648"/>
    <cellStyle name="Heading 1 2 5 3 5 6 2 2" xfId="23649"/>
    <cellStyle name="Heading 1 2 5 3 5 6 3" xfId="23650"/>
    <cellStyle name="Heading 1 2 5 3 5 7" xfId="23651"/>
    <cellStyle name="Heading 1 2 5 3 5 7 2" xfId="23652"/>
    <cellStyle name="Heading 1 2 5 3 5 7 2 2" xfId="23653"/>
    <cellStyle name="Heading 1 2 5 3 5 7 3" xfId="23654"/>
    <cellStyle name="Heading 1 2 5 3 5 8" xfId="23655"/>
    <cellStyle name="Heading 1 2 5 3 5 8 2" xfId="23656"/>
    <cellStyle name="Heading 1 2 5 3 5 9" xfId="23657"/>
    <cellStyle name="Heading 1 2 5 3 6" xfId="23658"/>
    <cellStyle name="Heading 1 2 5 3 6 2" xfId="23659"/>
    <cellStyle name="Heading 1 2 5 3 6 2 2" xfId="23660"/>
    <cellStyle name="Heading 1 2 5 3 6 2 2 2" xfId="23661"/>
    <cellStyle name="Heading 1 2 5 3 6 2 3" xfId="23662"/>
    <cellStyle name="Heading 1 2 5 3 6 3" xfId="23663"/>
    <cellStyle name="Heading 1 2 5 3 6 3 2" xfId="23664"/>
    <cellStyle name="Heading 1 2 5 3 6 3 2 2" xfId="23665"/>
    <cellStyle name="Heading 1 2 5 3 6 3 3" xfId="23666"/>
    <cellStyle name="Heading 1 2 5 3 6 4" xfId="23667"/>
    <cellStyle name="Heading 1 2 5 3 6 4 2" xfId="23668"/>
    <cellStyle name="Heading 1 2 5 3 6 4 2 2" xfId="23669"/>
    <cellStyle name="Heading 1 2 5 3 6 4 3" xfId="23670"/>
    <cellStyle name="Heading 1 2 5 3 6 5" xfId="23671"/>
    <cellStyle name="Heading 1 2 5 3 6 5 2" xfId="23672"/>
    <cellStyle name="Heading 1 2 5 3 6 5 2 2" xfId="23673"/>
    <cellStyle name="Heading 1 2 5 3 6 5 3" xfId="23674"/>
    <cellStyle name="Heading 1 2 5 3 6 6" xfId="23675"/>
    <cellStyle name="Heading 1 2 5 3 6 6 2" xfId="23676"/>
    <cellStyle name="Heading 1 2 5 3 6 6 2 2" xfId="23677"/>
    <cellStyle name="Heading 1 2 5 3 6 6 3" xfId="23678"/>
    <cellStyle name="Heading 1 2 5 3 6 7" xfId="23679"/>
    <cellStyle name="Heading 1 2 5 3 6 7 2" xfId="23680"/>
    <cellStyle name="Heading 1 2 5 3 6 7 2 2" xfId="23681"/>
    <cellStyle name="Heading 1 2 5 3 6 7 3" xfId="23682"/>
    <cellStyle name="Heading 1 2 5 3 6 8" xfId="23683"/>
    <cellStyle name="Heading 1 2 5 3 6 8 2" xfId="23684"/>
    <cellStyle name="Heading 1 2 5 3 6 9" xfId="23685"/>
    <cellStyle name="Heading 1 2 5 3 7" xfId="23686"/>
    <cellStyle name="Heading 1 2 5 3 7 2" xfId="23687"/>
    <cellStyle name="Heading 1 2 5 3 7 2 2" xfId="23688"/>
    <cellStyle name="Heading 1 2 5 3 7 2 2 2" xfId="23689"/>
    <cellStyle name="Heading 1 2 5 3 7 2 3" xfId="23690"/>
    <cellStyle name="Heading 1 2 5 3 7 3" xfId="23691"/>
    <cellStyle name="Heading 1 2 5 3 7 3 2" xfId="23692"/>
    <cellStyle name="Heading 1 2 5 3 7 3 2 2" xfId="23693"/>
    <cellStyle name="Heading 1 2 5 3 7 3 3" xfId="23694"/>
    <cellStyle name="Heading 1 2 5 3 7 4" xfId="23695"/>
    <cellStyle name="Heading 1 2 5 3 7 4 2" xfId="23696"/>
    <cellStyle name="Heading 1 2 5 3 7 4 2 2" xfId="23697"/>
    <cellStyle name="Heading 1 2 5 3 7 4 3" xfId="23698"/>
    <cellStyle name="Heading 1 2 5 3 7 5" xfId="23699"/>
    <cellStyle name="Heading 1 2 5 3 7 5 2" xfId="23700"/>
    <cellStyle name="Heading 1 2 5 3 7 5 2 2" xfId="23701"/>
    <cellStyle name="Heading 1 2 5 3 7 5 3" xfId="23702"/>
    <cellStyle name="Heading 1 2 5 3 7 6" xfId="23703"/>
    <cellStyle name="Heading 1 2 5 3 7 6 2" xfId="23704"/>
    <cellStyle name="Heading 1 2 5 3 7 6 2 2" xfId="23705"/>
    <cellStyle name="Heading 1 2 5 3 7 6 3" xfId="23706"/>
    <cellStyle name="Heading 1 2 5 3 7 7" xfId="23707"/>
    <cellStyle name="Heading 1 2 5 3 7 7 2" xfId="23708"/>
    <cellStyle name="Heading 1 2 5 3 7 7 2 2" xfId="23709"/>
    <cellStyle name="Heading 1 2 5 3 7 7 3" xfId="23710"/>
    <cellStyle name="Heading 1 2 5 3 7 8" xfId="23711"/>
    <cellStyle name="Heading 1 2 5 3 7 8 2" xfId="23712"/>
    <cellStyle name="Heading 1 2 5 3 7 9" xfId="23713"/>
    <cellStyle name="Heading 1 2 5 3 8" xfId="23714"/>
    <cellStyle name="Heading 1 2 5 3 8 2" xfId="23715"/>
    <cellStyle name="Heading 1 2 5 3 8 2 2" xfId="23716"/>
    <cellStyle name="Heading 1 2 5 3 8 2 2 2" xfId="23717"/>
    <cellStyle name="Heading 1 2 5 3 8 2 3" xfId="23718"/>
    <cellStyle name="Heading 1 2 5 3 8 3" xfId="23719"/>
    <cellStyle name="Heading 1 2 5 3 8 3 2" xfId="23720"/>
    <cellStyle name="Heading 1 2 5 3 8 3 2 2" xfId="23721"/>
    <cellStyle name="Heading 1 2 5 3 8 3 3" xfId="23722"/>
    <cellStyle name="Heading 1 2 5 3 8 4" xfId="23723"/>
    <cellStyle name="Heading 1 2 5 3 8 4 2" xfId="23724"/>
    <cellStyle name="Heading 1 2 5 3 8 4 2 2" xfId="23725"/>
    <cellStyle name="Heading 1 2 5 3 8 4 3" xfId="23726"/>
    <cellStyle name="Heading 1 2 5 3 8 5" xfId="23727"/>
    <cellStyle name="Heading 1 2 5 3 8 5 2" xfId="23728"/>
    <cellStyle name="Heading 1 2 5 3 8 5 2 2" xfId="23729"/>
    <cellStyle name="Heading 1 2 5 3 8 5 3" xfId="23730"/>
    <cellStyle name="Heading 1 2 5 3 8 6" xfId="23731"/>
    <cellStyle name="Heading 1 2 5 3 8 6 2" xfId="23732"/>
    <cellStyle name="Heading 1 2 5 3 8 6 2 2" xfId="23733"/>
    <cellStyle name="Heading 1 2 5 3 8 6 3" xfId="23734"/>
    <cellStyle name="Heading 1 2 5 3 8 7" xfId="23735"/>
    <cellStyle name="Heading 1 2 5 3 8 7 2" xfId="23736"/>
    <cellStyle name="Heading 1 2 5 3 8 7 2 2" xfId="23737"/>
    <cellStyle name="Heading 1 2 5 3 8 7 3" xfId="23738"/>
    <cellStyle name="Heading 1 2 5 3 8 8" xfId="23739"/>
    <cellStyle name="Heading 1 2 5 3 8 8 2" xfId="23740"/>
    <cellStyle name="Heading 1 2 5 3 8 9" xfId="23741"/>
    <cellStyle name="Heading 1 2 5 3 9" xfId="23742"/>
    <cellStyle name="Heading 1 2 5 3 9 2" xfId="23743"/>
    <cellStyle name="Heading 1 2 5 3 9 2 2" xfId="23744"/>
    <cellStyle name="Heading 1 2 5 3 9 3" xfId="23745"/>
    <cellStyle name="Heading 1 2 5 4" xfId="23746"/>
    <cellStyle name="Heading 1 2 5 4 2" xfId="23747"/>
    <cellStyle name="Heading 1 2 5 4 2 2" xfId="23748"/>
    <cellStyle name="Heading 1 2 5 4 3" xfId="23749"/>
    <cellStyle name="Heading 1 2 5 5" xfId="23750"/>
    <cellStyle name="Heading 1 2 5 5 2" xfId="23751"/>
    <cellStyle name="Heading 1 2 5 6" xfId="23752"/>
    <cellStyle name="Heading 1 2 6" xfId="23753"/>
    <cellStyle name="Heading 1 2 6 2" xfId="23754"/>
    <cellStyle name="Heading 1 2 6 2 10" xfId="23755"/>
    <cellStyle name="Heading 1 2 6 2 10 2" xfId="23756"/>
    <cellStyle name="Heading 1 2 6 2 10 2 2" xfId="23757"/>
    <cellStyle name="Heading 1 2 6 2 10 3" xfId="23758"/>
    <cellStyle name="Heading 1 2 6 2 11" xfId="23759"/>
    <cellStyle name="Heading 1 2 6 2 11 2" xfId="23760"/>
    <cellStyle name="Heading 1 2 6 2 11 2 2" xfId="23761"/>
    <cellStyle name="Heading 1 2 6 2 11 3" xfId="23762"/>
    <cellStyle name="Heading 1 2 6 2 12" xfId="23763"/>
    <cellStyle name="Heading 1 2 6 2 12 2" xfId="23764"/>
    <cellStyle name="Heading 1 2 6 2 12 2 2" xfId="23765"/>
    <cellStyle name="Heading 1 2 6 2 12 3" xfId="23766"/>
    <cellStyle name="Heading 1 2 6 2 13" xfId="23767"/>
    <cellStyle name="Heading 1 2 6 2 13 2" xfId="23768"/>
    <cellStyle name="Heading 1 2 6 2 13 2 2" xfId="23769"/>
    <cellStyle name="Heading 1 2 6 2 13 3" xfId="23770"/>
    <cellStyle name="Heading 1 2 6 2 14" xfId="23771"/>
    <cellStyle name="Heading 1 2 6 2 14 2" xfId="23772"/>
    <cellStyle name="Heading 1 2 6 2 14 2 2" xfId="23773"/>
    <cellStyle name="Heading 1 2 6 2 14 3" xfId="23774"/>
    <cellStyle name="Heading 1 2 6 2 15" xfId="23775"/>
    <cellStyle name="Heading 1 2 6 2 15 2" xfId="23776"/>
    <cellStyle name="Heading 1 2 6 2 15 2 2" xfId="23777"/>
    <cellStyle name="Heading 1 2 6 2 15 3" xfId="23778"/>
    <cellStyle name="Heading 1 2 6 2 16" xfId="23779"/>
    <cellStyle name="Heading 1 2 6 2 16 2" xfId="23780"/>
    <cellStyle name="Heading 1 2 6 2 16 2 2" xfId="23781"/>
    <cellStyle name="Heading 1 2 6 2 16 3" xfId="23782"/>
    <cellStyle name="Heading 1 2 6 2 17" xfId="23783"/>
    <cellStyle name="Heading 1 2 6 2 17 2" xfId="23784"/>
    <cellStyle name="Heading 1 2 6 2 17 2 2" xfId="23785"/>
    <cellStyle name="Heading 1 2 6 2 17 3" xfId="23786"/>
    <cellStyle name="Heading 1 2 6 2 18" xfId="23787"/>
    <cellStyle name="Heading 1 2 6 2 18 2" xfId="23788"/>
    <cellStyle name="Heading 1 2 6 2 18 2 2" xfId="23789"/>
    <cellStyle name="Heading 1 2 6 2 18 3" xfId="23790"/>
    <cellStyle name="Heading 1 2 6 2 19" xfId="23791"/>
    <cellStyle name="Heading 1 2 6 2 19 2" xfId="23792"/>
    <cellStyle name="Heading 1 2 6 2 19 2 2" xfId="23793"/>
    <cellStyle name="Heading 1 2 6 2 19 3" xfId="23794"/>
    <cellStyle name="Heading 1 2 6 2 2" xfId="23795"/>
    <cellStyle name="Heading 1 2 6 2 2 10" xfId="23796"/>
    <cellStyle name="Heading 1 2 6 2 2 10 2" xfId="23797"/>
    <cellStyle name="Heading 1 2 6 2 2 10 2 2" xfId="23798"/>
    <cellStyle name="Heading 1 2 6 2 2 10 3" xfId="23799"/>
    <cellStyle name="Heading 1 2 6 2 2 11" xfId="23800"/>
    <cellStyle name="Heading 1 2 6 2 2 11 2" xfId="23801"/>
    <cellStyle name="Heading 1 2 6 2 2 11 2 2" xfId="23802"/>
    <cellStyle name="Heading 1 2 6 2 2 11 3" xfId="23803"/>
    <cellStyle name="Heading 1 2 6 2 2 12" xfId="23804"/>
    <cellStyle name="Heading 1 2 6 2 2 12 2" xfId="23805"/>
    <cellStyle name="Heading 1 2 6 2 2 12 2 2" xfId="23806"/>
    <cellStyle name="Heading 1 2 6 2 2 12 3" xfId="23807"/>
    <cellStyle name="Heading 1 2 6 2 2 13" xfId="23808"/>
    <cellStyle name="Heading 1 2 6 2 2 13 2" xfId="23809"/>
    <cellStyle name="Heading 1 2 6 2 2 13 2 2" xfId="23810"/>
    <cellStyle name="Heading 1 2 6 2 2 13 3" xfId="23811"/>
    <cellStyle name="Heading 1 2 6 2 2 14" xfId="23812"/>
    <cellStyle name="Heading 1 2 6 2 2 14 2" xfId="23813"/>
    <cellStyle name="Heading 1 2 6 2 2 14 2 2" xfId="23814"/>
    <cellStyle name="Heading 1 2 6 2 2 14 3" xfId="23815"/>
    <cellStyle name="Heading 1 2 6 2 2 15" xfId="23816"/>
    <cellStyle name="Heading 1 2 6 2 2 15 2" xfId="23817"/>
    <cellStyle name="Heading 1 2 6 2 2 15 2 2" xfId="23818"/>
    <cellStyle name="Heading 1 2 6 2 2 15 3" xfId="23819"/>
    <cellStyle name="Heading 1 2 6 2 2 16" xfId="23820"/>
    <cellStyle name="Heading 1 2 6 2 2 16 2" xfId="23821"/>
    <cellStyle name="Heading 1 2 6 2 2 16 2 2" xfId="23822"/>
    <cellStyle name="Heading 1 2 6 2 2 16 3" xfId="23823"/>
    <cellStyle name="Heading 1 2 6 2 2 17" xfId="23824"/>
    <cellStyle name="Heading 1 2 6 2 2 17 2" xfId="23825"/>
    <cellStyle name="Heading 1 2 6 2 2 17 2 2" xfId="23826"/>
    <cellStyle name="Heading 1 2 6 2 2 17 3" xfId="23827"/>
    <cellStyle name="Heading 1 2 6 2 2 18" xfId="23828"/>
    <cellStyle name="Heading 1 2 6 2 2 18 2" xfId="23829"/>
    <cellStyle name="Heading 1 2 6 2 2 18 2 2" xfId="23830"/>
    <cellStyle name="Heading 1 2 6 2 2 18 3" xfId="23831"/>
    <cellStyle name="Heading 1 2 6 2 2 19" xfId="23832"/>
    <cellStyle name="Heading 1 2 6 2 2 19 2" xfId="23833"/>
    <cellStyle name="Heading 1 2 6 2 2 2" xfId="23834"/>
    <cellStyle name="Heading 1 2 6 2 2 2 2" xfId="23835"/>
    <cellStyle name="Heading 1 2 6 2 2 2 2 2" xfId="23836"/>
    <cellStyle name="Heading 1 2 6 2 2 2 2 2 2" xfId="23837"/>
    <cellStyle name="Heading 1 2 6 2 2 2 2 3" xfId="23838"/>
    <cellStyle name="Heading 1 2 6 2 2 2 3" xfId="23839"/>
    <cellStyle name="Heading 1 2 6 2 2 2 3 2" xfId="23840"/>
    <cellStyle name="Heading 1 2 6 2 2 2 3 2 2" xfId="23841"/>
    <cellStyle name="Heading 1 2 6 2 2 2 3 3" xfId="23842"/>
    <cellStyle name="Heading 1 2 6 2 2 2 4" xfId="23843"/>
    <cellStyle name="Heading 1 2 6 2 2 2 4 2" xfId="23844"/>
    <cellStyle name="Heading 1 2 6 2 2 2 4 2 2" xfId="23845"/>
    <cellStyle name="Heading 1 2 6 2 2 2 4 3" xfId="23846"/>
    <cellStyle name="Heading 1 2 6 2 2 2 5" xfId="23847"/>
    <cellStyle name="Heading 1 2 6 2 2 2 5 2" xfId="23848"/>
    <cellStyle name="Heading 1 2 6 2 2 2 5 2 2" xfId="23849"/>
    <cellStyle name="Heading 1 2 6 2 2 2 5 3" xfId="23850"/>
    <cellStyle name="Heading 1 2 6 2 2 2 6" xfId="23851"/>
    <cellStyle name="Heading 1 2 6 2 2 2 6 2" xfId="23852"/>
    <cellStyle name="Heading 1 2 6 2 2 2 6 2 2" xfId="23853"/>
    <cellStyle name="Heading 1 2 6 2 2 2 6 3" xfId="23854"/>
    <cellStyle name="Heading 1 2 6 2 2 2 7" xfId="23855"/>
    <cellStyle name="Heading 1 2 6 2 2 2 7 2" xfId="23856"/>
    <cellStyle name="Heading 1 2 6 2 2 2 7 2 2" xfId="23857"/>
    <cellStyle name="Heading 1 2 6 2 2 2 7 3" xfId="23858"/>
    <cellStyle name="Heading 1 2 6 2 2 2 8" xfId="23859"/>
    <cellStyle name="Heading 1 2 6 2 2 2 8 2" xfId="23860"/>
    <cellStyle name="Heading 1 2 6 2 2 2 9" xfId="23861"/>
    <cellStyle name="Heading 1 2 6 2 2 20" xfId="23862"/>
    <cellStyle name="Heading 1 2 6 2 2 20 2" xfId="23863"/>
    <cellStyle name="Heading 1 2 6 2 2 21" xfId="23864"/>
    <cellStyle name="Heading 1 2 6 2 2 21 2" xfId="23865"/>
    <cellStyle name="Heading 1 2 6 2 2 22" xfId="23866"/>
    <cellStyle name="Heading 1 2 6 2 2 3" xfId="23867"/>
    <cellStyle name="Heading 1 2 6 2 2 3 2" xfId="23868"/>
    <cellStyle name="Heading 1 2 6 2 2 3 2 2" xfId="23869"/>
    <cellStyle name="Heading 1 2 6 2 2 3 2 2 2" xfId="23870"/>
    <cellStyle name="Heading 1 2 6 2 2 3 2 3" xfId="23871"/>
    <cellStyle name="Heading 1 2 6 2 2 3 3" xfId="23872"/>
    <cellStyle name="Heading 1 2 6 2 2 3 3 2" xfId="23873"/>
    <cellStyle name="Heading 1 2 6 2 2 3 3 2 2" xfId="23874"/>
    <cellStyle name="Heading 1 2 6 2 2 3 3 3" xfId="23875"/>
    <cellStyle name="Heading 1 2 6 2 2 3 4" xfId="23876"/>
    <cellStyle name="Heading 1 2 6 2 2 3 4 2" xfId="23877"/>
    <cellStyle name="Heading 1 2 6 2 2 3 4 2 2" xfId="23878"/>
    <cellStyle name="Heading 1 2 6 2 2 3 4 3" xfId="23879"/>
    <cellStyle name="Heading 1 2 6 2 2 3 5" xfId="23880"/>
    <cellStyle name="Heading 1 2 6 2 2 3 5 2" xfId="23881"/>
    <cellStyle name="Heading 1 2 6 2 2 3 5 2 2" xfId="23882"/>
    <cellStyle name="Heading 1 2 6 2 2 3 5 3" xfId="23883"/>
    <cellStyle name="Heading 1 2 6 2 2 3 6" xfId="23884"/>
    <cellStyle name="Heading 1 2 6 2 2 3 6 2" xfId="23885"/>
    <cellStyle name="Heading 1 2 6 2 2 3 6 2 2" xfId="23886"/>
    <cellStyle name="Heading 1 2 6 2 2 3 6 3" xfId="23887"/>
    <cellStyle name="Heading 1 2 6 2 2 3 7" xfId="23888"/>
    <cellStyle name="Heading 1 2 6 2 2 3 7 2" xfId="23889"/>
    <cellStyle name="Heading 1 2 6 2 2 3 7 2 2" xfId="23890"/>
    <cellStyle name="Heading 1 2 6 2 2 3 7 3" xfId="23891"/>
    <cellStyle name="Heading 1 2 6 2 2 3 8" xfId="23892"/>
    <cellStyle name="Heading 1 2 6 2 2 3 8 2" xfId="23893"/>
    <cellStyle name="Heading 1 2 6 2 2 3 9" xfId="23894"/>
    <cellStyle name="Heading 1 2 6 2 2 4" xfId="23895"/>
    <cellStyle name="Heading 1 2 6 2 2 4 2" xfId="23896"/>
    <cellStyle name="Heading 1 2 6 2 2 4 2 2" xfId="23897"/>
    <cellStyle name="Heading 1 2 6 2 2 4 2 2 2" xfId="23898"/>
    <cellStyle name="Heading 1 2 6 2 2 4 2 3" xfId="23899"/>
    <cellStyle name="Heading 1 2 6 2 2 4 3" xfId="23900"/>
    <cellStyle name="Heading 1 2 6 2 2 4 3 2" xfId="23901"/>
    <cellStyle name="Heading 1 2 6 2 2 4 3 2 2" xfId="23902"/>
    <cellStyle name="Heading 1 2 6 2 2 4 3 3" xfId="23903"/>
    <cellStyle name="Heading 1 2 6 2 2 4 4" xfId="23904"/>
    <cellStyle name="Heading 1 2 6 2 2 4 4 2" xfId="23905"/>
    <cellStyle name="Heading 1 2 6 2 2 4 4 2 2" xfId="23906"/>
    <cellStyle name="Heading 1 2 6 2 2 4 4 3" xfId="23907"/>
    <cellStyle name="Heading 1 2 6 2 2 4 5" xfId="23908"/>
    <cellStyle name="Heading 1 2 6 2 2 4 5 2" xfId="23909"/>
    <cellStyle name="Heading 1 2 6 2 2 4 5 2 2" xfId="23910"/>
    <cellStyle name="Heading 1 2 6 2 2 4 5 3" xfId="23911"/>
    <cellStyle name="Heading 1 2 6 2 2 4 6" xfId="23912"/>
    <cellStyle name="Heading 1 2 6 2 2 4 6 2" xfId="23913"/>
    <cellStyle name="Heading 1 2 6 2 2 4 6 2 2" xfId="23914"/>
    <cellStyle name="Heading 1 2 6 2 2 4 6 3" xfId="23915"/>
    <cellStyle name="Heading 1 2 6 2 2 4 7" xfId="23916"/>
    <cellStyle name="Heading 1 2 6 2 2 4 7 2" xfId="23917"/>
    <cellStyle name="Heading 1 2 6 2 2 4 7 2 2" xfId="23918"/>
    <cellStyle name="Heading 1 2 6 2 2 4 7 3" xfId="23919"/>
    <cellStyle name="Heading 1 2 6 2 2 4 8" xfId="23920"/>
    <cellStyle name="Heading 1 2 6 2 2 4 8 2" xfId="23921"/>
    <cellStyle name="Heading 1 2 6 2 2 4 9" xfId="23922"/>
    <cellStyle name="Heading 1 2 6 2 2 5" xfId="23923"/>
    <cellStyle name="Heading 1 2 6 2 2 5 2" xfId="23924"/>
    <cellStyle name="Heading 1 2 6 2 2 5 2 2" xfId="23925"/>
    <cellStyle name="Heading 1 2 6 2 2 5 2 2 2" xfId="23926"/>
    <cellStyle name="Heading 1 2 6 2 2 5 2 3" xfId="23927"/>
    <cellStyle name="Heading 1 2 6 2 2 5 3" xfId="23928"/>
    <cellStyle name="Heading 1 2 6 2 2 5 3 2" xfId="23929"/>
    <cellStyle name="Heading 1 2 6 2 2 5 3 2 2" xfId="23930"/>
    <cellStyle name="Heading 1 2 6 2 2 5 3 3" xfId="23931"/>
    <cellStyle name="Heading 1 2 6 2 2 5 4" xfId="23932"/>
    <cellStyle name="Heading 1 2 6 2 2 5 4 2" xfId="23933"/>
    <cellStyle name="Heading 1 2 6 2 2 5 4 2 2" xfId="23934"/>
    <cellStyle name="Heading 1 2 6 2 2 5 4 3" xfId="23935"/>
    <cellStyle name="Heading 1 2 6 2 2 5 5" xfId="23936"/>
    <cellStyle name="Heading 1 2 6 2 2 5 5 2" xfId="23937"/>
    <cellStyle name="Heading 1 2 6 2 2 5 5 2 2" xfId="23938"/>
    <cellStyle name="Heading 1 2 6 2 2 5 5 3" xfId="23939"/>
    <cellStyle name="Heading 1 2 6 2 2 5 6" xfId="23940"/>
    <cellStyle name="Heading 1 2 6 2 2 5 6 2" xfId="23941"/>
    <cellStyle name="Heading 1 2 6 2 2 5 6 2 2" xfId="23942"/>
    <cellStyle name="Heading 1 2 6 2 2 5 6 3" xfId="23943"/>
    <cellStyle name="Heading 1 2 6 2 2 5 7" xfId="23944"/>
    <cellStyle name="Heading 1 2 6 2 2 5 7 2" xfId="23945"/>
    <cellStyle name="Heading 1 2 6 2 2 5 7 2 2" xfId="23946"/>
    <cellStyle name="Heading 1 2 6 2 2 5 7 3" xfId="23947"/>
    <cellStyle name="Heading 1 2 6 2 2 5 8" xfId="23948"/>
    <cellStyle name="Heading 1 2 6 2 2 5 8 2" xfId="23949"/>
    <cellStyle name="Heading 1 2 6 2 2 5 9" xfId="23950"/>
    <cellStyle name="Heading 1 2 6 2 2 6" xfId="23951"/>
    <cellStyle name="Heading 1 2 6 2 2 6 2" xfId="23952"/>
    <cellStyle name="Heading 1 2 6 2 2 6 2 2" xfId="23953"/>
    <cellStyle name="Heading 1 2 6 2 2 6 2 2 2" xfId="23954"/>
    <cellStyle name="Heading 1 2 6 2 2 6 2 3" xfId="23955"/>
    <cellStyle name="Heading 1 2 6 2 2 6 3" xfId="23956"/>
    <cellStyle name="Heading 1 2 6 2 2 6 3 2" xfId="23957"/>
    <cellStyle name="Heading 1 2 6 2 2 6 3 2 2" xfId="23958"/>
    <cellStyle name="Heading 1 2 6 2 2 6 3 3" xfId="23959"/>
    <cellStyle name="Heading 1 2 6 2 2 6 4" xfId="23960"/>
    <cellStyle name="Heading 1 2 6 2 2 6 4 2" xfId="23961"/>
    <cellStyle name="Heading 1 2 6 2 2 6 4 2 2" xfId="23962"/>
    <cellStyle name="Heading 1 2 6 2 2 6 4 3" xfId="23963"/>
    <cellStyle name="Heading 1 2 6 2 2 6 5" xfId="23964"/>
    <cellStyle name="Heading 1 2 6 2 2 6 5 2" xfId="23965"/>
    <cellStyle name="Heading 1 2 6 2 2 6 5 2 2" xfId="23966"/>
    <cellStyle name="Heading 1 2 6 2 2 6 5 3" xfId="23967"/>
    <cellStyle name="Heading 1 2 6 2 2 6 6" xfId="23968"/>
    <cellStyle name="Heading 1 2 6 2 2 6 6 2" xfId="23969"/>
    <cellStyle name="Heading 1 2 6 2 2 6 6 2 2" xfId="23970"/>
    <cellStyle name="Heading 1 2 6 2 2 6 6 3" xfId="23971"/>
    <cellStyle name="Heading 1 2 6 2 2 6 7" xfId="23972"/>
    <cellStyle name="Heading 1 2 6 2 2 6 7 2" xfId="23973"/>
    <cellStyle name="Heading 1 2 6 2 2 6 7 2 2" xfId="23974"/>
    <cellStyle name="Heading 1 2 6 2 2 6 7 3" xfId="23975"/>
    <cellStyle name="Heading 1 2 6 2 2 6 8" xfId="23976"/>
    <cellStyle name="Heading 1 2 6 2 2 6 8 2" xfId="23977"/>
    <cellStyle name="Heading 1 2 6 2 2 6 9" xfId="23978"/>
    <cellStyle name="Heading 1 2 6 2 2 7" xfId="23979"/>
    <cellStyle name="Heading 1 2 6 2 2 7 2" xfId="23980"/>
    <cellStyle name="Heading 1 2 6 2 2 7 2 2" xfId="23981"/>
    <cellStyle name="Heading 1 2 6 2 2 7 2 2 2" xfId="23982"/>
    <cellStyle name="Heading 1 2 6 2 2 7 2 3" xfId="23983"/>
    <cellStyle name="Heading 1 2 6 2 2 7 3" xfId="23984"/>
    <cellStyle name="Heading 1 2 6 2 2 7 3 2" xfId="23985"/>
    <cellStyle name="Heading 1 2 6 2 2 7 3 2 2" xfId="23986"/>
    <cellStyle name="Heading 1 2 6 2 2 7 3 3" xfId="23987"/>
    <cellStyle name="Heading 1 2 6 2 2 7 4" xfId="23988"/>
    <cellStyle name="Heading 1 2 6 2 2 7 4 2" xfId="23989"/>
    <cellStyle name="Heading 1 2 6 2 2 7 4 2 2" xfId="23990"/>
    <cellStyle name="Heading 1 2 6 2 2 7 4 3" xfId="23991"/>
    <cellStyle name="Heading 1 2 6 2 2 7 5" xfId="23992"/>
    <cellStyle name="Heading 1 2 6 2 2 7 5 2" xfId="23993"/>
    <cellStyle name="Heading 1 2 6 2 2 7 5 2 2" xfId="23994"/>
    <cellStyle name="Heading 1 2 6 2 2 7 5 3" xfId="23995"/>
    <cellStyle name="Heading 1 2 6 2 2 7 6" xfId="23996"/>
    <cellStyle name="Heading 1 2 6 2 2 7 6 2" xfId="23997"/>
    <cellStyle name="Heading 1 2 6 2 2 7 6 2 2" xfId="23998"/>
    <cellStyle name="Heading 1 2 6 2 2 7 6 3" xfId="23999"/>
    <cellStyle name="Heading 1 2 6 2 2 7 7" xfId="24000"/>
    <cellStyle name="Heading 1 2 6 2 2 7 7 2" xfId="24001"/>
    <cellStyle name="Heading 1 2 6 2 2 7 7 2 2" xfId="24002"/>
    <cellStyle name="Heading 1 2 6 2 2 7 7 3" xfId="24003"/>
    <cellStyle name="Heading 1 2 6 2 2 7 8" xfId="24004"/>
    <cellStyle name="Heading 1 2 6 2 2 7 8 2" xfId="24005"/>
    <cellStyle name="Heading 1 2 6 2 2 7 9" xfId="24006"/>
    <cellStyle name="Heading 1 2 6 2 2 8" xfId="24007"/>
    <cellStyle name="Heading 1 2 6 2 2 8 2" xfId="24008"/>
    <cellStyle name="Heading 1 2 6 2 2 8 2 2" xfId="24009"/>
    <cellStyle name="Heading 1 2 6 2 2 8 2 2 2" xfId="24010"/>
    <cellStyle name="Heading 1 2 6 2 2 8 2 3" xfId="24011"/>
    <cellStyle name="Heading 1 2 6 2 2 8 3" xfId="24012"/>
    <cellStyle name="Heading 1 2 6 2 2 8 3 2" xfId="24013"/>
    <cellStyle name="Heading 1 2 6 2 2 8 3 2 2" xfId="24014"/>
    <cellStyle name="Heading 1 2 6 2 2 8 3 3" xfId="24015"/>
    <cellStyle name="Heading 1 2 6 2 2 8 4" xfId="24016"/>
    <cellStyle name="Heading 1 2 6 2 2 8 4 2" xfId="24017"/>
    <cellStyle name="Heading 1 2 6 2 2 8 4 2 2" xfId="24018"/>
    <cellStyle name="Heading 1 2 6 2 2 8 4 3" xfId="24019"/>
    <cellStyle name="Heading 1 2 6 2 2 8 5" xfId="24020"/>
    <cellStyle name="Heading 1 2 6 2 2 8 5 2" xfId="24021"/>
    <cellStyle name="Heading 1 2 6 2 2 8 5 2 2" xfId="24022"/>
    <cellStyle name="Heading 1 2 6 2 2 8 5 3" xfId="24023"/>
    <cellStyle name="Heading 1 2 6 2 2 8 6" xfId="24024"/>
    <cellStyle name="Heading 1 2 6 2 2 8 6 2" xfId="24025"/>
    <cellStyle name="Heading 1 2 6 2 2 8 6 2 2" xfId="24026"/>
    <cellStyle name="Heading 1 2 6 2 2 8 6 3" xfId="24027"/>
    <cellStyle name="Heading 1 2 6 2 2 8 7" xfId="24028"/>
    <cellStyle name="Heading 1 2 6 2 2 8 7 2" xfId="24029"/>
    <cellStyle name="Heading 1 2 6 2 2 8 7 2 2" xfId="24030"/>
    <cellStyle name="Heading 1 2 6 2 2 8 7 3" xfId="24031"/>
    <cellStyle name="Heading 1 2 6 2 2 8 8" xfId="24032"/>
    <cellStyle name="Heading 1 2 6 2 2 8 8 2" xfId="24033"/>
    <cellStyle name="Heading 1 2 6 2 2 8 9" xfId="24034"/>
    <cellStyle name="Heading 1 2 6 2 2 9" xfId="24035"/>
    <cellStyle name="Heading 1 2 6 2 2 9 2" xfId="24036"/>
    <cellStyle name="Heading 1 2 6 2 2 9 2 2" xfId="24037"/>
    <cellStyle name="Heading 1 2 6 2 2 9 3" xfId="24038"/>
    <cellStyle name="Heading 1 2 6 2 20" xfId="24039"/>
    <cellStyle name="Heading 1 2 6 2 20 2" xfId="24040"/>
    <cellStyle name="Heading 1 2 6 2 21" xfId="24041"/>
    <cellStyle name="Heading 1 2 6 2 21 2" xfId="24042"/>
    <cellStyle name="Heading 1 2 6 2 22" xfId="24043"/>
    <cellStyle name="Heading 1 2 6 2 22 2" xfId="24044"/>
    <cellStyle name="Heading 1 2 6 2 23" xfId="24045"/>
    <cellStyle name="Heading 1 2 6 2 3" xfId="24046"/>
    <cellStyle name="Heading 1 2 6 2 3 2" xfId="24047"/>
    <cellStyle name="Heading 1 2 6 2 3 2 2" xfId="24048"/>
    <cellStyle name="Heading 1 2 6 2 3 2 2 2" xfId="24049"/>
    <cellStyle name="Heading 1 2 6 2 3 2 3" xfId="24050"/>
    <cellStyle name="Heading 1 2 6 2 3 3" xfId="24051"/>
    <cellStyle name="Heading 1 2 6 2 3 3 2" xfId="24052"/>
    <cellStyle name="Heading 1 2 6 2 3 3 2 2" xfId="24053"/>
    <cellStyle name="Heading 1 2 6 2 3 3 3" xfId="24054"/>
    <cellStyle name="Heading 1 2 6 2 3 4" xfId="24055"/>
    <cellStyle name="Heading 1 2 6 2 3 4 2" xfId="24056"/>
    <cellStyle name="Heading 1 2 6 2 3 4 2 2" xfId="24057"/>
    <cellStyle name="Heading 1 2 6 2 3 4 3" xfId="24058"/>
    <cellStyle name="Heading 1 2 6 2 3 5" xfId="24059"/>
    <cellStyle name="Heading 1 2 6 2 3 5 2" xfId="24060"/>
    <cellStyle name="Heading 1 2 6 2 3 5 2 2" xfId="24061"/>
    <cellStyle name="Heading 1 2 6 2 3 5 3" xfId="24062"/>
    <cellStyle name="Heading 1 2 6 2 3 6" xfId="24063"/>
    <cellStyle name="Heading 1 2 6 2 3 6 2" xfId="24064"/>
    <cellStyle name="Heading 1 2 6 2 3 6 2 2" xfId="24065"/>
    <cellStyle name="Heading 1 2 6 2 3 6 3" xfId="24066"/>
    <cellStyle name="Heading 1 2 6 2 3 7" xfId="24067"/>
    <cellStyle name="Heading 1 2 6 2 3 7 2" xfId="24068"/>
    <cellStyle name="Heading 1 2 6 2 3 7 2 2" xfId="24069"/>
    <cellStyle name="Heading 1 2 6 2 3 7 3" xfId="24070"/>
    <cellStyle name="Heading 1 2 6 2 3 8" xfId="24071"/>
    <cellStyle name="Heading 1 2 6 2 3 8 2" xfId="24072"/>
    <cellStyle name="Heading 1 2 6 2 3 9" xfId="24073"/>
    <cellStyle name="Heading 1 2 6 2 4" xfId="24074"/>
    <cellStyle name="Heading 1 2 6 2 4 2" xfId="24075"/>
    <cellStyle name="Heading 1 2 6 2 4 2 2" xfId="24076"/>
    <cellStyle name="Heading 1 2 6 2 4 2 2 2" xfId="24077"/>
    <cellStyle name="Heading 1 2 6 2 4 2 3" xfId="24078"/>
    <cellStyle name="Heading 1 2 6 2 4 3" xfId="24079"/>
    <cellStyle name="Heading 1 2 6 2 4 3 2" xfId="24080"/>
    <cellStyle name="Heading 1 2 6 2 4 3 2 2" xfId="24081"/>
    <cellStyle name="Heading 1 2 6 2 4 3 3" xfId="24082"/>
    <cellStyle name="Heading 1 2 6 2 4 4" xfId="24083"/>
    <cellStyle name="Heading 1 2 6 2 4 4 2" xfId="24084"/>
    <cellStyle name="Heading 1 2 6 2 4 4 2 2" xfId="24085"/>
    <cellStyle name="Heading 1 2 6 2 4 4 3" xfId="24086"/>
    <cellStyle name="Heading 1 2 6 2 4 5" xfId="24087"/>
    <cellStyle name="Heading 1 2 6 2 4 5 2" xfId="24088"/>
    <cellStyle name="Heading 1 2 6 2 4 5 2 2" xfId="24089"/>
    <cellStyle name="Heading 1 2 6 2 4 5 3" xfId="24090"/>
    <cellStyle name="Heading 1 2 6 2 4 6" xfId="24091"/>
    <cellStyle name="Heading 1 2 6 2 4 6 2" xfId="24092"/>
    <cellStyle name="Heading 1 2 6 2 4 6 2 2" xfId="24093"/>
    <cellStyle name="Heading 1 2 6 2 4 6 3" xfId="24094"/>
    <cellStyle name="Heading 1 2 6 2 4 7" xfId="24095"/>
    <cellStyle name="Heading 1 2 6 2 4 7 2" xfId="24096"/>
    <cellStyle name="Heading 1 2 6 2 4 7 2 2" xfId="24097"/>
    <cellStyle name="Heading 1 2 6 2 4 7 3" xfId="24098"/>
    <cellStyle name="Heading 1 2 6 2 4 8" xfId="24099"/>
    <cellStyle name="Heading 1 2 6 2 4 8 2" xfId="24100"/>
    <cellStyle name="Heading 1 2 6 2 4 9" xfId="24101"/>
    <cellStyle name="Heading 1 2 6 2 5" xfId="24102"/>
    <cellStyle name="Heading 1 2 6 2 5 2" xfId="24103"/>
    <cellStyle name="Heading 1 2 6 2 5 2 2" xfId="24104"/>
    <cellStyle name="Heading 1 2 6 2 5 2 2 2" xfId="24105"/>
    <cellStyle name="Heading 1 2 6 2 5 2 3" xfId="24106"/>
    <cellStyle name="Heading 1 2 6 2 5 3" xfId="24107"/>
    <cellStyle name="Heading 1 2 6 2 5 3 2" xfId="24108"/>
    <cellStyle name="Heading 1 2 6 2 5 3 2 2" xfId="24109"/>
    <cellStyle name="Heading 1 2 6 2 5 3 3" xfId="24110"/>
    <cellStyle name="Heading 1 2 6 2 5 4" xfId="24111"/>
    <cellStyle name="Heading 1 2 6 2 5 4 2" xfId="24112"/>
    <cellStyle name="Heading 1 2 6 2 5 4 2 2" xfId="24113"/>
    <cellStyle name="Heading 1 2 6 2 5 4 3" xfId="24114"/>
    <cellStyle name="Heading 1 2 6 2 5 5" xfId="24115"/>
    <cellStyle name="Heading 1 2 6 2 5 5 2" xfId="24116"/>
    <cellStyle name="Heading 1 2 6 2 5 5 2 2" xfId="24117"/>
    <cellStyle name="Heading 1 2 6 2 5 5 3" xfId="24118"/>
    <cellStyle name="Heading 1 2 6 2 5 6" xfId="24119"/>
    <cellStyle name="Heading 1 2 6 2 5 6 2" xfId="24120"/>
    <cellStyle name="Heading 1 2 6 2 5 6 2 2" xfId="24121"/>
    <cellStyle name="Heading 1 2 6 2 5 6 3" xfId="24122"/>
    <cellStyle name="Heading 1 2 6 2 5 7" xfId="24123"/>
    <cellStyle name="Heading 1 2 6 2 5 7 2" xfId="24124"/>
    <cellStyle name="Heading 1 2 6 2 5 7 2 2" xfId="24125"/>
    <cellStyle name="Heading 1 2 6 2 5 7 3" xfId="24126"/>
    <cellStyle name="Heading 1 2 6 2 5 8" xfId="24127"/>
    <cellStyle name="Heading 1 2 6 2 5 8 2" xfId="24128"/>
    <cellStyle name="Heading 1 2 6 2 5 9" xfId="24129"/>
    <cellStyle name="Heading 1 2 6 2 6" xfId="24130"/>
    <cellStyle name="Heading 1 2 6 2 6 2" xfId="24131"/>
    <cellStyle name="Heading 1 2 6 2 6 2 2" xfId="24132"/>
    <cellStyle name="Heading 1 2 6 2 6 2 2 2" xfId="24133"/>
    <cellStyle name="Heading 1 2 6 2 6 2 3" xfId="24134"/>
    <cellStyle name="Heading 1 2 6 2 6 3" xfId="24135"/>
    <cellStyle name="Heading 1 2 6 2 6 3 2" xfId="24136"/>
    <cellStyle name="Heading 1 2 6 2 6 3 2 2" xfId="24137"/>
    <cellStyle name="Heading 1 2 6 2 6 3 3" xfId="24138"/>
    <cellStyle name="Heading 1 2 6 2 6 4" xfId="24139"/>
    <cellStyle name="Heading 1 2 6 2 6 4 2" xfId="24140"/>
    <cellStyle name="Heading 1 2 6 2 6 4 2 2" xfId="24141"/>
    <cellStyle name="Heading 1 2 6 2 6 4 3" xfId="24142"/>
    <cellStyle name="Heading 1 2 6 2 6 5" xfId="24143"/>
    <cellStyle name="Heading 1 2 6 2 6 5 2" xfId="24144"/>
    <cellStyle name="Heading 1 2 6 2 6 5 2 2" xfId="24145"/>
    <cellStyle name="Heading 1 2 6 2 6 5 3" xfId="24146"/>
    <cellStyle name="Heading 1 2 6 2 6 6" xfId="24147"/>
    <cellStyle name="Heading 1 2 6 2 6 6 2" xfId="24148"/>
    <cellStyle name="Heading 1 2 6 2 6 6 2 2" xfId="24149"/>
    <cellStyle name="Heading 1 2 6 2 6 6 3" xfId="24150"/>
    <cellStyle name="Heading 1 2 6 2 6 7" xfId="24151"/>
    <cellStyle name="Heading 1 2 6 2 6 7 2" xfId="24152"/>
    <cellStyle name="Heading 1 2 6 2 6 7 2 2" xfId="24153"/>
    <cellStyle name="Heading 1 2 6 2 6 7 3" xfId="24154"/>
    <cellStyle name="Heading 1 2 6 2 6 8" xfId="24155"/>
    <cellStyle name="Heading 1 2 6 2 6 8 2" xfId="24156"/>
    <cellStyle name="Heading 1 2 6 2 6 9" xfId="24157"/>
    <cellStyle name="Heading 1 2 6 2 7" xfId="24158"/>
    <cellStyle name="Heading 1 2 6 2 7 2" xfId="24159"/>
    <cellStyle name="Heading 1 2 6 2 7 2 2" xfId="24160"/>
    <cellStyle name="Heading 1 2 6 2 7 2 2 2" xfId="24161"/>
    <cellStyle name="Heading 1 2 6 2 7 2 3" xfId="24162"/>
    <cellStyle name="Heading 1 2 6 2 7 3" xfId="24163"/>
    <cellStyle name="Heading 1 2 6 2 7 3 2" xfId="24164"/>
    <cellStyle name="Heading 1 2 6 2 7 3 2 2" xfId="24165"/>
    <cellStyle name="Heading 1 2 6 2 7 3 3" xfId="24166"/>
    <cellStyle name="Heading 1 2 6 2 7 4" xfId="24167"/>
    <cellStyle name="Heading 1 2 6 2 7 4 2" xfId="24168"/>
    <cellStyle name="Heading 1 2 6 2 7 4 2 2" xfId="24169"/>
    <cellStyle name="Heading 1 2 6 2 7 4 3" xfId="24170"/>
    <cellStyle name="Heading 1 2 6 2 7 5" xfId="24171"/>
    <cellStyle name="Heading 1 2 6 2 7 5 2" xfId="24172"/>
    <cellStyle name="Heading 1 2 6 2 7 5 2 2" xfId="24173"/>
    <cellStyle name="Heading 1 2 6 2 7 5 3" xfId="24174"/>
    <cellStyle name="Heading 1 2 6 2 7 6" xfId="24175"/>
    <cellStyle name="Heading 1 2 6 2 7 6 2" xfId="24176"/>
    <cellStyle name="Heading 1 2 6 2 7 6 2 2" xfId="24177"/>
    <cellStyle name="Heading 1 2 6 2 7 6 3" xfId="24178"/>
    <cellStyle name="Heading 1 2 6 2 7 7" xfId="24179"/>
    <cellStyle name="Heading 1 2 6 2 7 7 2" xfId="24180"/>
    <cellStyle name="Heading 1 2 6 2 7 7 2 2" xfId="24181"/>
    <cellStyle name="Heading 1 2 6 2 7 7 3" xfId="24182"/>
    <cellStyle name="Heading 1 2 6 2 7 8" xfId="24183"/>
    <cellStyle name="Heading 1 2 6 2 7 8 2" xfId="24184"/>
    <cellStyle name="Heading 1 2 6 2 7 9" xfId="24185"/>
    <cellStyle name="Heading 1 2 6 2 8" xfId="24186"/>
    <cellStyle name="Heading 1 2 6 2 8 2" xfId="24187"/>
    <cellStyle name="Heading 1 2 6 2 8 2 2" xfId="24188"/>
    <cellStyle name="Heading 1 2 6 2 8 2 2 2" xfId="24189"/>
    <cellStyle name="Heading 1 2 6 2 8 2 3" xfId="24190"/>
    <cellStyle name="Heading 1 2 6 2 8 3" xfId="24191"/>
    <cellStyle name="Heading 1 2 6 2 8 3 2" xfId="24192"/>
    <cellStyle name="Heading 1 2 6 2 8 3 2 2" xfId="24193"/>
    <cellStyle name="Heading 1 2 6 2 8 3 3" xfId="24194"/>
    <cellStyle name="Heading 1 2 6 2 8 4" xfId="24195"/>
    <cellStyle name="Heading 1 2 6 2 8 4 2" xfId="24196"/>
    <cellStyle name="Heading 1 2 6 2 8 4 2 2" xfId="24197"/>
    <cellStyle name="Heading 1 2 6 2 8 4 3" xfId="24198"/>
    <cellStyle name="Heading 1 2 6 2 8 5" xfId="24199"/>
    <cellStyle name="Heading 1 2 6 2 8 5 2" xfId="24200"/>
    <cellStyle name="Heading 1 2 6 2 8 5 2 2" xfId="24201"/>
    <cellStyle name="Heading 1 2 6 2 8 5 3" xfId="24202"/>
    <cellStyle name="Heading 1 2 6 2 8 6" xfId="24203"/>
    <cellStyle name="Heading 1 2 6 2 8 6 2" xfId="24204"/>
    <cellStyle name="Heading 1 2 6 2 8 6 2 2" xfId="24205"/>
    <cellStyle name="Heading 1 2 6 2 8 6 3" xfId="24206"/>
    <cellStyle name="Heading 1 2 6 2 8 7" xfId="24207"/>
    <cellStyle name="Heading 1 2 6 2 8 7 2" xfId="24208"/>
    <cellStyle name="Heading 1 2 6 2 8 7 2 2" xfId="24209"/>
    <cellStyle name="Heading 1 2 6 2 8 7 3" xfId="24210"/>
    <cellStyle name="Heading 1 2 6 2 8 8" xfId="24211"/>
    <cellStyle name="Heading 1 2 6 2 8 8 2" xfId="24212"/>
    <cellStyle name="Heading 1 2 6 2 8 9" xfId="24213"/>
    <cellStyle name="Heading 1 2 6 2 9" xfId="24214"/>
    <cellStyle name="Heading 1 2 6 2 9 2" xfId="24215"/>
    <cellStyle name="Heading 1 2 6 2 9 2 2" xfId="24216"/>
    <cellStyle name="Heading 1 2 6 2 9 2 2 2" xfId="24217"/>
    <cellStyle name="Heading 1 2 6 2 9 2 3" xfId="24218"/>
    <cellStyle name="Heading 1 2 6 2 9 3" xfId="24219"/>
    <cellStyle name="Heading 1 2 6 2 9 3 2" xfId="24220"/>
    <cellStyle name="Heading 1 2 6 2 9 3 2 2" xfId="24221"/>
    <cellStyle name="Heading 1 2 6 2 9 3 3" xfId="24222"/>
    <cellStyle name="Heading 1 2 6 2 9 4" xfId="24223"/>
    <cellStyle name="Heading 1 2 6 2 9 4 2" xfId="24224"/>
    <cellStyle name="Heading 1 2 6 2 9 4 2 2" xfId="24225"/>
    <cellStyle name="Heading 1 2 6 2 9 4 3" xfId="24226"/>
    <cellStyle name="Heading 1 2 6 2 9 5" xfId="24227"/>
    <cellStyle name="Heading 1 2 6 2 9 5 2" xfId="24228"/>
    <cellStyle name="Heading 1 2 6 2 9 5 2 2" xfId="24229"/>
    <cellStyle name="Heading 1 2 6 2 9 5 3" xfId="24230"/>
    <cellStyle name="Heading 1 2 6 2 9 6" xfId="24231"/>
    <cellStyle name="Heading 1 2 6 2 9 6 2" xfId="24232"/>
    <cellStyle name="Heading 1 2 6 2 9 6 2 2" xfId="24233"/>
    <cellStyle name="Heading 1 2 6 2 9 6 3" xfId="24234"/>
    <cellStyle name="Heading 1 2 6 2 9 7" xfId="24235"/>
    <cellStyle name="Heading 1 2 6 2 9 7 2" xfId="24236"/>
    <cellStyle name="Heading 1 2 6 2 9 7 2 2" xfId="24237"/>
    <cellStyle name="Heading 1 2 6 2 9 7 3" xfId="24238"/>
    <cellStyle name="Heading 1 2 6 2 9 8" xfId="24239"/>
    <cellStyle name="Heading 1 2 6 2 9 8 2" xfId="24240"/>
    <cellStyle name="Heading 1 2 6 2 9 9" xfId="24241"/>
    <cellStyle name="Heading 1 2 6 3" xfId="24242"/>
    <cellStyle name="Heading 1 2 6 3 10" xfId="24243"/>
    <cellStyle name="Heading 1 2 6 3 10 2" xfId="24244"/>
    <cellStyle name="Heading 1 2 6 3 10 2 2" xfId="24245"/>
    <cellStyle name="Heading 1 2 6 3 10 3" xfId="24246"/>
    <cellStyle name="Heading 1 2 6 3 11" xfId="24247"/>
    <cellStyle name="Heading 1 2 6 3 11 2" xfId="24248"/>
    <cellStyle name="Heading 1 2 6 3 11 2 2" xfId="24249"/>
    <cellStyle name="Heading 1 2 6 3 11 3" xfId="24250"/>
    <cellStyle name="Heading 1 2 6 3 12" xfId="24251"/>
    <cellStyle name="Heading 1 2 6 3 12 2" xfId="24252"/>
    <cellStyle name="Heading 1 2 6 3 12 2 2" xfId="24253"/>
    <cellStyle name="Heading 1 2 6 3 12 3" xfId="24254"/>
    <cellStyle name="Heading 1 2 6 3 13" xfId="24255"/>
    <cellStyle name="Heading 1 2 6 3 13 2" xfId="24256"/>
    <cellStyle name="Heading 1 2 6 3 13 2 2" xfId="24257"/>
    <cellStyle name="Heading 1 2 6 3 13 3" xfId="24258"/>
    <cellStyle name="Heading 1 2 6 3 14" xfId="24259"/>
    <cellStyle name="Heading 1 2 6 3 14 2" xfId="24260"/>
    <cellStyle name="Heading 1 2 6 3 14 2 2" xfId="24261"/>
    <cellStyle name="Heading 1 2 6 3 14 3" xfId="24262"/>
    <cellStyle name="Heading 1 2 6 3 15" xfId="24263"/>
    <cellStyle name="Heading 1 2 6 3 15 2" xfId="24264"/>
    <cellStyle name="Heading 1 2 6 3 15 2 2" xfId="24265"/>
    <cellStyle name="Heading 1 2 6 3 15 3" xfId="24266"/>
    <cellStyle name="Heading 1 2 6 3 16" xfId="24267"/>
    <cellStyle name="Heading 1 2 6 3 16 2" xfId="24268"/>
    <cellStyle name="Heading 1 2 6 3 16 2 2" xfId="24269"/>
    <cellStyle name="Heading 1 2 6 3 16 3" xfId="24270"/>
    <cellStyle name="Heading 1 2 6 3 17" xfId="24271"/>
    <cellStyle name="Heading 1 2 6 3 17 2" xfId="24272"/>
    <cellStyle name="Heading 1 2 6 3 17 2 2" xfId="24273"/>
    <cellStyle name="Heading 1 2 6 3 17 3" xfId="24274"/>
    <cellStyle name="Heading 1 2 6 3 18" xfId="24275"/>
    <cellStyle name="Heading 1 2 6 3 18 2" xfId="24276"/>
    <cellStyle name="Heading 1 2 6 3 18 2 2" xfId="24277"/>
    <cellStyle name="Heading 1 2 6 3 18 3" xfId="24278"/>
    <cellStyle name="Heading 1 2 6 3 19" xfId="24279"/>
    <cellStyle name="Heading 1 2 6 3 19 2" xfId="24280"/>
    <cellStyle name="Heading 1 2 6 3 2" xfId="24281"/>
    <cellStyle name="Heading 1 2 6 3 2 2" xfId="24282"/>
    <cellStyle name="Heading 1 2 6 3 2 2 2" xfId="24283"/>
    <cellStyle name="Heading 1 2 6 3 2 2 2 2" xfId="24284"/>
    <cellStyle name="Heading 1 2 6 3 2 2 3" xfId="24285"/>
    <cellStyle name="Heading 1 2 6 3 2 3" xfId="24286"/>
    <cellStyle name="Heading 1 2 6 3 2 3 2" xfId="24287"/>
    <cellStyle name="Heading 1 2 6 3 2 3 2 2" xfId="24288"/>
    <cellStyle name="Heading 1 2 6 3 2 3 3" xfId="24289"/>
    <cellStyle name="Heading 1 2 6 3 2 4" xfId="24290"/>
    <cellStyle name="Heading 1 2 6 3 2 4 2" xfId="24291"/>
    <cellStyle name="Heading 1 2 6 3 2 4 2 2" xfId="24292"/>
    <cellStyle name="Heading 1 2 6 3 2 4 3" xfId="24293"/>
    <cellStyle name="Heading 1 2 6 3 2 5" xfId="24294"/>
    <cellStyle name="Heading 1 2 6 3 2 5 2" xfId="24295"/>
    <cellStyle name="Heading 1 2 6 3 2 5 2 2" xfId="24296"/>
    <cellStyle name="Heading 1 2 6 3 2 5 3" xfId="24297"/>
    <cellStyle name="Heading 1 2 6 3 2 6" xfId="24298"/>
    <cellStyle name="Heading 1 2 6 3 2 6 2" xfId="24299"/>
    <cellStyle name="Heading 1 2 6 3 2 6 2 2" xfId="24300"/>
    <cellStyle name="Heading 1 2 6 3 2 6 3" xfId="24301"/>
    <cellStyle name="Heading 1 2 6 3 2 7" xfId="24302"/>
    <cellStyle name="Heading 1 2 6 3 2 7 2" xfId="24303"/>
    <cellStyle name="Heading 1 2 6 3 2 7 2 2" xfId="24304"/>
    <cellStyle name="Heading 1 2 6 3 2 7 3" xfId="24305"/>
    <cellStyle name="Heading 1 2 6 3 2 8" xfId="24306"/>
    <cellStyle name="Heading 1 2 6 3 2 8 2" xfId="24307"/>
    <cellStyle name="Heading 1 2 6 3 2 9" xfId="24308"/>
    <cellStyle name="Heading 1 2 6 3 20" xfId="24309"/>
    <cellStyle name="Heading 1 2 6 3 20 2" xfId="24310"/>
    <cellStyle name="Heading 1 2 6 3 21" xfId="24311"/>
    <cellStyle name="Heading 1 2 6 3 21 2" xfId="24312"/>
    <cellStyle name="Heading 1 2 6 3 22" xfId="24313"/>
    <cellStyle name="Heading 1 2 6 3 3" xfId="24314"/>
    <cellStyle name="Heading 1 2 6 3 3 2" xfId="24315"/>
    <cellStyle name="Heading 1 2 6 3 3 2 2" xfId="24316"/>
    <cellStyle name="Heading 1 2 6 3 3 2 2 2" xfId="24317"/>
    <cellStyle name="Heading 1 2 6 3 3 2 3" xfId="24318"/>
    <cellStyle name="Heading 1 2 6 3 3 3" xfId="24319"/>
    <cellStyle name="Heading 1 2 6 3 3 3 2" xfId="24320"/>
    <cellStyle name="Heading 1 2 6 3 3 3 2 2" xfId="24321"/>
    <cellStyle name="Heading 1 2 6 3 3 3 3" xfId="24322"/>
    <cellStyle name="Heading 1 2 6 3 3 4" xfId="24323"/>
    <cellStyle name="Heading 1 2 6 3 3 4 2" xfId="24324"/>
    <cellStyle name="Heading 1 2 6 3 3 4 2 2" xfId="24325"/>
    <cellStyle name="Heading 1 2 6 3 3 4 3" xfId="24326"/>
    <cellStyle name="Heading 1 2 6 3 3 5" xfId="24327"/>
    <cellStyle name="Heading 1 2 6 3 3 5 2" xfId="24328"/>
    <cellStyle name="Heading 1 2 6 3 3 5 2 2" xfId="24329"/>
    <cellStyle name="Heading 1 2 6 3 3 5 3" xfId="24330"/>
    <cellStyle name="Heading 1 2 6 3 3 6" xfId="24331"/>
    <cellStyle name="Heading 1 2 6 3 3 6 2" xfId="24332"/>
    <cellStyle name="Heading 1 2 6 3 3 6 2 2" xfId="24333"/>
    <cellStyle name="Heading 1 2 6 3 3 6 3" xfId="24334"/>
    <cellStyle name="Heading 1 2 6 3 3 7" xfId="24335"/>
    <cellStyle name="Heading 1 2 6 3 3 7 2" xfId="24336"/>
    <cellStyle name="Heading 1 2 6 3 3 7 2 2" xfId="24337"/>
    <cellStyle name="Heading 1 2 6 3 3 7 3" xfId="24338"/>
    <cellStyle name="Heading 1 2 6 3 3 8" xfId="24339"/>
    <cellStyle name="Heading 1 2 6 3 3 8 2" xfId="24340"/>
    <cellStyle name="Heading 1 2 6 3 3 9" xfId="24341"/>
    <cellStyle name="Heading 1 2 6 3 4" xfId="24342"/>
    <cellStyle name="Heading 1 2 6 3 4 2" xfId="24343"/>
    <cellStyle name="Heading 1 2 6 3 4 2 2" xfId="24344"/>
    <cellStyle name="Heading 1 2 6 3 4 2 2 2" xfId="24345"/>
    <cellStyle name="Heading 1 2 6 3 4 2 3" xfId="24346"/>
    <cellStyle name="Heading 1 2 6 3 4 3" xfId="24347"/>
    <cellStyle name="Heading 1 2 6 3 4 3 2" xfId="24348"/>
    <cellStyle name="Heading 1 2 6 3 4 3 2 2" xfId="24349"/>
    <cellStyle name="Heading 1 2 6 3 4 3 3" xfId="24350"/>
    <cellStyle name="Heading 1 2 6 3 4 4" xfId="24351"/>
    <cellStyle name="Heading 1 2 6 3 4 4 2" xfId="24352"/>
    <cellStyle name="Heading 1 2 6 3 4 4 2 2" xfId="24353"/>
    <cellStyle name="Heading 1 2 6 3 4 4 3" xfId="24354"/>
    <cellStyle name="Heading 1 2 6 3 4 5" xfId="24355"/>
    <cellStyle name="Heading 1 2 6 3 4 5 2" xfId="24356"/>
    <cellStyle name="Heading 1 2 6 3 4 5 2 2" xfId="24357"/>
    <cellStyle name="Heading 1 2 6 3 4 5 3" xfId="24358"/>
    <cellStyle name="Heading 1 2 6 3 4 6" xfId="24359"/>
    <cellStyle name="Heading 1 2 6 3 4 6 2" xfId="24360"/>
    <cellStyle name="Heading 1 2 6 3 4 6 2 2" xfId="24361"/>
    <cellStyle name="Heading 1 2 6 3 4 6 3" xfId="24362"/>
    <cellStyle name="Heading 1 2 6 3 4 7" xfId="24363"/>
    <cellStyle name="Heading 1 2 6 3 4 7 2" xfId="24364"/>
    <cellStyle name="Heading 1 2 6 3 4 7 2 2" xfId="24365"/>
    <cellStyle name="Heading 1 2 6 3 4 7 3" xfId="24366"/>
    <cellStyle name="Heading 1 2 6 3 4 8" xfId="24367"/>
    <cellStyle name="Heading 1 2 6 3 4 8 2" xfId="24368"/>
    <cellStyle name="Heading 1 2 6 3 4 9" xfId="24369"/>
    <cellStyle name="Heading 1 2 6 3 5" xfId="24370"/>
    <cellStyle name="Heading 1 2 6 3 5 2" xfId="24371"/>
    <cellStyle name="Heading 1 2 6 3 5 2 2" xfId="24372"/>
    <cellStyle name="Heading 1 2 6 3 5 2 2 2" xfId="24373"/>
    <cellStyle name="Heading 1 2 6 3 5 2 3" xfId="24374"/>
    <cellStyle name="Heading 1 2 6 3 5 3" xfId="24375"/>
    <cellStyle name="Heading 1 2 6 3 5 3 2" xfId="24376"/>
    <cellStyle name="Heading 1 2 6 3 5 3 2 2" xfId="24377"/>
    <cellStyle name="Heading 1 2 6 3 5 3 3" xfId="24378"/>
    <cellStyle name="Heading 1 2 6 3 5 4" xfId="24379"/>
    <cellStyle name="Heading 1 2 6 3 5 4 2" xfId="24380"/>
    <cellStyle name="Heading 1 2 6 3 5 4 2 2" xfId="24381"/>
    <cellStyle name="Heading 1 2 6 3 5 4 3" xfId="24382"/>
    <cellStyle name="Heading 1 2 6 3 5 5" xfId="24383"/>
    <cellStyle name="Heading 1 2 6 3 5 5 2" xfId="24384"/>
    <cellStyle name="Heading 1 2 6 3 5 5 2 2" xfId="24385"/>
    <cellStyle name="Heading 1 2 6 3 5 5 3" xfId="24386"/>
    <cellStyle name="Heading 1 2 6 3 5 6" xfId="24387"/>
    <cellStyle name="Heading 1 2 6 3 5 6 2" xfId="24388"/>
    <cellStyle name="Heading 1 2 6 3 5 6 2 2" xfId="24389"/>
    <cellStyle name="Heading 1 2 6 3 5 6 3" xfId="24390"/>
    <cellStyle name="Heading 1 2 6 3 5 7" xfId="24391"/>
    <cellStyle name="Heading 1 2 6 3 5 7 2" xfId="24392"/>
    <cellStyle name="Heading 1 2 6 3 5 7 2 2" xfId="24393"/>
    <cellStyle name="Heading 1 2 6 3 5 7 3" xfId="24394"/>
    <cellStyle name="Heading 1 2 6 3 5 8" xfId="24395"/>
    <cellStyle name="Heading 1 2 6 3 5 8 2" xfId="24396"/>
    <cellStyle name="Heading 1 2 6 3 5 9" xfId="24397"/>
    <cellStyle name="Heading 1 2 6 3 6" xfId="24398"/>
    <cellStyle name="Heading 1 2 6 3 6 2" xfId="24399"/>
    <cellStyle name="Heading 1 2 6 3 6 2 2" xfId="24400"/>
    <cellStyle name="Heading 1 2 6 3 6 2 2 2" xfId="24401"/>
    <cellStyle name="Heading 1 2 6 3 6 2 3" xfId="24402"/>
    <cellStyle name="Heading 1 2 6 3 6 3" xfId="24403"/>
    <cellStyle name="Heading 1 2 6 3 6 3 2" xfId="24404"/>
    <cellStyle name="Heading 1 2 6 3 6 3 2 2" xfId="24405"/>
    <cellStyle name="Heading 1 2 6 3 6 3 3" xfId="24406"/>
    <cellStyle name="Heading 1 2 6 3 6 4" xfId="24407"/>
    <cellStyle name="Heading 1 2 6 3 6 4 2" xfId="24408"/>
    <cellStyle name="Heading 1 2 6 3 6 4 2 2" xfId="24409"/>
    <cellStyle name="Heading 1 2 6 3 6 4 3" xfId="24410"/>
    <cellStyle name="Heading 1 2 6 3 6 5" xfId="24411"/>
    <cellStyle name="Heading 1 2 6 3 6 5 2" xfId="24412"/>
    <cellStyle name="Heading 1 2 6 3 6 5 2 2" xfId="24413"/>
    <cellStyle name="Heading 1 2 6 3 6 5 3" xfId="24414"/>
    <cellStyle name="Heading 1 2 6 3 6 6" xfId="24415"/>
    <cellStyle name="Heading 1 2 6 3 6 6 2" xfId="24416"/>
    <cellStyle name="Heading 1 2 6 3 6 6 2 2" xfId="24417"/>
    <cellStyle name="Heading 1 2 6 3 6 6 3" xfId="24418"/>
    <cellStyle name="Heading 1 2 6 3 6 7" xfId="24419"/>
    <cellStyle name="Heading 1 2 6 3 6 7 2" xfId="24420"/>
    <cellStyle name="Heading 1 2 6 3 6 7 2 2" xfId="24421"/>
    <cellStyle name="Heading 1 2 6 3 6 7 3" xfId="24422"/>
    <cellStyle name="Heading 1 2 6 3 6 8" xfId="24423"/>
    <cellStyle name="Heading 1 2 6 3 6 8 2" xfId="24424"/>
    <cellStyle name="Heading 1 2 6 3 6 9" xfId="24425"/>
    <cellStyle name="Heading 1 2 6 3 7" xfId="24426"/>
    <cellStyle name="Heading 1 2 6 3 7 2" xfId="24427"/>
    <cellStyle name="Heading 1 2 6 3 7 2 2" xfId="24428"/>
    <cellStyle name="Heading 1 2 6 3 7 2 2 2" xfId="24429"/>
    <cellStyle name="Heading 1 2 6 3 7 2 3" xfId="24430"/>
    <cellStyle name="Heading 1 2 6 3 7 3" xfId="24431"/>
    <cellStyle name="Heading 1 2 6 3 7 3 2" xfId="24432"/>
    <cellStyle name="Heading 1 2 6 3 7 3 2 2" xfId="24433"/>
    <cellStyle name="Heading 1 2 6 3 7 3 3" xfId="24434"/>
    <cellStyle name="Heading 1 2 6 3 7 4" xfId="24435"/>
    <cellStyle name="Heading 1 2 6 3 7 4 2" xfId="24436"/>
    <cellStyle name="Heading 1 2 6 3 7 4 2 2" xfId="24437"/>
    <cellStyle name="Heading 1 2 6 3 7 4 3" xfId="24438"/>
    <cellStyle name="Heading 1 2 6 3 7 5" xfId="24439"/>
    <cellStyle name="Heading 1 2 6 3 7 5 2" xfId="24440"/>
    <cellStyle name="Heading 1 2 6 3 7 5 2 2" xfId="24441"/>
    <cellStyle name="Heading 1 2 6 3 7 5 3" xfId="24442"/>
    <cellStyle name="Heading 1 2 6 3 7 6" xfId="24443"/>
    <cellStyle name="Heading 1 2 6 3 7 6 2" xfId="24444"/>
    <cellStyle name="Heading 1 2 6 3 7 6 2 2" xfId="24445"/>
    <cellStyle name="Heading 1 2 6 3 7 6 3" xfId="24446"/>
    <cellStyle name="Heading 1 2 6 3 7 7" xfId="24447"/>
    <cellStyle name="Heading 1 2 6 3 7 7 2" xfId="24448"/>
    <cellStyle name="Heading 1 2 6 3 7 7 2 2" xfId="24449"/>
    <cellStyle name="Heading 1 2 6 3 7 7 3" xfId="24450"/>
    <cellStyle name="Heading 1 2 6 3 7 8" xfId="24451"/>
    <cellStyle name="Heading 1 2 6 3 7 8 2" xfId="24452"/>
    <cellStyle name="Heading 1 2 6 3 7 9" xfId="24453"/>
    <cellStyle name="Heading 1 2 6 3 8" xfId="24454"/>
    <cellStyle name="Heading 1 2 6 3 8 2" xfId="24455"/>
    <cellStyle name="Heading 1 2 6 3 8 2 2" xfId="24456"/>
    <cellStyle name="Heading 1 2 6 3 8 2 2 2" xfId="24457"/>
    <cellStyle name="Heading 1 2 6 3 8 2 3" xfId="24458"/>
    <cellStyle name="Heading 1 2 6 3 8 3" xfId="24459"/>
    <cellStyle name="Heading 1 2 6 3 8 3 2" xfId="24460"/>
    <cellStyle name="Heading 1 2 6 3 8 3 2 2" xfId="24461"/>
    <cellStyle name="Heading 1 2 6 3 8 3 3" xfId="24462"/>
    <cellStyle name="Heading 1 2 6 3 8 4" xfId="24463"/>
    <cellStyle name="Heading 1 2 6 3 8 4 2" xfId="24464"/>
    <cellStyle name="Heading 1 2 6 3 8 4 2 2" xfId="24465"/>
    <cellStyle name="Heading 1 2 6 3 8 4 3" xfId="24466"/>
    <cellStyle name="Heading 1 2 6 3 8 5" xfId="24467"/>
    <cellStyle name="Heading 1 2 6 3 8 5 2" xfId="24468"/>
    <cellStyle name="Heading 1 2 6 3 8 5 2 2" xfId="24469"/>
    <cellStyle name="Heading 1 2 6 3 8 5 3" xfId="24470"/>
    <cellStyle name="Heading 1 2 6 3 8 6" xfId="24471"/>
    <cellStyle name="Heading 1 2 6 3 8 6 2" xfId="24472"/>
    <cellStyle name="Heading 1 2 6 3 8 6 2 2" xfId="24473"/>
    <cellStyle name="Heading 1 2 6 3 8 6 3" xfId="24474"/>
    <cellStyle name="Heading 1 2 6 3 8 7" xfId="24475"/>
    <cellStyle name="Heading 1 2 6 3 8 7 2" xfId="24476"/>
    <cellStyle name="Heading 1 2 6 3 8 7 2 2" xfId="24477"/>
    <cellStyle name="Heading 1 2 6 3 8 7 3" xfId="24478"/>
    <cellStyle name="Heading 1 2 6 3 8 8" xfId="24479"/>
    <cellStyle name="Heading 1 2 6 3 8 8 2" xfId="24480"/>
    <cellStyle name="Heading 1 2 6 3 8 9" xfId="24481"/>
    <cellStyle name="Heading 1 2 6 3 9" xfId="24482"/>
    <cellStyle name="Heading 1 2 6 3 9 2" xfId="24483"/>
    <cellStyle name="Heading 1 2 6 3 9 2 2" xfId="24484"/>
    <cellStyle name="Heading 1 2 6 3 9 3" xfId="24485"/>
    <cellStyle name="Heading 1 2 6 4" xfId="24486"/>
    <cellStyle name="Heading 1 2 6 4 2" xfId="24487"/>
    <cellStyle name="Heading 1 2 6 4 2 2" xfId="24488"/>
    <cellStyle name="Heading 1 2 6 4 3" xfId="24489"/>
    <cellStyle name="Heading 1 2 6 5" xfId="24490"/>
    <cellStyle name="Heading 1 2 6 5 2" xfId="24491"/>
    <cellStyle name="Heading 1 2 6 6" xfId="24492"/>
    <cellStyle name="Heading 1 2 7" xfId="24493"/>
    <cellStyle name="Heading 1 2 7 2" xfId="24494"/>
    <cellStyle name="Heading 1 2 7 2 10" xfId="24495"/>
    <cellStyle name="Heading 1 2 7 2 10 2" xfId="24496"/>
    <cellStyle name="Heading 1 2 7 2 10 2 2" xfId="24497"/>
    <cellStyle name="Heading 1 2 7 2 10 3" xfId="24498"/>
    <cellStyle name="Heading 1 2 7 2 11" xfId="24499"/>
    <cellStyle name="Heading 1 2 7 2 11 2" xfId="24500"/>
    <cellStyle name="Heading 1 2 7 2 11 2 2" xfId="24501"/>
    <cellStyle name="Heading 1 2 7 2 11 3" xfId="24502"/>
    <cellStyle name="Heading 1 2 7 2 12" xfId="24503"/>
    <cellStyle name="Heading 1 2 7 2 12 2" xfId="24504"/>
    <cellStyle name="Heading 1 2 7 2 12 2 2" xfId="24505"/>
    <cellStyle name="Heading 1 2 7 2 12 3" xfId="24506"/>
    <cellStyle name="Heading 1 2 7 2 13" xfId="24507"/>
    <cellStyle name="Heading 1 2 7 2 13 2" xfId="24508"/>
    <cellStyle name="Heading 1 2 7 2 13 2 2" xfId="24509"/>
    <cellStyle name="Heading 1 2 7 2 13 3" xfId="24510"/>
    <cellStyle name="Heading 1 2 7 2 14" xfId="24511"/>
    <cellStyle name="Heading 1 2 7 2 14 2" xfId="24512"/>
    <cellStyle name="Heading 1 2 7 2 14 2 2" xfId="24513"/>
    <cellStyle name="Heading 1 2 7 2 14 3" xfId="24514"/>
    <cellStyle name="Heading 1 2 7 2 15" xfId="24515"/>
    <cellStyle name="Heading 1 2 7 2 15 2" xfId="24516"/>
    <cellStyle name="Heading 1 2 7 2 15 2 2" xfId="24517"/>
    <cellStyle name="Heading 1 2 7 2 15 3" xfId="24518"/>
    <cellStyle name="Heading 1 2 7 2 16" xfId="24519"/>
    <cellStyle name="Heading 1 2 7 2 16 2" xfId="24520"/>
    <cellStyle name="Heading 1 2 7 2 16 2 2" xfId="24521"/>
    <cellStyle name="Heading 1 2 7 2 16 3" xfId="24522"/>
    <cellStyle name="Heading 1 2 7 2 17" xfId="24523"/>
    <cellStyle name="Heading 1 2 7 2 17 2" xfId="24524"/>
    <cellStyle name="Heading 1 2 7 2 17 2 2" xfId="24525"/>
    <cellStyle name="Heading 1 2 7 2 17 3" xfId="24526"/>
    <cellStyle name="Heading 1 2 7 2 18" xfId="24527"/>
    <cellStyle name="Heading 1 2 7 2 18 2" xfId="24528"/>
    <cellStyle name="Heading 1 2 7 2 18 2 2" xfId="24529"/>
    <cellStyle name="Heading 1 2 7 2 18 3" xfId="24530"/>
    <cellStyle name="Heading 1 2 7 2 19" xfId="24531"/>
    <cellStyle name="Heading 1 2 7 2 19 2" xfId="24532"/>
    <cellStyle name="Heading 1 2 7 2 19 2 2" xfId="24533"/>
    <cellStyle name="Heading 1 2 7 2 19 3" xfId="24534"/>
    <cellStyle name="Heading 1 2 7 2 2" xfId="24535"/>
    <cellStyle name="Heading 1 2 7 2 2 10" xfId="24536"/>
    <cellStyle name="Heading 1 2 7 2 2 10 2" xfId="24537"/>
    <cellStyle name="Heading 1 2 7 2 2 10 2 2" xfId="24538"/>
    <cellStyle name="Heading 1 2 7 2 2 10 3" xfId="24539"/>
    <cellStyle name="Heading 1 2 7 2 2 11" xfId="24540"/>
    <cellStyle name="Heading 1 2 7 2 2 11 2" xfId="24541"/>
    <cellStyle name="Heading 1 2 7 2 2 11 2 2" xfId="24542"/>
    <cellStyle name="Heading 1 2 7 2 2 11 3" xfId="24543"/>
    <cellStyle name="Heading 1 2 7 2 2 12" xfId="24544"/>
    <cellStyle name="Heading 1 2 7 2 2 12 2" xfId="24545"/>
    <cellStyle name="Heading 1 2 7 2 2 12 2 2" xfId="24546"/>
    <cellStyle name="Heading 1 2 7 2 2 12 3" xfId="24547"/>
    <cellStyle name="Heading 1 2 7 2 2 13" xfId="24548"/>
    <cellStyle name="Heading 1 2 7 2 2 13 2" xfId="24549"/>
    <cellStyle name="Heading 1 2 7 2 2 13 2 2" xfId="24550"/>
    <cellStyle name="Heading 1 2 7 2 2 13 3" xfId="24551"/>
    <cellStyle name="Heading 1 2 7 2 2 14" xfId="24552"/>
    <cellStyle name="Heading 1 2 7 2 2 14 2" xfId="24553"/>
    <cellStyle name="Heading 1 2 7 2 2 14 2 2" xfId="24554"/>
    <cellStyle name="Heading 1 2 7 2 2 14 3" xfId="24555"/>
    <cellStyle name="Heading 1 2 7 2 2 15" xfId="24556"/>
    <cellStyle name="Heading 1 2 7 2 2 15 2" xfId="24557"/>
    <cellStyle name="Heading 1 2 7 2 2 15 2 2" xfId="24558"/>
    <cellStyle name="Heading 1 2 7 2 2 15 3" xfId="24559"/>
    <cellStyle name="Heading 1 2 7 2 2 16" xfId="24560"/>
    <cellStyle name="Heading 1 2 7 2 2 16 2" xfId="24561"/>
    <cellStyle name="Heading 1 2 7 2 2 16 2 2" xfId="24562"/>
    <cellStyle name="Heading 1 2 7 2 2 16 3" xfId="24563"/>
    <cellStyle name="Heading 1 2 7 2 2 17" xfId="24564"/>
    <cellStyle name="Heading 1 2 7 2 2 17 2" xfId="24565"/>
    <cellStyle name="Heading 1 2 7 2 2 17 2 2" xfId="24566"/>
    <cellStyle name="Heading 1 2 7 2 2 17 3" xfId="24567"/>
    <cellStyle name="Heading 1 2 7 2 2 18" xfId="24568"/>
    <cellStyle name="Heading 1 2 7 2 2 18 2" xfId="24569"/>
    <cellStyle name="Heading 1 2 7 2 2 18 2 2" xfId="24570"/>
    <cellStyle name="Heading 1 2 7 2 2 18 3" xfId="24571"/>
    <cellStyle name="Heading 1 2 7 2 2 19" xfId="24572"/>
    <cellStyle name="Heading 1 2 7 2 2 19 2" xfId="24573"/>
    <cellStyle name="Heading 1 2 7 2 2 2" xfId="24574"/>
    <cellStyle name="Heading 1 2 7 2 2 2 2" xfId="24575"/>
    <cellStyle name="Heading 1 2 7 2 2 2 2 2" xfId="24576"/>
    <cellStyle name="Heading 1 2 7 2 2 2 2 2 2" xfId="24577"/>
    <cellStyle name="Heading 1 2 7 2 2 2 2 3" xfId="24578"/>
    <cellStyle name="Heading 1 2 7 2 2 2 3" xfId="24579"/>
    <cellStyle name="Heading 1 2 7 2 2 2 3 2" xfId="24580"/>
    <cellStyle name="Heading 1 2 7 2 2 2 3 2 2" xfId="24581"/>
    <cellStyle name="Heading 1 2 7 2 2 2 3 3" xfId="24582"/>
    <cellStyle name="Heading 1 2 7 2 2 2 4" xfId="24583"/>
    <cellStyle name="Heading 1 2 7 2 2 2 4 2" xfId="24584"/>
    <cellStyle name="Heading 1 2 7 2 2 2 4 2 2" xfId="24585"/>
    <cellStyle name="Heading 1 2 7 2 2 2 4 3" xfId="24586"/>
    <cellStyle name="Heading 1 2 7 2 2 2 5" xfId="24587"/>
    <cellStyle name="Heading 1 2 7 2 2 2 5 2" xfId="24588"/>
    <cellStyle name="Heading 1 2 7 2 2 2 5 2 2" xfId="24589"/>
    <cellStyle name="Heading 1 2 7 2 2 2 5 3" xfId="24590"/>
    <cellStyle name="Heading 1 2 7 2 2 2 6" xfId="24591"/>
    <cellStyle name="Heading 1 2 7 2 2 2 6 2" xfId="24592"/>
    <cellStyle name="Heading 1 2 7 2 2 2 6 2 2" xfId="24593"/>
    <cellStyle name="Heading 1 2 7 2 2 2 6 3" xfId="24594"/>
    <cellStyle name="Heading 1 2 7 2 2 2 7" xfId="24595"/>
    <cellStyle name="Heading 1 2 7 2 2 2 7 2" xfId="24596"/>
    <cellStyle name="Heading 1 2 7 2 2 2 7 2 2" xfId="24597"/>
    <cellStyle name="Heading 1 2 7 2 2 2 7 3" xfId="24598"/>
    <cellStyle name="Heading 1 2 7 2 2 2 8" xfId="24599"/>
    <cellStyle name="Heading 1 2 7 2 2 2 8 2" xfId="24600"/>
    <cellStyle name="Heading 1 2 7 2 2 2 9" xfId="24601"/>
    <cellStyle name="Heading 1 2 7 2 2 20" xfId="24602"/>
    <cellStyle name="Heading 1 2 7 2 2 20 2" xfId="24603"/>
    <cellStyle name="Heading 1 2 7 2 2 21" xfId="24604"/>
    <cellStyle name="Heading 1 2 7 2 2 21 2" xfId="24605"/>
    <cellStyle name="Heading 1 2 7 2 2 22" xfId="24606"/>
    <cellStyle name="Heading 1 2 7 2 2 3" xfId="24607"/>
    <cellStyle name="Heading 1 2 7 2 2 3 2" xfId="24608"/>
    <cellStyle name="Heading 1 2 7 2 2 3 2 2" xfId="24609"/>
    <cellStyle name="Heading 1 2 7 2 2 3 2 2 2" xfId="24610"/>
    <cellStyle name="Heading 1 2 7 2 2 3 2 3" xfId="24611"/>
    <cellStyle name="Heading 1 2 7 2 2 3 3" xfId="24612"/>
    <cellStyle name="Heading 1 2 7 2 2 3 3 2" xfId="24613"/>
    <cellStyle name="Heading 1 2 7 2 2 3 3 2 2" xfId="24614"/>
    <cellStyle name="Heading 1 2 7 2 2 3 3 3" xfId="24615"/>
    <cellStyle name="Heading 1 2 7 2 2 3 4" xfId="24616"/>
    <cellStyle name="Heading 1 2 7 2 2 3 4 2" xfId="24617"/>
    <cellStyle name="Heading 1 2 7 2 2 3 4 2 2" xfId="24618"/>
    <cellStyle name="Heading 1 2 7 2 2 3 4 3" xfId="24619"/>
    <cellStyle name="Heading 1 2 7 2 2 3 5" xfId="24620"/>
    <cellStyle name="Heading 1 2 7 2 2 3 5 2" xfId="24621"/>
    <cellStyle name="Heading 1 2 7 2 2 3 5 2 2" xfId="24622"/>
    <cellStyle name="Heading 1 2 7 2 2 3 5 3" xfId="24623"/>
    <cellStyle name="Heading 1 2 7 2 2 3 6" xfId="24624"/>
    <cellStyle name="Heading 1 2 7 2 2 3 6 2" xfId="24625"/>
    <cellStyle name="Heading 1 2 7 2 2 3 6 2 2" xfId="24626"/>
    <cellStyle name="Heading 1 2 7 2 2 3 6 3" xfId="24627"/>
    <cellStyle name="Heading 1 2 7 2 2 3 7" xfId="24628"/>
    <cellStyle name="Heading 1 2 7 2 2 3 7 2" xfId="24629"/>
    <cellStyle name="Heading 1 2 7 2 2 3 7 2 2" xfId="24630"/>
    <cellStyle name="Heading 1 2 7 2 2 3 7 3" xfId="24631"/>
    <cellStyle name="Heading 1 2 7 2 2 3 8" xfId="24632"/>
    <cellStyle name="Heading 1 2 7 2 2 3 8 2" xfId="24633"/>
    <cellStyle name="Heading 1 2 7 2 2 3 9" xfId="24634"/>
    <cellStyle name="Heading 1 2 7 2 2 4" xfId="24635"/>
    <cellStyle name="Heading 1 2 7 2 2 4 2" xfId="24636"/>
    <cellStyle name="Heading 1 2 7 2 2 4 2 2" xfId="24637"/>
    <cellStyle name="Heading 1 2 7 2 2 4 2 2 2" xfId="24638"/>
    <cellStyle name="Heading 1 2 7 2 2 4 2 3" xfId="24639"/>
    <cellStyle name="Heading 1 2 7 2 2 4 3" xfId="24640"/>
    <cellStyle name="Heading 1 2 7 2 2 4 3 2" xfId="24641"/>
    <cellStyle name="Heading 1 2 7 2 2 4 3 2 2" xfId="24642"/>
    <cellStyle name="Heading 1 2 7 2 2 4 3 3" xfId="24643"/>
    <cellStyle name="Heading 1 2 7 2 2 4 4" xfId="24644"/>
    <cellStyle name="Heading 1 2 7 2 2 4 4 2" xfId="24645"/>
    <cellStyle name="Heading 1 2 7 2 2 4 4 2 2" xfId="24646"/>
    <cellStyle name="Heading 1 2 7 2 2 4 4 3" xfId="24647"/>
    <cellStyle name="Heading 1 2 7 2 2 4 5" xfId="24648"/>
    <cellStyle name="Heading 1 2 7 2 2 4 5 2" xfId="24649"/>
    <cellStyle name="Heading 1 2 7 2 2 4 5 2 2" xfId="24650"/>
    <cellStyle name="Heading 1 2 7 2 2 4 5 3" xfId="24651"/>
    <cellStyle name="Heading 1 2 7 2 2 4 6" xfId="24652"/>
    <cellStyle name="Heading 1 2 7 2 2 4 6 2" xfId="24653"/>
    <cellStyle name="Heading 1 2 7 2 2 4 6 2 2" xfId="24654"/>
    <cellStyle name="Heading 1 2 7 2 2 4 6 3" xfId="24655"/>
    <cellStyle name="Heading 1 2 7 2 2 4 7" xfId="24656"/>
    <cellStyle name="Heading 1 2 7 2 2 4 7 2" xfId="24657"/>
    <cellStyle name="Heading 1 2 7 2 2 4 7 2 2" xfId="24658"/>
    <cellStyle name="Heading 1 2 7 2 2 4 7 3" xfId="24659"/>
    <cellStyle name="Heading 1 2 7 2 2 4 8" xfId="24660"/>
    <cellStyle name="Heading 1 2 7 2 2 4 8 2" xfId="24661"/>
    <cellStyle name="Heading 1 2 7 2 2 4 9" xfId="24662"/>
    <cellStyle name="Heading 1 2 7 2 2 5" xfId="24663"/>
    <cellStyle name="Heading 1 2 7 2 2 5 2" xfId="24664"/>
    <cellStyle name="Heading 1 2 7 2 2 5 2 2" xfId="24665"/>
    <cellStyle name="Heading 1 2 7 2 2 5 2 2 2" xfId="24666"/>
    <cellStyle name="Heading 1 2 7 2 2 5 2 3" xfId="24667"/>
    <cellStyle name="Heading 1 2 7 2 2 5 3" xfId="24668"/>
    <cellStyle name="Heading 1 2 7 2 2 5 3 2" xfId="24669"/>
    <cellStyle name="Heading 1 2 7 2 2 5 3 2 2" xfId="24670"/>
    <cellStyle name="Heading 1 2 7 2 2 5 3 3" xfId="24671"/>
    <cellStyle name="Heading 1 2 7 2 2 5 4" xfId="24672"/>
    <cellStyle name="Heading 1 2 7 2 2 5 4 2" xfId="24673"/>
    <cellStyle name="Heading 1 2 7 2 2 5 4 2 2" xfId="24674"/>
    <cellStyle name="Heading 1 2 7 2 2 5 4 3" xfId="24675"/>
    <cellStyle name="Heading 1 2 7 2 2 5 5" xfId="24676"/>
    <cellStyle name="Heading 1 2 7 2 2 5 5 2" xfId="24677"/>
    <cellStyle name="Heading 1 2 7 2 2 5 5 2 2" xfId="24678"/>
    <cellStyle name="Heading 1 2 7 2 2 5 5 3" xfId="24679"/>
    <cellStyle name="Heading 1 2 7 2 2 5 6" xfId="24680"/>
    <cellStyle name="Heading 1 2 7 2 2 5 6 2" xfId="24681"/>
    <cellStyle name="Heading 1 2 7 2 2 5 6 2 2" xfId="24682"/>
    <cellStyle name="Heading 1 2 7 2 2 5 6 3" xfId="24683"/>
    <cellStyle name="Heading 1 2 7 2 2 5 7" xfId="24684"/>
    <cellStyle name="Heading 1 2 7 2 2 5 7 2" xfId="24685"/>
    <cellStyle name="Heading 1 2 7 2 2 5 7 2 2" xfId="24686"/>
    <cellStyle name="Heading 1 2 7 2 2 5 7 3" xfId="24687"/>
    <cellStyle name="Heading 1 2 7 2 2 5 8" xfId="24688"/>
    <cellStyle name="Heading 1 2 7 2 2 5 8 2" xfId="24689"/>
    <cellStyle name="Heading 1 2 7 2 2 5 9" xfId="24690"/>
    <cellStyle name="Heading 1 2 7 2 2 6" xfId="24691"/>
    <cellStyle name="Heading 1 2 7 2 2 6 2" xfId="24692"/>
    <cellStyle name="Heading 1 2 7 2 2 6 2 2" xfId="24693"/>
    <cellStyle name="Heading 1 2 7 2 2 6 2 2 2" xfId="24694"/>
    <cellStyle name="Heading 1 2 7 2 2 6 2 3" xfId="24695"/>
    <cellStyle name="Heading 1 2 7 2 2 6 3" xfId="24696"/>
    <cellStyle name="Heading 1 2 7 2 2 6 3 2" xfId="24697"/>
    <cellStyle name="Heading 1 2 7 2 2 6 3 2 2" xfId="24698"/>
    <cellStyle name="Heading 1 2 7 2 2 6 3 3" xfId="24699"/>
    <cellStyle name="Heading 1 2 7 2 2 6 4" xfId="24700"/>
    <cellStyle name="Heading 1 2 7 2 2 6 4 2" xfId="24701"/>
    <cellStyle name="Heading 1 2 7 2 2 6 4 2 2" xfId="24702"/>
    <cellStyle name="Heading 1 2 7 2 2 6 4 3" xfId="24703"/>
    <cellStyle name="Heading 1 2 7 2 2 6 5" xfId="24704"/>
    <cellStyle name="Heading 1 2 7 2 2 6 5 2" xfId="24705"/>
    <cellStyle name="Heading 1 2 7 2 2 6 5 2 2" xfId="24706"/>
    <cellStyle name="Heading 1 2 7 2 2 6 5 3" xfId="24707"/>
    <cellStyle name="Heading 1 2 7 2 2 6 6" xfId="24708"/>
    <cellStyle name="Heading 1 2 7 2 2 6 6 2" xfId="24709"/>
    <cellStyle name="Heading 1 2 7 2 2 6 6 2 2" xfId="24710"/>
    <cellStyle name="Heading 1 2 7 2 2 6 6 3" xfId="24711"/>
    <cellStyle name="Heading 1 2 7 2 2 6 7" xfId="24712"/>
    <cellStyle name="Heading 1 2 7 2 2 6 7 2" xfId="24713"/>
    <cellStyle name="Heading 1 2 7 2 2 6 7 2 2" xfId="24714"/>
    <cellStyle name="Heading 1 2 7 2 2 6 7 3" xfId="24715"/>
    <cellStyle name="Heading 1 2 7 2 2 6 8" xfId="24716"/>
    <cellStyle name="Heading 1 2 7 2 2 6 8 2" xfId="24717"/>
    <cellStyle name="Heading 1 2 7 2 2 6 9" xfId="24718"/>
    <cellStyle name="Heading 1 2 7 2 2 7" xfId="24719"/>
    <cellStyle name="Heading 1 2 7 2 2 7 2" xfId="24720"/>
    <cellStyle name="Heading 1 2 7 2 2 7 2 2" xfId="24721"/>
    <cellStyle name="Heading 1 2 7 2 2 7 2 2 2" xfId="24722"/>
    <cellStyle name="Heading 1 2 7 2 2 7 2 3" xfId="24723"/>
    <cellStyle name="Heading 1 2 7 2 2 7 3" xfId="24724"/>
    <cellStyle name="Heading 1 2 7 2 2 7 3 2" xfId="24725"/>
    <cellStyle name="Heading 1 2 7 2 2 7 3 2 2" xfId="24726"/>
    <cellStyle name="Heading 1 2 7 2 2 7 3 3" xfId="24727"/>
    <cellStyle name="Heading 1 2 7 2 2 7 4" xfId="24728"/>
    <cellStyle name="Heading 1 2 7 2 2 7 4 2" xfId="24729"/>
    <cellStyle name="Heading 1 2 7 2 2 7 4 2 2" xfId="24730"/>
    <cellStyle name="Heading 1 2 7 2 2 7 4 3" xfId="24731"/>
    <cellStyle name="Heading 1 2 7 2 2 7 5" xfId="24732"/>
    <cellStyle name="Heading 1 2 7 2 2 7 5 2" xfId="24733"/>
    <cellStyle name="Heading 1 2 7 2 2 7 5 2 2" xfId="24734"/>
    <cellStyle name="Heading 1 2 7 2 2 7 5 3" xfId="24735"/>
    <cellStyle name="Heading 1 2 7 2 2 7 6" xfId="24736"/>
    <cellStyle name="Heading 1 2 7 2 2 7 6 2" xfId="24737"/>
    <cellStyle name="Heading 1 2 7 2 2 7 6 2 2" xfId="24738"/>
    <cellStyle name="Heading 1 2 7 2 2 7 6 3" xfId="24739"/>
    <cellStyle name="Heading 1 2 7 2 2 7 7" xfId="24740"/>
    <cellStyle name="Heading 1 2 7 2 2 7 7 2" xfId="24741"/>
    <cellStyle name="Heading 1 2 7 2 2 7 7 2 2" xfId="24742"/>
    <cellStyle name="Heading 1 2 7 2 2 7 7 3" xfId="24743"/>
    <cellStyle name="Heading 1 2 7 2 2 7 8" xfId="24744"/>
    <cellStyle name="Heading 1 2 7 2 2 7 8 2" xfId="24745"/>
    <cellStyle name="Heading 1 2 7 2 2 7 9" xfId="24746"/>
    <cellStyle name="Heading 1 2 7 2 2 8" xfId="24747"/>
    <cellStyle name="Heading 1 2 7 2 2 8 2" xfId="24748"/>
    <cellStyle name="Heading 1 2 7 2 2 8 2 2" xfId="24749"/>
    <cellStyle name="Heading 1 2 7 2 2 8 2 2 2" xfId="24750"/>
    <cellStyle name="Heading 1 2 7 2 2 8 2 3" xfId="24751"/>
    <cellStyle name="Heading 1 2 7 2 2 8 3" xfId="24752"/>
    <cellStyle name="Heading 1 2 7 2 2 8 3 2" xfId="24753"/>
    <cellStyle name="Heading 1 2 7 2 2 8 3 2 2" xfId="24754"/>
    <cellStyle name="Heading 1 2 7 2 2 8 3 3" xfId="24755"/>
    <cellStyle name="Heading 1 2 7 2 2 8 4" xfId="24756"/>
    <cellStyle name="Heading 1 2 7 2 2 8 4 2" xfId="24757"/>
    <cellStyle name="Heading 1 2 7 2 2 8 4 2 2" xfId="24758"/>
    <cellStyle name="Heading 1 2 7 2 2 8 4 3" xfId="24759"/>
    <cellStyle name="Heading 1 2 7 2 2 8 5" xfId="24760"/>
    <cellStyle name="Heading 1 2 7 2 2 8 5 2" xfId="24761"/>
    <cellStyle name="Heading 1 2 7 2 2 8 5 2 2" xfId="24762"/>
    <cellStyle name="Heading 1 2 7 2 2 8 5 3" xfId="24763"/>
    <cellStyle name="Heading 1 2 7 2 2 8 6" xfId="24764"/>
    <cellStyle name="Heading 1 2 7 2 2 8 6 2" xfId="24765"/>
    <cellStyle name="Heading 1 2 7 2 2 8 6 2 2" xfId="24766"/>
    <cellStyle name="Heading 1 2 7 2 2 8 6 3" xfId="24767"/>
    <cellStyle name="Heading 1 2 7 2 2 8 7" xfId="24768"/>
    <cellStyle name="Heading 1 2 7 2 2 8 7 2" xfId="24769"/>
    <cellStyle name="Heading 1 2 7 2 2 8 7 2 2" xfId="24770"/>
    <cellStyle name="Heading 1 2 7 2 2 8 7 3" xfId="24771"/>
    <cellStyle name="Heading 1 2 7 2 2 8 8" xfId="24772"/>
    <cellStyle name="Heading 1 2 7 2 2 8 8 2" xfId="24773"/>
    <cellStyle name="Heading 1 2 7 2 2 8 9" xfId="24774"/>
    <cellStyle name="Heading 1 2 7 2 2 9" xfId="24775"/>
    <cellStyle name="Heading 1 2 7 2 2 9 2" xfId="24776"/>
    <cellStyle name="Heading 1 2 7 2 2 9 2 2" xfId="24777"/>
    <cellStyle name="Heading 1 2 7 2 2 9 3" xfId="24778"/>
    <cellStyle name="Heading 1 2 7 2 20" xfId="24779"/>
    <cellStyle name="Heading 1 2 7 2 20 2" xfId="24780"/>
    <cellStyle name="Heading 1 2 7 2 21" xfId="24781"/>
    <cellStyle name="Heading 1 2 7 2 21 2" xfId="24782"/>
    <cellStyle name="Heading 1 2 7 2 22" xfId="24783"/>
    <cellStyle name="Heading 1 2 7 2 22 2" xfId="24784"/>
    <cellStyle name="Heading 1 2 7 2 23" xfId="24785"/>
    <cellStyle name="Heading 1 2 7 2 3" xfId="24786"/>
    <cellStyle name="Heading 1 2 7 2 3 2" xfId="24787"/>
    <cellStyle name="Heading 1 2 7 2 3 2 2" xfId="24788"/>
    <cellStyle name="Heading 1 2 7 2 3 2 2 2" xfId="24789"/>
    <cellStyle name="Heading 1 2 7 2 3 2 3" xfId="24790"/>
    <cellStyle name="Heading 1 2 7 2 3 3" xfId="24791"/>
    <cellStyle name="Heading 1 2 7 2 3 3 2" xfId="24792"/>
    <cellStyle name="Heading 1 2 7 2 3 3 2 2" xfId="24793"/>
    <cellStyle name="Heading 1 2 7 2 3 3 3" xfId="24794"/>
    <cellStyle name="Heading 1 2 7 2 3 4" xfId="24795"/>
    <cellStyle name="Heading 1 2 7 2 3 4 2" xfId="24796"/>
    <cellStyle name="Heading 1 2 7 2 3 4 2 2" xfId="24797"/>
    <cellStyle name="Heading 1 2 7 2 3 4 3" xfId="24798"/>
    <cellStyle name="Heading 1 2 7 2 3 5" xfId="24799"/>
    <cellStyle name="Heading 1 2 7 2 3 5 2" xfId="24800"/>
    <cellStyle name="Heading 1 2 7 2 3 5 2 2" xfId="24801"/>
    <cellStyle name="Heading 1 2 7 2 3 5 3" xfId="24802"/>
    <cellStyle name="Heading 1 2 7 2 3 6" xfId="24803"/>
    <cellStyle name="Heading 1 2 7 2 3 6 2" xfId="24804"/>
    <cellStyle name="Heading 1 2 7 2 3 6 2 2" xfId="24805"/>
    <cellStyle name="Heading 1 2 7 2 3 6 3" xfId="24806"/>
    <cellStyle name="Heading 1 2 7 2 3 7" xfId="24807"/>
    <cellStyle name="Heading 1 2 7 2 3 7 2" xfId="24808"/>
    <cellStyle name="Heading 1 2 7 2 3 7 2 2" xfId="24809"/>
    <cellStyle name="Heading 1 2 7 2 3 7 3" xfId="24810"/>
    <cellStyle name="Heading 1 2 7 2 3 8" xfId="24811"/>
    <cellStyle name="Heading 1 2 7 2 3 8 2" xfId="24812"/>
    <cellStyle name="Heading 1 2 7 2 3 9" xfId="24813"/>
    <cellStyle name="Heading 1 2 7 2 4" xfId="24814"/>
    <cellStyle name="Heading 1 2 7 2 4 2" xfId="24815"/>
    <cellStyle name="Heading 1 2 7 2 4 2 2" xfId="24816"/>
    <cellStyle name="Heading 1 2 7 2 4 2 2 2" xfId="24817"/>
    <cellStyle name="Heading 1 2 7 2 4 2 3" xfId="24818"/>
    <cellStyle name="Heading 1 2 7 2 4 3" xfId="24819"/>
    <cellStyle name="Heading 1 2 7 2 4 3 2" xfId="24820"/>
    <cellStyle name="Heading 1 2 7 2 4 3 2 2" xfId="24821"/>
    <cellStyle name="Heading 1 2 7 2 4 3 3" xfId="24822"/>
    <cellStyle name="Heading 1 2 7 2 4 4" xfId="24823"/>
    <cellStyle name="Heading 1 2 7 2 4 4 2" xfId="24824"/>
    <cellStyle name="Heading 1 2 7 2 4 4 2 2" xfId="24825"/>
    <cellStyle name="Heading 1 2 7 2 4 4 3" xfId="24826"/>
    <cellStyle name="Heading 1 2 7 2 4 5" xfId="24827"/>
    <cellStyle name="Heading 1 2 7 2 4 5 2" xfId="24828"/>
    <cellStyle name="Heading 1 2 7 2 4 5 2 2" xfId="24829"/>
    <cellStyle name="Heading 1 2 7 2 4 5 3" xfId="24830"/>
    <cellStyle name="Heading 1 2 7 2 4 6" xfId="24831"/>
    <cellStyle name="Heading 1 2 7 2 4 6 2" xfId="24832"/>
    <cellStyle name="Heading 1 2 7 2 4 6 2 2" xfId="24833"/>
    <cellStyle name="Heading 1 2 7 2 4 6 3" xfId="24834"/>
    <cellStyle name="Heading 1 2 7 2 4 7" xfId="24835"/>
    <cellStyle name="Heading 1 2 7 2 4 7 2" xfId="24836"/>
    <cellStyle name="Heading 1 2 7 2 4 7 2 2" xfId="24837"/>
    <cellStyle name="Heading 1 2 7 2 4 7 3" xfId="24838"/>
    <cellStyle name="Heading 1 2 7 2 4 8" xfId="24839"/>
    <cellStyle name="Heading 1 2 7 2 4 8 2" xfId="24840"/>
    <cellStyle name="Heading 1 2 7 2 4 9" xfId="24841"/>
    <cellStyle name="Heading 1 2 7 2 5" xfId="24842"/>
    <cellStyle name="Heading 1 2 7 2 5 2" xfId="24843"/>
    <cellStyle name="Heading 1 2 7 2 5 2 2" xfId="24844"/>
    <cellStyle name="Heading 1 2 7 2 5 2 2 2" xfId="24845"/>
    <cellStyle name="Heading 1 2 7 2 5 2 3" xfId="24846"/>
    <cellStyle name="Heading 1 2 7 2 5 3" xfId="24847"/>
    <cellStyle name="Heading 1 2 7 2 5 3 2" xfId="24848"/>
    <cellStyle name="Heading 1 2 7 2 5 3 2 2" xfId="24849"/>
    <cellStyle name="Heading 1 2 7 2 5 3 3" xfId="24850"/>
    <cellStyle name="Heading 1 2 7 2 5 4" xfId="24851"/>
    <cellStyle name="Heading 1 2 7 2 5 4 2" xfId="24852"/>
    <cellStyle name="Heading 1 2 7 2 5 4 2 2" xfId="24853"/>
    <cellStyle name="Heading 1 2 7 2 5 4 3" xfId="24854"/>
    <cellStyle name="Heading 1 2 7 2 5 5" xfId="24855"/>
    <cellStyle name="Heading 1 2 7 2 5 5 2" xfId="24856"/>
    <cellStyle name="Heading 1 2 7 2 5 5 2 2" xfId="24857"/>
    <cellStyle name="Heading 1 2 7 2 5 5 3" xfId="24858"/>
    <cellStyle name="Heading 1 2 7 2 5 6" xfId="24859"/>
    <cellStyle name="Heading 1 2 7 2 5 6 2" xfId="24860"/>
    <cellStyle name="Heading 1 2 7 2 5 6 2 2" xfId="24861"/>
    <cellStyle name="Heading 1 2 7 2 5 6 3" xfId="24862"/>
    <cellStyle name="Heading 1 2 7 2 5 7" xfId="24863"/>
    <cellStyle name="Heading 1 2 7 2 5 7 2" xfId="24864"/>
    <cellStyle name="Heading 1 2 7 2 5 7 2 2" xfId="24865"/>
    <cellStyle name="Heading 1 2 7 2 5 7 3" xfId="24866"/>
    <cellStyle name="Heading 1 2 7 2 5 8" xfId="24867"/>
    <cellStyle name="Heading 1 2 7 2 5 8 2" xfId="24868"/>
    <cellStyle name="Heading 1 2 7 2 5 9" xfId="24869"/>
    <cellStyle name="Heading 1 2 7 2 6" xfId="24870"/>
    <cellStyle name="Heading 1 2 7 2 6 2" xfId="24871"/>
    <cellStyle name="Heading 1 2 7 2 6 2 2" xfId="24872"/>
    <cellStyle name="Heading 1 2 7 2 6 2 2 2" xfId="24873"/>
    <cellStyle name="Heading 1 2 7 2 6 2 3" xfId="24874"/>
    <cellStyle name="Heading 1 2 7 2 6 3" xfId="24875"/>
    <cellStyle name="Heading 1 2 7 2 6 3 2" xfId="24876"/>
    <cellStyle name="Heading 1 2 7 2 6 3 2 2" xfId="24877"/>
    <cellStyle name="Heading 1 2 7 2 6 3 3" xfId="24878"/>
    <cellStyle name="Heading 1 2 7 2 6 4" xfId="24879"/>
    <cellStyle name="Heading 1 2 7 2 6 4 2" xfId="24880"/>
    <cellStyle name="Heading 1 2 7 2 6 4 2 2" xfId="24881"/>
    <cellStyle name="Heading 1 2 7 2 6 4 3" xfId="24882"/>
    <cellStyle name="Heading 1 2 7 2 6 5" xfId="24883"/>
    <cellStyle name="Heading 1 2 7 2 6 5 2" xfId="24884"/>
    <cellStyle name="Heading 1 2 7 2 6 5 2 2" xfId="24885"/>
    <cellStyle name="Heading 1 2 7 2 6 5 3" xfId="24886"/>
    <cellStyle name="Heading 1 2 7 2 6 6" xfId="24887"/>
    <cellStyle name="Heading 1 2 7 2 6 6 2" xfId="24888"/>
    <cellStyle name="Heading 1 2 7 2 6 6 2 2" xfId="24889"/>
    <cellStyle name="Heading 1 2 7 2 6 6 3" xfId="24890"/>
    <cellStyle name="Heading 1 2 7 2 6 7" xfId="24891"/>
    <cellStyle name="Heading 1 2 7 2 6 7 2" xfId="24892"/>
    <cellStyle name="Heading 1 2 7 2 6 7 2 2" xfId="24893"/>
    <cellStyle name="Heading 1 2 7 2 6 7 3" xfId="24894"/>
    <cellStyle name="Heading 1 2 7 2 6 8" xfId="24895"/>
    <cellStyle name="Heading 1 2 7 2 6 8 2" xfId="24896"/>
    <cellStyle name="Heading 1 2 7 2 6 9" xfId="24897"/>
    <cellStyle name="Heading 1 2 7 2 7" xfId="24898"/>
    <cellStyle name="Heading 1 2 7 2 7 2" xfId="24899"/>
    <cellStyle name="Heading 1 2 7 2 7 2 2" xfId="24900"/>
    <cellStyle name="Heading 1 2 7 2 7 2 2 2" xfId="24901"/>
    <cellStyle name="Heading 1 2 7 2 7 2 3" xfId="24902"/>
    <cellStyle name="Heading 1 2 7 2 7 3" xfId="24903"/>
    <cellStyle name="Heading 1 2 7 2 7 3 2" xfId="24904"/>
    <cellStyle name="Heading 1 2 7 2 7 3 2 2" xfId="24905"/>
    <cellStyle name="Heading 1 2 7 2 7 3 3" xfId="24906"/>
    <cellStyle name="Heading 1 2 7 2 7 4" xfId="24907"/>
    <cellStyle name="Heading 1 2 7 2 7 4 2" xfId="24908"/>
    <cellStyle name="Heading 1 2 7 2 7 4 2 2" xfId="24909"/>
    <cellStyle name="Heading 1 2 7 2 7 4 3" xfId="24910"/>
    <cellStyle name="Heading 1 2 7 2 7 5" xfId="24911"/>
    <cellStyle name="Heading 1 2 7 2 7 5 2" xfId="24912"/>
    <cellStyle name="Heading 1 2 7 2 7 5 2 2" xfId="24913"/>
    <cellStyle name="Heading 1 2 7 2 7 5 3" xfId="24914"/>
    <cellStyle name="Heading 1 2 7 2 7 6" xfId="24915"/>
    <cellStyle name="Heading 1 2 7 2 7 6 2" xfId="24916"/>
    <cellStyle name="Heading 1 2 7 2 7 6 2 2" xfId="24917"/>
    <cellStyle name="Heading 1 2 7 2 7 6 3" xfId="24918"/>
    <cellStyle name="Heading 1 2 7 2 7 7" xfId="24919"/>
    <cellStyle name="Heading 1 2 7 2 7 7 2" xfId="24920"/>
    <cellStyle name="Heading 1 2 7 2 7 7 2 2" xfId="24921"/>
    <cellStyle name="Heading 1 2 7 2 7 7 3" xfId="24922"/>
    <cellStyle name="Heading 1 2 7 2 7 8" xfId="24923"/>
    <cellStyle name="Heading 1 2 7 2 7 8 2" xfId="24924"/>
    <cellStyle name="Heading 1 2 7 2 7 9" xfId="24925"/>
    <cellStyle name="Heading 1 2 7 2 8" xfId="24926"/>
    <cellStyle name="Heading 1 2 7 2 8 2" xfId="24927"/>
    <cellStyle name="Heading 1 2 7 2 8 2 2" xfId="24928"/>
    <cellStyle name="Heading 1 2 7 2 8 2 2 2" xfId="24929"/>
    <cellStyle name="Heading 1 2 7 2 8 2 3" xfId="24930"/>
    <cellStyle name="Heading 1 2 7 2 8 3" xfId="24931"/>
    <cellStyle name="Heading 1 2 7 2 8 3 2" xfId="24932"/>
    <cellStyle name="Heading 1 2 7 2 8 3 2 2" xfId="24933"/>
    <cellStyle name="Heading 1 2 7 2 8 3 3" xfId="24934"/>
    <cellStyle name="Heading 1 2 7 2 8 4" xfId="24935"/>
    <cellStyle name="Heading 1 2 7 2 8 4 2" xfId="24936"/>
    <cellStyle name="Heading 1 2 7 2 8 4 2 2" xfId="24937"/>
    <cellStyle name="Heading 1 2 7 2 8 4 3" xfId="24938"/>
    <cellStyle name="Heading 1 2 7 2 8 5" xfId="24939"/>
    <cellStyle name="Heading 1 2 7 2 8 5 2" xfId="24940"/>
    <cellStyle name="Heading 1 2 7 2 8 5 2 2" xfId="24941"/>
    <cellStyle name="Heading 1 2 7 2 8 5 3" xfId="24942"/>
    <cellStyle name="Heading 1 2 7 2 8 6" xfId="24943"/>
    <cellStyle name="Heading 1 2 7 2 8 6 2" xfId="24944"/>
    <cellStyle name="Heading 1 2 7 2 8 6 2 2" xfId="24945"/>
    <cellStyle name="Heading 1 2 7 2 8 6 3" xfId="24946"/>
    <cellStyle name="Heading 1 2 7 2 8 7" xfId="24947"/>
    <cellStyle name="Heading 1 2 7 2 8 7 2" xfId="24948"/>
    <cellStyle name="Heading 1 2 7 2 8 7 2 2" xfId="24949"/>
    <cellStyle name="Heading 1 2 7 2 8 7 3" xfId="24950"/>
    <cellStyle name="Heading 1 2 7 2 8 8" xfId="24951"/>
    <cellStyle name="Heading 1 2 7 2 8 8 2" xfId="24952"/>
    <cellStyle name="Heading 1 2 7 2 8 9" xfId="24953"/>
    <cellStyle name="Heading 1 2 7 2 9" xfId="24954"/>
    <cellStyle name="Heading 1 2 7 2 9 2" xfId="24955"/>
    <cellStyle name="Heading 1 2 7 2 9 2 2" xfId="24956"/>
    <cellStyle name="Heading 1 2 7 2 9 2 2 2" xfId="24957"/>
    <cellStyle name="Heading 1 2 7 2 9 2 3" xfId="24958"/>
    <cellStyle name="Heading 1 2 7 2 9 3" xfId="24959"/>
    <cellStyle name="Heading 1 2 7 2 9 3 2" xfId="24960"/>
    <cellStyle name="Heading 1 2 7 2 9 3 2 2" xfId="24961"/>
    <cellStyle name="Heading 1 2 7 2 9 3 3" xfId="24962"/>
    <cellStyle name="Heading 1 2 7 2 9 4" xfId="24963"/>
    <cellStyle name="Heading 1 2 7 2 9 4 2" xfId="24964"/>
    <cellStyle name="Heading 1 2 7 2 9 4 2 2" xfId="24965"/>
    <cellStyle name="Heading 1 2 7 2 9 4 3" xfId="24966"/>
    <cellStyle name="Heading 1 2 7 2 9 5" xfId="24967"/>
    <cellStyle name="Heading 1 2 7 2 9 5 2" xfId="24968"/>
    <cellStyle name="Heading 1 2 7 2 9 5 2 2" xfId="24969"/>
    <cellStyle name="Heading 1 2 7 2 9 5 3" xfId="24970"/>
    <cellStyle name="Heading 1 2 7 2 9 6" xfId="24971"/>
    <cellStyle name="Heading 1 2 7 2 9 6 2" xfId="24972"/>
    <cellStyle name="Heading 1 2 7 2 9 6 2 2" xfId="24973"/>
    <cellStyle name="Heading 1 2 7 2 9 6 3" xfId="24974"/>
    <cellStyle name="Heading 1 2 7 2 9 7" xfId="24975"/>
    <cellStyle name="Heading 1 2 7 2 9 7 2" xfId="24976"/>
    <cellStyle name="Heading 1 2 7 2 9 7 2 2" xfId="24977"/>
    <cellStyle name="Heading 1 2 7 2 9 7 3" xfId="24978"/>
    <cellStyle name="Heading 1 2 7 2 9 8" xfId="24979"/>
    <cellStyle name="Heading 1 2 7 2 9 8 2" xfId="24980"/>
    <cellStyle name="Heading 1 2 7 2 9 9" xfId="24981"/>
    <cellStyle name="Heading 1 2 7 3" xfId="24982"/>
    <cellStyle name="Heading 1 2 7 3 10" xfId="24983"/>
    <cellStyle name="Heading 1 2 7 3 10 2" xfId="24984"/>
    <cellStyle name="Heading 1 2 7 3 10 2 2" xfId="24985"/>
    <cellStyle name="Heading 1 2 7 3 10 3" xfId="24986"/>
    <cellStyle name="Heading 1 2 7 3 11" xfId="24987"/>
    <cellStyle name="Heading 1 2 7 3 11 2" xfId="24988"/>
    <cellStyle name="Heading 1 2 7 3 11 2 2" xfId="24989"/>
    <cellStyle name="Heading 1 2 7 3 11 3" xfId="24990"/>
    <cellStyle name="Heading 1 2 7 3 12" xfId="24991"/>
    <cellStyle name="Heading 1 2 7 3 12 2" xfId="24992"/>
    <cellStyle name="Heading 1 2 7 3 12 2 2" xfId="24993"/>
    <cellStyle name="Heading 1 2 7 3 12 3" xfId="24994"/>
    <cellStyle name="Heading 1 2 7 3 13" xfId="24995"/>
    <cellStyle name="Heading 1 2 7 3 13 2" xfId="24996"/>
    <cellStyle name="Heading 1 2 7 3 13 2 2" xfId="24997"/>
    <cellStyle name="Heading 1 2 7 3 13 3" xfId="24998"/>
    <cellStyle name="Heading 1 2 7 3 14" xfId="24999"/>
    <cellStyle name="Heading 1 2 7 3 14 2" xfId="25000"/>
    <cellStyle name="Heading 1 2 7 3 14 2 2" xfId="25001"/>
    <cellStyle name="Heading 1 2 7 3 14 3" xfId="25002"/>
    <cellStyle name="Heading 1 2 7 3 15" xfId="25003"/>
    <cellStyle name="Heading 1 2 7 3 15 2" xfId="25004"/>
    <cellStyle name="Heading 1 2 7 3 15 2 2" xfId="25005"/>
    <cellStyle name="Heading 1 2 7 3 15 3" xfId="25006"/>
    <cellStyle name="Heading 1 2 7 3 16" xfId="25007"/>
    <cellStyle name="Heading 1 2 7 3 16 2" xfId="25008"/>
    <cellStyle name="Heading 1 2 7 3 16 2 2" xfId="25009"/>
    <cellStyle name="Heading 1 2 7 3 16 3" xfId="25010"/>
    <cellStyle name="Heading 1 2 7 3 17" xfId="25011"/>
    <cellStyle name="Heading 1 2 7 3 17 2" xfId="25012"/>
    <cellStyle name="Heading 1 2 7 3 17 2 2" xfId="25013"/>
    <cellStyle name="Heading 1 2 7 3 17 3" xfId="25014"/>
    <cellStyle name="Heading 1 2 7 3 18" xfId="25015"/>
    <cellStyle name="Heading 1 2 7 3 18 2" xfId="25016"/>
    <cellStyle name="Heading 1 2 7 3 18 2 2" xfId="25017"/>
    <cellStyle name="Heading 1 2 7 3 18 3" xfId="25018"/>
    <cellStyle name="Heading 1 2 7 3 19" xfId="25019"/>
    <cellStyle name="Heading 1 2 7 3 19 2" xfId="25020"/>
    <cellStyle name="Heading 1 2 7 3 2" xfId="25021"/>
    <cellStyle name="Heading 1 2 7 3 2 2" xfId="25022"/>
    <cellStyle name="Heading 1 2 7 3 2 2 2" xfId="25023"/>
    <cellStyle name="Heading 1 2 7 3 2 2 2 2" xfId="25024"/>
    <cellStyle name="Heading 1 2 7 3 2 2 3" xfId="25025"/>
    <cellStyle name="Heading 1 2 7 3 2 3" xfId="25026"/>
    <cellStyle name="Heading 1 2 7 3 2 3 2" xfId="25027"/>
    <cellStyle name="Heading 1 2 7 3 2 3 2 2" xfId="25028"/>
    <cellStyle name="Heading 1 2 7 3 2 3 3" xfId="25029"/>
    <cellStyle name="Heading 1 2 7 3 2 4" xfId="25030"/>
    <cellStyle name="Heading 1 2 7 3 2 4 2" xfId="25031"/>
    <cellStyle name="Heading 1 2 7 3 2 4 2 2" xfId="25032"/>
    <cellStyle name="Heading 1 2 7 3 2 4 3" xfId="25033"/>
    <cellStyle name="Heading 1 2 7 3 2 5" xfId="25034"/>
    <cellStyle name="Heading 1 2 7 3 2 5 2" xfId="25035"/>
    <cellStyle name="Heading 1 2 7 3 2 5 2 2" xfId="25036"/>
    <cellStyle name="Heading 1 2 7 3 2 5 3" xfId="25037"/>
    <cellStyle name="Heading 1 2 7 3 2 6" xfId="25038"/>
    <cellStyle name="Heading 1 2 7 3 2 6 2" xfId="25039"/>
    <cellStyle name="Heading 1 2 7 3 2 6 2 2" xfId="25040"/>
    <cellStyle name="Heading 1 2 7 3 2 6 3" xfId="25041"/>
    <cellStyle name="Heading 1 2 7 3 2 7" xfId="25042"/>
    <cellStyle name="Heading 1 2 7 3 2 7 2" xfId="25043"/>
    <cellStyle name="Heading 1 2 7 3 2 7 2 2" xfId="25044"/>
    <cellStyle name="Heading 1 2 7 3 2 7 3" xfId="25045"/>
    <cellStyle name="Heading 1 2 7 3 2 8" xfId="25046"/>
    <cellStyle name="Heading 1 2 7 3 2 8 2" xfId="25047"/>
    <cellStyle name="Heading 1 2 7 3 2 9" xfId="25048"/>
    <cellStyle name="Heading 1 2 7 3 20" xfId="25049"/>
    <cellStyle name="Heading 1 2 7 3 20 2" xfId="25050"/>
    <cellStyle name="Heading 1 2 7 3 21" xfId="25051"/>
    <cellStyle name="Heading 1 2 7 3 21 2" xfId="25052"/>
    <cellStyle name="Heading 1 2 7 3 22" xfId="25053"/>
    <cellStyle name="Heading 1 2 7 3 3" xfId="25054"/>
    <cellStyle name="Heading 1 2 7 3 3 2" xfId="25055"/>
    <cellStyle name="Heading 1 2 7 3 3 2 2" xfId="25056"/>
    <cellStyle name="Heading 1 2 7 3 3 2 2 2" xfId="25057"/>
    <cellStyle name="Heading 1 2 7 3 3 2 3" xfId="25058"/>
    <cellStyle name="Heading 1 2 7 3 3 3" xfId="25059"/>
    <cellStyle name="Heading 1 2 7 3 3 3 2" xfId="25060"/>
    <cellStyle name="Heading 1 2 7 3 3 3 2 2" xfId="25061"/>
    <cellStyle name="Heading 1 2 7 3 3 3 3" xfId="25062"/>
    <cellStyle name="Heading 1 2 7 3 3 4" xfId="25063"/>
    <cellStyle name="Heading 1 2 7 3 3 4 2" xfId="25064"/>
    <cellStyle name="Heading 1 2 7 3 3 4 2 2" xfId="25065"/>
    <cellStyle name="Heading 1 2 7 3 3 4 3" xfId="25066"/>
    <cellStyle name="Heading 1 2 7 3 3 5" xfId="25067"/>
    <cellStyle name="Heading 1 2 7 3 3 5 2" xfId="25068"/>
    <cellStyle name="Heading 1 2 7 3 3 5 2 2" xfId="25069"/>
    <cellStyle name="Heading 1 2 7 3 3 5 3" xfId="25070"/>
    <cellStyle name="Heading 1 2 7 3 3 6" xfId="25071"/>
    <cellStyle name="Heading 1 2 7 3 3 6 2" xfId="25072"/>
    <cellStyle name="Heading 1 2 7 3 3 6 2 2" xfId="25073"/>
    <cellStyle name="Heading 1 2 7 3 3 6 3" xfId="25074"/>
    <cellStyle name="Heading 1 2 7 3 3 7" xfId="25075"/>
    <cellStyle name="Heading 1 2 7 3 3 7 2" xfId="25076"/>
    <cellStyle name="Heading 1 2 7 3 3 7 2 2" xfId="25077"/>
    <cellStyle name="Heading 1 2 7 3 3 7 3" xfId="25078"/>
    <cellStyle name="Heading 1 2 7 3 3 8" xfId="25079"/>
    <cellStyle name="Heading 1 2 7 3 3 8 2" xfId="25080"/>
    <cellStyle name="Heading 1 2 7 3 3 9" xfId="25081"/>
    <cellStyle name="Heading 1 2 7 3 4" xfId="25082"/>
    <cellStyle name="Heading 1 2 7 3 4 2" xfId="25083"/>
    <cellStyle name="Heading 1 2 7 3 4 2 2" xfId="25084"/>
    <cellStyle name="Heading 1 2 7 3 4 2 2 2" xfId="25085"/>
    <cellStyle name="Heading 1 2 7 3 4 2 3" xfId="25086"/>
    <cellStyle name="Heading 1 2 7 3 4 3" xfId="25087"/>
    <cellStyle name="Heading 1 2 7 3 4 3 2" xfId="25088"/>
    <cellStyle name="Heading 1 2 7 3 4 3 2 2" xfId="25089"/>
    <cellStyle name="Heading 1 2 7 3 4 3 3" xfId="25090"/>
    <cellStyle name="Heading 1 2 7 3 4 4" xfId="25091"/>
    <cellStyle name="Heading 1 2 7 3 4 4 2" xfId="25092"/>
    <cellStyle name="Heading 1 2 7 3 4 4 2 2" xfId="25093"/>
    <cellStyle name="Heading 1 2 7 3 4 4 3" xfId="25094"/>
    <cellStyle name="Heading 1 2 7 3 4 5" xfId="25095"/>
    <cellStyle name="Heading 1 2 7 3 4 5 2" xfId="25096"/>
    <cellStyle name="Heading 1 2 7 3 4 5 2 2" xfId="25097"/>
    <cellStyle name="Heading 1 2 7 3 4 5 3" xfId="25098"/>
    <cellStyle name="Heading 1 2 7 3 4 6" xfId="25099"/>
    <cellStyle name="Heading 1 2 7 3 4 6 2" xfId="25100"/>
    <cellStyle name="Heading 1 2 7 3 4 6 2 2" xfId="25101"/>
    <cellStyle name="Heading 1 2 7 3 4 6 3" xfId="25102"/>
    <cellStyle name="Heading 1 2 7 3 4 7" xfId="25103"/>
    <cellStyle name="Heading 1 2 7 3 4 7 2" xfId="25104"/>
    <cellStyle name="Heading 1 2 7 3 4 7 2 2" xfId="25105"/>
    <cellStyle name="Heading 1 2 7 3 4 7 3" xfId="25106"/>
    <cellStyle name="Heading 1 2 7 3 4 8" xfId="25107"/>
    <cellStyle name="Heading 1 2 7 3 4 8 2" xfId="25108"/>
    <cellStyle name="Heading 1 2 7 3 4 9" xfId="25109"/>
    <cellStyle name="Heading 1 2 7 3 5" xfId="25110"/>
    <cellStyle name="Heading 1 2 7 3 5 2" xfId="25111"/>
    <cellStyle name="Heading 1 2 7 3 5 2 2" xfId="25112"/>
    <cellStyle name="Heading 1 2 7 3 5 2 2 2" xfId="25113"/>
    <cellStyle name="Heading 1 2 7 3 5 2 3" xfId="25114"/>
    <cellStyle name="Heading 1 2 7 3 5 3" xfId="25115"/>
    <cellStyle name="Heading 1 2 7 3 5 3 2" xfId="25116"/>
    <cellStyle name="Heading 1 2 7 3 5 3 2 2" xfId="25117"/>
    <cellStyle name="Heading 1 2 7 3 5 3 3" xfId="25118"/>
    <cellStyle name="Heading 1 2 7 3 5 4" xfId="25119"/>
    <cellStyle name="Heading 1 2 7 3 5 4 2" xfId="25120"/>
    <cellStyle name="Heading 1 2 7 3 5 4 2 2" xfId="25121"/>
    <cellStyle name="Heading 1 2 7 3 5 4 3" xfId="25122"/>
    <cellStyle name="Heading 1 2 7 3 5 5" xfId="25123"/>
    <cellStyle name="Heading 1 2 7 3 5 5 2" xfId="25124"/>
    <cellStyle name="Heading 1 2 7 3 5 5 2 2" xfId="25125"/>
    <cellStyle name="Heading 1 2 7 3 5 5 3" xfId="25126"/>
    <cellStyle name="Heading 1 2 7 3 5 6" xfId="25127"/>
    <cellStyle name="Heading 1 2 7 3 5 6 2" xfId="25128"/>
    <cellStyle name="Heading 1 2 7 3 5 6 2 2" xfId="25129"/>
    <cellStyle name="Heading 1 2 7 3 5 6 3" xfId="25130"/>
    <cellStyle name="Heading 1 2 7 3 5 7" xfId="25131"/>
    <cellStyle name="Heading 1 2 7 3 5 7 2" xfId="25132"/>
    <cellStyle name="Heading 1 2 7 3 5 7 2 2" xfId="25133"/>
    <cellStyle name="Heading 1 2 7 3 5 7 3" xfId="25134"/>
    <cellStyle name="Heading 1 2 7 3 5 8" xfId="25135"/>
    <cellStyle name="Heading 1 2 7 3 5 8 2" xfId="25136"/>
    <cellStyle name="Heading 1 2 7 3 5 9" xfId="25137"/>
    <cellStyle name="Heading 1 2 7 3 6" xfId="25138"/>
    <cellStyle name="Heading 1 2 7 3 6 2" xfId="25139"/>
    <cellStyle name="Heading 1 2 7 3 6 2 2" xfId="25140"/>
    <cellStyle name="Heading 1 2 7 3 6 2 2 2" xfId="25141"/>
    <cellStyle name="Heading 1 2 7 3 6 2 3" xfId="25142"/>
    <cellStyle name="Heading 1 2 7 3 6 3" xfId="25143"/>
    <cellStyle name="Heading 1 2 7 3 6 3 2" xfId="25144"/>
    <cellStyle name="Heading 1 2 7 3 6 3 2 2" xfId="25145"/>
    <cellStyle name="Heading 1 2 7 3 6 3 3" xfId="25146"/>
    <cellStyle name="Heading 1 2 7 3 6 4" xfId="25147"/>
    <cellStyle name="Heading 1 2 7 3 6 4 2" xfId="25148"/>
    <cellStyle name="Heading 1 2 7 3 6 4 2 2" xfId="25149"/>
    <cellStyle name="Heading 1 2 7 3 6 4 3" xfId="25150"/>
    <cellStyle name="Heading 1 2 7 3 6 5" xfId="25151"/>
    <cellStyle name="Heading 1 2 7 3 6 5 2" xfId="25152"/>
    <cellStyle name="Heading 1 2 7 3 6 5 2 2" xfId="25153"/>
    <cellStyle name="Heading 1 2 7 3 6 5 3" xfId="25154"/>
    <cellStyle name="Heading 1 2 7 3 6 6" xfId="25155"/>
    <cellStyle name="Heading 1 2 7 3 6 6 2" xfId="25156"/>
    <cellStyle name="Heading 1 2 7 3 6 6 2 2" xfId="25157"/>
    <cellStyle name="Heading 1 2 7 3 6 6 3" xfId="25158"/>
    <cellStyle name="Heading 1 2 7 3 6 7" xfId="25159"/>
    <cellStyle name="Heading 1 2 7 3 6 7 2" xfId="25160"/>
    <cellStyle name="Heading 1 2 7 3 6 7 2 2" xfId="25161"/>
    <cellStyle name="Heading 1 2 7 3 6 7 3" xfId="25162"/>
    <cellStyle name="Heading 1 2 7 3 6 8" xfId="25163"/>
    <cellStyle name="Heading 1 2 7 3 6 8 2" xfId="25164"/>
    <cellStyle name="Heading 1 2 7 3 6 9" xfId="25165"/>
    <cellStyle name="Heading 1 2 7 3 7" xfId="25166"/>
    <cellStyle name="Heading 1 2 7 3 7 2" xfId="25167"/>
    <cellStyle name="Heading 1 2 7 3 7 2 2" xfId="25168"/>
    <cellStyle name="Heading 1 2 7 3 7 2 2 2" xfId="25169"/>
    <cellStyle name="Heading 1 2 7 3 7 2 3" xfId="25170"/>
    <cellStyle name="Heading 1 2 7 3 7 3" xfId="25171"/>
    <cellStyle name="Heading 1 2 7 3 7 3 2" xfId="25172"/>
    <cellStyle name="Heading 1 2 7 3 7 3 2 2" xfId="25173"/>
    <cellStyle name="Heading 1 2 7 3 7 3 3" xfId="25174"/>
    <cellStyle name="Heading 1 2 7 3 7 4" xfId="25175"/>
    <cellStyle name="Heading 1 2 7 3 7 4 2" xfId="25176"/>
    <cellStyle name="Heading 1 2 7 3 7 4 2 2" xfId="25177"/>
    <cellStyle name="Heading 1 2 7 3 7 4 3" xfId="25178"/>
    <cellStyle name="Heading 1 2 7 3 7 5" xfId="25179"/>
    <cellStyle name="Heading 1 2 7 3 7 5 2" xfId="25180"/>
    <cellStyle name="Heading 1 2 7 3 7 5 2 2" xfId="25181"/>
    <cellStyle name="Heading 1 2 7 3 7 5 3" xfId="25182"/>
    <cellStyle name="Heading 1 2 7 3 7 6" xfId="25183"/>
    <cellStyle name="Heading 1 2 7 3 7 6 2" xfId="25184"/>
    <cellStyle name="Heading 1 2 7 3 7 6 2 2" xfId="25185"/>
    <cellStyle name="Heading 1 2 7 3 7 6 3" xfId="25186"/>
    <cellStyle name="Heading 1 2 7 3 7 7" xfId="25187"/>
    <cellStyle name="Heading 1 2 7 3 7 7 2" xfId="25188"/>
    <cellStyle name="Heading 1 2 7 3 7 7 2 2" xfId="25189"/>
    <cellStyle name="Heading 1 2 7 3 7 7 3" xfId="25190"/>
    <cellStyle name="Heading 1 2 7 3 7 8" xfId="25191"/>
    <cellStyle name="Heading 1 2 7 3 7 8 2" xfId="25192"/>
    <cellStyle name="Heading 1 2 7 3 7 9" xfId="25193"/>
    <cellStyle name="Heading 1 2 7 3 8" xfId="25194"/>
    <cellStyle name="Heading 1 2 7 3 8 2" xfId="25195"/>
    <cellStyle name="Heading 1 2 7 3 8 2 2" xfId="25196"/>
    <cellStyle name="Heading 1 2 7 3 8 2 2 2" xfId="25197"/>
    <cellStyle name="Heading 1 2 7 3 8 2 3" xfId="25198"/>
    <cellStyle name="Heading 1 2 7 3 8 3" xfId="25199"/>
    <cellStyle name="Heading 1 2 7 3 8 3 2" xfId="25200"/>
    <cellStyle name="Heading 1 2 7 3 8 3 2 2" xfId="25201"/>
    <cellStyle name="Heading 1 2 7 3 8 3 3" xfId="25202"/>
    <cellStyle name="Heading 1 2 7 3 8 4" xfId="25203"/>
    <cellStyle name="Heading 1 2 7 3 8 4 2" xfId="25204"/>
    <cellStyle name="Heading 1 2 7 3 8 4 2 2" xfId="25205"/>
    <cellStyle name="Heading 1 2 7 3 8 4 3" xfId="25206"/>
    <cellStyle name="Heading 1 2 7 3 8 5" xfId="25207"/>
    <cellStyle name="Heading 1 2 7 3 8 5 2" xfId="25208"/>
    <cellStyle name="Heading 1 2 7 3 8 5 2 2" xfId="25209"/>
    <cellStyle name="Heading 1 2 7 3 8 5 3" xfId="25210"/>
    <cellStyle name="Heading 1 2 7 3 8 6" xfId="25211"/>
    <cellStyle name="Heading 1 2 7 3 8 6 2" xfId="25212"/>
    <cellStyle name="Heading 1 2 7 3 8 6 2 2" xfId="25213"/>
    <cellStyle name="Heading 1 2 7 3 8 6 3" xfId="25214"/>
    <cellStyle name="Heading 1 2 7 3 8 7" xfId="25215"/>
    <cellStyle name="Heading 1 2 7 3 8 7 2" xfId="25216"/>
    <cellStyle name="Heading 1 2 7 3 8 7 2 2" xfId="25217"/>
    <cellStyle name="Heading 1 2 7 3 8 7 3" xfId="25218"/>
    <cellStyle name="Heading 1 2 7 3 8 8" xfId="25219"/>
    <cellStyle name="Heading 1 2 7 3 8 8 2" xfId="25220"/>
    <cellStyle name="Heading 1 2 7 3 8 9" xfId="25221"/>
    <cellStyle name="Heading 1 2 7 3 9" xfId="25222"/>
    <cellStyle name="Heading 1 2 7 3 9 2" xfId="25223"/>
    <cellStyle name="Heading 1 2 7 3 9 2 2" xfId="25224"/>
    <cellStyle name="Heading 1 2 7 3 9 3" xfId="25225"/>
    <cellStyle name="Heading 1 2 7 4" xfId="25226"/>
    <cellStyle name="Heading 1 2 7 4 2" xfId="25227"/>
    <cellStyle name="Heading 1 2 7 4 2 2" xfId="25228"/>
    <cellStyle name="Heading 1 2 7 4 3" xfId="25229"/>
    <cellStyle name="Heading 1 2 7 5" xfId="25230"/>
    <cellStyle name="Heading 1 2 7 5 2" xfId="25231"/>
    <cellStyle name="Heading 1 2 7 6" xfId="25232"/>
    <cellStyle name="Heading 1 2 8" xfId="25233"/>
    <cellStyle name="Heading 1 2 8 2" xfId="25234"/>
    <cellStyle name="Heading 1 2 8 2 10" xfId="25235"/>
    <cellStyle name="Heading 1 2 8 2 10 2" xfId="25236"/>
    <cellStyle name="Heading 1 2 8 2 10 2 2" xfId="25237"/>
    <cellStyle name="Heading 1 2 8 2 10 3" xfId="25238"/>
    <cellStyle name="Heading 1 2 8 2 11" xfId="25239"/>
    <cellStyle name="Heading 1 2 8 2 11 2" xfId="25240"/>
    <cellStyle name="Heading 1 2 8 2 11 2 2" xfId="25241"/>
    <cellStyle name="Heading 1 2 8 2 11 3" xfId="25242"/>
    <cellStyle name="Heading 1 2 8 2 12" xfId="25243"/>
    <cellStyle name="Heading 1 2 8 2 12 2" xfId="25244"/>
    <cellStyle name="Heading 1 2 8 2 12 2 2" xfId="25245"/>
    <cellStyle name="Heading 1 2 8 2 12 3" xfId="25246"/>
    <cellStyle name="Heading 1 2 8 2 13" xfId="25247"/>
    <cellStyle name="Heading 1 2 8 2 13 2" xfId="25248"/>
    <cellStyle name="Heading 1 2 8 2 13 2 2" xfId="25249"/>
    <cellStyle name="Heading 1 2 8 2 13 3" xfId="25250"/>
    <cellStyle name="Heading 1 2 8 2 14" xfId="25251"/>
    <cellStyle name="Heading 1 2 8 2 14 2" xfId="25252"/>
    <cellStyle name="Heading 1 2 8 2 14 2 2" xfId="25253"/>
    <cellStyle name="Heading 1 2 8 2 14 3" xfId="25254"/>
    <cellStyle name="Heading 1 2 8 2 15" xfId="25255"/>
    <cellStyle name="Heading 1 2 8 2 15 2" xfId="25256"/>
    <cellStyle name="Heading 1 2 8 2 15 2 2" xfId="25257"/>
    <cellStyle name="Heading 1 2 8 2 15 3" xfId="25258"/>
    <cellStyle name="Heading 1 2 8 2 16" xfId="25259"/>
    <cellStyle name="Heading 1 2 8 2 16 2" xfId="25260"/>
    <cellStyle name="Heading 1 2 8 2 16 2 2" xfId="25261"/>
    <cellStyle name="Heading 1 2 8 2 16 3" xfId="25262"/>
    <cellStyle name="Heading 1 2 8 2 17" xfId="25263"/>
    <cellStyle name="Heading 1 2 8 2 17 2" xfId="25264"/>
    <cellStyle name="Heading 1 2 8 2 17 2 2" xfId="25265"/>
    <cellStyle name="Heading 1 2 8 2 17 3" xfId="25266"/>
    <cellStyle name="Heading 1 2 8 2 18" xfId="25267"/>
    <cellStyle name="Heading 1 2 8 2 18 2" xfId="25268"/>
    <cellStyle name="Heading 1 2 8 2 18 2 2" xfId="25269"/>
    <cellStyle name="Heading 1 2 8 2 18 3" xfId="25270"/>
    <cellStyle name="Heading 1 2 8 2 19" xfId="25271"/>
    <cellStyle name="Heading 1 2 8 2 19 2" xfId="25272"/>
    <cellStyle name="Heading 1 2 8 2 19 2 2" xfId="25273"/>
    <cellStyle name="Heading 1 2 8 2 19 3" xfId="25274"/>
    <cellStyle name="Heading 1 2 8 2 2" xfId="25275"/>
    <cellStyle name="Heading 1 2 8 2 2 10" xfId="25276"/>
    <cellStyle name="Heading 1 2 8 2 2 10 2" xfId="25277"/>
    <cellStyle name="Heading 1 2 8 2 2 10 2 2" xfId="25278"/>
    <cellStyle name="Heading 1 2 8 2 2 10 3" xfId="25279"/>
    <cellStyle name="Heading 1 2 8 2 2 11" xfId="25280"/>
    <cellStyle name="Heading 1 2 8 2 2 11 2" xfId="25281"/>
    <cellStyle name="Heading 1 2 8 2 2 11 2 2" xfId="25282"/>
    <cellStyle name="Heading 1 2 8 2 2 11 3" xfId="25283"/>
    <cellStyle name="Heading 1 2 8 2 2 12" xfId="25284"/>
    <cellStyle name="Heading 1 2 8 2 2 12 2" xfId="25285"/>
    <cellStyle name="Heading 1 2 8 2 2 12 2 2" xfId="25286"/>
    <cellStyle name="Heading 1 2 8 2 2 12 3" xfId="25287"/>
    <cellStyle name="Heading 1 2 8 2 2 13" xfId="25288"/>
    <cellStyle name="Heading 1 2 8 2 2 13 2" xfId="25289"/>
    <cellStyle name="Heading 1 2 8 2 2 13 2 2" xfId="25290"/>
    <cellStyle name="Heading 1 2 8 2 2 13 3" xfId="25291"/>
    <cellStyle name="Heading 1 2 8 2 2 14" xfId="25292"/>
    <cellStyle name="Heading 1 2 8 2 2 14 2" xfId="25293"/>
    <cellStyle name="Heading 1 2 8 2 2 14 2 2" xfId="25294"/>
    <cellStyle name="Heading 1 2 8 2 2 14 3" xfId="25295"/>
    <cellStyle name="Heading 1 2 8 2 2 15" xfId="25296"/>
    <cellStyle name="Heading 1 2 8 2 2 15 2" xfId="25297"/>
    <cellStyle name="Heading 1 2 8 2 2 15 2 2" xfId="25298"/>
    <cellStyle name="Heading 1 2 8 2 2 15 3" xfId="25299"/>
    <cellStyle name="Heading 1 2 8 2 2 16" xfId="25300"/>
    <cellStyle name="Heading 1 2 8 2 2 16 2" xfId="25301"/>
    <cellStyle name="Heading 1 2 8 2 2 16 2 2" xfId="25302"/>
    <cellStyle name="Heading 1 2 8 2 2 16 3" xfId="25303"/>
    <cellStyle name="Heading 1 2 8 2 2 17" xfId="25304"/>
    <cellStyle name="Heading 1 2 8 2 2 17 2" xfId="25305"/>
    <cellStyle name="Heading 1 2 8 2 2 17 2 2" xfId="25306"/>
    <cellStyle name="Heading 1 2 8 2 2 17 3" xfId="25307"/>
    <cellStyle name="Heading 1 2 8 2 2 18" xfId="25308"/>
    <cellStyle name="Heading 1 2 8 2 2 18 2" xfId="25309"/>
    <cellStyle name="Heading 1 2 8 2 2 18 2 2" xfId="25310"/>
    <cellStyle name="Heading 1 2 8 2 2 18 3" xfId="25311"/>
    <cellStyle name="Heading 1 2 8 2 2 19" xfId="25312"/>
    <cellStyle name="Heading 1 2 8 2 2 19 2" xfId="25313"/>
    <cellStyle name="Heading 1 2 8 2 2 2" xfId="25314"/>
    <cellStyle name="Heading 1 2 8 2 2 2 2" xfId="25315"/>
    <cellStyle name="Heading 1 2 8 2 2 2 2 2" xfId="25316"/>
    <cellStyle name="Heading 1 2 8 2 2 2 2 2 2" xfId="25317"/>
    <cellStyle name="Heading 1 2 8 2 2 2 2 3" xfId="25318"/>
    <cellStyle name="Heading 1 2 8 2 2 2 3" xfId="25319"/>
    <cellStyle name="Heading 1 2 8 2 2 2 3 2" xfId="25320"/>
    <cellStyle name="Heading 1 2 8 2 2 2 3 2 2" xfId="25321"/>
    <cellStyle name="Heading 1 2 8 2 2 2 3 3" xfId="25322"/>
    <cellStyle name="Heading 1 2 8 2 2 2 4" xfId="25323"/>
    <cellStyle name="Heading 1 2 8 2 2 2 4 2" xfId="25324"/>
    <cellStyle name="Heading 1 2 8 2 2 2 4 2 2" xfId="25325"/>
    <cellStyle name="Heading 1 2 8 2 2 2 4 3" xfId="25326"/>
    <cellStyle name="Heading 1 2 8 2 2 2 5" xfId="25327"/>
    <cellStyle name="Heading 1 2 8 2 2 2 5 2" xfId="25328"/>
    <cellStyle name="Heading 1 2 8 2 2 2 5 2 2" xfId="25329"/>
    <cellStyle name="Heading 1 2 8 2 2 2 5 3" xfId="25330"/>
    <cellStyle name="Heading 1 2 8 2 2 2 6" xfId="25331"/>
    <cellStyle name="Heading 1 2 8 2 2 2 6 2" xfId="25332"/>
    <cellStyle name="Heading 1 2 8 2 2 2 6 2 2" xfId="25333"/>
    <cellStyle name="Heading 1 2 8 2 2 2 6 3" xfId="25334"/>
    <cellStyle name="Heading 1 2 8 2 2 2 7" xfId="25335"/>
    <cellStyle name="Heading 1 2 8 2 2 2 7 2" xfId="25336"/>
    <cellStyle name="Heading 1 2 8 2 2 2 7 2 2" xfId="25337"/>
    <cellStyle name="Heading 1 2 8 2 2 2 7 3" xfId="25338"/>
    <cellStyle name="Heading 1 2 8 2 2 2 8" xfId="25339"/>
    <cellStyle name="Heading 1 2 8 2 2 2 8 2" xfId="25340"/>
    <cellStyle name="Heading 1 2 8 2 2 2 9" xfId="25341"/>
    <cellStyle name="Heading 1 2 8 2 2 20" xfId="25342"/>
    <cellStyle name="Heading 1 2 8 2 2 20 2" xfId="25343"/>
    <cellStyle name="Heading 1 2 8 2 2 21" xfId="25344"/>
    <cellStyle name="Heading 1 2 8 2 2 21 2" xfId="25345"/>
    <cellStyle name="Heading 1 2 8 2 2 22" xfId="25346"/>
    <cellStyle name="Heading 1 2 8 2 2 3" xfId="25347"/>
    <cellStyle name="Heading 1 2 8 2 2 3 2" xfId="25348"/>
    <cellStyle name="Heading 1 2 8 2 2 3 2 2" xfId="25349"/>
    <cellStyle name="Heading 1 2 8 2 2 3 2 2 2" xfId="25350"/>
    <cellStyle name="Heading 1 2 8 2 2 3 2 3" xfId="25351"/>
    <cellStyle name="Heading 1 2 8 2 2 3 3" xfId="25352"/>
    <cellStyle name="Heading 1 2 8 2 2 3 3 2" xfId="25353"/>
    <cellStyle name="Heading 1 2 8 2 2 3 3 2 2" xfId="25354"/>
    <cellStyle name="Heading 1 2 8 2 2 3 3 3" xfId="25355"/>
    <cellStyle name="Heading 1 2 8 2 2 3 4" xfId="25356"/>
    <cellStyle name="Heading 1 2 8 2 2 3 4 2" xfId="25357"/>
    <cellStyle name="Heading 1 2 8 2 2 3 4 2 2" xfId="25358"/>
    <cellStyle name="Heading 1 2 8 2 2 3 4 3" xfId="25359"/>
    <cellStyle name="Heading 1 2 8 2 2 3 5" xfId="25360"/>
    <cellStyle name="Heading 1 2 8 2 2 3 5 2" xfId="25361"/>
    <cellStyle name="Heading 1 2 8 2 2 3 5 2 2" xfId="25362"/>
    <cellStyle name="Heading 1 2 8 2 2 3 5 3" xfId="25363"/>
    <cellStyle name="Heading 1 2 8 2 2 3 6" xfId="25364"/>
    <cellStyle name="Heading 1 2 8 2 2 3 6 2" xfId="25365"/>
    <cellStyle name="Heading 1 2 8 2 2 3 6 2 2" xfId="25366"/>
    <cellStyle name="Heading 1 2 8 2 2 3 6 3" xfId="25367"/>
    <cellStyle name="Heading 1 2 8 2 2 3 7" xfId="25368"/>
    <cellStyle name="Heading 1 2 8 2 2 3 7 2" xfId="25369"/>
    <cellStyle name="Heading 1 2 8 2 2 3 7 2 2" xfId="25370"/>
    <cellStyle name="Heading 1 2 8 2 2 3 7 3" xfId="25371"/>
    <cellStyle name="Heading 1 2 8 2 2 3 8" xfId="25372"/>
    <cellStyle name="Heading 1 2 8 2 2 3 8 2" xfId="25373"/>
    <cellStyle name="Heading 1 2 8 2 2 3 9" xfId="25374"/>
    <cellStyle name="Heading 1 2 8 2 2 4" xfId="25375"/>
    <cellStyle name="Heading 1 2 8 2 2 4 2" xfId="25376"/>
    <cellStyle name="Heading 1 2 8 2 2 4 2 2" xfId="25377"/>
    <cellStyle name="Heading 1 2 8 2 2 4 2 2 2" xfId="25378"/>
    <cellStyle name="Heading 1 2 8 2 2 4 2 3" xfId="25379"/>
    <cellStyle name="Heading 1 2 8 2 2 4 3" xfId="25380"/>
    <cellStyle name="Heading 1 2 8 2 2 4 3 2" xfId="25381"/>
    <cellStyle name="Heading 1 2 8 2 2 4 3 2 2" xfId="25382"/>
    <cellStyle name="Heading 1 2 8 2 2 4 3 3" xfId="25383"/>
    <cellStyle name="Heading 1 2 8 2 2 4 4" xfId="25384"/>
    <cellStyle name="Heading 1 2 8 2 2 4 4 2" xfId="25385"/>
    <cellStyle name="Heading 1 2 8 2 2 4 4 2 2" xfId="25386"/>
    <cellStyle name="Heading 1 2 8 2 2 4 4 3" xfId="25387"/>
    <cellStyle name="Heading 1 2 8 2 2 4 5" xfId="25388"/>
    <cellStyle name="Heading 1 2 8 2 2 4 5 2" xfId="25389"/>
    <cellStyle name="Heading 1 2 8 2 2 4 5 2 2" xfId="25390"/>
    <cellStyle name="Heading 1 2 8 2 2 4 5 3" xfId="25391"/>
    <cellStyle name="Heading 1 2 8 2 2 4 6" xfId="25392"/>
    <cellStyle name="Heading 1 2 8 2 2 4 6 2" xfId="25393"/>
    <cellStyle name="Heading 1 2 8 2 2 4 6 2 2" xfId="25394"/>
    <cellStyle name="Heading 1 2 8 2 2 4 6 3" xfId="25395"/>
    <cellStyle name="Heading 1 2 8 2 2 4 7" xfId="25396"/>
    <cellStyle name="Heading 1 2 8 2 2 4 7 2" xfId="25397"/>
    <cellStyle name="Heading 1 2 8 2 2 4 7 2 2" xfId="25398"/>
    <cellStyle name="Heading 1 2 8 2 2 4 7 3" xfId="25399"/>
    <cellStyle name="Heading 1 2 8 2 2 4 8" xfId="25400"/>
    <cellStyle name="Heading 1 2 8 2 2 4 8 2" xfId="25401"/>
    <cellStyle name="Heading 1 2 8 2 2 4 9" xfId="25402"/>
    <cellStyle name="Heading 1 2 8 2 2 5" xfId="25403"/>
    <cellStyle name="Heading 1 2 8 2 2 5 2" xfId="25404"/>
    <cellStyle name="Heading 1 2 8 2 2 5 2 2" xfId="25405"/>
    <cellStyle name="Heading 1 2 8 2 2 5 2 2 2" xfId="25406"/>
    <cellStyle name="Heading 1 2 8 2 2 5 2 3" xfId="25407"/>
    <cellStyle name="Heading 1 2 8 2 2 5 3" xfId="25408"/>
    <cellStyle name="Heading 1 2 8 2 2 5 3 2" xfId="25409"/>
    <cellStyle name="Heading 1 2 8 2 2 5 3 2 2" xfId="25410"/>
    <cellStyle name="Heading 1 2 8 2 2 5 3 3" xfId="25411"/>
    <cellStyle name="Heading 1 2 8 2 2 5 4" xfId="25412"/>
    <cellStyle name="Heading 1 2 8 2 2 5 4 2" xfId="25413"/>
    <cellStyle name="Heading 1 2 8 2 2 5 4 2 2" xfId="25414"/>
    <cellStyle name="Heading 1 2 8 2 2 5 4 3" xfId="25415"/>
    <cellStyle name="Heading 1 2 8 2 2 5 5" xfId="25416"/>
    <cellStyle name="Heading 1 2 8 2 2 5 5 2" xfId="25417"/>
    <cellStyle name="Heading 1 2 8 2 2 5 5 2 2" xfId="25418"/>
    <cellStyle name="Heading 1 2 8 2 2 5 5 3" xfId="25419"/>
    <cellStyle name="Heading 1 2 8 2 2 5 6" xfId="25420"/>
    <cellStyle name="Heading 1 2 8 2 2 5 6 2" xfId="25421"/>
    <cellStyle name="Heading 1 2 8 2 2 5 6 2 2" xfId="25422"/>
    <cellStyle name="Heading 1 2 8 2 2 5 6 3" xfId="25423"/>
    <cellStyle name="Heading 1 2 8 2 2 5 7" xfId="25424"/>
    <cellStyle name="Heading 1 2 8 2 2 5 7 2" xfId="25425"/>
    <cellStyle name="Heading 1 2 8 2 2 5 7 2 2" xfId="25426"/>
    <cellStyle name="Heading 1 2 8 2 2 5 7 3" xfId="25427"/>
    <cellStyle name="Heading 1 2 8 2 2 5 8" xfId="25428"/>
    <cellStyle name="Heading 1 2 8 2 2 5 8 2" xfId="25429"/>
    <cellStyle name="Heading 1 2 8 2 2 5 9" xfId="25430"/>
    <cellStyle name="Heading 1 2 8 2 2 6" xfId="25431"/>
    <cellStyle name="Heading 1 2 8 2 2 6 2" xfId="25432"/>
    <cellStyle name="Heading 1 2 8 2 2 6 2 2" xfId="25433"/>
    <cellStyle name="Heading 1 2 8 2 2 6 2 2 2" xfId="25434"/>
    <cellStyle name="Heading 1 2 8 2 2 6 2 3" xfId="25435"/>
    <cellStyle name="Heading 1 2 8 2 2 6 3" xfId="25436"/>
    <cellStyle name="Heading 1 2 8 2 2 6 3 2" xfId="25437"/>
    <cellStyle name="Heading 1 2 8 2 2 6 3 2 2" xfId="25438"/>
    <cellStyle name="Heading 1 2 8 2 2 6 3 3" xfId="25439"/>
    <cellStyle name="Heading 1 2 8 2 2 6 4" xfId="25440"/>
    <cellStyle name="Heading 1 2 8 2 2 6 4 2" xfId="25441"/>
    <cellStyle name="Heading 1 2 8 2 2 6 4 2 2" xfId="25442"/>
    <cellStyle name="Heading 1 2 8 2 2 6 4 3" xfId="25443"/>
    <cellStyle name="Heading 1 2 8 2 2 6 5" xfId="25444"/>
    <cellStyle name="Heading 1 2 8 2 2 6 5 2" xfId="25445"/>
    <cellStyle name="Heading 1 2 8 2 2 6 5 2 2" xfId="25446"/>
    <cellStyle name="Heading 1 2 8 2 2 6 5 3" xfId="25447"/>
    <cellStyle name="Heading 1 2 8 2 2 6 6" xfId="25448"/>
    <cellStyle name="Heading 1 2 8 2 2 6 6 2" xfId="25449"/>
    <cellStyle name="Heading 1 2 8 2 2 6 6 2 2" xfId="25450"/>
    <cellStyle name="Heading 1 2 8 2 2 6 6 3" xfId="25451"/>
    <cellStyle name="Heading 1 2 8 2 2 6 7" xfId="25452"/>
    <cellStyle name="Heading 1 2 8 2 2 6 7 2" xfId="25453"/>
    <cellStyle name="Heading 1 2 8 2 2 6 7 2 2" xfId="25454"/>
    <cellStyle name="Heading 1 2 8 2 2 6 7 3" xfId="25455"/>
    <cellStyle name="Heading 1 2 8 2 2 6 8" xfId="25456"/>
    <cellStyle name="Heading 1 2 8 2 2 6 8 2" xfId="25457"/>
    <cellStyle name="Heading 1 2 8 2 2 6 9" xfId="25458"/>
    <cellStyle name="Heading 1 2 8 2 2 7" xfId="25459"/>
    <cellStyle name="Heading 1 2 8 2 2 7 2" xfId="25460"/>
    <cellStyle name="Heading 1 2 8 2 2 7 2 2" xfId="25461"/>
    <cellStyle name="Heading 1 2 8 2 2 7 2 2 2" xfId="25462"/>
    <cellStyle name="Heading 1 2 8 2 2 7 2 3" xfId="25463"/>
    <cellStyle name="Heading 1 2 8 2 2 7 3" xfId="25464"/>
    <cellStyle name="Heading 1 2 8 2 2 7 3 2" xfId="25465"/>
    <cellStyle name="Heading 1 2 8 2 2 7 3 2 2" xfId="25466"/>
    <cellStyle name="Heading 1 2 8 2 2 7 3 3" xfId="25467"/>
    <cellStyle name="Heading 1 2 8 2 2 7 4" xfId="25468"/>
    <cellStyle name="Heading 1 2 8 2 2 7 4 2" xfId="25469"/>
    <cellStyle name="Heading 1 2 8 2 2 7 4 2 2" xfId="25470"/>
    <cellStyle name="Heading 1 2 8 2 2 7 4 3" xfId="25471"/>
    <cellStyle name="Heading 1 2 8 2 2 7 5" xfId="25472"/>
    <cellStyle name="Heading 1 2 8 2 2 7 5 2" xfId="25473"/>
    <cellStyle name="Heading 1 2 8 2 2 7 5 2 2" xfId="25474"/>
    <cellStyle name="Heading 1 2 8 2 2 7 5 3" xfId="25475"/>
    <cellStyle name="Heading 1 2 8 2 2 7 6" xfId="25476"/>
    <cellStyle name="Heading 1 2 8 2 2 7 6 2" xfId="25477"/>
    <cellStyle name="Heading 1 2 8 2 2 7 6 2 2" xfId="25478"/>
    <cellStyle name="Heading 1 2 8 2 2 7 6 3" xfId="25479"/>
    <cellStyle name="Heading 1 2 8 2 2 7 7" xfId="25480"/>
    <cellStyle name="Heading 1 2 8 2 2 7 7 2" xfId="25481"/>
    <cellStyle name="Heading 1 2 8 2 2 7 7 2 2" xfId="25482"/>
    <cellStyle name="Heading 1 2 8 2 2 7 7 3" xfId="25483"/>
    <cellStyle name="Heading 1 2 8 2 2 7 8" xfId="25484"/>
    <cellStyle name="Heading 1 2 8 2 2 7 8 2" xfId="25485"/>
    <cellStyle name="Heading 1 2 8 2 2 7 9" xfId="25486"/>
    <cellStyle name="Heading 1 2 8 2 2 8" xfId="25487"/>
    <cellStyle name="Heading 1 2 8 2 2 8 2" xfId="25488"/>
    <cellStyle name="Heading 1 2 8 2 2 8 2 2" xfId="25489"/>
    <cellStyle name="Heading 1 2 8 2 2 8 2 2 2" xfId="25490"/>
    <cellStyle name="Heading 1 2 8 2 2 8 2 3" xfId="25491"/>
    <cellStyle name="Heading 1 2 8 2 2 8 3" xfId="25492"/>
    <cellStyle name="Heading 1 2 8 2 2 8 3 2" xfId="25493"/>
    <cellStyle name="Heading 1 2 8 2 2 8 3 2 2" xfId="25494"/>
    <cellStyle name="Heading 1 2 8 2 2 8 3 3" xfId="25495"/>
    <cellStyle name="Heading 1 2 8 2 2 8 4" xfId="25496"/>
    <cellStyle name="Heading 1 2 8 2 2 8 4 2" xfId="25497"/>
    <cellStyle name="Heading 1 2 8 2 2 8 4 2 2" xfId="25498"/>
    <cellStyle name="Heading 1 2 8 2 2 8 4 3" xfId="25499"/>
    <cellStyle name="Heading 1 2 8 2 2 8 5" xfId="25500"/>
    <cellStyle name="Heading 1 2 8 2 2 8 5 2" xfId="25501"/>
    <cellStyle name="Heading 1 2 8 2 2 8 5 2 2" xfId="25502"/>
    <cellStyle name="Heading 1 2 8 2 2 8 5 3" xfId="25503"/>
    <cellStyle name="Heading 1 2 8 2 2 8 6" xfId="25504"/>
    <cellStyle name="Heading 1 2 8 2 2 8 6 2" xfId="25505"/>
    <cellStyle name="Heading 1 2 8 2 2 8 6 2 2" xfId="25506"/>
    <cellStyle name="Heading 1 2 8 2 2 8 6 3" xfId="25507"/>
    <cellStyle name="Heading 1 2 8 2 2 8 7" xfId="25508"/>
    <cellStyle name="Heading 1 2 8 2 2 8 7 2" xfId="25509"/>
    <cellStyle name="Heading 1 2 8 2 2 8 7 2 2" xfId="25510"/>
    <cellStyle name="Heading 1 2 8 2 2 8 7 3" xfId="25511"/>
    <cellStyle name="Heading 1 2 8 2 2 8 8" xfId="25512"/>
    <cellStyle name="Heading 1 2 8 2 2 8 8 2" xfId="25513"/>
    <cellStyle name="Heading 1 2 8 2 2 8 9" xfId="25514"/>
    <cellStyle name="Heading 1 2 8 2 2 9" xfId="25515"/>
    <cellStyle name="Heading 1 2 8 2 2 9 2" xfId="25516"/>
    <cellStyle name="Heading 1 2 8 2 2 9 2 2" xfId="25517"/>
    <cellStyle name="Heading 1 2 8 2 2 9 3" xfId="25518"/>
    <cellStyle name="Heading 1 2 8 2 20" xfId="25519"/>
    <cellStyle name="Heading 1 2 8 2 20 2" xfId="25520"/>
    <cellStyle name="Heading 1 2 8 2 21" xfId="25521"/>
    <cellStyle name="Heading 1 2 8 2 21 2" xfId="25522"/>
    <cellStyle name="Heading 1 2 8 2 22" xfId="25523"/>
    <cellStyle name="Heading 1 2 8 2 22 2" xfId="25524"/>
    <cellStyle name="Heading 1 2 8 2 23" xfId="25525"/>
    <cellStyle name="Heading 1 2 8 2 3" xfId="25526"/>
    <cellStyle name="Heading 1 2 8 2 3 2" xfId="25527"/>
    <cellStyle name="Heading 1 2 8 2 3 2 2" xfId="25528"/>
    <cellStyle name="Heading 1 2 8 2 3 2 2 2" xfId="25529"/>
    <cellStyle name="Heading 1 2 8 2 3 2 3" xfId="25530"/>
    <cellStyle name="Heading 1 2 8 2 3 3" xfId="25531"/>
    <cellStyle name="Heading 1 2 8 2 3 3 2" xfId="25532"/>
    <cellStyle name="Heading 1 2 8 2 3 3 2 2" xfId="25533"/>
    <cellStyle name="Heading 1 2 8 2 3 3 3" xfId="25534"/>
    <cellStyle name="Heading 1 2 8 2 3 4" xfId="25535"/>
    <cellStyle name="Heading 1 2 8 2 3 4 2" xfId="25536"/>
    <cellStyle name="Heading 1 2 8 2 3 4 2 2" xfId="25537"/>
    <cellStyle name="Heading 1 2 8 2 3 4 3" xfId="25538"/>
    <cellStyle name="Heading 1 2 8 2 3 5" xfId="25539"/>
    <cellStyle name="Heading 1 2 8 2 3 5 2" xfId="25540"/>
    <cellStyle name="Heading 1 2 8 2 3 5 2 2" xfId="25541"/>
    <cellStyle name="Heading 1 2 8 2 3 5 3" xfId="25542"/>
    <cellStyle name="Heading 1 2 8 2 3 6" xfId="25543"/>
    <cellStyle name="Heading 1 2 8 2 3 6 2" xfId="25544"/>
    <cellStyle name="Heading 1 2 8 2 3 6 2 2" xfId="25545"/>
    <cellStyle name="Heading 1 2 8 2 3 6 3" xfId="25546"/>
    <cellStyle name="Heading 1 2 8 2 3 7" xfId="25547"/>
    <cellStyle name="Heading 1 2 8 2 3 7 2" xfId="25548"/>
    <cellStyle name="Heading 1 2 8 2 3 7 2 2" xfId="25549"/>
    <cellStyle name="Heading 1 2 8 2 3 7 3" xfId="25550"/>
    <cellStyle name="Heading 1 2 8 2 3 8" xfId="25551"/>
    <cellStyle name="Heading 1 2 8 2 3 8 2" xfId="25552"/>
    <cellStyle name="Heading 1 2 8 2 3 9" xfId="25553"/>
    <cellStyle name="Heading 1 2 8 2 4" xfId="25554"/>
    <cellStyle name="Heading 1 2 8 2 4 2" xfId="25555"/>
    <cellStyle name="Heading 1 2 8 2 4 2 2" xfId="25556"/>
    <cellStyle name="Heading 1 2 8 2 4 2 2 2" xfId="25557"/>
    <cellStyle name="Heading 1 2 8 2 4 2 3" xfId="25558"/>
    <cellStyle name="Heading 1 2 8 2 4 3" xfId="25559"/>
    <cellStyle name="Heading 1 2 8 2 4 3 2" xfId="25560"/>
    <cellStyle name="Heading 1 2 8 2 4 3 2 2" xfId="25561"/>
    <cellStyle name="Heading 1 2 8 2 4 3 3" xfId="25562"/>
    <cellStyle name="Heading 1 2 8 2 4 4" xfId="25563"/>
    <cellStyle name="Heading 1 2 8 2 4 4 2" xfId="25564"/>
    <cellStyle name="Heading 1 2 8 2 4 4 2 2" xfId="25565"/>
    <cellStyle name="Heading 1 2 8 2 4 4 3" xfId="25566"/>
    <cellStyle name="Heading 1 2 8 2 4 5" xfId="25567"/>
    <cellStyle name="Heading 1 2 8 2 4 5 2" xfId="25568"/>
    <cellStyle name="Heading 1 2 8 2 4 5 2 2" xfId="25569"/>
    <cellStyle name="Heading 1 2 8 2 4 5 3" xfId="25570"/>
    <cellStyle name="Heading 1 2 8 2 4 6" xfId="25571"/>
    <cellStyle name="Heading 1 2 8 2 4 6 2" xfId="25572"/>
    <cellStyle name="Heading 1 2 8 2 4 6 2 2" xfId="25573"/>
    <cellStyle name="Heading 1 2 8 2 4 6 3" xfId="25574"/>
    <cellStyle name="Heading 1 2 8 2 4 7" xfId="25575"/>
    <cellStyle name="Heading 1 2 8 2 4 7 2" xfId="25576"/>
    <cellStyle name="Heading 1 2 8 2 4 7 2 2" xfId="25577"/>
    <cellStyle name="Heading 1 2 8 2 4 7 3" xfId="25578"/>
    <cellStyle name="Heading 1 2 8 2 4 8" xfId="25579"/>
    <cellStyle name="Heading 1 2 8 2 4 8 2" xfId="25580"/>
    <cellStyle name="Heading 1 2 8 2 4 9" xfId="25581"/>
    <cellStyle name="Heading 1 2 8 2 5" xfId="25582"/>
    <cellStyle name="Heading 1 2 8 2 5 2" xfId="25583"/>
    <cellStyle name="Heading 1 2 8 2 5 2 2" xfId="25584"/>
    <cellStyle name="Heading 1 2 8 2 5 2 2 2" xfId="25585"/>
    <cellStyle name="Heading 1 2 8 2 5 2 3" xfId="25586"/>
    <cellStyle name="Heading 1 2 8 2 5 3" xfId="25587"/>
    <cellStyle name="Heading 1 2 8 2 5 3 2" xfId="25588"/>
    <cellStyle name="Heading 1 2 8 2 5 3 2 2" xfId="25589"/>
    <cellStyle name="Heading 1 2 8 2 5 3 3" xfId="25590"/>
    <cellStyle name="Heading 1 2 8 2 5 4" xfId="25591"/>
    <cellStyle name="Heading 1 2 8 2 5 4 2" xfId="25592"/>
    <cellStyle name="Heading 1 2 8 2 5 4 2 2" xfId="25593"/>
    <cellStyle name="Heading 1 2 8 2 5 4 3" xfId="25594"/>
    <cellStyle name="Heading 1 2 8 2 5 5" xfId="25595"/>
    <cellStyle name="Heading 1 2 8 2 5 5 2" xfId="25596"/>
    <cellStyle name="Heading 1 2 8 2 5 5 2 2" xfId="25597"/>
    <cellStyle name="Heading 1 2 8 2 5 5 3" xfId="25598"/>
    <cellStyle name="Heading 1 2 8 2 5 6" xfId="25599"/>
    <cellStyle name="Heading 1 2 8 2 5 6 2" xfId="25600"/>
    <cellStyle name="Heading 1 2 8 2 5 6 2 2" xfId="25601"/>
    <cellStyle name="Heading 1 2 8 2 5 6 3" xfId="25602"/>
    <cellStyle name="Heading 1 2 8 2 5 7" xfId="25603"/>
    <cellStyle name="Heading 1 2 8 2 5 7 2" xfId="25604"/>
    <cellStyle name="Heading 1 2 8 2 5 7 2 2" xfId="25605"/>
    <cellStyle name="Heading 1 2 8 2 5 7 3" xfId="25606"/>
    <cellStyle name="Heading 1 2 8 2 5 8" xfId="25607"/>
    <cellStyle name="Heading 1 2 8 2 5 8 2" xfId="25608"/>
    <cellStyle name="Heading 1 2 8 2 5 9" xfId="25609"/>
    <cellStyle name="Heading 1 2 8 2 6" xfId="25610"/>
    <cellStyle name="Heading 1 2 8 2 6 2" xfId="25611"/>
    <cellStyle name="Heading 1 2 8 2 6 2 2" xfId="25612"/>
    <cellStyle name="Heading 1 2 8 2 6 2 2 2" xfId="25613"/>
    <cellStyle name="Heading 1 2 8 2 6 2 3" xfId="25614"/>
    <cellStyle name="Heading 1 2 8 2 6 3" xfId="25615"/>
    <cellStyle name="Heading 1 2 8 2 6 3 2" xfId="25616"/>
    <cellStyle name="Heading 1 2 8 2 6 3 2 2" xfId="25617"/>
    <cellStyle name="Heading 1 2 8 2 6 3 3" xfId="25618"/>
    <cellStyle name="Heading 1 2 8 2 6 4" xfId="25619"/>
    <cellStyle name="Heading 1 2 8 2 6 4 2" xfId="25620"/>
    <cellStyle name="Heading 1 2 8 2 6 4 2 2" xfId="25621"/>
    <cellStyle name="Heading 1 2 8 2 6 4 3" xfId="25622"/>
    <cellStyle name="Heading 1 2 8 2 6 5" xfId="25623"/>
    <cellStyle name="Heading 1 2 8 2 6 5 2" xfId="25624"/>
    <cellStyle name="Heading 1 2 8 2 6 5 2 2" xfId="25625"/>
    <cellStyle name="Heading 1 2 8 2 6 5 3" xfId="25626"/>
    <cellStyle name="Heading 1 2 8 2 6 6" xfId="25627"/>
    <cellStyle name="Heading 1 2 8 2 6 6 2" xfId="25628"/>
    <cellStyle name="Heading 1 2 8 2 6 6 2 2" xfId="25629"/>
    <cellStyle name="Heading 1 2 8 2 6 6 3" xfId="25630"/>
    <cellStyle name="Heading 1 2 8 2 6 7" xfId="25631"/>
    <cellStyle name="Heading 1 2 8 2 6 7 2" xfId="25632"/>
    <cellStyle name="Heading 1 2 8 2 6 7 2 2" xfId="25633"/>
    <cellStyle name="Heading 1 2 8 2 6 7 3" xfId="25634"/>
    <cellStyle name="Heading 1 2 8 2 6 8" xfId="25635"/>
    <cellStyle name="Heading 1 2 8 2 6 8 2" xfId="25636"/>
    <cellStyle name="Heading 1 2 8 2 6 9" xfId="25637"/>
    <cellStyle name="Heading 1 2 8 2 7" xfId="25638"/>
    <cellStyle name="Heading 1 2 8 2 7 2" xfId="25639"/>
    <cellStyle name="Heading 1 2 8 2 7 2 2" xfId="25640"/>
    <cellStyle name="Heading 1 2 8 2 7 2 2 2" xfId="25641"/>
    <cellStyle name="Heading 1 2 8 2 7 2 3" xfId="25642"/>
    <cellStyle name="Heading 1 2 8 2 7 3" xfId="25643"/>
    <cellStyle name="Heading 1 2 8 2 7 3 2" xfId="25644"/>
    <cellStyle name="Heading 1 2 8 2 7 3 2 2" xfId="25645"/>
    <cellStyle name="Heading 1 2 8 2 7 3 3" xfId="25646"/>
    <cellStyle name="Heading 1 2 8 2 7 4" xfId="25647"/>
    <cellStyle name="Heading 1 2 8 2 7 4 2" xfId="25648"/>
    <cellStyle name="Heading 1 2 8 2 7 4 2 2" xfId="25649"/>
    <cellStyle name="Heading 1 2 8 2 7 4 3" xfId="25650"/>
    <cellStyle name="Heading 1 2 8 2 7 5" xfId="25651"/>
    <cellStyle name="Heading 1 2 8 2 7 5 2" xfId="25652"/>
    <cellStyle name="Heading 1 2 8 2 7 5 2 2" xfId="25653"/>
    <cellStyle name="Heading 1 2 8 2 7 5 3" xfId="25654"/>
    <cellStyle name="Heading 1 2 8 2 7 6" xfId="25655"/>
    <cellStyle name="Heading 1 2 8 2 7 6 2" xfId="25656"/>
    <cellStyle name="Heading 1 2 8 2 7 6 2 2" xfId="25657"/>
    <cellStyle name="Heading 1 2 8 2 7 6 3" xfId="25658"/>
    <cellStyle name="Heading 1 2 8 2 7 7" xfId="25659"/>
    <cellStyle name="Heading 1 2 8 2 7 7 2" xfId="25660"/>
    <cellStyle name="Heading 1 2 8 2 7 7 2 2" xfId="25661"/>
    <cellStyle name="Heading 1 2 8 2 7 7 3" xfId="25662"/>
    <cellStyle name="Heading 1 2 8 2 7 8" xfId="25663"/>
    <cellStyle name="Heading 1 2 8 2 7 8 2" xfId="25664"/>
    <cellStyle name="Heading 1 2 8 2 7 9" xfId="25665"/>
    <cellStyle name="Heading 1 2 8 2 8" xfId="25666"/>
    <cellStyle name="Heading 1 2 8 2 8 2" xfId="25667"/>
    <cellStyle name="Heading 1 2 8 2 8 2 2" xfId="25668"/>
    <cellStyle name="Heading 1 2 8 2 8 2 2 2" xfId="25669"/>
    <cellStyle name="Heading 1 2 8 2 8 2 3" xfId="25670"/>
    <cellStyle name="Heading 1 2 8 2 8 3" xfId="25671"/>
    <cellStyle name="Heading 1 2 8 2 8 3 2" xfId="25672"/>
    <cellStyle name="Heading 1 2 8 2 8 3 2 2" xfId="25673"/>
    <cellStyle name="Heading 1 2 8 2 8 3 3" xfId="25674"/>
    <cellStyle name="Heading 1 2 8 2 8 4" xfId="25675"/>
    <cellStyle name="Heading 1 2 8 2 8 4 2" xfId="25676"/>
    <cellStyle name="Heading 1 2 8 2 8 4 2 2" xfId="25677"/>
    <cellStyle name="Heading 1 2 8 2 8 4 3" xfId="25678"/>
    <cellStyle name="Heading 1 2 8 2 8 5" xfId="25679"/>
    <cellStyle name="Heading 1 2 8 2 8 5 2" xfId="25680"/>
    <cellStyle name="Heading 1 2 8 2 8 5 2 2" xfId="25681"/>
    <cellStyle name="Heading 1 2 8 2 8 5 3" xfId="25682"/>
    <cellStyle name="Heading 1 2 8 2 8 6" xfId="25683"/>
    <cellStyle name="Heading 1 2 8 2 8 6 2" xfId="25684"/>
    <cellStyle name="Heading 1 2 8 2 8 6 2 2" xfId="25685"/>
    <cellStyle name="Heading 1 2 8 2 8 6 3" xfId="25686"/>
    <cellStyle name="Heading 1 2 8 2 8 7" xfId="25687"/>
    <cellStyle name="Heading 1 2 8 2 8 7 2" xfId="25688"/>
    <cellStyle name="Heading 1 2 8 2 8 7 2 2" xfId="25689"/>
    <cellStyle name="Heading 1 2 8 2 8 7 3" xfId="25690"/>
    <cellStyle name="Heading 1 2 8 2 8 8" xfId="25691"/>
    <cellStyle name="Heading 1 2 8 2 8 8 2" xfId="25692"/>
    <cellStyle name="Heading 1 2 8 2 8 9" xfId="25693"/>
    <cellStyle name="Heading 1 2 8 2 9" xfId="25694"/>
    <cellStyle name="Heading 1 2 8 2 9 2" xfId="25695"/>
    <cellStyle name="Heading 1 2 8 2 9 2 2" xfId="25696"/>
    <cellStyle name="Heading 1 2 8 2 9 2 2 2" xfId="25697"/>
    <cellStyle name="Heading 1 2 8 2 9 2 3" xfId="25698"/>
    <cellStyle name="Heading 1 2 8 2 9 3" xfId="25699"/>
    <cellStyle name="Heading 1 2 8 2 9 3 2" xfId="25700"/>
    <cellStyle name="Heading 1 2 8 2 9 3 2 2" xfId="25701"/>
    <cellStyle name="Heading 1 2 8 2 9 3 3" xfId="25702"/>
    <cellStyle name="Heading 1 2 8 2 9 4" xfId="25703"/>
    <cellStyle name="Heading 1 2 8 2 9 4 2" xfId="25704"/>
    <cellStyle name="Heading 1 2 8 2 9 4 2 2" xfId="25705"/>
    <cellStyle name="Heading 1 2 8 2 9 4 3" xfId="25706"/>
    <cellStyle name="Heading 1 2 8 2 9 5" xfId="25707"/>
    <cellStyle name="Heading 1 2 8 2 9 5 2" xfId="25708"/>
    <cellStyle name="Heading 1 2 8 2 9 5 2 2" xfId="25709"/>
    <cellStyle name="Heading 1 2 8 2 9 5 3" xfId="25710"/>
    <cellStyle name="Heading 1 2 8 2 9 6" xfId="25711"/>
    <cellStyle name="Heading 1 2 8 2 9 6 2" xfId="25712"/>
    <cellStyle name="Heading 1 2 8 2 9 6 2 2" xfId="25713"/>
    <cellStyle name="Heading 1 2 8 2 9 6 3" xfId="25714"/>
    <cellStyle name="Heading 1 2 8 2 9 7" xfId="25715"/>
    <cellStyle name="Heading 1 2 8 2 9 7 2" xfId="25716"/>
    <cellStyle name="Heading 1 2 8 2 9 7 2 2" xfId="25717"/>
    <cellStyle name="Heading 1 2 8 2 9 7 3" xfId="25718"/>
    <cellStyle name="Heading 1 2 8 2 9 8" xfId="25719"/>
    <cellStyle name="Heading 1 2 8 2 9 8 2" xfId="25720"/>
    <cellStyle name="Heading 1 2 8 2 9 9" xfId="25721"/>
    <cellStyle name="Heading 1 2 8 3" xfId="25722"/>
    <cellStyle name="Heading 1 2 8 3 10" xfId="25723"/>
    <cellStyle name="Heading 1 2 8 3 10 2" xfId="25724"/>
    <cellStyle name="Heading 1 2 8 3 10 2 2" xfId="25725"/>
    <cellStyle name="Heading 1 2 8 3 10 3" xfId="25726"/>
    <cellStyle name="Heading 1 2 8 3 11" xfId="25727"/>
    <cellStyle name="Heading 1 2 8 3 11 2" xfId="25728"/>
    <cellStyle name="Heading 1 2 8 3 11 2 2" xfId="25729"/>
    <cellStyle name="Heading 1 2 8 3 11 3" xfId="25730"/>
    <cellStyle name="Heading 1 2 8 3 12" xfId="25731"/>
    <cellStyle name="Heading 1 2 8 3 12 2" xfId="25732"/>
    <cellStyle name="Heading 1 2 8 3 12 2 2" xfId="25733"/>
    <cellStyle name="Heading 1 2 8 3 12 3" xfId="25734"/>
    <cellStyle name="Heading 1 2 8 3 13" xfId="25735"/>
    <cellStyle name="Heading 1 2 8 3 13 2" xfId="25736"/>
    <cellStyle name="Heading 1 2 8 3 13 2 2" xfId="25737"/>
    <cellStyle name="Heading 1 2 8 3 13 3" xfId="25738"/>
    <cellStyle name="Heading 1 2 8 3 14" xfId="25739"/>
    <cellStyle name="Heading 1 2 8 3 14 2" xfId="25740"/>
    <cellStyle name="Heading 1 2 8 3 14 2 2" xfId="25741"/>
    <cellStyle name="Heading 1 2 8 3 14 3" xfId="25742"/>
    <cellStyle name="Heading 1 2 8 3 15" xfId="25743"/>
    <cellStyle name="Heading 1 2 8 3 15 2" xfId="25744"/>
    <cellStyle name="Heading 1 2 8 3 15 2 2" xfId="25745"/>
    <cellStyle name="Heading 1 2 8 3 15 3" xfId="25746"/>
    <cellStyle name="Heading 1 2 8 3 16" xfId="25747"/>
    <cellStyle name="Heading 1 2 8 3 16 2" xfId="25748"/>
    <cellStyle name="Heading 1 2 8 3 16 2 2" xfId="25749"/>
    <cellStyle name="Heading 1 2 8 3 16 3" xfId="25750"/>
    <cellStyle name="Heading 1 2 8 3 17" xfId="25751"/>
    <cellStyle name="Heading 1 2 8 3 17 2" xfId="25752"/>
    <cellStyle name="Heading 1 2 8 3 17 2 2" xfId="25753"/>
    <cellStyle name="Heading 1 2 8 3 17 3" xfId="25754"/>
    <cellStyle name="Heading 1 2 8 3 18" xfId="25755"/>
    <cellStyle name="Heading 1 2 8 3 18 2" xfId="25756"/>
    <cellStyle name="Heading 1 2 8 3 18 2 2" xfId="25757"/>
    <cellStyle name="Heading 1 2 8 3 18 3" xfId="25758"/>
    <cellStyle name="Heading 1 2 8 3 19" xfId="25759"/>
    <cellStyle name="Heading 1 2 8 3 19 2" xfId="25760"/>
    <cellStyle name="Heading 1 2 8 3 2" xfId="25761"/>
    <cellStyle name="Heading 1 2 8 3 2 2" xfId="25762"/>
    <cellStyle name="Heading 1 2 8 3 2 2 2" xfId="25763"/>
    <cellStyle name="Heading 1 2 8 3 2 2 2 2" xfId="25764"/>
    <cellStyle name="Heading 1 2 8 3 2 2 3" xfId="25765"/>
    <cellStyle name="Heading 1 2 8 3 2 3" xfId="25766"/>
    <cellStyle name="Heading 1 2 8 3 2 3 2" xfId="25767"/>
    <cellStyle name="Heading 1 2 8 3 2 3 2 2" xfId="25768"/>
    <cellStyle name="Heading 1 2 8 3 2 3 3" xfId="25769"/>
    <cellStyle name="Heading 1 2 8 3 2 4" xfId="25770"/>
    <cellStyle name="Heading 1 2 8 3 2 4 2" xfId="25771"/>
    <cellStyle name="Heading 1 2 8 3 2 4 2 2" xfId="25772"/>
    <cellStyle name="Heading 1 2 8 3 2 4 3" xfId="25773"/>
    <cellStyle name="Heading 1 2 8 3 2 5" xfId="25774"/>
    <cellStyle name="Heading 1 2 8 3 2 5 2" xfId="25775"/>
    <cellStyle name="Heading 1 2 8 3 2 5 2 2" xfId="25776"/>
    <cellStyle name="Heading 1 2 8 3 2 5 3" xfId="25777"/>
    <cellStyle name="Heading 1 2 8 3 2 6" xfId="25778"/>
    <cellStyle name="Heading 1 2 8 3 2 6 2" xfId="25779"/>
    <cellStyle name="Heading 1 2 8 3 2 6 2 2" xfId="25780"/>
    <cellStyle name="Heading 1 2 8 3 2 6 3" xfId="25781"/>
    <cellStyle name="Heading 1 2 8 3 2 7" xfId="25782"/>
    <cellStyle name="Heading 1 2 8 3 2 7 2" xfId="25783"/>
    <cellStyle name="Heading 1 2 8 3 2 7 2 2" xfId="25784"/>
    <cellStyle name="Heading 1 2 8 3 2 7 3" xfId="25785"/>
    <cellStyle name="Heading 1 2 8 3 2 8" xfId="25786"/>
    <cellStyle name="Heading 1 2 8 3 2 8 2" xfId="25787"/>
    <cellStyle name="Heading 1 2 8 3 2 9" xfId="25788"/>
    <cellStyle name="Heading 1 2 8 3 20" xfId="25789"/>
    <cellStyle name="Heading 1 2 8 3 20 2" xfId="25790"/>
    <cellStyle name="Heading 1 2 8 3 21" xfId="25791"/>
    <cellStyle name="Heading 1 2 8 3 21 2" xfId="25792"/>
    <cellStyle name="Heading 1 2 8 3 22" xfId="25793"/>
    <cellStyle name="Heading 1 2 8 3 3" xfId="25794"/>
    <cellStyle name="Heading 1 2 8 3 3 2" xfId="25795"/>
    <cellStyle name="Heading 1 2 8 3 3 2 2" xfId="25796"/>
    <cellStyle name="Heading 1 2 8 3 3 2 2 2" xfId="25797"/>
    <cellStyle name="Heading 1 2 8 3 3 2 3" xfId="25798"/>
    <cellStyle name="Heading 1 2 8 3 3 3" xfId="25799"/>
    <cellStyle name="Heading 1 2 8 3 3 3 2" xfId="25800"/>
    <cellStyle name="Heading 1 2 8 3 3 3 2 2" xfId="25801"/>
    <cellStyle name="Heading 1 2 8 3 3 3 3" xfId="25802"/>
    <cellStyle name="Heading 1 2 8 3 3 4" xfId="25803"/>
    <cellStyle name="Heading 1 2 8 3 3 4 2" xfId="25804"/>
    <cellStyle name="Heading 1 2 8 3 3 4 2 2" xfId="25805"/>
    <cellStyle name="Heading 1 2 8 3 3 4 3" xfId="25806"/>
    <cellStyle name="Heading 1 2 8 3 3 5" xfId="25807"/>
    <cellStyle name="Heading 1 2 8 3 3 5 2" xfId="25808"/>
    <cellStyle name="Heading 1 2 8 3 3 5 2 2" xfId="25809"/>
    <cellStyle name="Heading 1 2 8 3 3 5 3" xfId="25810"/>
    <cellStyle name="Heading 1 2 8 3 3 6" xfId="25811"/>
    <cellStyle name="Heading 1 2 8 3 3 6 2" xfId="25812"/>
    <cellStyle name="Heading 1 2 8 3 3 6 2 2" xfId="25813"/>
    <cellStyle name="Heading 1 2 8 3 3 6 3" xfId="25814"/>
    <cellStyle name="Heading 1 2 8 3 3 7" xfId="25815"/>
    <cellStyle name="Heading 1 2 8 3 3 7 2" xfId="25816"/>
    <cellStyle name="Heading 1 2 8 3 3 7 2 2" xfId="25817"/>
    <cellStyle name="Heading 1 2 8 3 3 7 3" xfId="25818"/>
    <cellStyle name="Heading 1 2 8 3 3 8" xfId="25819"/>
    <cellStyle name="Heading 1 2 8 3 3 8 2" xfId="25820"/>
    <cellStyle name="Heading 1 2 8 3 3 9" xfId="25821"/>
    <cellStyle name="Heading 1 2 8 3 4" xfId="25822"/>
    <cellStyle name="Heading 1 2 8 3 4 2" xfId="25823"/>
    <cellStyle name="Heading 1 2 8 3 4 2 2" xfId="25824"/>
    <cellStyle name="Heading 1 2 8 3 4 2 2 2" xfId="25825"/>
    <cellStyle name="Heading 1 2 8 3 4 2 3" xfId="25826"/>
    <cellStyle name="Heading 1 2 8 3 4 3" xfId="25827"/>
    <cellStyle name="Heading 1 2 8 3 4 3 2" xfId="25828"/>
    <cellStyle name="Heading 1 2 8 3 4 3 2 2" xfId="25829"/>
    <cellStyle name="Heading 1 2 8 3 4 3 3" xfId="25830"/>
    <cellStyle name="Heading 1 2 8 3 4 4" xfId="25831"/>
    <cellStyle name="Heading 1 2 8 3 4 4 2" xfId="25832"/>
    <cellStyle name="Heading 1 2 8 3 4 4 2 2" xfId="25833"/>
    <cellStyle name="Heading 1 2 8 3 4 4 3" xfId="25834"/>
    <cellStyle name="Heading 1 2 8 3 4 5" xfId="25835"/>
    <cellStyle name="Heading 1 2 8 3 4 5 2" xfId="25836"/>
    <cellStyle name="Heading 1 2 8 3 4 5 2 2" xfId="25837"/>
    <cellStyle name="Heading 1 2 8 3 4 5 3" xfId="25838"/>
    <cellStyle name="Heading 1 2 8 3 4 6" xfId="25839"/>
    <cellStyle name="Heading 1 2 8 3 4 6 2" xfId="25840"/>
    <cellStyle name="Heading 1 2 8 3 4 6 2 2" xfId="25841"/>
    <cellStyle name="Heading 1 2 8 3 4 6 3" xfId="25842"/>
    <cellStyle name="Heading 1 2 8 3 4 7" xfId="25843"/>
    <cellStyle name="Heading 1 2 8 3 4 7 2" xfId="25844"/>
    <cellStyle name="Heading 1 2 8 3 4 7 2 2" xfId="25845"/>
    <cellStyle name="Heading 1 2 8 3 4 7 3" xfId="25846"/>
    <cellStyle name="Heading 1 2 8 3 4 8" xfId="25847"/>
    <cellStyle name="Heading 1 2 8 3 4 8 2" xfId="25848"/>
    <cellStyle name="Heading 1 2 8 3 4 9" xfId="25849"/>
    <cellStyle name="Heading 1 2 8 3 5" xfId="25850"/>
    <cellStyle name="Heading 1 2 8 3 5 2" xfId="25851"/>
    <cellStyle name="Heading 1 2 8 3 5 2 2" xfId="25852"/>
    <cellStyle name="Heading 1 2 8 3 5 2 2 2" xfId="25853"/>
    <cellStyle name="Heading 1 2 8 3 5 2 3" xfId="25854"/>
    <cellStyle name="Heading 1 2 8 3 5 3" xfId="25855"/>
    <cellStyle name="Heading 1 2 8 3 5 3 2" xfId="25856"/>
    <cellStyle name="Heading 1 2 8 3 5 3 2 2" xfId="25857"/>
    <cellStyle name="Heading 1 2 8 3 5 3 3" xfId="25858"/>
    <cellStyle name="Heading 1 2 8 3 5 4" xfId="25859"/>
    <cellStyle name="Heading 1 2 8 3 5 4 2" xfId="25860"/>
    <cellStyle name="Heading 1 2 8 3 5 4 2 2" xfId="25861"/>
    <cellStyle name="Heading 1 2 8 3 5 4 3" xfId="25862"/>
    <cellStyle name="Heading 1 2 8 3 5 5" xfId="25863"/>
    <cellStyle name="Heading 1 2 8 3 5 5 2" xfId="25864"/>
    <cellStyle name="Heading 1 2 8 3 5 5 2 2" xfId="25865"/>
    <cellStyle name="Heading 1 2 8 3 5 5 3" xfId="25866"/>
    <cellStyle name="Heading 1 2 8 3 5 6" xfId="25867"/>
    <cellStyle name="Heading 1 2 8 3 5 6 2" xfId="25868"/>
    <cellStyle name="Heading 1 2 8 3 5 6 2 2" xfId="25869"/>
    <cellStyle name="Heading 1 2 8 3 5 6 3" xfId="25870"/>
    <cellStyle name="Heading 1 2 8 3 5 7" xfId="25871"/>
    <cellStyle name="Heading 1 2 8 3 5 7 2" xfId="25872"/>
    <cellStyle name="Heading 1 2 8 3 5 7 2 2" xfId="25873"/>
    <cellStyle name="Heading 1 2 8 3 5 7 3" xfId="25874"/>
    <cellStyle name="Heading 1 2 8 3 5 8" xfId="25875"/>
    <cellStyle name="Heading 1 2 8 3 5 8 2" xfId="25876"/>
    <cellStyle name="Heading 1 2 8 3 5 9" xfId="25877"/>
    <cellStyle name="Heading 1 2 8 3 6" xfId="25878"/>
    <cellStyle name="Heading 1 2 8 3 6 2" xfId="25879"/>
    <cellStyle name="Heading 1 2 8 3 6 2 2" xfId="25880"/>
    <cellStyle name="Heading 1 2 8 3 6 2 2 2" xfId="25881"/>
    <cellStyle name="Heading 1 2 8 3 6 2 3" xfId="25882"/>
    <cellStyle name="Heading 1 2 8 3 6 3" xfId="25883"/>
    <cellStyle name="Heading 1 2 8 3 6 3 2" xfId="25884"/>
    <cellStyle name="Heading 1 2 8 3 6 3 2 2" xfId="25885"/>
    <cellStyle name="Heading 1 2 8 3 6 3 3" xfId="25886"/>
    <cellStyle name="Heading 1 2 8 3 6 4" xfId="25887"/>
    <cellStyle name="Heading 1 2 8 3 6 4 2" xfId="25888"/>
    <cellStyle name="Heading 1 2 8 3 6 4 2 2" xfId="25889"/>
    <cellStyle name="Heading 1 2 8 3 6 4 3" xfId="25890"/>
    <cellStyle name="Heading 1 2 8 3 6 5" xfId="25891"/>
    <cellStyle name="Heading 1 2 8 3 6 5 2" xfId="25892"/>
    <cellStyle name="Heading 1 2 8 3 6 5 2 2" xfId="25893"/>
    <cellStyle name="Heading 1 2 8 3 6 5 3" xfId="25894"/>
    <cellStyle name="Heading 1 2 8 3 6 6" xfId="25895"/>
    <cellStyle name="Heading 1 2 8 3 6 6 2" xfId="25896"/>
    <cellStyle name="Heading 1 2 8 3 6 6 2 2" xfId="25897"/>
    <cellStyle name="Heading 1 2 8 3 6 6 3" xfId="25898"/>
    <cellStyle name="Heading 1 2 8 3 6 7" xfId="25899"/>
    <cellStyle name="Heading 1 2 8 3 6 7 2" xfId="25900"/>
    <cellStyle name="Heading 1 2 8 3 6 7 2 2" xfId="25901"/>
    <cellStyle name="Heading 1 2 8 3 6 7 3" xfId="25902"/>
    <cellStyle name="Heading 1 2 8 3 6 8" xfId="25903"/>
    <cellStyle name="Heading 1 2 8 3 6 8 2" xfId="25904"/>
    <cellStyle name="Heading 1 2 8 3 6 9" xfId="25905"/>
    <cellStyle name="Heading 1 2 8 3 7" xfId="25906"/>
    <cellStyle name="Heading 1 2 8 3 7 2" xfId="25907"/>
    <cellStyle name="Heading 1 2 8 3 7 2 2" xfId="25908"/>
    <cellStyle name="Heading 1 2 8 3 7 2 2 2" xfId="25909"/>
    <cellStyle name="Heading 1 2 8 3 7 2 3" xfId="25910"/>
    <cellStyle name="Heading 1 2 8 3 7 3" xfId="25911"/>
    <cellStyle name="Heading 1 2 8 3 7 3 2" xfId="25912"/>
    <cellStyle name="Heading 1 2 8 3 7 3 2 2" xfId="25913"/>
    <cellStyle name="Heading 1 2 8 3 7 3 3" xfId="25914"/>
    <cellStyle name="Heading 1 2 8 3 7 4" xfId="25915"/>
    <cellStyle name="Heading 1 2 8 3 7 4 2" xfId="25916"/>
    <cellStyle name="Heading 1 2 8 3 7 4 2 2" xfId="25917"/>
    <cellStyle name="Heading 1 2 8 3 7 4 3" xfId="25918"/>
    <cellStyle name="Heading 1 2 8 3 7 5" xfId="25919"/>
    <cellStyle name="Heading 1 2 8 3 7 5 2" xfId="25920"/>
    <cellStyle name="Heading 1 2 8 3 7 5 2 2" xfId="25921"/>
    <cellStyle name="Heading 1 2 8 3 7 5 3" xfId="25922"/>
    <cellStyle name="Heading 1 2 8 3 7 6" xfId="25923"/>
    <cellStyle name="Heading 1 2 8 3 7 6 2" xfId="25924"/>
    <cellStyle name="Heading 1 2 8 3 7 6 2 2" xfId="25925"/>
    <cellStyle name="Heading 1 2 8 3 7 6 3" xfId="25926"/>
    <cellStyle name="Heading 1 2 8 3 7 7" xfId="25927"/>
    <cellStyle name="Heading 1 2 8 3 7 7 2" xfId="25928"/>
    <cellStyle name="Heading 1 2 8 3 7 7 2 2" xfId="25929"/>
    <cellStyle name="Heading 1 2 8 3 7 7 3" xfId="25930"/>
    <cellStyle name="Heading 1 2 8 3 7 8" xfId="25931"/>
    <cellStyle name="Heading 1 2 8 3 7 8 2" xfId="25932"/>
    <cellStyle name="Heading 1 2 8 3 7 9" xfId="25933"/>
    <cellStyle name="Heading 1 2 8 3 8" xfId="25934"/>
    <cellStyle name="Heading 1 2 8 3 8 2" xfId="25935"/>
    <cellStyle name="Heading 1 2 8 3 8 2 2" xfId="25936"/>
    <cellStyle name="Heading 1 2 8 3 8 2 2 2" xfId="25937"/>
    <cellStyle name="Heading 1 2 8 3 8 2 3" xfId="25938"/>
    <cellStyle name="Heading 1 2 8 3 8 3" xfId="25939"/>
    <cellStyle name="Heading 1 2 8 3 8 3 2" xfId="25940"/>
    <cellStyle name="Heading 1 2 8 3 8 3 2 2" xfId="25941"/>
    <cellStyle name="Heading 1 2 8 3 8 3 3" xfId="25942"/>
    <cellStyle name="Heading 1 2 8 3 8 4" xfId="25943"/>
    <cellStyle name="Heading 1 2 8 3 8 4 2" xfId="25944"/>
    <cellStyle name="Heading 1 2 8 3 8 4 2 2" xfId="25945"/>
    <cellStyle name="Heading 1 2 8 3 8 4 3" xfId="25946"/>
    <cellStyle name="Heading 1 2 8 3 8 5" xfId="25947"/>
    <cellStyle name="Heading 1 2 8 3 8 5 2" xfId="25948"/>
    <cellStyle name="Heading 1 2 8 3 8 5 2 2" xfId="25949"/>
    <cellStyle name="Heading 1 2 8 3 8 5 3" xfId="25950"/>
    <cellStyle name="Heading 1 2 8 3 8 6" xfId="25951"/>
    <cellStyle name="Heading 1 2 8 3 8 6 2" xfId="25952"/>
    <cellStyle name="Heading 1 2 8 3 8 6 2 2" xfId="25953"/>
    <cellStyle name="Heading 1 2 8 3 8 6 3" xfId="25954"/>
    <cellStyle name="Heading 1 2 8 3 8 7" xfId="25955"/>
    <cellStyle name="Heading 1 2 8 3 8 7 2" xfId="25956"/>
    <cellStyle name="Heading 1 2 8 3 8 7 2 2" xfId="25957"/>
    <cellStyle name="Heading 1 2 8 3 8 7 3" xfId="25958"/>
    <cellStyle name="Heading 1 2 8 3 8 8" xfId="25959"/>
    <cellStyle name="Heading 1 2 8 3 8 8 2" xfId="25960"/>
    <cellStyle name="Heading 1 2 8 3 8 9" xfId="25961"/>
    <cellStyle name="Heading 1 2 8 3 9" xfId="25962"/>
    <cellStyle name="Heading 1 2 8 3 9 2" xfId="25963"/>
    <cellStyle name="Heading 1 2 8 3 9 2 2" xfId="25964"/>
    <cellStyle name="Heading 1 2 8 3 9 3" xfId="25965"/>
    <cellStyle name="Heading 1 2 8 4" xfId="25966"/>
    <cellStyle name="Heading 1 2 8 4 2" xfId="25967"/>
    <cellStyle name="Heading 1 2 8 4 2 2" xfId="25968"/>
    <cellStyle name="Heading 1 2 8 4 3" xfId="25969"/>
    <cellStyle name="Heading 1 2 8 5" xfId="25970"/>
    <cellStyle name="Heading 1 2 8 5 2" xfId="25971"/>
    <cellStyle name="Heading 1 2 8 6" xfId="25972"/>
    <cellStyle name="Heading 1 2 9" xfId="25973"/>
    <cellStyle name="Heading 1 2 9 2" xfId="25974"/>
    <cellStyle name="Heading 1 2 9 2 10" xfId="25975"/>
    <cellStyle name="Heading 1 2 9 2 10 2" xfId="25976"/>
    <cellStyle name="Heading 1 2 9 2 10 2 2" xfId="25977"/>
    <cellStyle name="Heading 1 2 9 2 10 3" xfId="25978"/>
    <cellStyle name="Heading 1 2 9 2 11" xfId="25979"/>
    <cellStyle name="Heading 1 2 9 2 11 2" xfId="25980"/>
    <cellStyle name="Heading 1 2 9 2 11 2 2" xfId="25981"/>
    <cellStyle name="Heading 1 2 9 2 11 3" xfId="25982"/>
    <cellStyle name="Heading 1 2 9 2 12" xfId="25983"/>
    <cellStyle name="Heading 1 2 9 2 12 2" xfId="25984"/>
    <cellStyle name="Heading 1 2 9 2 12 2 2" xfId="25985"/>
    <cellStyle name="Heading 1 2 9 2 12 3" xfId="25986"/>
    <cellStyle name="Heading 1 2 9 2 13" xfId="25987"/>
    <cellStyle name="Heading 1 2 9 2 13 2" xfId="25988"/>
    <cellStyle name="Heading 1 2 9 2 13 2 2" xfId="25989"/>
    <cellStyle name="Heading 1 2 9 2 13 3" xfId="25990"/>
    <cellStyle name="Heading 1 2 9 2 14" xfId="25991"/>
    <cellStyle name="Heading 1 2 9 2 14 2" xfId="25992"/>
    <cellStyle name="Heading 1 2 9 2 14 2 2" xfId="25993"/>
    <cellStyle name="Heading 1 2 9 2 14 3" xfId="25994"/>
    <cellStyle name="Heading 1 2 9 2 15" xfId="25995"/>
    <cellStyle name="Heading 1 2 9 2 15 2" xfId="25996"/>
    <cellStyle name="Heading 1 2 9 2 15 2 2" xfId="25997"/>
    <cellStyle name="Heading 1 2 9 2 15 3" xfId="25998"/>
    <cellStyle name="Heading 1 2 9 2 16" xfId="25999"/>
    <cellStyle name="Heading 1 2 9 2 16 2" xfId="26000"/>
    <cellStyle name="Heading 1 2 9 2 16 2 2" xfId="26001"/>
    <cellStyle name="Heading 1 2 9 2 16 3" xfId="26002"/>
    <cellStyle name="Heading 1 2 9 2 17" xfId="26003"/>
    <cellStyle name="Heading 1 2 9 2 17 2" xfId="26004"/>
    <cellStyle name="Heading 1 2 9 2 17 2 2" xfId="26005"/>
    <cellStyle name="Heading 1 2 9 2 17 3" xfId="26006"/>
    <cellStyle name="Heading 1 2 9 2 18" xfId="26007"/>
    <cellStyle name="Heading 1 2 9 2 18 2" xfId="26008"/>
    <cellStyle name="Heading 1 2 9 2 18 2 2" xfId="26009"/>
    <cellStyle name="Heading 1 2 9 2 18 3" xfId="26010"/>
    <cellStyle name="Heading 1 2 9 2 19" xfId="26011"/>
    <cellStyle name="Heading 1 2 9 2 19 2" xfId="26012"/>
    <cellStyle name="Heading 1 2 9 2 19 2 2" xfId="26013"/>
    <cellStyle name="Heading 1 2 9 2 19 3" xfId="26014"/>
    <cellStyle name="Heading 1 2 9 2 2" xfId="26015"/>
    <cellStyle name="Heading 1 2 9 2 2 10" xfId="26016"/>
    <cellStyle name="Heading 1 2 9 2 2 10 2" xfId="26017"/>
    <cellStyle name="Heading 1 2 9 2 2 10 2 2" xfId="26018"/>
    <cellStyle name="Heading 1 2 9 2 2 10 3" xfId="26019"/>
    <cellStyle name="Heading 1 2 9 2 2 11" xfId="26020"/>
    <cellStyle name="Heading 1 2 9 2 2 11 2" xfId="26021"/>
    <cellStyle name="Heading 1 2 9 2 2 11 2 2" xfId="26022"/>
    <cellStyle name="Heading 1 2 9 2 2 11 3" xfId="26023"/>
    <cellStyle name="Heading 1 2 9 2 2 12" xfId="26024"/>
    <cellStyle name="Heading 1 2 9 2 2 12 2" xfId="26025"/>
    <cellStyle name="Heading 1 2 9 2 2 12 2 2" xfId="26026"/>
    <cellStyle name="Heading 1 2 9 2 2 12 3" xfId="26027"/>
    <cellStyle name="Heading 1 2 9 2 2 13" xfId="26028"/>
    <cellStyle name="Heading 1 2 9 2 2 13 2" xfId="26029"/>
    <cellStyle name="Heading 1 2 9 2 2 13 2 2" xfId="26030"/>
    <cellStyle name="Heading 1 2 9 2 2 13 3" xfId="26031"/>
    <cellStyle name="Heading 1 2 9 2 2 14" xfId="26032"/>
    <cellStyle name="Heading 1 2 9 2 2 14 2" xfId="26033"/>
    <cellStyle name="Heading 1 2 9 2 2 14 2 2" xfId="26034"/>
    <cellStyle name="Heading 1 2 9 2 2 14 3" xfId="26035"/>
    <cellStyle name="Heading 1 2 9 2 2 15" xfId="26036"/>
    <cellStyle name="Heading 1 2 9 2 2 15 2" xfId="26037"/>
    <cellStyle name="Heading 1 2 9 2 2 15 2 2" xfId="26038"/>
    <cellStyle name="Heading 1 2 9 2 2 15 3" xfId="26039"/>
    <cellStyle name="Heading 1 2 9 2 2 16" xfId="26040"/>
    <cellStyle name="Heading 1 2 9 2 2 16 2" xfId="26041"/>
    <cellStyle name="Heading 1 2 9 2 2 16 2 2" xfId="26042"/>
    <cellStyle name="Heading 1 2 9 2 2 16 3" xfId="26043"/>
    <cellStyle name="Heading 1 2 9 2 2 17" xfId="26044"/>
    <cellStyle name="Heading 1 2 9 2 2 17 2" xfId="26045"/>
    <cellStyle name="Heading 1 2 9 2 2 17 2 2" xfId="26046"/>
    <cellStyle name="Heading 1 2 9 2 2 17 3" xfId="26047"/>
    <cellStyle name="Heading 1 2 9 2 2 18" xfId="26048"/>
    <cellStyle name="Heading 1 2 9 2 2 18 2" xfId="26049"/>
    <cellStyle name="Heading 1 2 9 2 2 18 2 2" xfId="26050"/>
    <cellStyle name="Heading 1 2 9 2 2 18 3" xfId="26051"/>
    <cellStyle name="Heading 1 2 9 2 2 19" xfId="26052"/>
    <cellStyle name="Heading 1 2 9 2 2 19 2" xfId="26053"/>
    <cellStyle name="Heading 1 2 9 2 2 2" xfId="26054"/>
    <cellStyle name="Heading 1 2 9 2 2 2 2" xfId="26055"/>
    <cellStyle name="Heading 1 2 9 2 2 2 2 2" xfId="26056"/>
    <cellStyle name="Heading 1 2 9 2 2 2 2 2 2" xfId="26057"/>
    <cellStyle name="Heading 1 2 9 2 2 2 2 3" xfId="26058"/>
    <cellStyle name="Heading 1 2 9 2 2 2 3" xfId="26059"/>
    <cellStyle name="Heading 1 2 9 2 2 2 3 2" xfId="26060"/>
    <cellStyle name="Heading 1 2 9 2 2 2 3 2 2" xfId="26061"/>
    <cellStyle name="Heading 1 2 9 2 2 2 3 3" xfId="26062"/>
    <cellStyle name="Heading 1 2 9 2 2 2 4" xfId="26063"/>
    <cellStyle name="Heading 1 2 9 2 2 2 4 2" xfId="26064"/>
    <cellStyle name="Heading 1 2 9 2 2 2 4 2 2" xfId="26065"/>
    <cellStyle name="Heading 1 2 9 2 2 2 4 3" xfId="26066"/>
    <cellStyle name="Heading 1 2 9 2 2 2 5" xfId="26067"/>
    <cellStyle name="Heading 1 2 9 2 2 2 5 2" xfId="26068"/>
    <cellStyle name="Heading 1 2 9 2 2 2 5 2 2" xfId="26069"/>
    <cellStyle name="Heading 1 2 9 2 2 2 5 3" xfId="26070"/>
    <cellStyle name="Heading 1 2 9 2 2 2 6" xfId="26071"/>
    <cellStyle name="Heading 1 2 9 2 2 2 6 2" xfId="26072"/>
    <cellStyle name="Heading 1 2 9 2 2 2 6 2 2" xfId="26073"/>
    <cellStyle name="Heading 1 2 9 2 2 2 6 3" xfId="26074"/>
    <cellStyle name="Heading 1 2 9 2 2 2 7" xfId="26075"/>
    <cellStyle name="Heading 1 2 9 2 2 2 7 2" xfId="26076"/>
    <cellStyle name="Heading 1 2 9 2 2 2 7 2 2" xfId="26077"/>
    <cellStyle name="Heading 1 2 9 2 2 2 7 3" xfId="26078"/>
    <cellStyle name="Heading 1 2 9 2 2 2 8" xfId="26079"/>
    <cellStyle name="Heading 1 2 9 2 2 2 8 2" xfId="26080"/>
    <cellStyle name="Heading 1 2 9 2 2 2 9" xfId="26081"/>
    <cellStyle name="Heading 1 2 9 2 2 20" xfId="26082"/>
    <cellStyle name="Heading 1 2 9 2 2 20 2" xfId="26083"/>
    <cellStyle name="Heading 1 2 9 2 2 21" xfId="26084"/>
    <cellStyle name="Heading 1 2 9 2 2 21 2" xfId="26085"/>
    <cellStyle name="Heading 1 2 9 2 2 22" xfId="26086"/>
    <cellStyle name="Heading 1 2 9 2 2 3" xfId="26087"/>
    <cellStyle name="Heading 1 2 9 2 2 3 2" xfId="26088"/>
    <cellStyle name="Heading 1 2 9 2 2 3 2 2" xfId="26089"/>
    <cellStyle name="Heading 1 2 9 2 2 3 2 2 2" xfId="26090"/>
    <cellStyle name="Heading 1 2 9 2 2 3 2 3" xfId="26091"/>
    <cellStyle name="Heading 1 2 9 2 2 3 3" xfId="26092"/>
    <cellStyle name="Heading 1 2 9 2 2 3 3 2" xfId="26093"/>
    <cellStyle name="Heading 1 2 9 2 2 3 3 2 2" xfId="26094"/>
    <cellStyle name="Heading 1 2 9 2 2 3 3 3" xfId="26095"/>
    <cellStyle name="Heading 1 2 9 2 2 3 4" xfId="26096"/>
    <cellStyle name="Heading 1 2 9 2 2 3 4 2" xfId="26097"/>
    <cellStyle name="Heading 1 2 9 2 2 3 4 2 2" xfId="26098"/>
    <cellStyle name="Heading 1 2 9 2 2 3 4 3" xfId="26099"/>
    <cellStyle name="Heading 1 2 9 2 2 3 5" xfId="26100"/>
    <cellStyle name="Heading 1 2 9 2 2 3 5 2" xfId="26101"/>
    <cellStyle name="Heading 1 2 9 2 2 3 5 2 2" xfId="26102"/>
    <cellStyle name="Heading 1 2 9 2 2 3 5 3" xfId="26103"/>
    <cellStyle name="Heading 1 2 9 2 2 3 6" xfId="26104"/>
    <cellStyle name="Heading 1 2 9 2 2 3 6 2" xfId="26105"/>
    <cellStyle name="Heading 1 2 9 2 2 3 6 2 2" xfId="26106"/>
    <cellStyle name="Heading 1 2 9 2 2 3 6 3" xfId="26107"/>
    <cellStyle name="Heading 1 2 9 2 2 3 7" xfId="26108"/>
    <cellStyle name="Heading 1 2 9 2 2 3 7 2" xfId="26109"/>
    <cellStyle name="Heading 1 2 9 2 2 3 7 2 2" xfId="26110"/>
    <cellStyle name="Heading 1 2 9 2 2 3 7 3" xfId="26111"/>
    <cellStyle name="Heading 1 2 9 2 2 3 8" xfId="26112"/>
    <cellStyle name="Heading 1 2 9 2 2 3 8 2" xfId="26113"/>
    <cellStyle name="Heading 1 2 9 2 2 3 9" xfId="26114"/>
    <cellStyle name="Heading 1 2 9 2 2 4" xfId="26115"/>
    <cellStyle name="Heading 1 2 9 2 2 4 2" xfId="26116"/>
    <cellStyle name="Heading 1 2 9 2 2 4 2 2" xfId="26117"/>
    <cellStyle name="Heading 1 2 9 2 2 4 2 2 2" xfId="26118"/>
    <cellStyle name="Heading 1 2 9 2 2 4 2 3" xfId="26119"/>
    <cellStyle name="Heading 1 2 9 2 2 4 3" xfId="26120"/>
    <cellStyle name="Heading 1 2 9 2 2 4 3 2" xfId="26121"/>
    <cellStyle name="Heading 1 2 9 2 2 4 3 2 2" xfId="26122"/>
    <cellStyle name="Heading 1 2 9 2 2 4 3 3" xfId="26123"/>
    <cellStyle name="Heading 1 2 9 2 2 4 4" xfId="26124"/>
    <cellStyle name="Heading 1 2 9 2 2 4 4 2" xfId="26125"/>
    <cellStyle name="Heading 1 2 9 2 2 4 4 2 2" xfId="26126"/>
    <cellStyle name="Heading 1 2 9 2 2 4 4 3" xfId="26127"/>
    <cellStyle name="Heading 1 2 9 2 2 4 5" xfId="26128"/>
    <cellStyle name="Heading 1 2 9 2 2 4 5 2" xfId="26129"/>
    <cellStyle name="Heading 1 2 9 2 2 4 5 2 2" xfId="26130"/>
    <cellStyle name="Heading 1 2 9 2 2 4 5 3" xfId="26131"/>
    <cellStyle name="Heading 1 2 9 2 2 4 6" xfId="26132"/>
    <cellStyle name="Heading 1 2 9 2 2 4 6 2" xfId="26133"/>
    <cellStyle name="Heading 1 2 9 2 2 4 6 2 2" xfId="26134"/>
    <cellStyle name="Heading 1 2 9 2 2 4 6 3" xfId="26135"/>
    <cellStyle name="Heading 1 2 9 2 2 4 7" xfId="26136"/>
    <cellStyle name="Heading 1 2 9 2 2 4 7 2" xfId="26137"/>
    <cellStyle name="Heading 1 2 9 2 2 4 7 2 2" xfId="26138"/>
    <cellStyle name="Heading 1 2 9 2 2 4 7 3" xfId="26139"/>
    <cellStyle name="Heading 1 2 9 2 2 4 8" xfId="26140"/>
    <cellStyle name="Heading 1 2 9 2 2 4 8 2" xfId="26141"/>
    <cellStyle name="Heading 1 2 9 2 2 4 9" xfId="26142"/>
    <cellStyle name="Heading 1 2 9 2 2 5" xfId="26143"/>
    <cellStyle name="Heading 1 2 9 2 2 5 2" xfId="26144"/>
    <cellStyle name="Heading 1 2 9 2 2 5 2 2" xfId="26145"/>
    <cellStyle name="Heading 1 2 9 2 2 5 2 2 2" xfId="26146"/>
    <cellStyle name="Heading 1 2 9 2 2 5 2 3" xfId="26147"/>
    <cellStyle name="Heading 1 2 9 2 2 5 3" xfId="26148"/>
    <cellStyle name="Heading 1 2 9 2 2 5 3 2" xfId="26149"/>
    <cellStyle name="Heading 1 2 9 2 2 5 3 2 2" xfId="26150"/>
    <cellStyle name="Heading 1 2 9 2 2 5 3 3" xfId="26151"/>
    <cellStyle name="Heading 1 2 9 2 2 5 4" xfId="26152"/>
    <cellStyle name="Heading 1 2 9 2 2 5 4 2" xfId="26153"/>
    <cellStyle name="Heading 1 2 9 2 2 5 4 2 2" xfId="26154"/>
    <cellStyle name="Heading 1 2 9 2 2 5 4 3" xfId="26155"/>
    <cellStyle name="Heading 1 2 9 2 2 5 5" xfId="26156"/>
    <cellStyle name="Heading 1 2 9 2 2 5 5 2" xfId="26157"/>
    <cellStyle name="Heading 1 2 9 2 2 5 5 2 2" xfId="26158"/>
    <cellStyle name="Heading 1 2 9 2 2 5 5 3" xfId="26159"/>
    <cellStyle name="Heading 1 2 9 2 2 5 6" xfId="26160"/>
    <cellStyle name="Heading 1 2 9 2 2 5 6 2" xfId="26161"/>
    <cellStyle name="Heading 1 2 9 2 2 5 6 2 2" xfId="26162"/>
    <cellStyle name="Heading 1 2 9 2 2 5 6 3" xfId="26163"/>
    <cellStyle name="Heading 1 2 9 2 2 5 7" xfId="26164"/>
    <cellStyle name="Heading 1 2 9 2 2 5 7 2" xfId="26165"/>
    <cellStyle name="Heading 1 2 9 2 2 5 7 2 2" xfId="26166"/>
    <cellStyle name="Heading 1 2 9 2 2 5 7 3" xfId="26167"/>
    <cellStyle name="Heading 1 2 9 2 2 5 8" xfId="26168"/>
    <cellStyle name="Heading 1 2 9 2 2 5 8 2" xfId="26169"/>
    <cellStyle name="Heading 1 2 9 2 2 5 9" xfId="26170"/>
    <cellStyle name="Heading 1 2 9 2 2 6" xfId="26171"/>
    <cellStyle name="Heading 1 2 9 2 2 6 2" xfId="26172"/>
    <cellStyle name="Heading 1 2 9 2 2 6 2 2" xfId="26173"/>
    <cellStyle name="Heading 1 2 9 2 2 6 2 2 2" xfId="26174"/>
    <cellStyle name="Heading 1 2 9 2 2 6 2 3" xfId="26175"/>
    <cellStyle name="Heading 1 2 9 2 2 6 3" xfId="26176"/>
    <cellStyle name="Heading 1 2 9 2 2 6 3 2" xfId="26177"/>
    <cellStyle name="Heading 1 2 9 2 2 6 3 2 2" xfId="26178"/>
    <cellStyle name="Heading 1 2 9 2 2 6 3 3" xfId="26179"/>
    <cellStyle name="Heading 1 2 9 2 2 6 4" xfId="26180"/>
    <cellStyle name="Heading 1 2 9 2 2 6 4 2" xfId="26181"/>
    <cellStyle name="Heading 1 2 9 2 2 6 4 2 2" xfId="26182"/>
    <cellStyle name="Heading 1 2 9 2 2 6 4 3" xfId="26183"/>
    <cellStyle name="Heading 1 2 9 2 2 6 5" xfId="26184"/>
    <cellStyle name="Heading 1 2 9 2 2 6 5 2" xfId="26185"/>
    <cellStyle name="Heading 1 2 9 2 2 6 5 2 2" xfId="26186"/>
    <cellStyle name="Heading 1 2 9 2 2 6 5 3" xfId="26187"/>
    <cellStyle name="Heading 1 2 9 2 2 6 6" xfId="26188"/>
    <cellStyle name="Heading 1 2 9 2 2 6 6 2" xfId="26189"/>
    <cellStyle name="Heading 1 2 9 2 2 6 6 2 2" xfId="26190"/>
    <cellStyle name="Heading 1 2 9 2 2 6 6 3" xfId="26191"/>
    <cellStyle name="Heading 1 2 9 2 2 6 7" xfId="26192"/>
    <cellStyle name="Heading 1 2 9 2 2 6 7 2" xfId="26193"/>
    <cellStyle name="Heading 1 2 9 2 2 6 7 2 2" xfId="26194"/>
    <cellStyle name="Heading 1 2 9 2 2 6 7 3" xfId="26195"/>
    <cellStyle name="Heading 1 2 9 2 2 6 8" xfId="26196"/>
    <cellStyle name="Heading 1 2 9 2 2 6 8 2" xfId="26197"/>
    <cellStyle name="Heading 1 2 9 2 2 6 9" xfId="26198"/>
    <cellStyle name="Heading 1 2 9 2 2 7" xfId="26199"/>
    <cellStyle name="Heading 1 2 9 2 2 7 2" xfId="26200"/>
    <cellStyle name="Heading 1 2 9 2 2 7 2 2" xfId="26201"/>
    <cellStyle name="Heading 1 2 9 2 2 7 2 2 2" xfId="26202"/>
    <cellStyle name="Heading 1 2 9 2 2 7 2 3" xfId="26203"/>
    <cellStyle name="Heading 1 2 9 2 2 7 3" xfId="26204"/>
    <cellStyle name="Heading 1 2 9 2 2 7 3 2" xfId="26205"/>
    <cellStyle name="Heading 1 2 9 2 2 7 3 2 2" xfId="26206"/>
    <cellStyle name="Heading 1 2 9 2 2 7 3 3" xfId="26207"/>
    <cellStyle name="Heading 1 2 9 2 2 7 4" xfId="26208"/>
    <cellStyle name="Heading 1 2 9 2 2 7 4 2" xfId="26209"/>
    <cellStyle name="Heading 1 2 9 2 2 7 4 2 2" xfId="26210"/>
    <cellStyle name="Heading 1 2 9 2 2 7 4 3" xfId="26211"/>
    <cellStyle name="Heading 1 2 9 2 2 7 5" xfId="26212"/>
    <cellStyle name="Heading 1 2 9 2 2 7 5 2" xfId="26213"/>
    <cellStyle name="Heading 1 2 9 2 2 7 5 2 2" xfId="26214"/>
    <cellStyle name="Heading 1 2 9 2 2 7 5 3" xfId="26215"/>
    <cellStyle name="Heading 1 2 9 2 2 7 6" xfId="26216"/>
    <cellStyle name="Heading 1 2 9 2 2 7 6 2" xfId="26217"/>
    <cellStyle name="Heading 1 2 9 2 2 7 6 2 2" xfId="26218"/>
    <cellStyle name="Heading 1 2 9 2 2 7 6 3" xfId="26219"/>
    <cellStyle name="Heading 1 2 9 2 2 7 7" xfId="26220"/>
    <cellStyle name="Heading 1 2 9 2 2 7 7 2" xfId="26221"/>
    <cellStyle name="Heading 1 2 9 2 2 7 7 2 2" xfId="26222"/>
    <cellStyle name="Heading 1 2 9 2 2 7 7 3" xfId="26223"/>
    <cellStyle name="Heading 1 2 9 2 2 7 8" xfId="26224"/>
    <cellStyle name="Heading 1 2 9 2 2 7 8 2" xfId="26225"/>
    <cellStyle name="Heading 1 2 9 2 2 7 9" xfId="26226"/>
    <cellStyle name="Heading 1 2 9 2 2 8" xfId="26227"/>
    <cellStyle name="Heading 1 2 9 2 2 8 2" xfId="26228"/>
    <cellStyle name="Heading 1 2 9 2 2 8 2 2" xfId="26229"/>
    <cellStyle name="Heading 1 2 9 2 2 8 2 2 2" xfId="26230"/>
    <cellStyle name="Heading 1 2 9 2 2 8 2 3" xfId="26231"/>
    <cellStyle name="Heading 1 2 9 2 2 8 3" xfId="26232"/>
    <cellStyle name="Heading 1 2 9 2 2 8 3 2" xfId="26233"/>
    <cellStyle name="Heading 1 2 9 2 2 8 3 2 2" xfId="26234"/>
    <cellStyle name="Heading 1 2 9 2 2 8 3 3" xfId="26235"/>
    <cellStyle name="Heading 1 2 9 2 2 8 4" xfId="26236"/>
    <cellStyle name="Heading 1 2 9 2 2 8 4 2" xfId="26237"/>
    <cellStyle name="Heading 1 2 9 2 2 8 4 2 2" xfId="26238"/>
    <cellStyle name="Heading 1 2 9 2 2 8 4 3" xfId="26239"/>
    <cellStyle name="Heading 1 2 9 2 2 8 5" xfId="26240"/>
    <cellStyle name="Heading 1 2 9 2 2 8 5 2" xfId="26241"/>
    <cellStyle name="Heading 1 2 9 2 2 8 5 2 2" xfId="26242"/>
    <cellStyle name="Heading 1 2 9 2 2 8 5 3" xfId="26243"/>
    <cellStyle name="Heading 1 2 9 2 2 8 6" xfId="26244"/>
    <cellStyle name="Heading 1 2 9 2 2 8 6 2" xfId="26245"/>
    <cellStyle name="Heading 1 2 9 2 2 8 6 2 2" xfId="26246"/>
    <cellStyle name="Heading 1 2 9 2 2 8 6 3" xfId="26247"/>
    <cellStyle name="Heading 1 2 9 2 2 8 7" xfId="26248"/>
    <cellStyle name="Heading 1 2 9 2 2 8 7 2" xfId="26249"/>
    <cellStyle name="Heading 1 2 9 2 2 8 7 2 2" xfId="26250"/>
    <cellStyle name="Heading 1 2 9 2 2 8 7 3" xfId="26251"/>
    <cellStyle name="Heading 1 2 9 2 2 8 8" xfId="26252"/>
    <cellStyle name="Heading 1 2 9 2 2 8 8 2" xfId="26253"/>
    <cellStyle name="Heading 1 2 9 2 2 8 9" xfId="26254"/>
    <cellStyle name="Heading 1 2 9 2 2 9" xfId="26255"/>
    <cellStyle name="Heading 1 2 9 2 2 9 2" xfId="26256"/>
    <cellStyle name="Heading 1 2 9 2 2 9 2 2" xfId="26257"/>
    <cellStyle name="Heading 1 2 9 2 2 9 3" xfId="26258"/>
    <cellStyle name="Heading 1 2 9 2 20" xfId="26259"/>
    <cellStyle name="Heading 1 2 9 2 20 2" xfId="26260"/>
    <cellStyle name="Heading 1 2 9 2 21" xfId="26261"/>
    <cellStyle name="Heading 1 2 9 2 21 2" xfId="26262"/>
    <cellStyle name="Heading 1 2 9 2 22" xfId="26263"/>
    <cellStyle name="Heading 1 2 9 2 22 2" xfId="26264"/>
    <cellStyle name="Heading 1 2 9 2 23" xfId="26265"/>
    <cellStyle name="Heading 1 2 9 2 3" xfId="26266"/>
    <cellStyle name="Heading 1 2 9 2 3 2" xfId="26267"/>
    <cellStyle name="Heading 1 2 9 2 3 2 2" xfId="26268"/>
    <cellStyle name="Heading 1 2 9 2 3 2 2 2" xfId="26269"/>
    <cellStyle name="Heading 1 2 9 2 3 2 3" xfId="26270"/>
    <cellStyle name="Heading 1 2 9 2 3 3" xfId="26271"/>
    <cellStyle name="Heading 1 2 9 2 3 3 2" xfId="26272"/>
    <cellStyle name="Heading 1 2 9 2 3 3 2 2" xfId="26273"/>
    <cellStyle name="Heading 1 2 9 2 3 3 3" xfId="26274"/>
    <cellStyle name="Heading 1 2 9 2 3 4" xfId="26275"/>
    <cellStyle name="Heading 1 2 9 2 3 4 2" xfId="26276"/>
    <cellStyle name="Heading 1 2 9 2 3 4 2 2" xfId="26277"/>
    <cellStyle name="Heading 1 2 9 2 3 4 3" xfId="26278"/>
    <cellStyle name="Heading 1 2 9 2 3 5" xfId="26279"/>
    <cellStyle name="Heading 1 2 9 2 3 5 2" xfId="26280"/>
    <cellStyle name="Heading 1 2 9 2 3 5 2 2" xfId="26281"/>
    <cellStyle name="Heading 1 2 9 2 3 5 3" xfId="26282"/>
    <cellStyle name="Heading 1 2 9 2 3 6" xfId="26283"/>
    <cellStyle name="Heading 1 2 9 2 3 6 2" xfId="26284"/>
    <cellStyle name="Heading 1 2 9 2 3 6 2 2" xfId="26285"/>
    <cellStyle name="Heading 1 2 9 2 3 6 3" xfId="26286"/>
    <cellStyle name="Heading 1 2 9 2 3 7" xfId="26287"/>
    <cellStyle name="Heading 1 2 9 2 3 7 2" xfId="26288"/>
    <cellStyle name="Heading 1 2 9 2 3 7 2 2" xfId="26289"/>
    <cellStyle name="Heading 1 2 9 2 3 7 3" xfId="26290"/>
    <cellStyle name="Heading 1 2 9 2 3 8" xfId="26291"/>
    <cellStyle name="Heading 1 2 9 2 3 8 2" xfId="26292"/>
    <cellStyle name="Heading 1 2 9 2 3 9" xfId="26293"/>
    <cellStyle name="Heading 1 2 9 2 4" xfId="26294"/>
    <cellStyle name="Heading 1 2 9 2 4 2" xfId="26295"/>
    <cellStyle name="Heading 1 2 9 2 4 2 2" xfId="26296"/>
    <cellStyle name="Heading 1 2 9 2 4 2 2 2" xfId="26297"/>
    <cellStyle name="Heading 1 2 9 2 4 2 3" xfId="26298"/>
    <cellStyle name="Heading 1 2 9 2 4 3" xfId="26299"/>
    <cellStyle name="Heading 1 2 9 2 4 3 2" xfId="26300"/>
    <cellStyle name="Heading 1 2 9 2 4 3 2 2" xfId="26301"/>
    <cellStyle name="Heading 1 2 9 2 4 3 3" xfId="26302"/>
    <cellStyle name="Heading 1 2 9 2 4 4" xfId="26303"/>
    <cellStyle name="Heading 1 2 9 2 4 4 2" xfId="26304"/>
    <cellStyle name="Heading 1 2 9 2 4 4 2 2" xfId="26305"/>
    <cellStyle name="Heading 1 2 9 2 4 4 3" xfId="26306"/>
    <cellStyle name="Heading 1 2 9 2 4 5" xfId="26307"/>
    <cellStyle name="Heading 1 2 9 2 4 5 2" xfId="26308"/>
    <cellStyle name="Heading 1 2 9 2 4 5 2 2" xfId="26309"/>
    <cellStyle name="Heading 1 2 9 2 4 5 3" xfId="26310"/>
    <cellStyle name="Heading 1 2 9 2 4 6" xfId="26311"/>
    <cellStyle name="Heading 1 2 9 2 4 6 2" xfId="26312"/>
    <cellStyle name="Heading 1 2 9 2 4 6 2 2" xfId="26313"/>
    <cellStyle name="Heading 1 2 9 2 4 6 3" xfId="26314"/>
    <cellStyle name="Heading 1 2 9 2 4 7" xfId="26315"/>
    <cellStyle name="Heading 1 2 9 2 4 7 2" xfId="26316"/>
    <cellStyle name="Heading 1 2 9 2 4 7 2 2" xfId="26317"/>
    <cellStyle name="Heading 1 2 9 2 4 7 3" xfId="26318"/>
    <cellStyle name="Heading 1 2 9 2 4 8" xfId="26319"/>
    <cellStyle name="Heading 1 2 9 2 4 8 2" xfId="26320"/>
    <cellStyle name="Heading 1 2 9 2 4 9" xfId="26321"/>
    <cellStyle name="Heading 1 2 9 2 5" xfId="26322"/>
    <cellStyle name="Heading 1 2 9 2 5 2" xfId="26323"/>
    <cellStyle name="Heading 1 2 9 2 5 2 2" xfId="26324"/>
    <cellStyle name="Heading 1 2 9 2 5 2 2 2" xfId="26325"/>
    <cellStyle name="Heading 1 2 9 2 5 2 3" xfId="26326"/>
    <cellStyle name="Heading 1 2 9 2 5 3" xfId="26327"/>
    <cellStyle name="Heading 1 2 9 2 5 3 2" xfId="26328"/>
    <cellStyle name="Heading 1 2 9 2 5 3 2 2" xfId="26329"/>
    <cellStyle name="Heading 1 2 9 2 5 3 3" xfId="26330"/>
    <cellStyle name="Heading 1 2 9 2 5 4" xfId="26331"/>
    <cellStyle name="Heading 1 2 9 2 5 4 2" xfId="26332"/>
    <cellStyle name="Heading 1 2 9 2 5 4 2 2" xfId="26333"/>
    <cellStyle name="Heading 1 2 9 2 5 4 3" xfId="26334"/>
    <cellStyle name="Heading 1 2 9 2 5 5" xfId="26335"/>
    <cellStyle name="Heading 1 2 9 2 5 5 2" xfId="26336"/>
    <cellStyle name="Heading 1 2 9 2 5 5 2 2" xfId="26337"/>
    <cellStyle name="Heading 1 2 9 2 5 5 3" xfId="26338"/>
    <cellStyle name="Heading 1 2 9 2 5 6" xfId="26339"/>
    <cellStyle name="Heading 1 2 9 2 5 6 2" xfId="26340"/>
    <cellStyle name="Heading 1 2 9 2 5 6 2 2" xfId="26341"/>
    <cellStyle name="Heading 1 2 9 2 5 6 3" xfId="26342"/>
    <cellStyle name="Heading 1 2 9 2 5 7" xfId="26343"/>
    <cellStyle name="Heading 1 2 9 2 5 7 2" xfId="26344"/>
    <cellStyle name="Heading 1 2 9 2 5 7 2 2" xfId="26345"/>
    <cellStyle name="Heading 1 2 9 2 5 7 3" xfId="26346"/>
    <cellStyle name="Heading 1 2 9 2 5 8" xfId="26347"/>
    <cellStyle name="Heading 1 2 9 2 5 8 2" xfId="26348"/>
    <cellStyle name="Heading 1 2 9 2 5 9" xfId="26349"/>
    <cellStyle name="Heading 1 2 9 2 6" xfId="26350"/>
    <cellStyle name="Heading 1 2 9 2 6 2" xfId="26351"/>
    <cellStyle name="Heading 1 2 9 2 6 2 2" xfId="26352"/>
    <cellStyle name="Heading 1 2 9 2 6 2 2 2" xfId="26353"/>
    <cellStyle name="Heading 1 2 9 2 6 2 3" xfId="26354"/>
    <cellStyle name="Heading 1 2 9 2 6 3" xfId="26355"/>
    <cellStyle name="Heading 1 2 9 2 6 3 2" xfId="26356"/>
    <cellStyle name="Heading 1 2 9 2 6 3 2 2" xfId="26357"/>
    <cellStyle name="Heading 1 2 9 2 6 3 3" xfId="26358"/>
    <cellStyle name="Heading 1 2 9 2 6 4" xfId="26359"/>
    <cellStyle name="Heading 1 2 9 2 6 4 2" xfId="26360"/>
    <cellStyle name="Heading 1 2 9 2 6 4 2 2" xfId="26361"/>
    <cellStyle name="Heading 1 2 9 2 6 4 3" xfId="26362"/>
    <cellStyle name="Heading 1 2 9 2 6 5" xfId="26363"/>
    <cellStyle name="Heading 1 2 9 2 6 5 2" xfId="26364"/>
    <cellStyle name="Heading 1 2 9 2 6 5 2 2" xfId="26365"/>
    <cellStyle name="Heading 1 2 9 2 6 5 3" xfId="26366"/>
    <cellStyle name="Heading 1 2 9 2 6 6" xfId="26367"/>
    <cellStyle name="Heading 1 2 9 2 6 6 2" xfId="26368"/>
    <cellStyle name="Heading 1 2 9 2 6 6 2 2" xfId="26369"/>
    <cellStyle name="Heading 1 2 9 2 6 6 3" xfId="26370"/>
    <cellStyle name="Heading 1 2 9 2 6 7" xfId="26371"/>
    <cellStyle name="Heading 1 2 9 2 6 7 2" xfId="26372"/>
    <cellStyle name="Heading 1 2 9 2 6 7 2 2" xfId="26373"/>
    <cellStyle name="Heading 1 2 9 2 6 7 3" xfId="26374"/>
    <cellStyle name="Heading 1 2 9 2 6 8" xfId="26375"/>
    <cellStyle name="Heading 1 2 9 2 6 8 2" xfId="26376"/>
    <cellStyle name="Heading 1 2 9 2 6 9" xfId="26377"/>
    <cellStyle name="Heading 1 2 9 2 7" xfId="26378"/>
    <cellStyle name="Heading 1 2 9 2 7 2" xfId="26379"/>
    <cellStyle name="Heading 1 2 9 2 7 2 2" xfId="26380"/>
    <cellStyle name="Heading 1 2 9 2 7 2 2 2" xfId="26381"/>
    <cellStyle name="Heading 1 2 9 2 7 2 3" xfId="26382"/>
    <cellStyle name="Heading 1 2 9 2 7 3" xfId="26383"/>
    <cellStyle name="Heading 1 2 9 2 7 3 2" xfId="26384"/>
    <cellStyle name="Heading 1 2 9 2 7 3 2 2" xfId="26385"/>
    <cellStyle name="Heading 1 2 9 2 7 3 3" xfId="26386"/>
    <cellStyle name="Heading 1 2 9 2 7 4" xfId="26387"/>
    <cellStyle name="Heading 1 2 9 2 7 4 2" xfId="26388"/>
    <cellStyle name="Heading 1 2 9 2 7 4 2 2" xfId="26389"/>
    <cellStyle name="Heading 1 2 9 2 7 4 3" xfId="26390"/>
    <cellStyle name="Heading 1 2 9 2 7 5" xfId="26391"/>
    <cellStyle name="Heading 1 2 9 2 7 5 2" xfId="26392"/>
    <cellStyle name="Heading 1 2 9 2 7 5 2 2" xfId="26393"/>
    <cellStyle name="Heading 1 2 9 2 7 5 3" xfId="26394"/>
    <cellStyle name="Heading 1 2 9 2 7 6" xfId="26395"/>
    <cellStyle name="Heading 1 2 9 2 7 6 2" xfId="26396"/>
    <cellStyle name="Heading 1 2 9 2 7 6 2 2" xfId="26397"/>
    <cellStyle name="Heading 1 2 9 2 7 6 3" xfId="26398"/>
    <cellStyle name="Heading 1 2 9 2 7 7" xfId="26399"/>
    <cellStyle name="Heading 1 2 9 2 7 7 2" xfId="26400"/>
    <cellStyle name="Heading 1 2 9 2 7 7 2 2" xfId="26401"/>
    <cellStyle name="Heading 1 2 9 2 7 7 3" xfId="26402"/>
    <cellStyle name="Heading 1 2 9 2 7 8" xfId="26403"/>
    <cellStyle name="Heading 1 2 9 2 7 8 2" xfId="26404"/>
    <cellStyle name="Heading 1 2 9 2 7 9" xfId="26405"/>
    <cellStyle name="Heading 1 2 9 2 8" xfId="26406"/>
    <cellStyle name="Heading 1 2 9 2 8 2" xfId="26407"/>
    <cellStyle name="Heading 1 2 9 2 8 2 2" xfId="26408"/>
    <cellStyle name="Heading 1 2 9 2 8 2 2 2" xfId="26409"/>
    <cellStyle name="Heading 1 2 9 2 8 2 3" xfId="26410"/>
    <cellStyle name="Heading 1 2 9 2 8 3" xfId="26411"/>
    <cellStyle name="Heading 1 2 9 2 8 3 2" xfId="26412"/>
    <cellStyle name="Heading 1 2 9 2 8 3 2 2" xfId="26413"/>
    <cellStyle name="Heading 1 2 9 2 8 3 3" xfId="26414"/>
    <cellStyle name="Heading 1 2 9 2 8 4" xfId="26415"/>
    <cellStyle name="Heading 1 2 9 2 8 4 2" xfId="26416"/>
    <cellStyle name="Heading 1 2 9 2 8 4 2 2" xfId="26417"/>
    <cellStyle name="Heading 1 2 9 2 8 4 3" xfId="26418"/>
    <cellStyle name="Heading 1 2 9 2 8 5" xfId="26419"/>
    <cellStyle name="Heading 1 2 9 2 8 5 2" xfId="26420"/>
    <cellStyle name="Heading 1 2 9 2 8 5 2 2" xfId="26421"/>
    <cellStyle name="Heading 1 2 9 2 8 5 3" xfId="26422"/>
    <cellStyle name="Heading 1 2 9 2 8 6" xfId="26423"/>
    <cellStyle name="Heading 1 2 9 2 8 6 2" xfId="26424"/>
    <cellStyle name="Heading 1 2 9 2 8 6 2 2" xfId="26425"/>
    <cellStyle name="Heading 1 2 9 2 8 6 3" xfId="26426"/>
    <cellStyle name="Heading 1 2 9 2 8 7" xfId="26427"/>
    <cellStyle name="Heading 1 2 9 2 8 7 2" xfId="26428"/>
    <cellStyle name="Heading 1 2 9 2 8 7 2 2" xfId="26429"/>
    <cellStyle name="Heading 1 2 9 2 8 7 3" xfId="26430"/>
    <cellStyle name="Heading 1 2 9 2 8 8" xfId="26431"/>
    <cellStyle name="Heading 1 2 9 2 8 8 2" xfId="26432"/>
    <cellStyle name="Heading 1 2 9 2 8 9" xfId="26433"/>
    <cellStyle name="Heading 1 2 9 2 9" xfId="26434"/>
    <cellStyle name="Heading 1 2 9 2 9 2" xfId="26435"/>
    <cellStyle name="Heading 1 2 9 2 9 2 2" xfId="26436"/>
    <cellStyle name="Heading 1 2 9 2 9 2 2 2" xfId="26437"/>
    <cellStyle name="Heading 1 2 9 2 9 2 3" xfId="26438"/>
    <cellStyle name="Heading 1 2 9 2 9 3" xfId="26439"/>
    <cellStyle name="Heading 1 2 9 2 9 3 2" xfId="26440"/>
    <cellStyle name="Heading 1 2 9 2 9 3 2 2" xfId="26441"/>
    <cellStyle name="Heading 1 2 9 2 9 3 3" xfId="26442"/>
    <cellStyle name="Heading 1 2 9 2 9 4" xfId="26443"/>
    <cellStyle name="Heading 1 2 9 2 9 4 2" xfId="26444"/>
    <cellStyle name="Heading 1 2 9 2 9 4 2 2" xfId="26445"/>
    <cellStyle name="Heading 1 2 9 2 9 4 3" xfId="26446"/>
    <cellStyle name="Heading 1 2 9 2 9 5" xfId="26447"/>
    <cellStyle name="Heading 1 2 9 2 9 5 2" xfId="26448"/>
    <cellStyle name="Heading 1 2 9 2 9 5 2 2" xfId="26449"/>
    <cellStyle name="Heading 1 2 9 2 9 5 3" xfId="26450"/>
    <cellStyle name="Heading 1 2 9 2 9 6" xfId="26451"/>
    <cellStyle name="Heading 1 2 9 2 9 6 2" xfId="26452"/>
    <cellStyle name="Heading 1 2 9 2 9 6 2 2" xfId="26453"/>
    <cellStyle name="Heading 1 2 9 2 9 6 3" xfId="26454"/>
    <cellStyle name="Heading 1 2 9 2 9 7" xfId="26455"/>
    <cellStyle name="Heading 1 2 9 2 9 7 2" xfId="26456"/>
    <cellStyle name="Heading 1 2 9 2 9 7 2 2" xfId="26457"/>
    <cellStyle name="Heading 1 2 9 2 9 7 3" xfId="26458"/>
    <cellStyle name="Heading 1 2 9 2 9 8" xfId="26459"/>
    <cellStyle name="Heading 1 2 9 2 9 8 2" xfId="26460"/>
    <cellStyle name="Heading 1 2 9 2 9 9" xfId="26461"/>
    <cellStyle name="Heading 1 2 9 3" xfId="26462"/>
    <cellStyle name="Heading 1 2 9 3 10" xfId="26463"/>
    <cellStyle name="Heading 1 2 9 3 10 2" xfId="26464"/>
    <cellStyle name="Heading 1 2 9 3 10 2 2" xfId="26465"/>
    <cellStyle name="Heading 1 2 9 3 10 3" xfId="26466"/>
    <cellStyle name="Heading 1 2 9 3 11" xfId="26467"/>
    <cellStyle name="Heading 1 2 9 3 11 2" xfId="26468"/>
    <cellStyle name="Heading 1 2 9 3 11 2 2" xfId="26469"/>
    <cellStyle name="Heading 1 2 9 3 11 3" xfId="26470"/>
    <cellStyle name="Heading 1 2 9 3 12" xfId="26471"/>
    <cellStyle name="Heading 1 2 9 3 12 2" xfId="26472"/>
    <cellStyle name="Heading 1 2 9 3 12 2 2" xfId="26473"/>
    <cellStyle name="Heading 1 2 9 3 12 3" xfId="26474"/>
    <cellStyle name="Heading 1 2 9 3 13" xfId="26475"/>
    <cellStyle name="Heading 1 2 9 3 13 2" xfId="26476"/>
    <cellStyle name="Heading 1 2 9 3 13 2 2" xfId="26477"/>
    <cellStyle name="Heading 1 2 9 3 13 3" xfId="26478"/>
    <cellStyle name="Heading 1 2 9 3 14" xfId="26479"/>
    <cellStyle name="Heading 1 2 9 3 14 2" xfId="26480"/>
    <cellStyle name="Heading 1 2 9 3 14 2 2" xfId="26481"/>
    <cellStyle name="Heading 1 2 9 3 14 3" xfId="26482"/>
    <cellStyle name="Heading 1 2 9 3 15" xfId="26483"/>
    <cellStyle name="Heading 1 2 9 3 15 2" xfId="26484"/>
    <cellStyle name="Heading 1 2 9 3 15 2 2" xfId="26485"/>
    <cellStyle name="Heading 1 2 9 3 15 3" xfId="26486"/>
    <cellStyle name="Heading 1 2 9 3 16" xfId="26487"/>
    <cellStyle name="Heading 1 2 9 3 16 2" xfId="26488"/>
    <cellStyle name="Heading 1 2 9 3 16 2 2" xfId="26489"/>
    <cellStyle name="Heading 1 2 9 3 16 3" xfId="26490"/>
    <cellStyle name="Heading 1 2 9 3 17" xfId="26491"/>
    <cellStyle name="Heading 1 2 9 3 17 2" xfId="26492"/>
    <cellStyle name="Heading 1 2 9 3 17 2 2" xfId="26493"/>
    <cellStyle name="Heading 1 2 9 3 17 3" xfId="26494"/>
    <cellStyle name="Heading 1 2 9 3 18" xfId="26495"/>
    <cellStyle name="Heading 1 2 9 3 18 2" xfId="26496"/>
    <cellStyle name="Heading 1 2 9 3 18 2 2" xfId="26497"/>
    <cellStyle name="Heading 1 2 9 3 18 3" xfId="26498"/>
    <cellStyle name="Heading 1 2 9 3 19" xfId="26499"/>
    <cellStyle name="Heading 1 2 9 3 19 2" xfId="26500"/>
    <cellStyle name="Heading 1 2 9 3 2" xfId="26501"/>
    <cellStyle name="Heading 1 2 9 3 2 2" xfId="26502"/>
    <cellStyle name="Heading 1 2 9 3 2 2 2" xfId="26503"/>
    <cellStyle name="Heading 1 2 9 3 2 2 2 2" xfId="26504"/>
    <cellStyle name="Heading 1 2 9 3 2 2 3" xfId="26505"/>
    <cellStyle name="Heading 1 2 9 3 2 3" xfId="26506"/>
    <cellStyle name="Heading 1 2 9 3 2 3 2" xfId="26507"/>
    <cellStyle name="Heading 1 2 9 3 2 3 2 2" xfId="26508"/>
    <cellStyle name="Heading 1 2 9 3 2 3 3" xfId="26509"/>
    <cellStyle name="Heading 1 2 9 3 2 4" xfId="26510"/>
    <cellStyle name="Heading 1 2 9 3 2 4 2" xfId="26511"/>
    <cellStyle name="Heading 1 2 9 3 2 4 2 2" xfId="26512"/>
    <cellStyle name="Heading 1 2 9 3 2 4 3" xfId="26513"/>
    <cellStyle name="Heading 1 2 9 3 2 5" xfId="26514"/>
    <cellStyle name="Heading 1 2 9 3 2 5 2" xfId="26515"/>
    <cellStyle name="Heading 1 2 9 3 2 5 2 2" xfId="26516"/>
    <cellStyle name="Heading 1 2 9 3 2 5 3" xfId="26517"/>
    <cellStyle name="Heading 1 2 9 3 2 6" xfId="26518"/>
    <cellStyle name="Heading 1 2 9 3 2 6 2" xfId="26519"/>
    <cellStyle name="Heading 1 2 9 3 2 6 2 2" xfId="26520"/>
    <cellStyle name="Heading 1 2 9 3 2 6 3" xfId="26521"/>
    <cellStyle name="Heading 1 2 9 3 2 7" xfId="26522"/>
    <cellStyle name="Heading 1 2 9 3 2 7 2" xfId="26523"/>
    <cellStyle name="Heading 1 2 9 3 2 7 2 2" xfId="26524"/>
    <cellStyle name="Heading 1 2 9 3 2 7 3" xfId="26525"/>
    <cellStyle name="Heading 1 2 9 3 2 8" xfId="26526"/>
    <cellStyle name="Heading 1 2 9 3 2 8 2" xfId="26527"/>
    <cellStyle name="Heading 1 2 9 3 2 9" xfId="26528"/>
    <cellStyle name="Heading 1 2 9 3 20" xfId="26529"/>
    <cellStyle name="Heading 1 2 9 3 20 2" xfId="26530"/>
    <cellStyle name="Heading 1 2 9 3 21" xfId="26531"/>
    <cellStyle name="Heading 1 2 9 3 21 2" xfId="26532"/>
    <cellStyle name="Heading 1 2 9 3 22" xfId="26533"/>
    <cellStyle name="Heading 1 2 9 3 3" xfId="26534"/>
    <cellStyle name="Heading 1 2 9 3 3 2" xfId="26535"/>
    <cellStyle name="Heading 1 2 9 3 3 2 2" xfId="26536"/>
    <cellStyle name="Heading 1 2 9 3 3 2 2 2" xfId="26537"/>
    <cellStyle name="Heading 1 2 9 3 3 2 3" xfId="26538"/>
    <cellStyle name="Heading 1 2 9 3 3 3" xfId="26539"/>
    <cellStyle name="Heading 1 2 9 3 3 3 2" xfId="26540"/>
    <cellStyle name="Heading 1 2 9 3 3 3 2 2" xfId="26541"/>
    <cellStyle name="Heading 1 2 9 3 3 3 3" xfId="26542"/>
    <cellStyle name="Heading 1 2 9 3 3 4" xfId="26543"/>
    <cellStyle name="Heading 1 2 9 3 3 4 2" xfId="26544"/>
    <cellStyle name="Heading 1 2 9 3 3 4 2 2" xfId="26545"/>
    <cellStyle name="Heading 1 2 9 3 3 4 3" xfId="26546"/>
    <cellStyle name="Heading 1 2 9 3 3 5" xfId="26547"/>
    <cellStyle name="Heading 1 2 9 3 3 5 2" xfId="26548"/>
    <cellStyle name="Heading 1 2 9 3 3 5 2 2" xfId="26549"/>
    <cellStyle name="Heading 1 2 9 3 3 5 3" xfId="26550"/>
    <cellStyle name="Heading 1 2 9 3 3 6" xfId="26551"/>
    <cellStyle name="Heading 1 2 9 3 3 6 2" xfId="26552"/>
    <cellStyle name="Heading 1 2 9 3 3 6 2 2" xfId="26553"/>
    <cellStyle name="Heading 1 2 9 3 3 6 3" xfId="26554"/>
    <cellStyle name="Heading 1 2 9 3 3 7" xfId="26555"/>
    <cellStyle name="Heading 1 2 9 3 3 7 2" xfId="26556"/>
    <cellStyle name="Heading 1 2 9 3 3 7 2 2" xfId="26557"/>
    <cellStyle name="Heading 1 2 9 3 3 7 3" xfId="26558"/>
    <cellStyle name="Heading 1 2 9 3 3 8" xfId="26559"/>
    <cellStyle name="Heading 1 2 9 3 3 8 2" xfId="26560"/>
    <cellStyle name="Heading 1 2 9 3 3 9" xfId="26561"/>
    <cellStyle name="Heading 1 2 9 3 4" xfId="26562"/>
    <cellStyle name="Heading 1 2 9 3 4 2" xfId="26563"/>
    <cellStyle name="Heading 1 2 9 3 4 2 2" xfId="26564"/>
    <cellStyle name="Heading 1 2 9 3 4 2 2 2" xfId="26565"/>
    <cellStyle name="Heading 1 2 9 3 4 2 3" xfId="26566"/>
    <cellStyle name="Heading 1 2 9 3 4 3" xfId="26567"/>
    <cellStyle name="Heading 1 2 9 3 4 3 2" xfId="26568"/>
    <cellStyle name="Heading 1 2 9 3 4 3 2 2" xfId="26569"/>
    <cellStyle name="Heading 1 2 9 3 4 3 3" xfId="26570"/>
    <cellStyle name="Heading 1 2 9 3 4 4" xfId="26571"/>
    <cellStyle name="Heading 1 2 9 3 4 4 2" xfId="26572"/>
    <cellStyle name="Heading 1 2 9 3 4 4 2 2" xfId="26573"/>
    <cellStyle name="Heading 1 2 9 3 4 4 3" xfId="26574"/>
    <cellStyle name="Heading 1 2 9 3 4 5" xfId="26575"/>
    <cellStyle name="Heading 1 2 9 3 4 5 2" xfId="26576"/>
    <cellStyle name="Heading 1 2 9 3 4 5 2 2" xfId="26577"/>
    <cellStyle name="Heading 1 2 9 3 4 5 3" xfId="26578"/>
    <cellStyle name="Heading 1 2 9 3 4 6" xfId="26579"/>
    <cellStyle name="Heading 1 2 9 3 4 6 2" xfId="26580"/>
    <cellStyle name="Heading 1 2 9 3 4 6 2 2" xfId="26581"/>
    <cellStyle name="Heading 1 2 9 3 4 6 3" xfId="26582"/>
    <cellStyle name="Heading 1 2 9 3 4 7" xfId="26583"/>
    <cellStyle name="Heading 1 2 9 3 4 7 2" xfId="26584"/>
    <cellStyle name="Heading 1 2 9 3 4 7 2 2" xfId="26585"/>
    <cellStyle name="Heading 1 2 9 3 4 7 3" xfId="26586"/>
    <cellStyle name="Heading 1 2 9 3 4 8" xfId="26587"/>
    <cellStyle name="Heading 1 2 9 3 4 8 2" xfId="26588"/>
    <cellStyle name="Heading 1 2 9 3 4 9" xfId="26589"/>
    <cellStyle name="Heading 1 2 9 3 5" xfId="26590"/>
    <cellStyle name="Heading 1 2 9 3 5 2" xfId="26591"/>
    <cellStyle name="Heading 1 2 9 3 5 2 2" xfId="26592"/>
    <cellStyle name="Heading 1 2 9 3 5 2 2 2" xfId="26593"/>
    <cellStyle name="Heading 1 2 9 3 5 2 3" xfId="26594"/>
    <cellStyle name="Heading 1 2 9 3 5 3" xfId="26595"/>
    <cellStyle name="Heading 1 2 9 3 5 3 2" xfId="26596"/>
    <cellStyle name="Heading 1 2 9 3 5 3 2 2" xfId="26597"/>
    <cellStyle name="Heading 1 2 9 3 5 3 3" xfId="26598"/>
    <cellStyle name="Heading 1 2 9 3 5 4" xfId="26599"/>
    <cellStyle name="Heading 1 2 9 3 5 4 2" xfId="26600"/>
    <cellStyle name="Heading 1 2 9 3 5 4 2 2" xfId="26601"/>
    <cellStyle name="Heading 1 2 9 3 5 4 3" xfId="26602"/>
    <cellStyle name="Heading 1 2 9 3 5 5" xfId="26603"/>
    <cellStyle name="Heading 1 2 9 3 5 5 2" xfId="26604"/>
    <cellStyle name="Heading 1 2 9 3 5 5 2 2" xfId="26605"/>
    <cellStyle name="Heading 1 2 9 3 5 5 3" xfId="26606"/>
    <cellStyle name="Heading 1 2 9 3 5 6" xfId="26607"/>
    <cellStyle name="Heading 1 2 9 3 5 6 2" xfId="26608"/>
    <cellStyle name="Heading 1 2 9 3 5 6 2 2" xfId="26609"/>
    <cellStyle name="Heading 1 2 9 3 5 6 3" xfId="26610"/>
    <cellStyle name="Heading 1 2 9 3 5 7" xfId="26611"/>
    <cellStyle name="Heading 1 2 9 3 5 7 2" xfId="26612"/>
    <cellStyle name="Heading 1 2 9 3 5 7 2 2" xfId="26613"/>
    <cellStyle name="Heading 1 2 9 3 5 7 3" xfId="26614"/>
    <cellStyle name="Heading 1 2 9 3 5 8" xfId="26615"/>
    <cellStyle name="Heading 1 2 9 3 5 8 2" xfId="26616"/>
    <cellStyle name="Heading 1 2 9 3 5 9" xfId="26617"/>
    <cellStyle name="Heading 1 2 9 3 6" xfId="26618"/>
    <cellStyle name="Heading 1 2 9 3 6 2" xfId="26619"/>
    <cellStyle name="Heading 1 2 9 3 6 2 2" xfId="26620"/>
    <cellStyle name="Heading 1 2 9 3 6 2 2 2" xfId="26621"/>
    <cellStyle name="Heading 1 2 9 3 6 2 3" xfId="26622"/>
    <cellStyle name="Heading 1 2 9 3 6 3" xfId="26623"/>
    <cellStyle name="Heading 1 2 9 3 6 3 2" xfId="26624"/>
    <cellStyle name="Heading 1 2 9 3 6 3 2 2" xfId="26625"/>
    <cellStyle name="Heading 1 2 9 3 6 3 3" xfId="26626"/>
    <cellStyle name="Heading 1 2 9 3 6 4" xfId="26627"/>
    <cellStyle name="Heading 1 2 9 3 6 4 2" xfId="26628"/>
    <cellStyle name="Heading 1 2 9 3 6 4 2 2" xfId="26629"/>
    <cellStyle name="Heading 1 2 9 3 6 4 3" xfId="26630"/>
    <cellStyle name="Heading 1 2 9 3 6 5" xfId="26631"/>
    <cellStyle name="Heading 1 2 9 3 6 5 2" xfId="26632"/>
    <cellStyle name="Heading 1 2 9 3 6 5 2 2" xfId="26633"/>
    <cellStyle name="Heading 1 2 9 3 6 5 3" xfId="26634"/>
    <cellStyle name="Heading 1 2 9 3 6 6" xfId="26635"/>
    <cellStyle name="Heading 1 2 9 3 6 6 2" xfId="26636"/>
    <cellStyle name="Heading 1 2 9 3 6 6 2 2" xfId="26637"/>
    <cellStyle name="Heading 1 2 9 3 6 6 3" xfId="26638"/>
    <cellStyle name="Heading 1 2 9 3 6 7" xfId="26639"/>
    <cellStyle name="Heading 1 2 9 3 6 7 2" xfId="26640"/>
    <cellStyle name="Heading 1 2 9 3 6 7 2 2" xfId="26641"/>
    <cellStyle name="Heading 1 2 9 3 6 7 3" xfId="26642"/>
    <cellStyle name="Heading 1 2 9 3 6 8" xfId="26643"/>
    <cellStyle name="Heading 1 2 9 3 6 8 2" xfId="26644"/>
    <cellStyle name="Heading 1 2 9 3 6 9" xfId="26645"/>
    <cellStyle name="Heading 1 2 9 3 7" xfId="26646"/>
    <cellStyle name="Heading 1 2 9 3 7 2" xfId="26647"/>
    <cellStyle name="Heading 1 2 9 3 7 2 2" xfId="26648"/>
    <cellStyle name="Heading 1 2 9 3 7 2 2 2" xfId="26649"/>
    <cellStyle name="Heading 1 2 9 3 7 2 3" xfId="26650"/>
    <cellStyle name="Heading 1 2 9 3 7 3" xfId="26651"/>
    <cellStyle name="Heading 1 2 9 3 7 3 2" xfId="26652"/>
    <cellStyle name="Heading 1 2 9 3 7 3 2 2" xfId="26653"/>
    <cellStyle name="Heading 1 2 9 3 7 3 3" xfId="26654"/>
    <cellStyle name="Heading 1 2 9 3 7 4" xfId="26655"/>
    <cellStyle name="Heading 1 2 9 3 7 4 2" xfId="26656"/>
    <cellStyle name="Heading 1 2 9 3 7 4 2 2" xfId="26657"/>
    <cellStyle name="Heading 1 2 9 3 7 4 3" xfId="26658"/>
    <cellStyle name="Heading 1 2 9 3 7 5" xfId="26659"/>
    <cellStyle name="Heading 1 2 9 3 7 5 2" xfId="26660"/>
    <cellStyle name="Heading 1 2 9 3 7 5 2 2" xfId="26661"/>
    <cellStyle name="Heading 1 2 9 3 7 5 3" xfId="26662"/>
    <cellStyle name="Heading 1 2 9 3 7 6" xfId="26663"/>
    <cellStyle name="Heading 1 2 9 3 7 6 2" xfId="26664"/>
    <cellStyle name="Heading 1 2 9 3 7 6 2 2" xfId="26665"/>
    <cellStyle name="Heading 1 2 9 3 7 6 3" xfId="26666"/>
    <cellStyle name="Heading 1 2 9 3 7 7" xfId="26667"/>
    <cellStyle name="Heading 1 2 9 3 7 7 2" xfId="26668"/>
    <cellStyle name="Heading 1 2 9 3 7 7 2 2" xfId="26669"/>
    <cellStyle name="Heading 1 2 9 3 7 7 3" xfId="26670"/>
    <cellStyle name="Heading 1 2 9 3 7 8" xfId="26671"/>
    <cellStyle name="Heading 1 2 9 3 7 8 2" xfId="26672"/>
    <cellStyle name="Heading 1 2 9 3 7 9" xfId="26673"/>
    <cellStyle name="Heading 1 2 9 3 8" xfId="26674"/>
    <cellStyle name="Heading 1 2 9 3 8 2" xfId="26675"/>
    <cellStyle name="Heading 1 2 9 3 8 2 2" xfId="26676"/>
    <cellStyle name="Heading 1 2 9 3 8 2 2 2" xfId="26677"/>
    <cellStyle name="Heading 1 2 9 3 8 2 3" xfId="26678"/>
    <cellStyle name="Heading 1 2 9 3 8 3" xfId="26679"/>
    <cellStyle name="Heading 1 2 9 3 8 3 2" xfId="26680"/>
    <cellStyle name="Heading 1 2 9 3 8 3 2 2" xfId="26681"/>
    <cellStyle name="Heading 1 2 9 3 8 3 3" xfId="26682"/>
    <cellStyle name="Heading 1 2 9 3 8 4" xfId="26683"/>
    <cellStyle name="Heading 1 2 9 3 8 4 2" xfId="26684"/>
    <cellStyle name="Heading 1 2 9 3 8 4 2 2" xfId="26685"/>
    <cellStyle name="Heading 1 2 9 3 8 4 3" xfId="26686"/>
    <cellStyle name="Heading 1 2 9 3 8 5" xfId="26687"/>
    <cellStyle name="Heading 1 2 9 3 8 5 2" xfId="26688"/>
    <cellStyle name="Heading 1 2 9 3 8 5 2 2" xfId="26689"/>
    <cellStyle name="Heading 1 2 9 3 8 5 3" xfId="26690"/>
    <cellStyle name="Heading 1 2 9 3 8 6" xfId="26691"/>
    <cellStyle name="Heading 1 2 9 3 8 6 2" xfId="26692"/>
    <cellStyle name="Heading 1 2 9 3 8 6 2 2" xfId="26693"/>
    <cellStyle name="Heading 1 2 9 3 8 6 3" xfId="26694"/>
    <cellStyle name="Heading 1 2 9 3 8 7" xfId="26695"/>
    <cellStyle name="Heading 1 2 9 3 8 7 2" xfId="26696"/>
    <cellStyle name="Heading 1 2 9 3 8 7 2 2" xfId="26697"/>
    <cellStyle name="Heading 1 2 9 3 8 7 3" xfId="26698"/>
    <cellStyle name="Heading 1 2 9 3 8 8" xfId="26699"/>
    <cellStyle name="Heading 1 2 9 3 8 8 2" xfId="26700"/>
    <cellStyle name="Heading 1 2 9 3 8 9" xfId="26701"/>
    <cellStyle name="Heading 1 2 9 3 9" xfId="26702"/>
    <cellStyle name="Heading 1 2 9 3 9 2" xfId="26703"/>
    <cellStyle name="Heading 1 2 9 3 9 2 2" xfId="26704"/>
    <cellStyle name="Heading 1 2 9 3 9 3" xfId="26705"/>
    <cellStyle name="Heading 1 2 9 4" xfId="26706"/>
    <cellStyle name="Heading 1 2 9 4 2" xfId="26707"/>
    <cellStyle name="Heading 1 2 9 4 2 2" xfId="26708"/>
    <cellStyle name="Heading 1 2 9 4 3" xfId="26709"/>
    <cellStyle name="Heading 1 2 9 5" xfId="26710"/>
    <cellStyle name="Heading 1 2 9 5 2" xfId="26711"/>
    <cellStyle name="Heading 1 2 9 6" xfId="26712"/>
    <cellStyle name="Heading 1 3" xfId="26713"/>
    <cellStyle name="Heading 1 3 2" xfId="26714"/>
    <cellStyle name="Heading 1 3 2 10" xfId="26715"/>
    <cellStyle name="Heading 1 3 2 10 2" xfId="26716"/>
    <cellStyle name="Heading 1 3 2 10 2 2" xfId="26717"/>
    <cellStyle name="Heading 1 3 2 10 3" xfId="26718"/>
    <cellStyle name="Heading 1 3 2 11" xfId="26719"/>
    <cellStyle name="Heading 1 3 2 11 2" xfId="26720"/>
    <cellStyle name="Heading 1 3 2 11 2 2" xfId="26721"/>
    <cellStyle name="Heading 1 3 2 11 3" xfId="26722"/>
    <cellStyle name="Heading 1 3 2 12" xfId="26723"/>
    <cellStyle name="Heading 1 3 2 12 2" xfId="26724"/>
    <cellStyle name="Heading 1 3 2 12 2 2" xfId="26725"/>
    <cellStyle name="Heading 1 3 2 12 3" xfId="26726"/>
    <cellStyle name="Heading 1 3 2 13" xfId="26727"/>
    <cellStyle name="Heading 1 3 2 13 2" xfId="26728"/>
    <cellStyle name="Heading 1 3 2 13 2 2" xfId="26729"/>
    <cellStyle name="Heading 1 3 2 13 3" xfId="26730"/>
    <cellStyle name="Heading 1 3 2 14" xfId="26731"/>
    <cellStyle name="Heading 1 3 2 14 2" xfId="26732"/>
    <cellStyle name="Heading 1 3 2 14 2 2" xfId="26733"/>
    <cellStyle name="Heading 1 3 2 14 3" xfId="26734"/>
    <cellStyle name="Heading 1 3 2 15" xfId="26735"/>
    <cellStyle name="Heading 1 3 2 15 2" xfId="26736"/>
    <cellStyle name="Heading 1 3 2 15 2 2" xfId="26737"/>
    <cellStyle name="Heading 1 3 2 15 3" xfId="26738"/>
    <cellStyle name="Heading 1 3 2 16" xfId="26739"/>
    <cellStyle name="Heading 1 3 2 16 2" xfId="26740"/>
    <cellStyle name="Heading 1 3 2 16 2 2" xfId="26741"/>
    <cellStyle name="Heading 1 3 2 16 3" xfId="26742"/>
    <cellStyle name="Heading 1 3 2 17" xfId="26743"/>
    <cellStyle name="Heading 1 3 2 17 2" xfId="26744"/>
    <cellStyle name="Heading 1 3 2 17 2 2" xfId="26745"/>
    <cellStyle name="Heading 1 3 2 17 3" xfId="26746"/>
    <cellStyle name="Heading 1 3 2 18" xfId="26747"/>
    <cellStyle name="Heading 1 3 2 18 2" xfId="26748"/>
    <cellStyle name="Heading 1 3 2 18 2 2" xfId="26749"/>
    <cellStyle name="Heading 1 3 2 18 3" xfId="26750"/>
    <cellStyle name="Heading 1 3 2 19" xfId="26751"/>
    <cellStyle name="Heading 1 3 2 19 2" xfId="26752"/>
    <cellStyle name="Heading 1 3 2 19 2 2" xfId="26753"/>
    <cellStyle name="Heading 1 3 2 19 3" xfId="26754"/>
    <cellStyle name="Heading 1 3 2 2" xfId="26755"/>
    <cellStyle name="Heading 1 3 2 2 10" xfId="26756"/>
    <cellStyle name="Heading 1 3 2 2 10 2" xfId="26757"/>
    <cellStyle name="Heading 1 3 2 2 10 2 2" xfId="26758"/>
    <cellStyle name="Heading 1 3 2 2 10 3" xfId="26759"/>
    <cellStyle name="Heading 1 3 2 2 11" xfId="26760"/>
    <cellStyle name="Heading 1 3 2 2 11 2" xfId="26761"/>
    <cellStyle name="Heading 1 3 2 2 11 2 2" xfId="26762"/>
    <cellStyle name="Heading 1 3 2 2 11 3" xfId="26763"/>
    <cellStyle name="Heading 1 3 2 2 12" xfId="26764"/>
    <cellStyle name="Heading 1 3 2 2 12 2" xfId="26765"/>
    <cellStyle name="Heading 1 3 2 2 12 2 2" xfId="26766"/>
    <cellStyle name="Heading 1 3 2 2 12 3" xfId="26767"/>
    <cellStyle name="Heading 1 3 2 2 13" xfId="26768"/>
    <cellStyle name="Heading 1 3 2 2 13 2" xfId="26769"/>
    <cellStyle name="Heading 1 3 2 2 13 2 2" xfId="26770"/>
    <cellStyle name="Heading 1 3 2 2 13 3" xfId="26771"/>
    <cellStyle name="Heading 1 3 2 2 14" xfId="26772"/>
    <cellStyle name="Heading 1 3 2 2 14 2" xfId="26773"/>
    <cellStyle name="Heading 1 3 2 2 14 2 2" xfId="26774"/>
    <cellStyle name="Heading 1 3 2 2 14 3" xfId="26775"/>
    <cellStyle name="Heading 1 3 2 2 15" xfId="26776"/>
    <cellStyle name="Heading 1 3 2 2 15 2" xfId="26777"/>
    <cellStyle name="Heading 1 3 2 2 15 2 2" xfId="26778"/>
    <cellStyle name="Heading 1 3 2 2 15 3" xfId="26779"/>
    <cellStyle name="Heading 1 3 2 2 16" xfId="26780"/>
    <cellStyle name="Heading 1 3 2 2 16 2" xfId="26781"/>
    <cellStyle name="Heading 1 3 2 2 16 2 2" xfId="26782"/>
    <cellStyle name="Heading 1 3 2 2 16 3" xfId="26783"/>
    <cellStyle name="Heading 1 3 2 2 17" xfId="26784"/>
    <cellStyle name="Heading 1 3 2 2 17 2" xfId="26785"/>
    <cellStyle name="Heading 1 3 2 2 17 2 2" xfId="26786"/>
    <cellStyle name="Heading 1 3 2 2 17 3" xfId="26787"/>
    <cellStyle name="Heading 1 3 2 2 18" xfId="26788"/>
    <cellStyle name="Heading 1 3 2 2 18 2" xfId="26789"/>
    <cellStyle name="Heading 1 3 2 2 18 2 2" xfId="26790"/>
    <cellStyle name="Heading 1 3 2 2 18 3" xfId="26791"/>
    <cellStyle name="Heading 1 3 2 2 19" xfId="26792"/>
    <cellStyle name="Heading 1 3 2 2 19 2" xfId="26793"/>
    <cellStyle name="Heading 1 3 2 2 2" xfId="26794"/>
    <cellStyle name="Heading 1 3 2 2 2 2" xfId="26795"/>
    <cellStyle name="Heading 1 3 2 2 2 2 2" xfId="26796"/>
    <cellStyle name="Heading 1 3 2 2 2 2 2 2" xfId="26797"/>
    <cellStyle name="Heading 1 3 2 2 2 2 3" xfId="26798"/>
    <cellStyle name="Heading 1 3 2 2 2 3" xfId="26799"/>
    <cellStyle name="Heading 1 3 2 2 2 3 2" xfId="26800"/>
    <cellStyle name="Heading 1 3 2 2 2 3 2 2" xfId="26801"/>
    <cellStyle name="Heading 1 3 2 2 2 3 3" xfId="26802"/>
    <cellStyle name="Heading 1 3 2 2 2 4" xfId="26803"/>
    <cellStyle name="Heading 1 3 2 2 2 4 2" xfId="26804"/>
    <cellStyle name="Heading 1 3 2 2 2 4 2 2" xfId="26805"/>
    <cellStyle name="Heading 1 3 2 2 2 4 3" xfId="26806"/>
    <cellStyle name="Heading 1 3 2 2 2 5" xfId="26807"/>
    <cellStyle name="Heading 1 3 2 2 2 5 2" xfId="26808"/>
    <cellStyle name="Heading 1 3 2 2 2 5 2 2" xfId="26809"/>
    <cellStyle name="Heading 1 3 2 2 2 5 3" xfId="26810"/>
    <cellStyle name="Heading 1 3 2 2 2 6" xfId="26811"/>
    <cellStyle name="Heading 1 3 2 2 2 6 2" xfId="26812"/>
    <cellStyle name="Heading 1 3 2 2 2 6 2 2" xfId="26813"/>
    <cellStyle name="Heading 1 3 2 2 2 6 3" xfId="26814"/>
    <cellStyle name="Heading 1 3 2 2 2 7" xfId="26815"/>
    <cellStyle name="Heading 1 3 2 2 2 7 2" xfId="26816"/>
    <cellStyle name="Heading 1 3 2 2 2 7 2 2" xfId="26817"/>
    <cellStyle name="Heading 1 3 2 2 2 7 3" xfId="26818"/>
    <cellStyle name="Heading 1 3 2 2 2 8" xfId="26819"/>
    <cellStyle name="Heading 1 3 2 2 2 8 2" xfId="26820"/>
    <cellStyle name="Heading 1 3 2 2 2 9" xfId="26821"/>
    <cellStyle name="Heading 1 3 2 2 20" xfId="26822"/>
    <cellStyle name="Heading 1 3 2 2 20 2" xfId="26823"/>
    <cellStyle name="Heading 1 3 2 2 21" xfId="26824"/>
    <cellStyle name="Heading 1 3 2 2 21 2" xfId="26825"/>
    <cellStyle name="Heading 1 3 2 2 22" xfId="26826"/>
    <cellStyle name="Heading 1 3 2 2 3" xfId="26827"/>
    <cellStyle name="Heading 1 3 2 2 3 2" xfId="26828"/>
    <cellStyle name="Heading 1 3 2 2 3 2 2" xfId="26829"/>
    <cellStyle name="Heading 1 3 2 2 3 2 2 2" xfId="26830"/>
    <cellStyle name="Heading 1 3 2 2 3 2 3" xfId="26831"/>
    <cellStyle name="Heading 1 3 2 2 3 3" xfId="26832"/>
    <cellStyle name="Heading 1 3 2 2 3 3 2" xfId="26833"/>
    <cellStyle name="Heading 1 3 2 2 3 3 2 2" xfId="26834"/>
    <cellStyle name="Heading 1 3 2 2 3 3 3" xfId="26835"/>
    <cellStyle name="Heading 1 3 2 2 3 4" xfId="26836"/>
    <cellStyle name="Heading 1 3 2 2 3 4 2" xfId="26837"/>
    <cellStyle name="Heading 1 3 2 2 3 4 2 2" xfId="26838"/>
    <cellStyle name="Heading 1 3 2 2 3 4 3" xfId="26839"/>
    <cellStyle name="Heading 1 3 2 2 3 5" xfId="26840"/>
    <cellStyle name="Heading 1 3 2 2 3 5 2" xfId="26841"/>
    <cellStyle name="Heading 1 3 2 2 3 5 2 2" xfId="26842"/>
    <cellStyle name="Heading 1 3 2 2 3 5 3" xfId="26843"/>
    <cellStyle name="Heading 1 3 2 2 3 6" xfId="26844"/>
    <cellStyle name="Heading 1 3 2 2 3 6 2" xfId="26845"/>
    <cellStyle name="Heading 1 3 2 2 3 6 2 2" xfId="26846"/>
    <cellStyle name="Heading 1 3 2 2 3 6 3" xfId="26847"/>
    <cellStyle name="Heading 1 3 2 2 3 7" xfId="26848"/>
    <cellStyle name="Heading 1 3 2 2 3 7 2" xfId="26849"/>
    <cellStyle name="Heading 1 3 2 2 3 7 2 2" xfId="26850"/>
    <cellStyle name="Heading 1 3 2 2 3 7 3" xfId="26851"/>
    <cellStyle name="Heading 1 3 2 2 3 8" xfId="26852"/>
    <cellStyle name="Heading 1 3 2 2 3 8 2" xfId="26853"/>
    <cellStyle name="Heading 1 3 2 2 3 9" xfId="26854"/>
    <cellStyle name="Heading 1 3 2 2 4" xfId="26855"/>
    <cellStyle name="Heading 1 3 2 2 4 2" xfId="26856"/>
    <cellStyle name="Heading 1 3 2 2 4 2 2" xfId="26857"/>
    <cellStyle name="Heading 1 3 2 2 4 2 2 2" xfId="26858"/>
    <cellStyle name="Heading 1 3 2 2 4 2 3" xfId="26859"/>
    <cellStyle name="Heading 1 3 2 2 4 3" xfId="26860"/>
    <cellStyle name="Heading 1 3 2 2 4 3 2" xfId="26861"/>
    <cellStyle name="Heading 1 3 2 2 4 3 2 2" xfId="26862"/>
    <cellStyle name="Heading 1 3 2 2 4 3 3" xfId="26863"/>
    <cellStyle name="Heading 1 3 2 2 4 4" xfId="26864"/>
    <cellStyle name="Heading 1 3 2 2 4 4 2" xfId="26865"/>
    <cellStyle name="Heading 1 3 2 2 4 4 2 2" xfId="26866"/>
    <cellStyle name="Heading 1 3 2 2 4 4 3" xfId="26867"/>
    <cellStyle name="Heading 1 3 2 2 4 5" xfId="26868"/>
    <cellStyle name="Heading 1 3 2 2 4 5 2" xfId="26869"/>
    <cellStyle name="Heading 1 3 2 2 4 5 2 2" xfId="26870"/>
    <cellStyle name="Heading 1 3 2 2 4 5 3" xfId="26871"/>
    <cellStyle name="Heading 1 3 2 2 4 6" xfId="26872"/>
    <cellStyle name="Heading 1 3 2 2 4 6 2" xfId="26873"/>
    <cellStyle name="Heading 1 3 2 2 4 6 2 2" xfId="26874"/>
    <cellStyle name="Heading 1 3 2 2 4 6 3" xfId="26875"/>
    <cellStyle name="Heading 1 3 2 2 4 7" xfId="26876"/>
    <cellStyle name="Heading 1 3 2 2 4 7 2" xfId="26877"/>
    <cellStyle name="Heading 1 3 2 2 4 7 2 2" xfId="26878"/>
    <cellStyle name="Heading 1 3 2 2 4 7 3" xfId="26879"/>
    <cellStyle name="Heading 1 3 2 2 4 8" xfId="26880"/>
    <cellStyle name="Heading 1 3 2 2 4 8 2" xfId="26881"/>
    <cellStyle name="Heading 1 3 2 2 4 9" xfId="26882"/>
    <cellStyle name="Heading 1 3 2 2 5" xfId="26883"/>
    <cellStyle name="Heading 1 3 2 2 5 2" xfId="26884"/>
    <cellStyle name="Heading 1 3 2 2 5 2 2" xfId="26885"/>
    <cellStyle name="Heading 1 3 2 2 5 2 2 2" xfId="26886"/>
    <cellStyle name="Heading 1 3 2 2 5 2 3" xfId="26887"/>
    <cellStyle name="Heading 1 3 2 2 5 3" xfId="26888"/>
    <cellStyle name="Heading 1 3 2 2 5 3 2" xfId="26889"/>
    <cellStyle name="Heading 1 3 2 2 5 3 2 2" xfId="26890"/>
    <cellStyle name="Heading 1 3 2 2 5 3 3" xfId="26891"/>
    <cellStyle name="Heading 1 3 2 2 5 4" xfId="26892"/>
    <cellStyle name="Heading 1 3 2 2 5 4 2" xfId="26893"/>
    <cellStyle name="Heading 1 3 2 2 5 4 2 2" xfId="26894"/>
    <cellStyle name="Heading 1 3 2 2 5 4 3" xfId="26895"/>
    <cellStyle name="Heading 1 3 2 2 5 5" xfId="26896"/>
    <cellStyle name="Heading 1 3 2 2 5 5 2" xfId="26897"/>
    <cellStyle name="Heading 1 3 2 2 5 5 2 2" xfId="26898"/>
    <cellStyle name="Heading 1 3 2 2 5 5 3" xfId="26899"/>
    <cellStyle name="Heading 1 3 2 2 5 6" xfId="26900"/>
    <cellStyle name="Heading 1 3 2 2 5 6 2" xfId="26901"/>
    <cellStyle name="Heading 1 3 2 2 5 6 2 2" xfId="26902"/>
    <cellStyle name="Heading 1 3 2 2 5 6 3" xfId="26903"/>
    <cellStyle name="Heading 1 3 2 2 5 7" xfId="26904"/>
    <cellStyle name="Heading 1 3 2 2 5 7 2" xfId="26905"/>
    <cellStyle name="Heading 1 3 2 2 5 7 2 2" xfId="26906"/>
    <cellStyle name="Heading 1 3 2 2 5 7 3" xfId="26907"/>
    <cellStyle name="Heading 1 3 2 2 5 8" xfId="26908"/>
    <cellStyle name="Heading 1 3 2 2 5 8 2" xfId="26909"/>
    <cellStyle name="Heading 1 3 2 2 5 9" xfId="26910"/>
    <cellStyle name="Heading 1 3 2 2 6" xfId="26911"/>
    <cellStyle name="Heading 1 3 2 2 6 2" xfId="26912"/>
    <cellStyle name="Heading 1 3 2 2 6 2 2" xfId="26913"/>
    <cellStyle name="Heading 1 3 2 2 6 2 2 2" xfId="26914"/>
    <cellStyle name="Heading 1 3 2 2 6 2 3" xfId="26915"/>
    <cellStyle name="Heading 1 3 2 2 6 3" xfId="26916"/>
    <cellStyle name="Heading 1 3 2 2 6 3 2" xfId="26917"/>
    <cellStyle name="Heading 1 3 2 2 6 3 2 2" xfId="26918"/>
    <cellStyle name="Heading 1 3 2 2 6 3 3" xfId="26919"/>
    <cellStyle name="Heading 1 3 2 2 6 4" xfId="26920"/>
    <cellStyle name="Heading 1 3 2 2 6 4 2" xfId="26921"/>
    <cellStyle name="Heading 1 3 2 2 6 4 2 2" xfId="26922"/>
    <cellStyle name="Heading 1 3 2 2 6 4 3" xfId="26923"/>
    <cellStyle name="Heading 1 3 2 2 6 5" xfId="26924"/>
    <cellStyle name="Heading 1 3 2 2 6 5 2" xfId="26925"/>
    <cellStyle name="Heading 1 3 2 2 6 5 2 2" xfId="26926"/>
    <cellStyle name="Heading 1 3 2 2 6 5 3" xfId="26927"/>
    <cellStyle name="Heading 1 3 2 2 6 6" xfId="26928"/>
    <cellStyle name="Heading 1 3 2 2 6 6 2" xfId="26929"/>
    <cellStyle name="Heading 1 3 2 2 6 6 2 2" xfId="26930"/>
    <cellStyle name="Heading 1 3 2 2 6 6 3" xfId="26931"/>
    <cellStyle name="Heading 1 3 2 2 6 7" xfId="26932"/>
    <cellStyle name="Heading 1 3 2 2 6 7 2" xfId="26933"/>
    <cellStyle name="Heading 1 3 2 2 6 7 2 2" xfId="26934"/>
    <cellStyle name="Heading 1 3 2 2 6 7 3" xfId="26935"/>
    <cellStyle name="Heading 1 3 2 2 6 8" xfId="26936"/>
    <cellStyle name="Heading 1 3 2 2 6 8 2" xfId="26937"/>
    <cellStyle name="Heading 1 3 2 2 6 9" xfId="26938"/>
    <cellStyle name="Heading 1 3 2 2 7" xfId="26939"/>
    <cellStyle name="Heading 1 3 2 2 7 2" xfId="26940"/>
    <cellStyle name="Heading 1 3 2 2 7 2 2" xfId="26941"/>
    <cellStyle name="Heading 1 3 2 2 7 2 2 2" xfId="26942"/>
    <cellStyle name="Heading 1 3 2 2 7 2 3" xfId="26943"/>
    <cellStyle name="Heading 1 3 2 2 7 3" xfId="26944"/>
    <cellStyle name="Heading 1 3 2 2 7 3 2" xfId="26945"/>
    <cellStyle name="Heading 1 3 2 2 7 3 2 2" xfId="26946"/>
    <cellStyle name="Heading 1 3 2 2 7 3 3" xfId="26947"/>
    <cellStyle name="Heading 1 3 2 2 7 4" xfId="26948"/>
    <cellStyle name="Heading 1 3 2 2 7 4 2" xfId="26949"/>
    <cellStyle name="Heading 1 3 2 2 7 4 2 2" xfId="26950"/>
    <cellStyle name="Heading 1 3 2 2 7 4 3" xfId="26951"/>
    <cellStyle name="Heading 1 3 2 2 7 5" xfId="26952"/>
    <cellStyle name="Heading 1 3 2 2 7 5 2" xfId="26953"/>
    <cellStyle name="Heading 1 3 2 2 7 5 2 2" xfId="26954"/>
    <cellStyle name="Heading 1 3 2 2 7 5 3" xfId="26955"/>
    <cellStyle name="Heading 1 3 2 2 7 6" xfId="26956"/>
    <cellStyle name="Heading 1 3 2 2 7 6 2" xfId="26957"/>
    <cellStyle name="Heading 1 3 2 2 7 6 2 2" xfId="26958"/>
    <cellStyle name="Heading 1 3 2 2 7 6 3" xfId="26959"/>
    <cellStyle name="Heading 1 3 2 2 7 7" xfId="26960"/>
    <cellStyle name="Heading 1 3 2 2 7 7 2" xfId="26961"/>
    <cellStyle name="Heading 1 3 2 2 7 7 2 2" xfId="26962"/>
    <cellStyle name="Heading 1 3 2 2 7 7 3" xfId="26963"/>
    <cellStyle name="Heading 1 3 2 2 7 8" xfId="26964"/>
    <cellStyle name="Heading 1 3 2 2 7 8 2" xfId="26965"/>
    <cellStyle name="Heading 1 3 2 2 7 9" xfId="26966"/>
    <cellStyle name="Heading 1 3 2 2 8" xfId="26967"/>
    <cellStyle name="Heading 1 3 2 2 8 2" xfId="26968"/>
    <cellStyle name="Heading 1 3 2 2 8 2 2" xfId="26969"/>
    <cellStyle name="Heading 1 3 2 2 8 2 2 2" xfId="26970"/>
    <cellStyle name="Heading 1 3 2 2 8 2 3" xfId="26971"/>
    <cellStyle name="Heading 1 3 2 2 8 3" xfId="26972"/>
    <cellStyle name="Heading 1 3 2 2 8 3 2" xfId="26973"/>
    <cellStyle name="Heading 1 3 2 2 8 3 2 2" xfId="26974"/>
    <cellStyle name="Heading 1 3 2 2 8 3 3" xfId="26975"/>
    <cellStyle name="Heading 1 3 2 2 8 4" xfId="26976"/>
    <cellStyle name="Heading 1 3 2 2 8 4 2" xfId="26977"/>
    <cellStyle name="Heading 1 3 2 2 8 4 2 2" xfId="26978"/>
    <cellStyle name="Heading 1 3 2 2 8 4 3" xfId="26979"/>
    <cellStyle name="Heading 1 3 2 2 8 5" xfId="26980"/>
    <cellStyle name="Heading 1 3 2 2 8 5 2" xfId="26981"/>
    <cellStyle name="Heading 1 3 2 2 8 5 2 2" xfId="26982"/>
    <cellStyle name="Heading 1 3 2 2 8 5 3" xfId="26983"/>
    <cellStyle name="Heading 1 3 2 2 8 6" xfId="26984"/>
    <cellStyle name="Heading 1 3 2 2 8 6 2" xfId="26985"/>
    <cellStyle name="Heading 1 3 2 2 8 6 2 2" xfId="26986"/>
    <cellStyle name="Heading 1 3 2 2 8 6 3" xfId="26987"/>
    <cellStyle name="Heading 1 3 2 2 8 7" xfId="26988"/>
    <cellStyle name="Heading 1 3 2 2 8 7 2" xfId="26989"/>
    <cellStyle name="Heading 1 3 2 2 8 7 2 2" xfId="26990"/>
    <cellStyle name="Heading 1 3 2 2 8 7 3" xfId="26991"/>
    <cellStyle name="Heading 1 3 2 2 8 8" xfId="26992"/>
    <cellStyle name="Heading 1 3 2 2 8 8 2" xfId="26993"/>
    <cellStyle name="Heading 1 3 2 2 8 9" xfId="26994"/>
    <cellStyle name="Heading 1 3 2 2 9" xfId="26995"/>
    <cellStyle name="Heading 1 3 2 2 9 2" xfId="26996"/>
    <cellStyle name="Heading 1 3 2 2 9 2 2" xfId="26997"/>
    <cellStyle name="Heading 1 3 2 2 9 3" xfId="26998"/>
    <cellStyle name="Heading 1 3 2 20" xfId="26999"/>
    <cellStyle name="Heading 1 3 2 20 2" xfId="27000"/>
    <cellStyle name="Heading 1 3 2 21" xfId="27001"/>
    <cellStyle name="Heading 1 3 2 21 2" xfId="27002"/>
    <cellStyle name="Heading 1 3 2 22" xfId="27003"/>
    <cellStyle name="Heading 1 3 2 22 2" xfId="27004"/>
    <cellStyle name="Heading 1 3 2 23" xfId="27005"/>
    <cellStyle name="Heading 1 3 2 3" xfId="27006"/>
    <cellStyle name="Heading 1 3 2 3 2" xfId="27007"/>
    <cellStyle name="Heading 1 3 2 3 2 2" xfId="27008"/>
    <cellStyle name="Heading 1 3 2 3 2 2 2" xfId="27009"/>
    <cellStyle name="Heading 1 3 2 3 2 3" xfId="27010"/>
    <cellStyle name="Heading 1 3 2 3 3" xfId="27011"/>
    <cellStyle name="Heading 1 3 2 3 3 2" xfId="27012"/>
    <cellStyle name="Heading 1 3 2 3 3 2 2" xfId="27013"/>
    <cellStyle name="Heading 1 3 2 3 3 3" xfId="27014"/>
    <cellStyle name="Heading 1 3 2 3 4" xfId="27015"/>
    <cellStyle name="Heading 1 3 2 3 4 2" xfId="27016"/>
    <cellStyle name="Heading 1 3 2 3 4 2 2" xfId="27017"/>
    <cellStyle name="Heading 1 3 2 3 4 3" xfId="27018"/>
    <cellStyle name="Heading 1 3 2 3 5" xfId="27019"/>
    <cellStyle name="Heading 1 3 2 3 5 2" xfId="27020"/>
    <cellStyle name="Heading 1 3 2 3 5 2 2" xfId="27021"/>
    <cellStyle name="Heading 1 3 2 3 5 3" xfId="27022"/>
    <cellStyle name="Heading 1 3 2 3 6" xfId="27023"/>
    <cellStyle name="Heading 1 3 2 3 6 2" xfId="27024"/>
    <cellStyle name="Heading 1 3 2 3 6 2 2" xfId="27025"/>
    <cellStyle name="Heading 1 3 2 3 6 3" xfId="27026"/>
    <cellStyle name="Heading 1 3 2 3 7" xfId="27027"/>
    <cellStyle name="Heading 1 3 2 3 7 2" xfId="27028"/>
    <cellStyle name="Heading 1 3 2 3 7 2 2" xfId="27029"/>
    <cellStyle name="Heading 1 3 2 3 7 3" xfId="27030"/>
    <cellStyle name="Heading 1 3 2 3 8" xfId="27031"/>
    <cellStyle name="Heading 1 3 2 3 8 2" xfId="27032"/>
    <cellStyle name="Heading 1 3 2 3 9" xfId="27033"/>
    <cellStyle name="Heading 1 3 2 4" xfId="27034"/>
    <cellStyle name="Heading 1 3 2 4 2" xfId="27035"/>
    <cellStyle name="Heading 1 3 2 4 2 2" xfId="27036"/>
    <cellStyle name="Heading 1 3 2 4 2 2 2" xfId="27037"/>
    <cellStyle name="Heading 1 3 2 4 2 3" xfId="27038"/>
    <cellStyle name="Heading 1 3 2 4 3" xfId="27039"/>
    <cellStyle name="Heading 1 3 2 4 3 2" xfId="27040"/>
    <cellStyle name="Heading 1 3 2 4 3 2 2" xfId="27041"/>
    <cellStyle name="Heading 1 3 2 4 3 3" xfId="27042"/>
    <cellStyle name="Heading 1 3 2 4 4" xfId="27043"/>
    <cellStyle name="Heading 1 3 2 4 4 2" xfId="27044"/>
    <cellStyle name="Heading 1 3 2 4 4 2 2" xfId="27045"/>
    <cellStyle name="Heading 1 3 2 4 4 3" xfId="27046"/>
    <cellStyle name="Heading 1 3 2 4 5" xfId="27047"/>
    <cellStyle name="Heading 1 3 2 4 5 2" xfId="27048"/>
    <cellStyle name="Heading 1 3 2 4 5 2 2" xfId="27049"/>
    <cellStyle name="Heading 1 3 2 4 5 3" xfId="27050"/>
    <cellStyle name="Heading 1 3 2 4 6" xfId="27051"/>
    <cellStyle name="Heading 1 3 2 4 6 2" xfId="27052"/>
    <cellStyle name="Heading 1 3 2 4 6 2 2" xfId="27053"/>
    <cellStyle name="Heading 1 3 2 4 6 3" xfId="27054"/>
    <cellStyle name="Heading 1 3 2 4 7" xfId="27055"/>
    <cellStyle name="Heading 1 3 2 4 7 2" xfId="27056"/>
    <cellStyle name="Heading 1 3 2 4 7 2 2" xfId="27057"/>
    <cellStyle name="Heading 1 3 2 4 7 3" xfId="27058"/>
    <cellStyle name="Heading 1 3 2 4 8" xfId="27059"/>
    <cellStyle name="Heading 1 3 2 4 8 2" xfId="27060"/>
    <cellStyle name="Heading 1 3 2 4 9" xfId="27061"/>
    <cellStyle name="Heading 1 3 2 5" xfId="27062"/>
    <cellStyle name="Heading 1 3 2 5 2" xfId="27063"/>
    <cellStyle name="Heading 1 3 2 5 2 2" xfId="27064"/>
    <cellStyle name="Heading 1 3 2 5 2 2 2" xfId="27065"/>
    <cellStyle name="Heading 1 3 2 5 2 3" xfId="27066"/>
    <cellStyle name="Heading 1 3 2 5 3" xfId="27067"/>
    <cellStyle name="Heading 1 3 2 5 3 2" xfId="27068"/>
    <cellStyle name="Heading 1 3 2 5 3 2 2" xfId="27069"/>
    <cellStyle name="Heading 1 3 2 5 3 3" xfId="27070"/>
    <cellStyle name="Heading 1 3 2 5 4" xfId="27071"/>
    <cellStyle name="Heading 1 3 2 5 4 2" xfId="27072"/>
    <cellStyle name="Heading 1 3 2 5 4 2 2" xfId="27073"/>
    <cellStyle name="Heading 1 3 2 5 4 3" xfId="27074"/>
    <cellStyle name="Heading 1 3 2 5 5" xfId="27075"/>
    <cellStyle name="Heading 1 3 2 5 5 2" xfId="27076"/>
    <cellStyle name="Heading 1 3 2 5 5 2 2" xfId="27077"/>
    <cellStyle name="Heading 1 3 2 5 5 3" xfId="27078"/>
    <cellStyle name="Heading 1 3 2 5 6" xfId="27079"/>
    <cellStyle name="Heading 1 3 2 5 6 2" xfId="27080"/>
    <cellStyle name="Heading 1 3 2 5 6 2 2" xfId="27081"/>
    <cellStyle name="Heading 1 3 2 5 6 3" xfId="27082"/>
    <cellStyle name="Heading 1 3 2 5 7" xfId="27083"/>
    <cellStyle name="Heading 1 3 2 5 7 2" xfId="27084"/>
    <cellStyle name="Heading 1 3 2 5 7 2 2" xfId="27085"/>
    <cellStyle name="Heading 1 3 2 5 7 3" xfId="27086"/>
    <cellStyle name="Heading 1 3 2 5 8" xfId="27087"/>
    <cellStyle name="Heading 1 3 2 5 8 2" xfId="27088"/>
    <cellStyle name="Heading 1 3 2 5 9" xfId="27089"/>
    <cellStyle name="Heading 1 3 2 6" xfId="27090"/>
    <cellStyle name="Heading 1 3 2 6 2" xfId="27091"/>
    <cellStyle name="Heading 1 3 2 6 2 2" xfId="27092"/>
    <cellStyle name="Heading 1 3 2 6 2 2 2" xfId="27093"/>
    <cellStyle name="Heading 1 3 2 6 2 3" xfId="27094"/>
    <cellStyle name="Heading 1 3 2 6 3" xfId="27095"/>
    <cellStyle name="Heading 1 3 2 6 3 2" xfId="27096"/>
    <cellStyle name="Heading 1 3 2 6 3 2 2" xfId="27097"/>
    <cellStyle name="Heading 1 3 2 6 3 3" xfId="27098"/>
    <cellStyle name="Heading 1 3 2 6 4" xfId="27099"/>
    <cellStyle name="Heading 1 3 2 6 4 2" xfId="27100"/>
    <cellStyle name="Heading 1 3 2 6 4 2 2" xfId="27101"/>
    <cellStyle name="Heading 1 3 2 6 4 3" xfId="27102"/>
    <cellStyle name="Heading 1 3 2 6 5" xfId="27103"/>
    <cellStyle name="Heading 1 3 2 6 5 2" xfId="27104"/>
    <cellStyle name="Heading 1 3 2 6 5 2 2" xfId="27105"/>
    <cellStyle name="Heading 1 3 2 6 5 3" xfId="27106"/>
    <cellStyle name="Heading 1 3 2 6 6" xfId="27107"/>
    <cellStyle name="Heading 1 3 2 6 6 2" xfId="27108"/>
    <cellStyle name="Heading 1 3 2 6 6 2 2" xfId="27109"/>
    <cellStyle name="Heading 1 3 2 6 6 3" xfId="27110"/>
    <cellStyle name="Heading 1 3 2 6 7" xfId="27111"/>
    <cellStyle name="Heading 1 3 2 6 7 2" xfId="27112"/>
    <cellStyle name="Heading 1 3 2 6 7 2 2" xfId="27113"/>
    <cellStyle name="Heading 1 3 2 6 7 3" xfId="27114"/>
    <cellStyle name="Heading 1 3 2 6 8" xfId="27115"/>
    <cellStyle name="Heading 1 3 2 6 8 2" xfId="27116"/>
    <cellStyle name="Heading 1 3 2 6 9" xfId="27117"/>
    <cellStyle name="Heading 1 3 2 7" xfId="27118"/>
    <cellStyle name="Heading 1 3 2 7 2" xfId="27119"/>
    <cellStyle name="Heading 1 3 2 7 2 2" xfId="27120"/>
    <cellStyle name="Heading 1 3 2 7 2 2 2" xfId="27121"/>
    <cellStyle name="Heading 1 3 2 7 2 3" xfId="27122"/>
    <cellStyle name="Heading 1 3 2 7 3" xfId="27123"/>
    <cellStyle name="Heading 1 3 2 7 3 2" xfId="27124"/>
    <cellStyle name="Heading 1 3 2 7 3 2 2" xfId="27125"/>
    <cellStyle name="Heading 1 3 2 7 3 3" xfId="27126"/>
    <cellStyle name="Heading 1 3 2 7 4" xfId="27127"/>
    <cellStyle name="Heading 1 3 2 7 4 2" xfId="27128"/>
    <cellStyle name="Heading 1 3 2 7 4 2 2" xfId="27129"/>
    <cellStyle name="Heading 1 3 2 7 4 3" xfId="27130"/>
    <cellStyle name="Heading 1 3 2 7 5" xfId="27131"/>
    <cellStyle name="Heading 1 3 2 7 5 2" xfId="27132"/>
    <cellStyle name="Heading 1 3 2 7 5 2 2" xfId="27133"/>
    <cellStyle name="Heading 1 3 2 7 5 3" xfId="27134"/>
    <cellStyle name="Heading 1 3 2 7 6" xfId="27135"/>
    <cellStyle name="Heading 1 3 2 7 6 2" xfId="27136"/>
    <cellStyle name="Heading 1 3 2 7 6 2 2" xfId="27137"/>
    <cellStyle name="Heading 1 3 2 7 6 3" xfId="27138"/>
    <cellStyle name="Heading 1 3 2 7 7" xfId="27139"/>
    <cellStyle name="Heading 1 3 2 7 7 2" xfId="27140"/>
    <cellStyle name="Heading 1 3 2 7 7 2 2" xfId="27141"/>
    <cellStyle name="Heading 1 3 2 7 7 3" xfId="27142"/>
    <cellStyle name="Heading 1 3 2 7 8" xfId="27143"/>
    <cellStyle name="Heading 1 3 2 7 8 2" xfId="27144"/>
    <cellStyle name="Heading 1 3 2 7 9" xfId="27145"/>
    <cellStyle name="Heading 1 3 2 8" xfId="27146"/>
    <cellStyle name="Heading 1 3 2 8 2" xfId="27147"/>
    <cellStyle name="Heading 1 3 2 8 2 2" xfId="27148"/>
    <cellStyle name="Heading 1 3 2 8 2 2 2" xfId="27149"/>
    <cellStyle name="Heading 1 3 2 8 2 3" xfId="27150"/>
    <cellStyle name="Heading 1 3 2 8 3" xfId="27151"/>
    <cellStyle name="Heading 1 3 2 8 3 2" xfId="27152"/>
    <cellStyle name="Heading 1 3 2 8 3 2 2" xfId="27153"/>
    <cellStyle name="Heading 1 3 2 8 3 3" xfId="27154"/>
    <cellStyle name="Heading 1 3 2 8 4" xfId="27155"/>
    <cellStyle name="Heading 1 3 2 8 4 2" xfId="27156"/>
    <cellStyle name="Heading 1 3 2 8 4 2 2" xfId="27157"/>
    <cellStyle name="Heading 1 3 2 8 4 3" xfId="27158"/>
    <cellStyle name="Heading 1 3 2 8 5" xfId="27159"/>
    <cellStyle name="Heading 1 3 2 8 5 2" xfId="27160"/>
    <cellStyle name="Heading 1 3 2 8 5 2 2" xfId="27161"/>
    <cellStyle name="Heading 1 3 2 8 5 3" xfId="27162"/>
    <cellStyle name="Heading 1 3 2 8 6" xfId="27163"/>
    <cellStyle name="Heading 1 3 2 8 6 2" xfId="27164"/>
    <cellStyle name="Heading 1 3 2 8 6 2 2" xfId="27165"/>
    <cellStyle name="Heading 1 3 2 8 6 3" xfId="27166"/>
    <cellStyle name="Heading 1 3 2 8 7" xfId="27167"/>
    <cellStyle name="Heading 1 3 2 8 7 2" xfId="27168"/>
    <cellStyle name="Heading 1 3 2 8 7 2 2" xfId="27169"/>
    <cellStyle name="Heading 1 3 2 8 7 3" xfId="27170"/>
    <cellStyle name="Heading 1 3 2 8 8" xfId="27171"/>
    <cellStyle name="Heading 1 3 2 8 8 2" xfId="27172"/>
    <cellStyle name="Heading 1 3 2 8 9" xfId="27173"/>
    <cellStyle name="Heading 1 3 2 9" xfId="27174"/>
    <cellStyle name="Heading 1 3 2 9 2" xfId="27175"/>
    <cellStyle name="Heading 1 3 2 9 2 2" xfId="27176"/>
    <cellStyle name="Heading 1 3 2 9 2 2 2" xfId="27177"/>
    <cellStyle name="Heading 1 3 2 9 2 3" xfId="27178"/>
    <cellStyle name="Heading 1 3 2 9 3" xfId="27179"/>
    <cellStyle name="Heading 1 3 2 9 3 2" xfId="27180"/>
    <cellStyle name="Heading 1 3 2 9 3 2 2" xfId="27181"/>
    <cellStyle name="Heading 1 3 2 9 3 3" xfId="27182"/>
    <cellStyle name="Heading 1 3 2 9 4" xfId="27183"/>
    <cellStyle name="Heading 1 3 2 9 4 2" xfId="27184"/>
    <cellStyle name="Heading 1 3 2 9 4 2 2" xfId="27185"/>
    <cellStyle name="Heading 1 3 2 9 4 3" xfId="27186"/>
    <cellStyle name="Heading 1 3 2 9 5" xfId="27187"/>
    <cellStyle name="Heading 1 3 2 9 5 2" xfId="27188"/>
    <cellStyle name="Heading 1 3 2 9 5 2 2" xfId="27189"/>
    <cellStyle name="Heading 1 3 2 9 5 3" xfId="27190"/>
    <cellStyle name="Heading 1 3 2 9 6" xfId="27191"/>
    <cellStyle name="Heading 1 3 2 9 6 2" xfId="27192"/>
    <cellStyle name="Heading 1 3 2 9 6 2 2" xfId="27193"/>
    <cellStyle name="Heading 1 3 2 9 6 3" xfId="27194"/>
    <cellStyle name="Heading 1 3 2 9 7" xfId="27195"/>
    <cellStyle name="Heading 1 3 2 9 7 2" xfId="27196"/>
    <cellStyle name="Heading 1 3 2 9 7 2 2" xfId="27197"/>
    <cellStyle name="Heading 1 3 2 9 7 3" xfId="27198"/>
    <cellStyle name="Heading 1 3 2 9 8" xfId="27199"/>
    <cellStyle name="Heading 1 3 2 9 8 2" xfId="27200"/>
    <cellStyle name="Heading 1 3 2 9 9" xfId="27201"/>
    <cellStyle name="Heading 1 3 3" xfId="27202"/>
    <cellStyle name="Heading 1 3 4" xfId="27203"/>
    <cellStyle name="Heading 1 4" xfId="27204"/>
    <cellStyle name="Heading 1 4 2" xfId="27205"/>
    <cellStyle name="Heading 1 5" xfId="27206"/>
    <cellStyle name="Heading 1 6" xfId="27207"/>
    <cellStyle name="Heading 1 6 2" xfId="27208"/>
    <cellStyle name="Heading 1 7" xfId="27209"/>
    <cellStyle name="Heading 1 8" xfId="27210"/>
    <cellStyle name="Heading 1 9" xfId="27211"/>
    <cellStyle name="Heading 2 10" xfId="27212"/>
    <cellStyle name="Heading 2 2" xfId="27213"/>
    <cellStyle name="Heading 2 2 10" xfId="27214"/>
    <cellStyle name="Heading 2 2 10 10" xfId="27215"/>
    <cellStyle name="Heading 2 2 10 10 2" xfId="27216"/>
    <cellStyle name="Heading 2 2 10 10 2 2" xfId="27217"/>
    <cellStyle name="Heading 2 2 10 10 3" xfId="27218"/>
    <cellStyle name="Heading 2 2 10 11" xfId="27219"/>
    <cellStyle name="Heading 2 2 10 11 2" xfId="27220"/>
    <cellStyle name="Heading 2 2 10 11 2 2" xfId="27221"/>
    <cellStyle name="Heading 2 2 10 11 3" xfId="27222"/>
    <cellStyle name="Heading 2 2 10 12" xfId="27223"/>
    <cellStyle name="Heading 2 2 10 12 2" xfId="27224"/>
    <cellStyle name="Heading 2 2 10 12 2 2" xfId="27225"/>
    <cellStyle name="Heading 2 2 10 12 3" xfId="27226"/>
    <cellStyle name="Heading 2 2 10 13" xfId="27227"/>
    <cellStyle name="Heading 2 2 10 13 2" xfId="27228"/>
    <cellStyle name="Heading 2 2 10 13 2 2" xfId="27229"/>
    <cellStyle name="Heading 2 2 10 13 3" xfId="27230"/>
    <cellStyle name="Heading 2 2 10 14" xfId="27231"/>
    <cellStyle name="Heading 2 2 10 14 2" xfId="27232"/>
    <cellStyle name="Heading 2 2 10 14 2 2" xfId="27233"/>
    <cellStyle name="Heading 2 2 10 14 3" xfId="27234"/>
    <cellStyle name="Heading 2 2 10 15" xfId="27235"/>
    <cellStyle name="Heading 2 2 10 15 2" xfId="27236"/>
    <cellStyle name="Heading 2 2 10 15 2 2" xfId="27237"/>
    <cellStyle name="Heading 2 2 10 15 3" xfId="27238"/>
    <cellStyle name="Heading 2 2 10 16" xfId="27239"/>
    <cellStyle name="Heading 2 2 10 16 2" xfId="27240"/>
    <cellStyle name="Heading 2 2 10 16 2 2" xfId="27241"/>
    <cellStyle name="Heading 2 2 10 16 3" xfId="27242"/>
    <cellStyle name="Heading 2 2 10 17" xfId="27243"/>
    <cellStyle name="Heading 2 2 10 17 2" xfId="27244"/>
    <cellStyle name="Heading 2 2 10 17 2 2" xfId="27245"/>
    <cellStyle name="Heading 2 2 10 17 3" xfId="27246"/>
    <cellStyle name="Heading 2 2 10 18" xfId="27247"/>
    <cellStyle name="Heading 2 2 10 18 2" xfId="27248"/>
    <cellStyle name="Heading 2 2 10 18 2 2" xfId="27249"/>
    <cellStyle name="Heading 2 2 10 18 3" xfId="27250"/>
    <cellStyle name="Heading 2 2 10 19" xfId="27251"/>
    <cellStyle name="Heading 2 2 10 19 2" xfId="27252"/>
    <cellStyle name="Heading 2 2 10 19 2 2" xfId="27253"/>
    <cellStyle name="Heading 2 2 10 19 3" xfId="27254"/>
    <cellStyle name="Heading 2 2 10 2" xfId="27255"/>
    <cellStyle name="Heading 2 2 10 2 10" xfId="27256"/>
    <cellStyle name="Heading 2 2 10 2 10 2" xfId="27257"/>
    <cellStyle name="Heading 2 2 10 2 10 2 2" xfId="27258"/>
    <cellStyle name="Heading 2 2 10 2 10 3" xfId="27259"/>
    <cellStyle name="Heading 2 2 10 2 11" xfId="27260"/>
    <cellStyle name="Heading 2 2 10 2 11 2" xfId="27261"/>
    <cellStyle name="Heading 2 2 10 2 11 2 2" xfId="27262"/>
    <cellStyle name="Heading 2 2 10 2 11 3" xfId="27263"/>
    <cellStyle name="Heading 2 2 10 2 12" xfId="27264"/>
    <cellStyle name="Heading 2 2 10 2 12 2" xfId="27265"/>
    <cellStyle name="Heading 2 2 10 2 12 2 2" xfId="27266"/>
    <cellStyle name="Heading 2 2 10 2 12 3" xfId="27267"/>
    <cellStyle name="Heading 2 2 10 2 13" xfId="27268"/>
    <cellStyle name="Heading 2 2 10 2 13 2" xfId="27269"/>
    <cellStyle name="Heading 2 2 10 2 13 2 2" xfId="27270"/>
    <cellStyle name="Heading 2 2 10 2 13 3" xfId="27271"/>
    <cellStyle name="Heading 2 2 10 2 14" xfId="27272"/>
    <cellStyle name="Heading 2 2 10 2 14 2" xfId="27273"/>
    <cellStyle name="Heading 2 2 10 2 14 2 2" xfId="27274"/>
    <cellStyle name="Heading 2 2 10 2 14 3" xfId="27275"/>
    <cellStyle name="Heading 2 2 10 2 15" xfId="27276"/>
    <cellStyle name="Heading 2 2 10 2 15 2" xfId="27277"/>
    <cellStyle name="Heading 2 2 10 2 15 2 2" xfId="27278"/>
    <cellStyle name="Heading 2 2 10 2 15 3" xfId="27279"/>
    <cellStyle name="Heading 2 2 10 2 16" xfId="27280"/>
    <cellStyle name="Heading 2 2 10 2 16 2" xfId="27281"/>
    <cellStyle name="Heading 2 2 10 2 16 2 2" xfId="27282"/>
    <cellStyle name="Heading 2 2 10 2 16 3" xfId="27283"/>
    <cellStyle name="Heading 2 2 10 2 17" xfId="27284"/>
    <cellStyle name="Heading 2 2 10 2 17 2" xfId="27285"/>
    <cellStyle name="Heading 2 2 10 2 17 2 2" xfId="27286"/>
    <cellStyle name="Heading 2 2 10 2 17 3" xfId="27287"/>
    <cellStyle name="Heading 2 2 10 2 18" xfId="27288"/>
    <cellStyle name="Heading 2 2 10 2 18 2" xfId="27289"/>
    <cellStyle name="Heading 2 2 10 2 18 2 2" xfId="27290"/>
    <cellStyle name="Heading 2 2 10 2 18 3" xfId="27291"/>
    <cellStyle name="Heading 2 2 10 2 19" xfId="27292"/>
    <cellStyle name="Heading 2 2 10 2 19 2" xfId="27293"/>
    <cellStyle name="Heading 2 2 10 2 2" xfId="27294"/>
    <cellStyle name="Heading 2 2 10 2 2 2" xfId="27295"/>
    <cellStyle name="Heading 2 2 10 2 2 2 2" xfId="27296"/>
    <cellStyle name="Heading 2 2 10 2 2 2 2 2" xfId="27297"/>
    <cellStyle name="Heading 2 2 10 2 2 2 3" xfId="27298"/>
    <cellStyle name="Heading 2 2 10 2 2 3" xfId="27299"/>
    <cellStyle name="Heading 2 2 10 2 2 3 2" xfId="27300"/>
    <cellStyle name="Heading 2 2 10 2 2 3 2 2" xfId="27301"/>
    <cellStyle name="Heading 2 2 10 2 2 3 3" xfId="27302"/>
    <cellStyle name="Heading 2 2 10 2 2 4" xfId="27303"/>
    <cellStyle name="Heading 2 2 10 2 2 4 2" xfId="27304"/>
    <cellStyle name="Heading 2 2 10 2 2 4 2 2" xfId="27305"/>
    <cellStyle name="Heading 2 2 10 2 2 4 3" xfId="27306"/>
    <cellStyle name="Heading 2 2 10 2 2 5" xfId="27307"/>
    <cellStyle name="Heading 2 2 10 2 2 5 2" xfId="27308"/>
    <cellStyle name="Heading 2 2 10 2 2 5 2 2" xfId="27309"/>
    <cellStyle name="Heading 2 2 10 2 2 5 3" xfId="27310"/>
    <cellStyle name="Heading 2 2 10 2 2 6" xfId="27311"/>
    <cellStyle name="Heading 2 2 10 2 2 6 2" xfId="27312"/>
    <cellStyle name="Heading 2 2 10 2 2 6 2 2" xfId="27313"/>
    <cellStyle name="Heading 2 2 10 2 2 6 3" xfId="27314"/>
    <cellStyle name="Heading 2 2 10 2 2 7" xfId="27315"/>
    <cellStyle name="Heading 2 2 10 2 2 7 2" xfId="27316"/>
    <cellStyle name="Heading 2 2 10 2 2 7 2 2" xfId="27317"/>
    <cellStyle name="Heading 2 2 10 2 2 7 3" xfId="27318"/>
    <cellStyle name="Heading 2 2 10 2 2 8" xfId="27319"/>
    <cellStyle name="Heading 2 2 10 2 2 8 2" xfId="27320"/>
    <cellStyle name="Heading 2 2 10 2 2 9" xfId="27321"/>
    <cellStyle name="Heading 2 2 10 2 20" xfId="27322"/>
    <cellStyle name="Heading 2 2 10 2 20 2" xfId="27323"/>
    <cellStyle name="Heading 2 2 10 2 21" xfId="27324"/>
    <cellStyle name="Heading 2 2 10 2 21 2" xfId="27325"/>
    <cellStyle name="Heading 2 2 10 2 22" xfId="27326"/>
    <cellStyle name="Heading 2 2 10 2 3" xfId="27327"/>
    <cellStyle name="Heading 2 2 10 2 3 2" xfId="27328"/>
    <cellStyle name="Heading 2 2 10 2 3 2 2" xfId="27329"/>
    <cellStyle name="Heading 2 2 10 2 3 2 2 2" xfId="27330"/>
    <cellStyle name="Heading 2 2 10 2 3 2 3" xfId="27331"/>
    <cellStyle name="Heading 2 2 10 2 3 3" xfId="27332"/>
    <cellStyle name="Heading 2 2 10 2 3 3 2" xfId="27333"/>
    <cellStyle name="Heading 2 2 10 2 3 3 2 2" xfId="27334"/>
    <cellStyle name="Heading 2 2 10 2 3 3 3" xfId="27335"/>
    <cellStyle name="Heading 2 2 10 2 3 4" xfId="27336"/>
    <cellStyle name="Heading 2 2 10 2 3 4 2" xfId="27337"/>
    <cellStyle name="Heading 2 2 10 2 3 4 2 2" xfId="27338"/>
    <cellStyle name="Heading 2 2 10 2 3 4 3" xfId="27339"/>
    <cellStyle name="Heading 2 2 10 2 3 5" xfId="27340"/>
    <cellStyle name="Heading 2 2 10 2 3 5 2" xfId="27341"/>
    <cellStyle name="Heading 2 2 10 2 3 5 2 2" xfId="27342"/>
    <cellStyle name="Heading 2 2 10 2 3 5 3" xfId="27343"/>
    <cellStyle name="Heading 2 2 10 2 3 6" xfId="27344"/>
    <cellStyle name="Heading 2 2 10 2 3 6 2" xfId="27345"/>
    <cellStyle name="Heading 2 2 10 2 3 6 2 2" xfId="27346"/>
    <cellStyle name="Heading 2 2 10 2 3 6 3" xfId="27347"/>
    <cellStyle name="Heading 2 2 10 2 3 7" xfId="27348"/>
    <cellStyle name="Heading 2 2 10 2 3 7 2" xfId="27349"/>
    <cellStyle name="Heading 2 2 10 2 3 7 2 2" xfId="27350"/>
    <cellStyle name="Heading 2 2 10 2 3 7 3" xfId="27351"/>
    <cellStyle name="Heading 2 2 10 2 3 8" xfId="27352"/>
    <cellStyle name="Heading 2 2 10 2 3 8 2" xfId="27353"/>
    <cellStyle name="Heading 2 2 10 2 3 9" xfId="27354"/>
    <cellStyle name="Heading 2 2 10 2 4" xfId="27355"/>
    <cellStyle name="Heading 2 2 10 2 4 2" xfId="27356"/>
    <cellStyle name="Heading 2 2 10 2 4 2 2" xfId="27357"/>
    <cellStyle name="Heading 2 2 10 2 4 2 2 2" xfId="27358"/>
    <cellStyle name="Heading 2 2 10 2 4 2 3" xfId="27359"/>
    <cellStyle name="Heading 2 2 10 2 4 3" xfId="27360"/>
    <cellStyle name="Heading 2 2 10 2 4 3 2" xfId="27361"/>
    <cellStyle name="Heading 2 2 10 2 4 3 2 2" xfId="27362"/>
    <cellStyle name="Heading 2 2 10 2 4 3 3" xfId="27363"/>
    <cellStyle name="Heading 2 2 10 2 4 4" xfId="27364"/>
    <cellStyle name="Heading 2 2 10 2 4 4 2" xfId="27365"/>
    <cellStyle name="Heading 2 2 10 2 4 4 2 2" xfId="27366"/>
    <cellStyle name="Heading 2 2 10 2 4 4 3" xfId="27367"/>
    <cellStyle name="Heading 2 2 10 2 4 5" xfId="27368"/>
    <cellStyle name="Heading 2 2 10 2 4 5 2" xfId="27369"/>
    <cellStyle name="Heading 2 2 10 2 4 5 2 2" xfId="27370"/>
    <cellStyle name="Heading 2 2 10 2 4 5 3" xfId="27371"/>
    <cellStyle name="Heading 2 2 10 2 4 6" xfId="27372"/>
    <cellStyle name="Heading 2 2 10 2 4 6 2" xfId="27373"/>
    <cellStyle name="Heading 2 2 10 2 4 6 2 2" xfId="27374"/>
    <cellStyle name="Heading 2 2 10 2 4 6 3" xfId="27375"/>
    <cellStyle name="Heading 2 2 10 2 4 7" xfId="27376"/>
    <cellStyle name="Heading 2 2 10 2 4 7 2" xfId="27377"/>
    <cellStyle name="Heading 2 2 10 2 4 7 2 2" xfId="27378"/>
    <cellStyle name="Heading 2 2 10 2 4 7 3" xfId="27379"/>
    <cellStyle name="Heading 2 2 10 2 4 8" xfId="27380"/>
    <cellStyle name="Heading 2 2 10 2 4 8 2" xfId="27381"/>
    <cellStyle name="Heading 2 2 10 2 4 9" xfId="27382"/>
    <cellStyle name="Heading 2 2 10 2 5" xfId="27383"/>
    <cellStyle name="Heading 2 2 10 2 5 2" xfId="27384"/>
    <cellStyle name="Heading 2 2 10 2 5 2 2" xfId="27385"/>
    <cellStyle name="Heading 2 2 10 2 5 2 2 2" xfId="27386"/>
    <cellStyle name="Heading 2 2 10 2 5 2 3" xfId="27387"/>
    <cellStyle name="Heading 2 2 10 2 5 3" xfId="27388"/>
    <cellStyle name="Heading 2 2 10 2 5 3 2" xfId="27389"/>
    <cellStyle name="Heading 2 2 10 2 5 3 2 2" xfId="27390"/>
    <cellStyle name="Heading 2 2 10 2 5 3 3" xfId="27391"/>
    <cellStyle name="Heading 2 2 10 2 5 4" xfId="27392"/>
    <cellStyle name="Heading 2 2 10 2 5 4 2" xfId="27393"/>
    <cellStyle name="Heading 2 2 10 2 5 4 2 2" xfId="27394"/>
    <cellStyle name="Heading 2 2 10 2 5 4 3" xfId="27395"/>
    <cellStyle name="Heading 2 2 10 2 5 5" xfId="27396"/>
    <cellStyle name="Heading 2 2 10 2 5 5 2" xfId="27397"/>
    <cellStyle name="Heading 2 2 10 2 5 5 2 2" xfId="27398"/>
    <cellStyle name="Heading 2 2 10 2 5 5 3" xfId="27399"/>
    <cellStyle name="Heading 2 2 10 2 5 6" xfId="27400"/>
    <cellStyle name="Heading 2 2 10 2 5 6 2" xfId="27401"/>
    <cellStyle name="Heading 2 2 10 2 5 6 2 2" xfId="27402"/>
    <cellStyle name="Heading 2 2 10 2 5 6 3" xfId="27403"/>
    <cellStyle name="Heading 2 2 10 2 5 7" xfId="27404"/>
    <cellStyle name="Heading 2 2 10 2 5 7 2" xfId="27405"/>
    <cellStyle name="Heading 2 2 10 2 5 7 2 2" xfId="27406"/>
    <cellStyle name="Heading 2 2 10 2 5 7 3" xfId="27407"/>
    <cellStyle name="Heading 2 2 10 2 5 8" xfId="27408"/>
    <cellStyle name="Heading 2 2 10 2 5 8 2" xfId="27409"/>
    <cellStyle name="Heading 2 2 10 2 5 9" xfId="27410"/>
    <cellStyle name="Heading 2 2 10 2 6" xfId="27411"/>
    <cellStyle name="Heading 2 2 10 2 6 2" xfId="27412"/>
    <cellStyle name="Heading 2 2 10 2 6 2 2" xfId="27413"/>
    <cellStyle name="Heading 2 2 10 2 6 2 2 2" xfId="27414"/>
    <cellStyle name="Heading 2 2 10 2 6 2 3" xfId="27415"/>
    <cellStyle name="Heading 2 2 10 2 6 3" xfId="27416"/>
    <cellStyle name="Heading 2 2 10 2 6 3 2" xfId="27417"/>
    <cellStyle name="Heading 2 2 10 2 6 3 2 2" xfId="27418"/>
    <cellStyle name="Heading 2 2 10 2 6 3 3" xfId="27419"/>
    <cellStyle name="Heading 2 2 10 2 6 4" xfId="27420"/>
    <cellStyle name="Heading 2 2 10 2 6 4 2" xfId="27421"/>
    <cellStyle name="Heading 2 2 10 2 6 4 2 2" xfId="27422"/>
    <cellStyle name="Heading 2 2 10 2 6 4 3" xfId="27423"/>
    <cellStyle name="Heading 2 2 10 2 6 5" xfId="27424"/>
    <cellStyle name="Heading 2 2 10 2 6 5 2" xfId="27425"/>
    <cellStyle name="Heading 2 2 10 2 6 5 2 2" xfId="27426"/>
    <cellStyle name="Heading 2 2 10 2 6 5 3" xfId="27427"/>
    <cellStyle name="Heading 2 2 10 2 6 6" xfId="27428"/>
    <cellStyle name="Heading 2 2 10 2 6 6 2" xfId="27429"/>
    <cellStyle name="Heading 2 2 10 2 6 6 2 2" xfId="27430"/>
    <cellStyle name="Heading 2 2 10 2 6 6 3" xfId="27431"/>
    <cellStyle name="Heading 2 2 10 2 6 7" xfId="27432"/>
    <cellStyle name="Heading 2 2 10 2 6 7 2" xfId="27433"/>
    <cellStyle name="Heading 2 2 10 2 6 7 2 2" xfId="27434"/>
    <cellStyle name="Heading 2 2 10 2 6 7 3" xfId="27435"/>
    <cellStyle name="Heading 2 2 10 2 6 8" xfId="27436"/>
    <cellStyle name="Heading 2 2 10 2 6 8 2" xfId="27437"/>
    <cellStyle name="Heading 2 2 10 2 6 9" xfId="27438"/>
    <cellStyle name="Heading 2 2 10 2 7" xfId="27439"/>
    <cellStyle name="Heading 2 2 10 2 7 2" xfId="27440"/>
    <cellStyle name="Heading 2 2 10 2 7 2 2" xfId="27441"/>
    <cellStyle name="Heading 2 2 10 2 7 2 2 2" xfId="27442"/>
    <cellStyle name="Heading 2 2 10 2 7 2 3" xfId="27443"/>
    <cellStyle name="Heading 2 2 10 2 7 3" xfId="27444"/>
    <cellStyle name="Heading 2 2 10 2 7 3 2" xfId="27445"/>
    <cellStyle name="Heading 2 2 10 2 7 3 2 2" xfId="27446"/>
    <cellStyle name="Heading 2 2 10 2 7 3 3" xfId="27447"/>
    <cellStyle name="Heading 2 2 10 2 7 4" xfId="27448"/>
    <cellStyle name="Heading 2 2 10 2 7 4 2" xfId="27449"/>
    <cellStyle name="Heading 2 2 10 2 7 4 2 2" xfId="27450"/>
    <cellStyle name="Heading 2 2 10 2 7 4 3" xfId="27451"/>
    <cellStyle name="Heading 2 2 10 2 7 5" xfId="27452"/>
    <cellStyle name="Heading 2 2 10 2 7 5 2" xfId="27453"/>
    <cellStyle name="Heading 2 2 10 2 7 5 2 2" xfId="27454"/>
    <cellStyle name="Heading 2 2 10 2 7 5 3" xfId="27455"/>
    <cellStyle name="Heading 2 2 10 2 7 6" xfId="27456"/>
    <cellStyle name="Heading 2 2 10 2 7 6 2" xfId="27457"/>
    <cellStyle name="Heading 2 2 10 2 7 6 2 2" xfId="27458"/>
    <cellStyle name="Heading 2 2 10 2 7 6 3" xfId="27459"/>
    <cellStyle name="Heading 2 2 10 2 7 7" xfId="27460"/>
    <cellStyle name="Heading 2 2 10 2 7 7 2" xfId="27461"/>
    <cellStyle name="Heading 2 2 10 2 7 7 2 2" xfId="27462"/>
    <cellStyle name="Heading 2 2 10 2 7 7 3" xfId="27463"/>
    <cellStyle name="Heading 2 2 10 2 7 8" xfId="27464"/>
    <cellStyle name="Heading 2 2 10 2 7 8 2" xfId="27465"/>
    <cellStyle name="Heading 2 2 10 2 7 9" xfId="27466"/>
    <cellStyle name="Heading 2 2 10 2 8" xfId="27467"/>
    <cellStyle name="Heading 2 2 10 2 8 2" xfId="27468"/>
    <cellStyle name="Heading 2 2 10 2 8 2 2" xfId="27469"/>
    <cellStyle name="Heading 2 2 10 2 8 2 2 2" xfId="27470"/>
    <cellStyle name="Heading 2 2 10 2 8 2 3" xfId="27471"/>
    <cellStyle name="Heading 2 2 10 2 8 3" xfId="27472"/>
    <cellStyle name="Heading 2 2 10 2 8 3 2" xfId="27473"/>
    <cellStyle name="Heading 2 2 10 2 8 3 2 2" xfId="27474"/>
    <cellStyle name="Heading 2 2 10 2 8 3 3" xfId="27475"/>
    <cellStyle name="Heading 2 2 10 2 8 4" xfId="27476"/>
    <cellStyle name="Heading 2 2 10 2 8 4 2" xfId="27477"/>
    <cellStyle name="Heading 2 2 10 2 8 4 2 2" xfId="27478"/>
    <cellStyle name="Heading 2 2 10 2 8 4 3" xfId="27479"/>
    <cellStyle name="Heading 2 2 10 2 8 5" xfId="27480"/>
    <cellStyle name="Heading 2 2 10 2 8 5 2" xfId="27481"/>
    <cellStyle name="Heading 2 2 10 2 8 5 2 2" xfId="27482"/>
    <cellStyle name="Heading 2 2 10 2 8 5 3" xfId="27483"/>
    <cellStyle name="Heading 2 2 10 2 8 6" xfId="27484"/>
    <cellStyle name="Heading 2 2 10 2 8 6 2" xfId="27485"/>
    <cellStyle name="Heading 2 2 10 2 8 6 2 2" xfId="27486"/>
    <cellStyle name="Heading 2 2 10 2 8 6 3" xfId="27487"/>
    <cellStyle name="Heading 2 2 10 2 8 7" xfId="27488"/>
    <cellStyle name="Heading 2 2 10 2 8 7 2" xfId="27489"/>
    <cellStyle name="Heading 2 2 10 2 8 7 2 2" xfId="27490"/>
    <cellStyle name="Heading 2 2 10 2 8 7 3" xfId="27491"/>
    <cellStyle name="Heading 2 2 10 2 8 8" xfId="27492"/>
    <cellStyle name="Heading 2 2 10 2 8 8 2" xfId="27493"/>
    <cellStyle name="Heading 2 2 10 2 8 9" xfId="27494"/>
    <cellStyle name="Heading 2 2 10 2 9" xfId="27495"/>
    <cellStyle name="Heading 2 2 10 2 9 2" xfId="27496"/>
    <cellStyle name="Heading 2 2 10 2 9 2 2" xfId="27497"/>
    <cellStyle name="Heading 2 2 10 2 9 3" xfId="27498"/>
    <cellStyle name="Heading 2 2 10 20" xfId="27499"/>
    <cellStyle name="Heading 2 2 10 20 2" xfId="27500"/>
    <cellStyle name="Heading 2 2 10 21" xfId="27501"/>
    <cellStyle name="Heading 2 2 10 21 2" xfId="27502"/>
    <cellStyle name="Heading 2 2 10 22" xfId="27503"/>
    <cellStyle name="Heading 2 2 10 22 2" xfId="27504"/>
    <cellStyle name="Heading 2 2 10 23" xfId="27505"/>
    <cellStyle name="Heading 2 2 10 3" xfId="27506"/>
    <cellStyle name="Heading 2 2 10 3 2" xfId="27507"/>
    <cellStyle name="Heading 2 2 10 3 2 2" xfId="27508"/>
    <cellStyle name="Heading 2 2 10 3 2 2 2" xfId="27509"/>
    <cellStyle name="Heading 2 2 10 3 2 3" xfId="27510"/>
    <cellStyle name="Heading 2 2 10 3 3" xfId="27511"/>
    <cellStyle name="Heading 2 2 10 3 3 2" xfId="27512"/>
    <cellStyle name="Heading 2 2 10 3 3 2 2" xfId="27513"/>
    <cellStyle name="Heading 2 2 10 3 3 3" xfId="27514"/>
    <cellStyle name="Heading 2 2 10 3 4" xfId="27515"/>
    <cellStyle name="Heading 2 2 10 3 4 2" xfId="27516"/>
    <cellStyle name="Heading 2 2 10 3 4 2 2" xfId="27517"/>
    <cellStyle name="Heading 2 2 10 3 4 3" xfId="27518"/>
    <cellStyle name="Heading 2 2 10 3 5" xfId="27519"/>
    <cellStyle name="Heading 2 2 10 3 5 2" xfId="27520"/>
    <cellStyle name="Heading 2 2 10 3 5 2 2" xfId="27521"/>
    <cellStyle name="Heading 2 2 10 3 5 3" xfId="27522"/>
    <cellStyle name="Heading 2 2 10 3 6" xfId="27523"/>
    <cellStyle name="Heading 2 2 10 3 6 2" xfId="27524"/>
    <cellStyle name="Heading 2 2 10 3 6 2 2" xfId="27525"/>
    <cellStyle name="Heading 2 2 10 3 6 3" xfId="27526"/>
    <cellStyle name="Heading 2 2 10 3 7" xfId="27527"/>
    <cellStyle name="Heading 2 2 10 3 7 2" xfId="27528"/>
    <cellStyle name="Heading 2 2 10 3 7 2 2" xfId="27529"/>
    <cellStyle name="Heading 2 2 10 3 7 3" xfId="27530"/>
    <cellStyle name="Heading 2 2 10 3 8" xfId="27531"/>
    <cellStyle name="Heading 2 2 10 3 8 2" xfId="27532"/>
    <cellStyle name="Heading 2 2 10 3 9" xfId="27533"/>
    <cellStyle name="Heading 2 2 10 4" xfId="27534"/>
    <cellStyle name="Heading 2 2 10 4 2" xfId="27535"/>
    <cellStyle name="Heading 2 2 10 4 2 2" xfId="27536"/>
    <cellStyle name="Heading 2 2 10 4 2 2 2" xfId="27537"/>
    <cellStyle name="Heading 2 2 10 4 2 3" xfId="27538"/>
    <cellStyle name="Heading 2 2 10 4 3" xfId="27539"/>
    <cellStyle name="Heading 2 2 10 4 3 2" xfId="27540"/>
    <cellStyle name="Heading 2 2 10 4 3 2 2" xfId="27541"/>
    <cellStyle name="Heading 2 2 10 4 3 3" xfId="27542"/>
    <cellStyle name="Heading 2 2 10 4 4" xfId="27543"/>
    <cellStyle name="Heading 2 2 10 4 4 2" xfId="27544"/>
    <cellStyle name="Heading 2 2 10 4 4 2 2" xfId="27545"/>
    <cellStyle name="Heading 2 2 10 4 4 3" xfId="27546"/>
    <cellStyle name="Heading 2 2 10 4 5" xfId="27547"/>
    <cellStyle name="Heading 2 2 10 4 5 2" xfId="27548"/>
    <cellStyle name="Heading 2 2 10 4 5 2 2" xfId="27549"/>
    <cellStyle name="Heading 2 2 10 4 5 3" xfId="27550"/>
    <cellStyle name="Heading 2 2 10 4 6" xfId="27551"/>
    <cellStyle name="Heading 2 2 10 4 6 2" xfId="27552"/>
    <cellStyle name="Heading 2 2 10 4 6 2 2" xfId="27553"/>
    <cellStyle name="Heading 2 2 10 4 6 3" xfId="27554"/>
    <cellStyle name="Heading 2 2 10 4 7" xfId="27555"/>
    <cellStyle name="Heading 2 2 10 4 7 2" xfId="27556"/>
    <cellStyle name="Heading 2 2 10 4 7 2 2" xfId="27557"/>
    <cellStyle name="Heading 2 2 10 4 7 3" xfId="27558"/>
    <cellStyle name="Heading 2 2 10 4 8" xfId="27559"/>
    <cellStyle name="Heading 2 2 10 4 8 2" xfId="27560"/>
    <cellStyle name="Heading 2 2 10 4 9" xfId="27561"/>
    <cellStyle name="Heading 2 2 10 5" xfId="27562"/>
    <cellStyle name="Heading 2 2 10 5 2" xfId="27563"/>
    <cellStyle name="Heading 2 2 10 5 2 2" xfId="27564"/>
    <cellStyle name="Heading 2 2 10 5 2 2 2" xfId="27565"/>
    <cellStyle name="Heading 2 2 10 5 2 3" xfId="27566"/>
    <cellStyle name="Heading 2 2 10 5 3" xfId="27567"/>
    <cellStyle name="Heading 2 2 10 5 3 2" xfId="27568"/>
    <cellStyle name="Heading 2 2 10 5 3 2 2" xfId="27569"/>
    <cellStyle name="Heading 2 2 10 5 3 3" xfId="27570"/>
    <cellStyle name="Heading 2 2 10 5 4" xfId="27571"/>
    <cellStyle name="Heading 2 2 10 5 4 2" xfId="27572"/>
    <cellStyle name="Heading 2 2 10 5 4 2 2" xfId="27573"/>
    <cellStyle name="Heading 2 2 10 5 4 3" xfId="27574"/>
    <cellStyle name="Heading 2 2 10 5 5" xfId="27575"/>
    <cellStyle name="Heading 2 2 10 5 5 2" xfId="27576"/>
    <cellStyle name="Heading 2 2 10 5 5 2 2" xfId="27577"/>
    <cellStyle name="Heading 2 2 10 5 5 3" xfId="27578"/>
    <cellStyle name="Heading 2 2 10 5 6" xfId="27579"/>
    <cellStyle name="Heading 2 2 10 5 6 2" xfId="27580"/>
    <cellStyle name="Heading 2 2 10 5 6 2 2" xfId="27581"/>
    <cellStyle name="Heading 2 2 10 5 6 3" xfId="27582"/>
    <cellStyle name="Heading 2 2 10 5 7" xfId="27583"/>
    <cellStyle name="Heading 2 2 10 5 7 2" xfId="27584"/>
    <cellStyle name="Heading 2 2 10 5 7 2 2" xfId="27585"/>
    <cellStyle name="Heading 2 2 10 5 7 3" xfId="27586"/>
    <cellStyle name="Heading 2 2 10 5 8" xfId="27587"/>
    <cellStyle name="Heading 2 2 10 5 8 2" xfId="27588"/>
    <cellStyle name="Heading 2 2 10 5 9" xfId="27589"/>
    <cellStyle name="Heading 2 2 10 6" xfId="27590"/>
    <cellStyle name="Heading 2 2 10 6 2" xfId="27591"/>
    <cellStyle name="Heading 2 2 10 6 2 2" xfId="27592"/>
    <cellStyle name="Heading 2 2 10 6 2 2 2" xfId="27593"/>
    <cellStyle name="Heading 2 2 10 6 2 3" xfId="27594"/>
    <cellStyle name="Heading 2 2 10 6 3" xfId="27595"/>
    <cellStyle name="Heading 2 2 10 6 3 2" xfId="27596"/>
    <cellStyle name="Heading 2 2 10 6 3 2 2" xfId="27597"/>
    <cellStyle name="Heading 2 2 10 6 3 3" xfId="27598"/>
    <cellStyle name="Heading 2 2 10 6 4" xfId="27599"/>
    <cellStyle name="Heading 2 2 10 6 4 2" xfId="27600"/>
    <cellStyle name="Heading 2 2 10 6 4 2 2" xfId="27601"/>
    <cellStyle name="Heading 2 2 10 6 4 3" xfId="27602"/>
    <cellStyle name="Heading 2 2 10 6 5" xfId="27603"/>
    <cellStyle name="Heading 2 2 10 6 5 2" xfId="27604"/>
    <cellStyle name="Heading 2 2 10 6 5 2 2" xfId="27605"/>
    <cellStyle name="Heading 2 2 10 6 5 3" xfId="27606"/>
    <cellStyle name="Heading 2 2 10 6 6" xfId="27607"/>
    <cellStyle name="Heading 2 2 10 6 6 2" xfId="27608"/>
    <cellStyle name="Heading 2 2 10 6 6 2 2" xfId="27609"/>
    <cellStyle name="Heading 2 2 10 6 6 3" xfId="27610"/>
    <cellStyle name="Heading 2 2 10 6 7" xfId="27611"/>
    <cellStyle name="Heading 2 2 10 6 7 2" xfId="27612"/>
    <cellStyle name="Heading 2 2 10 6 7 2 2" xfId="27613"/>
    <cellStyle name="Heading 2 2 10 6 7 3" xfId="27614"/>
    <cellStyle name="Heading 2 2 10 6 8" xfId="27615"/>
    <cellStyle name="Heading 2 2 10 6 8 2" xfId="27616"/>
    <cellStyle name="Heading 2 2 10 6 9" xfId="27617"/>
    <cellStyle name="Heading 2 2 10 7" xfId="27618"/>
    <cellStyle name="Heading 2 2 10 7 2" xfId="27619"/>
    <cellStyle name="Heading 2 2 10 7 2 2" xfId="27620"/>
    <cellStyle name="Heading 2 2 10 7 2 2 2" xfId="27621"/>
    <cellStyle name="Heading 2 2 10 7 2 3" xfId="27622"/>
    <cellStyle name="Heading 2 2 10 7 3" xfId="27623"/>
    <cellStyle name="Heading 2 2 10 7 3 2" xfId="27624"/>
    <cellStyle name="Heading 2 2 10 7 3 2 2" xfId="27625"/>
    <cellStyle name="Heading 2 2 10 7 3 3" xfId="27626"/>
    <cellStyle name="Heading 2 2 10 7 4" xfId="27627"/>
    <cellStyle name="Heading 2 2 10 7 4 2" xfId="27628"/>
    <cellStyle name="Heading 2 2 10 7 4 2 2" xfId="27629"/>
    <cellStyle name="Heading 2 2 10 7 4 3" xfId="27630"/>
    <cellStyle name="Heading 2 2 10 7 5" xfId="27631"/>
    <cellStyle name="Heading 2 2 10 7 5 2" xfId="27632"/>
    <cellStyle name="Heading 2 2 10 7 5 2 2" xfId="27633"/>
    <cellStyle name="Heading 2 2 10 7 5 3" xfId="27634"/>
    <cellStyle name="Heading 2 2 10 7 6" xfId="27635"/>
    <cellStyle name="Heading 2 2 10 7 6 2" xfId="27636"/>
    <cellStyle name="Heading 2 2 10 7 6 2 2" xfId="27637"/>
    <cellStyle name="Heading 2 2 10 7 6 3" xfId="27638"/>
    <cellStyle name="Heading 2 2 10 7 7" xfId="27639"/>
    <cellStyle name="Heading 2 2 10 7 7 2" xfId="27640"/>
    <cellStyle name="Heading 2 2 10 7 7 2 2" xfId="27641"/>
    <cellStyle name="Heading 2 2 10 7 7 3" xfId="27642"/>
    <cellStyle name="Heading 2 2 10 7 8" xfId="27643"/>
    <cellStyle name="Heading 2 2 10 7 8 2" xfId="27644"/>
    <cellStyle name="Heading 2 2 10 7 9" xfId="27645"/>
    <cellStyle name="Heading 2 2 10 8" xfId="27646"/>
    <cellStyle name="Heading 2 2 10 8 2" xfId="27647"/>
    <cellStyle name="Heading 2 2 10 8 2 2" xfId="27648"/>
    <cellStyle name="Heading 2 2 10 8 2 2 2" xfId="27649"/>
    <cellStyle name="Heading 2 2 10 8 2 3" xfId="27650"/>
    <cellStyle name="Heading 2 2 10 8 3" xfId="27651"/>
    <cellStyle name="Heading 2 2 10 8 3 2" xfId="27652"/>
    <cellStyle name="Heading 2 2 10 8 3 2 2" xfId="27653"/>
    <cellStyle name="Heading 2 2 10 8 3 3" xfId="27654"/>
    <cellStyle name="Heading 2 2 10 8 4" xfId="27655"/>
    <cellStyle name="Heading 2 2 10 8 4 2" xfId="27656"/>
    <cellStyle name="Heading 2 2 10 8 4 2 2" xfId="27657"/>
    <cellStyle name="Heading 2 2 10 8 4 3" xfId="27658"/>
    <cellStyle name="Heading 2 2 10 8 5" xfId="27659"/>
    <cellStyle name="Heading 2 2 10 8 5 2" xfId="27660"/>
    <cellStyle name="Heading 2 2 10 8 5 2 2" xfId="27661"/>
    <cellStyle name="Heading 2 2 10 8 5 3" xfId="27662"/>
    <cellStyle name="Heading 2 2 10 8 6" xfId="27663"/>
    <cellStyle name="Heading 2 2 10 8 6 2" xfId="27664"/>
    <cellStyle name="Heading 2 2 10 8 6 2 2" xfId="27665"/>
    <cellStyle name="Heading 2 2 10 8 6 3" xfId="27666"/>
    <cellStyle name="Heading 2 2 10 8 7" xfId="27667"/>
    <cellStyle name="Heading 2 2 10 8 7 2" xfId="27668"/>
    <cellStyle name="Heading 2 2 10 8 7 2 2" xfId="27669"/>
    <cellStyle name="Heading 2 2 10 8 7 3" xfId="27670"/>
    <cellStyle name="Heading 2 2 10 8 8" xfId="27671"/>
    <cellStyle name="Heading 2 2 10 8 8 2" xfId="27672"/>
    <cellStyle name="Heading 2 2 10 8 9" xfId="27673"/>
    <cellStyle name="Heading 2 2 10 9" xfId="27674"/>
    <cellStyle name="Heading 2 2 10 9 2" xfId="27675"/>
    <cellStyle name="Heading 2 2 10 9 2 2" xfId="27676"/>
    <cellStyle name="Heading 2 2 10 9 2 2 2" xfId="27677"/>
    <cellStyle name="Heading 2 2 10 9 2 3" xfId="27678"/>
    <cellStyle name="Heading 2 2 10 9 3" xfId="27679"/>
    <cellStyle name="Heading 2 2 10 9 3 2" xfId="27680"/>
    <cellStyle name="Heading 2 2 10 9 3 2 2" xfId="27681"/>
    <cellStyle name="Heading 2 2 10 9 3 3" xfId="27682"/>
    <cellStyle name="Heading 2 2 10 9 4" xfId="27683"/>
    <cellStyle name="Heading 2 2 10 9 4 2" xfId="27684"/>
    <cellStyle name="Heading 2 2 10 9 4 2 2" xfId="27685"/>
    <cellStyle name="Heading 2 2 10 9 4 3" xfId="27686"/>
    <cellStyle name="Heading 2 2 10 9 5" xfId="27687"/>
    <cellStyle name="Heading 2 2 10 9 5 2" xfId="27688"/>
    <cellStyle name="Heading 2 2 10 9 5 2 2" xfId="27689"/>
    <cellStyle name="Heading 2 2 10 9 5 3" xfId="27690"/>
    <cellStyle name="Heading 2 2 10 9 6" xfId="27691"/>
    <cellStyle name="Heading 2 2 10 9 6 2" xfId="27692"/>
    <cellStyle name="Heading 2 2 10 9 6 2 2" xfId="27693"/>
    <cellStyle name="Heading 2 2 10 9 6 3" xfId="27694"/>
    <cellStyle name="Heading 2 2 10 9 7" xfId="27695"/>
    <cellStyle name="Heading 2 2 10 9 7 2" xfId="27696"/>
    <cellStyle name="Heading 2 2 10 9 7 2 2" xfId="27697"/>
    <cellStyle name="Heading 2 2 10 9 7 3" xfId="27698"/>
    <cellStyle name="Heading 2 2 10 9 8" xfId="27699"/>
    <cellStyle name="Heading 2 2 10 9 8 2" xfId="27700"/>
    <cellStyle name="Heading 2 2 10 9 9" xfId="27701"/>
    <cellStyle name="Heading 2 2 11" xfId="27702"/>
    <cellStyle name="Heading 2 2 11 2" xfId="27703"/>
    <cellStyle name="Heading 2 2 11 2 2" xfId="27704"/>
    <cellStyle name="Heading 2 2 11 3" xfId="27705"/>
    <cellStyle name="Heading 2 2 11 3 2" xfId="27706"/>
    <cellStyle name="Heading 2 2 11 4" xfId="27707"/>
    <cellStyle name="Heading 2 2 12" xfId="27708"/>
    <cellStyle name="Heading 2 2 12 2" xfId="27709"/>
    <cellStyle name="Heading 2 2 2" xfId="27710"/>
    <cellStyle name="Heading 2 2 2 10" xfId="27711"/>
    <cellStyle name="Heading 2 2 2 10 2" xfId="27712"/>
    <cellStyle name="Heading 2 2 2 10 2 2" xfId="27713"/>
    <cellStyle name="Heading 2 2 2 10 3" xfId="27714"/>
    <cellStyle name="Heading 2 2 2 10 3 2" xfId="27715"/>
    <cellStyle name="Heading 2 2 2 10 4" xfId="27716"/>
    <cellStyle name="Heading 2 2 2 11" xfId="27717"/>
    <cellStyle name="Heading 2 2 2 11 2" xfId="27718"/>
    <cellStyle name="Heading 2 2 2 11 2 2" xfId="27719"/>
    <cellStyle name="Heading 2 2 2 11 3" xfId="27720"/>
    <cellStyle name="Heading 2 2 2 12" xfId="27721"/>
    <cellStyle name="Heading 2 2 2 12 2" xfId="27722"/>
    <cellStyle name="Heading 2 2 2 2" xfId="27723"/>
    <cellStyle name="Heading 2 2 2 2 10" xfId="27724"/>
    <cellStyle name="Heading 2 2 2 2 10 2" xfId="27725"/>
    <cellStyle name="Heading 2 2 2 2 10 2 2" xfId="27726"/>
    <cellStyle name="Heading 2 2 2 2 10 3" xfId="27727"/>
    <cellStyle name="Heading 2 2 2 2 10 3 2" xfId="27728"/>
    <cellStyle name="Heading 2 2 2 2 10 4" xfId="27729"/>
    <cellStyle name="Heading 2 2 2 2 11" xfId="27730"/>
    <cellStyle name="Heading 2 2 2 2 11 2" xfId="27731"/>
    <cellStyle name="Heading 2 2 2 2 11 2 2" xfId="27732"/>
    <cellStyle name="Heading 2 2 2 2 11 3" xfId="27733"/>
    <cellStyle name="Heading 2 2 2 2 11 3 2" xfId="27734"/>
    <cellStyle name="Heading 2 2 2 2 11 4" xfId="27735"/>
    <cellStyle name="Heading 2 2 2 2 12" xfId="27736"/>
    <cellStyle name="Heading 2 2 2 2 12 2" xfId="27737"/>
    <cellStyle name="Heading 2 2 2 2 12 2 2" xfId="27738"/>
    <cellStyle name="Heading 2 2 2 2 12 3" xfId="27739"/>
    <cellStyle name="Heading 2 2 2 2 12 3 2" xfId="27740"/>
    <cellStyle name="Heading 2 2 2 2 12 4" xfId="27741"/>
    <cellStyle name="Heading 2 2 2 2 13" xfId="27742"/>
    <cellStyle name="Heading 2 2 2 2 13 2" xfId="27743"/>
    <cellStyle name="Heading 2 2 2 2 13 2 2" xfId="27744"/>
    <cellStyle name="Heading 2 2 2 2 13 3" xfId="27745"/>
    <cellStyle name="Heading 2 2 2 2 13 3 2" xfId="27746"/>
    <cellStyle name="Heading 2 2 2 2 13 4" xfId="27747"/>
    <cellStyle name="Heading 2 2 2 2 14" xfId="27748"/>
    <cellStyle name="Heading 2 2 2 2 14 2" xfId="27749"/>
    <cellStyle name="Heading 2 2 2 2 14 2 2" xfId="27750"/>
    <cellStyle name="Heading 2 2 2 2 14 3" xfId="27751"/>
    <cellStyle name="Heading 2 2 2 2 14 3 2" xfId="27752"/>
    <cellStyle name="Heading 2 2 2 2 14 4" xfId="27753"/>
    <cellStyle name="Heading 2 2 2 2 15" xfId="27754"/>
    <cellStyle name="Heading 2 2 2 2 15 2" xfId="27755"/>
    <cellStyle name="Heading 2 2 2 2 15 2 2" xfId="27756"/>
    <cellStyle name="Heading 2 2 2 2 15 3" xfId="27757"/>
    <cellStyle name="Heading 2 2 2 2 15 3 2" xfId="27758"/>
    <cellStyle name="Heading 2 2 2 2 15 4" xfId="27759"/>
    <cellStyle name="Heading 2 2 2 2 16" xfId="27760"/>
    <cellStyle name="Heading 2 2 2 2 16 2" xfId="27761"/>
    <cellStyle name="Heading 2 2 2 2 16 2 2" xfId="27762"/>
    <cellStyle name="Heading 2 2 2 2 16 3" xfId="27763"/>
    <cellStyle name="Heading 2 2 2 2 16 3 2" xfId="27764"/>
    <cellStyle name="Heading 2 2 2 2 16 4" xfId="27765"/>
    <cellStyle name="Heading 2 2 2 2 17" xfId="27766"/>
    <cellStyle name="Heading 2 2 2 2 17 2" xfId="27767"/>
    <cellStyle name="Heading 2 2 2 2 17 2 2" xfId="27768"/>
    <cellStyle name="Heading 2 2 2 2 17 3" xfId="27769"/>
    <cellStyle name="Heading 2 2 2 2 17 3 2" xfId="27770"/>
    <cellStyle name="Heading 2 2 2 2 17 4" xfId="27771"/>
    <cellStyle name="Heading 2 2 2 2 18" xfId="27772"/>
    <cellStyle name="Heading 2 2 2 2 18 2" xfId="27773"/>
    <cellStyle name="Heading 2 2 2 2 18 2 2" xfId="27774"/>
    <cellStyle name="Heading 2 2 2 2 18 3" xfId="27775"/>
    <cellStyle name="Heading 2 2 2 2 18 3 2" xfId="27776"/>
    <cellStyle name="Heading 2 2 2 2 18 4" xfId="27777"/>
    <cellStyle name="Heading 2 2 2 2 19" xfId="27778"/>
    <cellStyle name="Heading 2 2 2 2 19 2" xfId="27779"/>
    <cellStyle name="Heading 2 2 2 2 2" xfId="27780"/>
    <cellStyle name="Heading 2 2 2 2 2 2" xfId="27781"/>
    <cellStyle name="Heading 2 2 2 2 2 2 10" xfId="27782"/>
    <cellStyle name="Heading 2 2 2 2 2 2 10 2" xfId="27783"/>
    <cellStyle name="Heading 2 2 2 2 2 2 10 2 2" xfId="27784"/>
    <cellStyle name="Heading 2 2 2 2 2 2 10 3" xfId="27785"/>
    <cellStyle name="Heading 2 2 2 2 2 2 11" xfId="27786"/>
    <cellStyle name="Heading 2 2 2 2 2 2 11 2" xfId="27787"/>
    <cellStyle name="Heading 2 2 2 2 2 2 11 2 2" xfId="27788"/>
    <cellStyle name="Heading 2 2 2 2 2 2 11 3" xfId="27789"/>
    <cellStyle name="Heading 2 2 2 2 2 2 12" xfId="27790"/>
    <cellStyle name="Heading 2 2 2 2 2 2 12 2" xfId="27791"/>
    <cellStyle name="Heading 2 2 2 2 2 2 12 2 2" xfId="27792"/>
    <cellStyle name="Heading 2 2 2 2 2 2 12 3" xfId="27793"/>
    <cellStyle name="Heading 2 2 2 2 2 2 13" xfId="27794"/>
    <cellStyle name="Heading 2 2 2 2 2 2 13 2" xfId="27795"/>
    <cellStyle name="Heading 2 2 2 2 2 2 13 2 2" xfId="27796"/>
    <cellStyle name="Heading 2 2 2 2 2 2 13 3" xfId="27797"/>
    <cellStyle name="Heading 2 2 2 2 2 2 14" xfId="27798"/>
    <cellStyle name="Heading 2 2 2 2 2 2 14 2" xfId="27799"/>
    <cellStyle name="Heading 2 2 2 2 2 2 14 2 2" xfId="27800"/>
    <cellStyle name="Heading 2 2 2 2 2 2 14 3" xfId="27801"/>
    <cellStyle name="Heading 2 2 2 2 2 2 15" xfId="27802"/>
    <cellStyle name="Heading 2 2 2 2 2 2 15 2" xfId="27803"/>
    <cellStyle name="Heading 2 2 2 2 2 2 15 2 2" xfId="27804"/>
    <cellStyle name="Heading 2 2 2 2 2 2 15 3" xfId="27805"/>
    <cellStyle name="Heading 2 2 2 2 2 2 16" xfId="27806"/>
    <cellStyle name="Heading 2 2 2 2 2 2 16 2" xfId="27807"/>
    <cellStyle name="Heading 2 2 2 2 2 2 16 2 2" xfId="27808"/>
    <cellStyle name="Heading 2 2 2 2 2 2 16 3" xfId="27809"/>
    <cellStyle name="Heading 2 2 2 2 2 2 17" xfId="27810"/>
    <cellStyle name="Heading 2 2 2 2 2 2 17 2" xfId="27811"/>
    <cellStyle name="Heading 2 2 2 2 2 2 17 2 2" xfId="27812"/>
    <cellStyle name="Heading 2 2 2 2 2 2 17 3" xfId="27813"/>
    <cellStyle name="Heading 2 2 2 2 2 2 18" xfId="27814"/>
    <cellStyle name="Heading 2 2 2 2 2 2 18 2" xfId="27815"/>
    <cellStyle name="Heading 2 2 2 2 2 2 18 2 2" xfId="27816"/>
    <cellStyle name="Heading 2 2 2 2 2 2 18 3" xfId="27817"/>
    <cellStyle name="Heading 2 2 2 2 2 2 19" xfId="27818"/>
    <cellStyle name="Heading 2 2 2 2 2 2 19 2" xfId="27819"/>
    <cellStyle name="Heading 2 2 2 2 2 2 19 2 2" xfId="27820"/>
    <cellStyle name="Heading 2 2 2 2 2 2 19 3" xfId="27821"/>
    <cellStyle name="Heading 2 2 2 2 2 2 2" xfId="27822"/>
    <cellStyle name="Heading 2 2 2 2 2 2 2 10" xfId="27823"/>
    <cellStyle name="Heading 2 2 2 2 2 2 2 10 2" xfId="27824"/>
    <cellStyle name="Heading 2 2 2 2 2 2 2 10 2 2" xfId="27825"/>
    <cellStyle name="Heading 2 2 2 2 2 2 2 10 3" xfId="27826"/>
    <cellStyle name="Heading 2 2 2 2 2 2 2 11" xfId="27827"/>
    <cellStyle name="Heading 2 2 2 2 2 2 2 11 2" xfId="27828"/>
    <cellStyle name="Heading 2 2 2 2 2 2 2 11 2 2" xfId="27829"/>
    <cellStyle name="Heading 2 2 2 2 2 2 2 11 3" xfId="27830"/>
    <cellStyle name="Heading 2 2 2 2 2 2 2 12" xfId="27831"/>
    <cellStyle name="Heading 2 2 2 2 2 2 2 12 2" xfId="27832"/>
    <cellStyle name="Heading 2 2 2 2 2 2 2 12 2 2" xfId="27833"/>
    <cellStyle name="Heading 2 2 2 2 2 2 2 12 3" xfId="27834"/>
    <cellStyle name="Heading 2 2 2 2 2 2 2 13" xfId="27835"/>
    <cellStyle name="Heading 2 2 2 2 2 2 2 13 2" xfId="27836"/>
    <cellStyle name="Heading 2 2 2 2 2 2 2 13 2 2" xfId="27837"/>
    <cellStyle name="Heading 2 2 2 2 2 2 2 13 3" xfId="27838"/>
    <cellStyle name="Heading 2 2 2 2 2 2 2 14" xfId="27839"/>
    <cellStyle name="Heading 2 2 2 2 2 2 2 14 2" xfId="27840"/>
    <cellStyle name="Heading 2 2 2 2 2 2 2 14 2 2" xfId="27841"/>
    <cellStyle name="Heading 2 2 2 2 2 2 2 14 3" xfId="27842"/>
    <cellStyle name="Heading 2 2 2 2 2 2 2 15" xfId="27843"/>
    <cellStyle name="Heading 2 2 2 2 2 2 2 15 2" xfId="27844"/>
    <cellStyle name="Heading 2 2 2 2 2 2 2 15 2 2" xfId="27845"/>
    <cellStyle name="Heading 2 2 2 2 2 2 2 15 3" xfId="27846"/>
    <cellStyle name="Heading 2 2 2 2 2 2 2 16" xfId="27847"/>
    <cellStyle name="Heading 2 2 2 2 2 2 2 16 2" xfId="27848"/>
    <cellStyle name="Heading 2 2 2 2 2 2 2 16 2 2" xfId="27849"/>
    <cellStyle name="Heading 2 2 2 2 2 2 2 16 3" xfId="27850"/>
    <cellStyle name="Heading 2 2 2 2 2 2 2 17" xfId="27851"/>
    <cellStyle name="Heading 2 2 2 2 2 2 2 17 2" xfId="27852"/>
    <cellStyle name="Heading 2 2 2 2 2 2 2 17 2 2" xfId="27853"/>
    <cellStyle name="Heading 2 2 2 2 2 2 2 17 3" xfId="27854"/>
    <cellStyle name="Heading 2 2 2 2 2 2 2 18" xfId="27855"/>
    <cellStyle name="Heading 2 2 2 2 2 2 2 18 2" xfId="27856"/>
    <cellStyle name="Heading 2 2 2 2 2 2 2 18 2 2" xfId="27857"/>
    <cellStyle name="Heading 2 2 2 2 2 2 2 18 3" xfId="27858"/>
    <cellStyle name="Heading 2 2 2 2 2 2 2 19" xfId="27859"/>
    <cellStyle name="Heading 2 2 2 2 2 2 2 19 2" xfId="27860"/>
    <cellStyle name="Heading 2 2 2 2 2 2 2 2" xfId="27861"/>
    <cellStyle name="Heading 2 2 2 2 2 2 2 2 2" xfId="27862"/>
    <cellStyle name="Heading 2 2 2 2 2 2 2 2 2 2" xfId="27863"/>
    <cellStyle name="Heading 2 2 2 2 2 2 2 2 2 2 2" xfId="27864"/>
    <cellStyle name="Heading 2 2 2 2 2 2 2 2 2 3" xfId="27865"/>
    <cellStyle name="Heading 2 2 2 2 2 2 2 2 3" xfId="27866"/>
    <cellStyle name="Heading 2 2 2 2 2 2 2 2 3 2" xfId="27867"/>
    <cellStyle name="Heading 2 2 2 2 2 2 2 2 3 2 2" xfId="27868"/>
    <cellStyle name="Heading 2 2 2 2 2 2 2 2 3 3" xfId="27869"/>
    <cellStyle name="Heading 2 2 2 2 2 2 2 2 4" xfId="27870"/>
    <cellStyle name="Heading 2 2 2 2 2 2 2 2 4 2" xfId="27871"/>
    <cellStyle name="Heading 2 2 2 2 2 2 2 2 4 2 2" xfId="27872"/>
    <cellStyle name="Heading 2 2 2 2 2 2 2 2 4 3" xfId="27873"/>
    <cellStyle name="Heading 2 2 2 2 2 2 2 2 5" xfId="27874"/>
    <cellStyle name="Heading 2 2 2 2 2 2 2 2 5 2" xfId="27875"/>
    <cellStyle name="Heading 2 2 2 2 2 2 2 2 5 2 2" xfId="27876"/>
    <cellStyle name="Heading 2 2 2 2 2 2 2 2 5 3" xfId="27877"/>
    <cellStyle name="Heading 2 2 2 2 2 2 2 2 6" xfId="27878"/>
    <cellStyle name="Heading 2 2 2 2 2 2 2 2 6 2" xfId="27879"/>
    <cellStyle name="Heading 2 2 2 2 2 2 2 2 6 2 2" xfId="27880"/>
    <cellStyle name="Heading 2 2 2 2 2 2 2 2 6 3" xfId="27881"/>
    <cellStyle name="Heading 2 2 2 2 2 2 2 2 7" xfId="27882"/>
    <cellStyle name="Heading 2 2 2 2 2 2 2 2 7 2" xfId="27883"/>
    <cellStyle name="Heading 2 2 2 2 2 2 2 2 7 2 2" xfId="27884"/>
    <cellStyle name="Heading 2 2 2 2 2 2 2 2 7 3" xfId="27885"/>
    <cellStyle name="Heading 2 2 2 2 2 2 2 2 8" xfId="27886"/>
    <cellStyle name="Heading 2 2 2 2 2 2 2 2 8 2" xfId="27887"/>
    <cellStyle name="Heading 2 2 2 2 2 2 2 2 9" xfId="27888"/>
    <cellStyle name="Heading 2 2 2 2 2 2 2 20" xfId="27889"/>
    <cellStyle name="Heading 2 2 2 2 2 2 2 20 2" xfId="27890"/>
    <cellStyle name="Heading 2 2 2 2 2 2 2 21" xfId="27891"/>
    <cellStyle name="Heading 2 2 2 2 2 2 2 21 2" xfId="27892"/>
    <cellStyle name="Heading 2 2 2 2 2 2 2 22" xfId="27893"/>
    <cellStyle name="Heading 2 2 2 2 2 2 2 3" xfId="27894"/>
    <cellStyle name="Heading 2 2 2 2 2 2 2 3 2" xfId="27895"/>
    <cellStyle name="Heading 2 2 2 2 2 2 2 3 2 2" xfId="27896"/>
    <cellStyle name="Heading 2 2 2 2 2 2 2 3 2 2 2" xfId="27897"/>
    <cellStyle name="Heading 2 2 2 2 2 2 2 3 2 3" xfId="27898"/>
    <cellStyle name="Heading 2 2 2 2 2 2 2 3 3" xfId="27899"/>
    <cellStyle name="Heading 2 2 2 2 2 2 2 3 3 2" xfId="27900"/>
    <cellStyle name="Heading 2 2 2 2 2 2 2 3 3 2 2" xfId="27901"/>
    <cellStyle name="Heading 2 2 2 2 2 2 2 3 3 3" xfId="27902"/>
    <cellStyle name="Heading 2 2 2 2 2 2 2 3 4" xfId="27903"/>
    <cellStyle name="Heading 2 2 2 2 2 2 2 3 4 2" xfId="27904"/>
    <cellStyle name="Heading 2 2 2 2 2 2 2 3 4 2 2" xfId="27905"/>
    <cellStyle name="Heading 2 2 2 2 2 2 2 3 4 3" xfId="27906"/>
    <cellStyle name="Heading 2 2 2 2 2 2 2 3 5" xfId="27907"/>
    <cellStyle name="Heading 2 2 2 2 2 2 2 3 5 2" xfId="27908"/>
    <cellStyle name="Heading 2 2 2 2 2 2 2 3 5 2 2" xfId="27909"/>
    <cellStyle name="Heading 2 2 2 2 2 2 2 3 5 3" xfId="27910"/>
    <cellStyle name="Heading 2 2 2 2 2 2 2 3 6" xfId="27911"/>
    <cellStyle name="Heading 2 2 2 2 2 2 2 3 6 2" xfId="27912"/>
    <cellStyle name="Heading 2 2 2 2 2 2 2 3 6 2 2" xfId="27913"/>
    <cellStyle name="Heading 2 2 2 2 2 2 2 3 6 3" xfId="27914"/>
    <cellStyle name="Heading 2 2 2 2 2 2 2 3 7" xfId="27915"/>
    <cellStyle name="Heading 2 2 2 2 2 2 2 3 7 2" xfId="27916"/>
    <cellStyle name="Heading 2 2 2 2 2 2 2 3 7 2 2" xfId="27917"/>
    <cellStyle name="Heading 2 2 2 2 2 2 2 3 7 3" xfId="27918"/>
    <cellStyle name="Heading 2 2 2 2 2 2 2 3 8" xfId="27919"/>
    <cellStyle name="Heading 2 2 2 2 2 2 2 3 8 2" xfId="27920"/>
    <cellStyle name="Heading 2 2 2 2 2 2 2 3 9" xfId="27921"/>
    <cellStyle name="Heading 2 2 2 2 2 2 2 4" xfId="27922"/>
    <cellStyle name="Heading 2 2 2 2 2 2 2 4 2" xfId="27923"/>
    <cellStyle name="Heading 2 2 2 2 2 2 2 4 2 2" xfId="27924"/>
    <cellStyle name="Heading 2 2 2 2 2 2 2 4 2 2 2" xfId="27925"/>
    <cellStyle name="Heading 2 2 2 2 2 2 2 4 2 3" xfId="27926"/>
    <cellStyle name="Heading 2 2 2 2 2 2 2 4 3" xfId="27927"/>
    <cellStyle name="Heading 2 2 2 2 2 2 2 4 3 2" xfId="27928"/>
    <cellStyle name="Heading 2 2 2 2 2 2 2 4 3 2 2" xfId="27929"/>
    <cellStyle name="Heading 2 2 2 2 2 2 2 4 3 3" xfId="27930"/>
    <cellStyle name="Heading 2 2 2 2 2 2 2 4 4" xfId="27931"/>
    <cellStyle name="Heading 2 2 2 2 2 2 2 4 4 2" xfId="27932"/>
    <cellStyle name="Heading 2 2 2 2 2 2 2 4 4 2 2" xfId="27933"/>
    <cellStyle name="Heading 2 2 2 2 2 2 2 4 4 3" xfId="27934"/>
    <cellStyle name="Heading 2 2 2 2 2 2 2 4 5" xfId="27935"/>
    <cellStyle name="Heading 2 2 2 2 2 2 2 4 5 2" xfId="27936"/>
    <cellStyle name="Heading 2 2 2 2 2 2 2 4 5 2 2" xfId="27937"/>
    <cellStyle name="Heading 2 2 2 2 2 2 2 4 5 3" xfId="27938"/>
    <cellStyle name="Heading 2 2 2 2 2 2 2 4 6" xfId="27939"/>
    <cellStyle name="Heading 2 2 2 2 2 2 2 4 6 2" xfId="27940"/>
    <cellStyle name="Heading 2 2 2 2 2 2 2 4 6 2 2" xfId="27941"/>
    <cellStyle name="Heading 2 2 2 2 2 2 2 4 6 3" xfId="27942"/>
    <cellStyle name="Heading 2 2 2 2 2 2 2 4 7" xfId="27943"/>
    <cellStyle name="Heading 2 2 2 2 2 2 2 4 7 2" xfId="27944"/>
    <cellStyle name="Heading 2 2 2 2 2 2 2 4 7 2 2" xfId="27945"/>
    <cellStyle name="Heading 2 2 2 2 2 2 2 4 7 3" xfId="27946"/>
    <cellStyle name="Heading 2 2 2 2 2 2 2 4 8" xfId="27947"/>
    <cellStyle name="Heading 2 2 2 2 2 2 2 4 8 2" xfId="27948"/>
    <cellStyle name="Heading 2 2 2 2 2 2 2 4 9" xfId="27949"/>
    <cellStyle name="Heading 2 2 2 2 2 2 2 5" xfId="27950"/>
    <cellStyle name="Heading 2 2 2 2 2 2 2 5 2" xfId="27951"/>
    <cellStyle name="Heading 2 2 2 2 2 2 2 5 2 2" xfId="27952"/>
    <cellStyle name="Heading 2 2 2 2 2 2 2 5 2 2 2" xfId="27953"/>
    <cellStyle name="Heading 2 2 2 2 2 2 2 5 2 3" xfId="27954"/>
    <cellStyle name="Heading 2 2 2 2 2 2 2 5 3" xfId="27955"/>
    <cellStyle name="Heading 2 2 2 2 2 2 2 5 3 2" xfId="27956"/>
    <cellStyle name="Heading 2 2 2 2 2 2 2 5 3 2 2" xfId="27957"/>
    <cellStyle name="Heading 2 2 2 2 2 2 2 5 3 3" xfId="27958"/>
    <cellStyle name="Heading 2 2 2 2 2 2 2 5 4" xfId="27959"/>
    <cellStyle name="Heading 2 2 2 2 2 2 2 5 4 2" xfId="27960"/>
    <cellStyle name="Heading 2 2 2 2 2 2 2 5 4 2 2" xfId="27961"/>
    <cellStyle name="Heading 2 2 2 2 2 2 2 5 4 3" xfId="27962"/>
    <cellStyle name="Heading 2 2 2 2 2 2 2 5 5" xfId="27963"/>
    <cellStyle name="Heading 2 2 2 2 2 2 2 5 5 2" xfId="27964"/>
    <cellStyle name="Heading 2 2 2 2 2 2 2 5 5 2 2" xfId="27965"/>
    <cellStyle name="Heading 2 2 2 2 2 2 2 5 5 3" xfId="27966"/>
    <cellStyle name="Heading 2 2 2 2 2 2 2 5 6" xfId="27967"/>
    <cellStyle name="Heading 2 2 2 2 2 2 2 5 6 2" xfId="27968"/>
    <cellStyle name="Heading 2 2 2 2 2 2 2 5 6 2 2" xfId="27969"/>
    <cellStyle name="Heading 2 2 2 2 2 2 2 5 6 3" xfId="27970"/>
    <cellStyle name="Heading 2 2 2 2 2 2 2 5 7" xfId="27971"/>
    <cellStyle name="Heading 2 2 2 2 2 2 2 5 7 2" xfId="27972"/>
    <cellStyle name="Heading 2 2 2 2 2 2 2 5 7 2 2" xfId="27973"/>
    <cellStyle name="Heading 2 2 2 2 2 2 2 5 7 3" xfId="27974"/>
    <cellStyle name="Heading 2 2 2 2 2 2 2 5 8" xfId="27975"/>
    <cellStyle name="Heading 2 2 2 2 2 2 2 5 8 2" xfId="27976"/>
    <cellStyle name="Heading 2 2 2 2 2 2 2 5 9" xfId="27977"/>
    <cellStyle name="Heading 2 2 2 2 2 2 2 6" xfId="27978"/>
    <cellStyle name="Heading 2 2 2 2 2 2 2 6 2" xfId="27979"/>
    <cellStyle name="Heading 2 2 2 2 2 2 2 6 2 2" xfId="27980"/>
    <cellStyle name="Heading 2 2 2 2 2 2 2 6 2 2 2" xfId="27981"/>
    <cellStyle name="Heading 2 2 2 2 2 2 2 6 2 3" xfId="27982"/>
    <cellStyle name="Heading 2 2 2 2 2 2 2 6 3" xfId="27983"/>
    <cellStyle name="Heading 2 2 2 2 2 2 2 6 3 2" xfId="27984"/>
    <cellStyle name="Heading 2 2 2 2 2 2 2 6 3 2 2" xfId="27985"/>
    <cellStyle name="Heading 2 2 2 2 2 2 2 6 3 3" xfId="27986"/>
    <cellStyle name="Heading 2 2 2 2 2 2 2 6 4" xfId="27987"/>
    <cellStyle name="Heading 2 2 2 2 2 2 2 6 4 2" xfId="27988"/>
    <cellStyle name="Heading 2 2 2 2 2 2 2 6 4 2 2" xfId="27989"/>
    <cellStyle name="Heading 2 2 2 2 2 2 2 6 4 3" xfId="27990"/>
    <cellStyle name="Heading 2 2 2 2 2 2 2 6 5" xfId="27991"/>
    <cellStyle name="Heading 2 2 2 2 2 2 2 6 5 2" xfId="27992"/>
    <cellStyle name="Heading 2 2 2 2 2 2 2 6 5 2 2" xfId="27993"/>
    <cellStyle name="Heading 2 2 2 2 2 2 2 6 5 3" xfId="27994"/>
    <cellStyle name="Heading 2 2 2 2 2 2 2 6 6" xfId="27995"/>
    <cellStyle name="Heading 2 2 2 2 2 2 2 6 6 2" xfId="27996"/>
    <cellStyle name="Heading 2 2 2 2 2 2 2 6 6 2 2" xfId="27997"/>
    <cellStyle name="Heading 2 2 2 2 2 2 2 6 6 3" xfId="27998"/>
    <cellStyle name="Heading 2 2 2 2 2 2 2 6 7" xfId="27999"/>
    <cellStyle name="Heading 2 2 2 2 2 2 2 6 7 2" xfId="28000"/>
    <cellStyle name="Heading 2 2 2 2 2 2 2 6 7 2 2" xfId="28001"/>
    <cellStyle name="Heading 2 2 2 2 2 2 2 6 7 3" xfId="28002"/>
    <cellStyle name="Heading 2 2 2 2 2 2 2 6 8" xfId="28003"/>
    <cellStyle name="Heading 2 2 2 2 2 2 2 6 8 2" xfId="28004"/>
    <cellStyle name="Heading 2 2 2 2 2 2 2 6 9" xfId="28005"/>
    <cellStyle name="Heading 2 2 2 2 2 2 2 7" xfId="28006"/>
    <cellStyle name="Heading 2 2 2 2 2 2 2 7 2" xfId="28007"/>
    <cellStyle name="Heading 2 2 2 2 2 2 2 7 2 2" xfId="28008"/>
    <cellStyle name="Heading 2 2 2 2 2 2 2 7 2 2 2" xfId="28009"/>
    <cellStyle name="Heading 2 2 2 2 2 2 2 7 2 3" xfId="28010"/>
    <cellStyle name="Heading 2 2 2 2 2 2 2 7 3" xfId="28011"/>
    <cellStyle name="Heading 2 2 2 2 2 2 2 7 3 2" xfId="28012"/>
    <cellStyle name="Heading 2 2 2 2 2 2 2 7 3 2 2" xfId="28013"/>
    <cellStyle name="Heading 2 2 2 2 2 2 2 7 3 3" xfId="28014"/>
    <cellStyle name="Heading 2 2 2 2 2 2 2 7 4" xfId="28015"/>
    <cellStyle name="Heading 2 2 2 2 2 2 2 7 4 2" xfId="28016"/>
    <cellStyle name="Heading 2 2 2 2 2 2 2 7 4 2 2" xfId="28017"/>
    <cellStyle name="Heading 2 2 2 2 2 2 2 7 4 3" xfId="28018"/>
    <cellStyle name="Heading 2 2 2 2 2 2 2 7 5" xfId="28019"/>
    <cellStyle name="Heading 2 2 2 2 2 2 2 7 5 2" xfId="28020"/>
    <cellStyle name="Heading 2 2 2 2 2 2 2 7 5 2 2" xfId="28021"/>
    <cellStyle name="Heading 2 2 2 2 2 2 2 7 5 3" xfId="28022"/>
    <cellStyle name="Heading 2 2 2 2 2 2 2 7 6" xfId="28023"/>
    <cellStyle name="Heading 2 2 2 2 2 2 2 7 6 2" xfId="28024"/>
    <cellStyle name="Heading 2 2 2 2 2 2 2 7 6 2 2" xfId="28025"/>
    <cellStyle name="Heading 2 2 2 2 2 2 2 7 6 3" xfId="28026"/>
    <cellStyle name="Heading 2 2 2 2 2 2 2 7 7" xfId="28027"/>
    <cellStyle name="Heading 2 2 2 2 2 2 2 7 7 2" xfId="28028"/>
    <cellStyle name="Heading 2 2 2 2 2 2 2 7 7 2 2" xfId="28029"/>
    <cellStyle name="Heading 2 2 2 2 2 2 2 7 7 3" xfId="28030"/>
    <cellStyle name="Heading 2 2 2 2 2 2 2 7 8" xfId="28031"/>
    <cellStyle name="Heading 2 2 2 2 2 2 2 7 8 2" xfId="28032"/>
    <cellStyle name="Heading 2 2 2 2 2 2 2 7 9" xfId="28033"/>
    <cellStyle name="Heading 2 2 2 2 2 2 2 8" xfId="28034"/>
    <cellStyle name="Heading 2 2 2 2 2 2 2 8 2" xfId="28035"/>
    <cellStyle name="Heading 2 2 2 2 2 2 2 8 2 2" xfId="28036"/>
    <cellStyle name="Heading 2 2 2 2 2 2 2 8 2 2 2" xfId="28037"/>
    <cellStyle name="Heading 2 2 2 2 2 2 2 8 2 3" xfId="28038"/>
    <cellStyle name="Heading 2 2 2 2 2 2 2 8 3" xfId="28039"/>
    <cellStyle name="Heading 2 2 2 2 2 2 2 8 3 2" xfId="28040"/>
    <cellStyle name="Heading 2 2 2 2 2 2 2 8 3 2 2" xfId="28041"/>
    <cellStyle name="Heading 2 2 2 2 2 2 2 8 3 3" xfId="28042"/>
    <cellStyle name="Heading 2 2 2 2 2 2 2 8 4" xfId="28043"/>
    <cellStyle name="Heading 2 2 2 2 2 2 2 8 4 2" xfId="28044"/>
    <cellStyle name="Heading 2 2 2 2 2 2 2 8 4 2 2" xfId="28045"/>
    <cellStyle name="Heading 2 2 2 2 2 2 2 8 4 3" xfId="28046"/>
    <cellStyle name="Heading 2 2 2 2 2 2 2 8 5" xfId="28047"/>
    <cellStyle name="Heading 2 2 2 2 2 2 2 8 5 2" xfId="28048"/>
    <cellStyle name="Heading 2 2 2 2 2 2 2 8 5 2 2" xfId="28049"/>
    <cellStyle name="Heading 2 2 2 2 2 2 2 8 5 3" xfId="28050"/>
    <cellStyle name="Heading 2 2 2 2 2 2 2 8 6" xfId="28051"/>
    <cellStyle name="Heading 2 2 2 2 2 2 2 8 6 2" xfId="28052"/>
    <cellStyle name="Heading 2 2 2 2 2 2 2 8 6 2 2" xfId="28053"/>
    <cellStyle name="Heading 2 2 2 2 2 2 2 8 6 3" xfId="28054"/>
    <cellStyle name="Heading 2 2 2 2 2 2 2 8 7" xfId="28055"/>
    <cellStyle name="Heading 2 2 2 2 2 2 2 8 7 2" xfId="28056"/>
    <cellStyle name="Heading 2 2 2 2 2 2 2 8 7 2 2" xfId="28057"/>
    <cellStyle name="Heading 2 2 2 2 2 2 2 8 7 3" xfId="28058"/>
    <cellStyle name="Heading 2 2 2 2 2 2 2 8 8" xfId="28059"/>
    <cellStyle name="Heading 2 2 2 2 2 2 2 8 8 2" xfId="28060"/>
    <cellStyle name="Heading 2 2 2 2 2 2 2 8 9" xfId="28061"/>
    <cellStyle name="Heading 2 2 2 2 2 2 2 9" xfId="28062"/>
    <cellStyle name="Heading 2 2 2 2 2 2 2 9 2" xfId="28063"/>
    <cellStyle name="Heading 2 2 2 2 2 2 2 9 2 2" xfId="28064"/>
    <cellStyle name="Heading 2 2 2 2 2 2 2 9 3" xfId="28065"/>
    <cellStyle name="Heading 2 2 2 2 2 2 20" xfId="28066"/>
    <cellStyle name="Heading 2 2 2 2 2 2 20 2" xfId="28067"/>
    <cellStyle name="Heading 2 2 2 2 2 2 21" xfId="28068"/>
    <cellStyle name="Heading 2 2 2 2 2 2 21 2" xfId="28069"/>
    <cellStyle name="Heading 2 2 2 2 2 2 22" xfId="28070"/>
    <cellStyle name="Heading 2 2 2 2 2 2 22 2" xfId="28071"/>
    <cellStyle name="Heading 2 2 2 2 2 2 23" xfId="28072"/>
    <cellStyle name="Heading 2 2 2 2 2 2 3" xfId="28073"/>
    <cellStyle name="Heading 2 2 2 2 2 2 3 2" xfId="28074"/>
    <cellStyle name="Heading 2 2 2 2 2 2 3 2 2" xfId="28075"/>
    <cellStyle name="Heading 2 2 2 2 2 2 3 2 2 2" xfId="28076"/>
    <cellStyle name="Heading 2 2 2 2 2 2 3 2 3" xfId="28077"/>
    <cellStyle name="Heading 2 2 2 2 2 2 3 3" xfId="28078"/>
    <cellStyle name="Heading 2 2 2 2 2 2 3 3 2" xfId="28079"/>
    <cellStyle name="Heading 2 2 2 2 2 2 3 3 2 2" xfId="28080"/>
    <cellStyle name="Heading 2 2 2 2 2 2 3 3 3" xfId="28081"/>
    <cellStyle name="Heading 2 2 2 2 2 2 3 4" xfId="28082"/>
    <cellStyle name="Heading 2 2 2 2 2 2 3 4 2" xfId="28083"/>
    <cellStyle name="Heading 2 2 2 2 2 2 3 4 2 2" xfId="28084"/>
    <cellStyle name="Heading 2 2 2 2 2 2 3 4 3" xfId="28085"/>
    <cellStyle name="Heading 2 2 2 2 2 2 3 5" xfId="28086"/>
    <cellStyle name="Heading 2 2 2 2 2 2 3 5 2" xfId="28087"/>
    <cellStyle name="Heading 2 2 2 2 2 2 3 5 2 2" xfId="28088"/>
    <cellStyle name="Heading 2 2 2 2 2 2 3 5 3" xfId="28089"/>
    <cellStyle name="Heading 2 2 2 2 2 2 3 6" xfId="28090"/>
    <cellStyle name="Heading 2 2 2 2 2 2 3 6 2" xfId="28091"/>
    <cellStyle name="Heading 2 2 2 2 2 2 3 6 2 2" xfId="28092"/>
    <cellStyle name="Heading 2 2 2 2 2 2 3 6 3" xfId="28093"/>
    <cellStyle name="Heading 2 2 2 2 2 2 3 7" xfId="28094"/>
    <cellStyle name="Heading 2 2 2 2 2 2 3 7 2" xfId="28095"/>
    <cellStyle name="Heading 2 2 2 2 2 2 3 7 2 2" xfId="28096"/>
    <cellStyle name="Heading 2 2 2 2 2 2 3 7 3" xfId="28097"/>
    <cellStyle name="Heading 2 2 2 2 2 2 3 8" xfId="28098"/>
    <cellStyle name="Heading 2 2 2 2 2 2 3 8 2" xfId="28099"/>
    <cellStyle name="Heading 2 2 2 2 2 2 3 9" xfId="28100"/>
    <cellStyle name="Heading 2 2 2 2 2 2 4" xfId="28101"/>
    <cellStyle name="Heading 2 2 2 2 2 2 4 2" xfId="28102"/>
    <cellStyle name="Heading 2 2 2 2 2 2 4 2 2" xfId="28103"/>
    <cellStyle name="Heading 2 2 2 2 2 2 4 2 2 2" xfId="28104"/>
    <cellStyle name="Heading 2 2 2 2 2 2 4 2 3" xfId="28105"/>
    <cellStyle name="Heading 2 2 2 2 2 2 4 3" xfId="28106"/>
    <cellStyle name="Heading 2 2 2 2 2 2 4 3 2" xfId="28107"/>
    <cellStyle name="Heading 2 2 2 2 2 2 4 3 2 2" xfId="28108"/>
    <cellStyle name="Heading 2 2 2 2 2 2 4 3 3" xfId="28109"/>
    <cellStyle name="Heading 2 2 2 2 2 2 4 4" xfId="28110"/>
    <cellStyle name="Heading 2 2 2 2 2 2 4 4 2" xfId="28111"/>
    <cellStyle name="Heading 2 2 2 2 2 2 4 4 2 2" xfId="28112"/>
    <cellStyle name="Heading 2 2 2 2 2 2 4 4 3" xfId="28113"/>
    <cellStyle name="Heading 2 2 2 2 2 2 4 5" xfId="28114"/>
    <cellStyle name="Heading 2 2 2 2 2 2 4 5 2" xfId="28115"/>
    <cellStyle name="Heading 2 2 2 2 2 2 4 5 2 2" xfId="28116"/>
    <cellStyle name="Heading 2 2 2 2 2 2 4 5 3" xfId="28117"/>
    <cellStyle name="Heading 2 2 2 2 2 2 4 6" xfId="28118"/>
    <cellStyle name="Heading 2 2 2 2 2 2 4 6 2" xfId="28119"/>
    <cellStyle name="Heading 2 2 2 2 2 2 4 6 2 2" xfId="28120"/>
    <cellStyle name="Heading 2 2 2 2 2 2 4 6 3" xfId="28121"/>
    <cellStyle name="Heading 2 2 2 2 2 2 4 7" xfId="28122"/>
    <cellStyle name="Heading 2 2 2 2 2 2 4 7 2" xfId="28123"/>
    <cellStyle name="Heading 2 2 2 2 2 2 4 7 2 2" xfId="28124"/>
    <cellStyle name="Heading 2 2 2 2 2 2 4 7 3" xfId="28125"/>
    <cellStyle name="Heading 2 2 2 2 2 2 4 8" xfId="28126"/>
    <cellStyle name="Heading 2 2 2 2 2 2 4 8 2" xfId="28127"/>
    <cellStyle name="Heading 2 2 2 2 2 2 4 9" xfId="28128"/>
    <cellStyle name="Heading 2 2 2 2 2 2 5" xfId="28129"/>
    <cellStyle name="Heading 2 2 2 2 2 2 5 2" xfId="28130"/>
    <cellStyle name="Heading 2 2 2 2 2 2 5 2 2" xfId="28131"/>
    <cellStyle name="Heading 2 2 2 2 2 2 5 2 2 2" xfId="28132"/>
    <cellStyle name="Heading 2 2 2 2 2 2 5 2 3" xfId="28133"/>
    <cellStyle name="Heading 2 2 2 2 2 2 5 3" xfId="28134"/>
    <cellStyle name="Heading 2 2 2 2 2 2 5 3 2" xfId="28135"/>
    <cellStyle name="Heading 2 2 2 2 2 2 5 3 2 2" xfId="28136"/>
    <cellStyle name="Heading 2 2 2 2 2 2 5 3 3" xfId="28137"/>
    <cellStyle name="Heading 2 2 2 2 2 2 5 4" xfId="28138"/>
    <cellStyle name="Heading 2 2 2 2 2 2 5 4 2" xfId="28139"/>
    <cellStyle name="Heading 2 2 2 2 2 2 5 4 2 2" xfId="28140"/>
    <cellStyle name="Heading 2 2 2 2 2 2 5 4 3" xfId="28141"/>
    <cellStyle name="Heading 2 2 2 2 2 2 5 5" xfId="28142"/>
    <cellStyle name="Heading 2 2 2 2 2 2 5 5 2" xfId="28143"/>
    <cellStyle name="Heading 2 2 2 2 2 2 5 5 2 2" xfId="28144"/>
    <cellStyle name="Heading 2 2 2 2 2 2 5 5 3" xfId="28145"/>
    <cellStyle name="Heading 2 2 2 2 2 2 5 6" xfId="28146"/>
    <cellStyle name="Heading 2 2 2 2 2 2 5 6 2" xfId="28147"/>
    <cellStyle name="Heading 2 2 2 2 2 2 5 6 2 2" xfId="28148"/>
    <cellStyle name="Heading 2 2 2 2 2 2 5 6 3" xfId="28149"/>
    <cellStyle name="Heading 2 2 2 2 2 2 5 7" xfId="28150"/>
    <cellStyle name="Heading 2 2 2 2 2 2 5 7 2" xfId="28151"/>
    <cellStyle name="Heading 2 2 2 2 2 2 5 7 2 2" xfId="28152"/>
    <cellStyle name="Heading 2 2 2 2 2 2 5 7 3" xfId="28153"/>
    <cellStyle name="Heading 2 2 2 2 2 2 5 8" xfId="28154"/>
    <cellStyle name="Heading 2 2 2 2 2 2 5 8 2" xfId="28155"/>
    <cellStyle name="Heading 2 2 2 2 2 2 5 9" xfId="28156"/>
    <cellStyle name="Heading 2 2 2 2 2 2 6" xfId="28157"/>
    <cellStyle name="Heading 2 2 2 2 2 2 6 2" xfId="28158"/>
    <cellStyle name="Heading 2 2 2 2 2 2 6 2 2" xfId="28159"/>
    <cellStyle name="Heading 2 2 2 2 2 2 6 2 2 2" xfId="28160"/>
    <cellStyle name="Heading 2 2 2 2 2 2 6 2 3" xfId="28161"/>
    <cellStyle name="Heading 2 2 2 2 2 2 6 3" xfId="28162"/>
    <cellStyle name="Heading 2 2 2 2 2 2 6 3 2" xfId="28163"/>
    <cellStyle name="Heading 2 2 2 2 2 2 6 3 2 2" xfId="28164"/>
    <cellStyle name="Heading 2 2 2 2 2 2 6 3 3" xfId="28165"/>
    <cellStyle name="Heading 2 2 2 2 2 2 6 4" xfId="28166"/>
    <cellStyle name="Heading 2 2 2 2 2 2 6 4 2" xfId="28167"/>
    <cellStyle name="Heading 2 2 2 2 2 2 6 4 2 2" xfId="28168"/>
    <cellStyle name="Heading 2 2 2 2 2 2 6 4 3" xfId="28169"/>
    <cellStyle name="Heading 2 2 2 2 2 2 6 5" xfId="28170"/>
    <cellStyle name="Heading 2 2 2 2 2 2 6 5 2" xfId="28171"/>
    <cellStyle name="Heading 2 2 2 2 2 2 6 5 2 2" xfId="28172"/>
    <cellStyle name="Heading 2 2 2 2 2 2 6 5 3" xfId="28173"/>
    <cellStyle name="Heading 2 2 2 2 2 2 6 6" xfId="28174"/>
    <cellStyle name="Heading 2 2 2 2 2 2 6 6 2" xfId="28175"/>
    <cellStyle name="Heading 2 2 2 2 2 2 6 6 2 2" xfId="28176"/>
    <cellStyle name="Heading 2 2 2 2 2 2 6 6 3" xfId="28177"/>
    <cellStyle name="Heading 2 2 2 2 2 2 6 7" xfId="28178"/>
    <cellStyle name="Heading 2 2 2 2 2 2 6 7 2" xfId="28179"/>
    <cellStyle name="Heading 2 2 2 2 2 2 6 7 2 2" xfId="28180"/>
    <cellStyle name="Heading 2 2 2 2 2 2 6 7 3" xfId="28181"/>
    <cellStyle name="Heading 2 2 2 2 2 2 6 8" xfId="28182"/>
    <cellStyle name="Heading 2 2 2 2 2 2 6 8 2" xfId="28183"/>
    <cellStyle name="Heading 2 2 2 2 2 2 6 9" xfId="28184"/>
    <cellStyle name="Heading 2 2 2 2 2 2 7" xfId="28185"/>
    <cellStyle name="Heading 2 2 2 2 2 2 7 2" xfId="28186"/>
    <cellStyle name="Heading 2 2 2 2 2 2 7 2 2" xfId="28187"/>
    <cellStyle name="Heading 2 2 2 2 2 2 7 2 2 2" xfId="28188"/>
    <cellStyle name="Heading 2 2 2 2 2 2 7 2 3" xfId="28189"/>
    <cellStyle name="Heading 2 2 2 2 2 2 7 3" xfId="28190"/>
    <cellStyle name="Heading 2 2 2 2 2 2 7 3 2" xfId="28191"/>
    <cellStyle name="Heading 2 2 2 2 2 2 7 3 2 2" xfId="28192"/>
    <cellStyle name="Heading 2 2 2 2 2 2 7 3 3" xfId="28193"/>
    <cellStyle name="Heading 2 2 2 2 2 2 7 4" xfId="28194"/>
    <cellStyle name="Heading 2 2 2 2 2 2 7 4 2" xfId="28195"/>
    <cellStyle name="Heading 2 2 2 2 2 2 7 4 2 2" xfId="28196"/>
    <cellStyle name="Heading 2 2 2 2 2 2 7 4 3" xfId="28197"/>
    <cellStyle name="Heading 2 2 2 2 2 2 7 5" xfId="28198"/>
    <cellStyle name="Heading 2 2 2 2 2 2 7 5 2" xfId="28199"/>
    <cellStyle name="Heading 2 2 2 2 2 2 7 5 2 2" xfId="28200"/>
    <cellStyle name="Heading 2 2 2 2 2 2 7 5 3" xfId="28201"/>
    <cellStyle name="Heading 2 2 2 2 2 2 7 6" xfId="28202"/>
    <cellStyle name="Heading 2 2 2 2 2 2 7 6 2" xfId="28203"/>
    <cellStyle name="Heading 2 2 2 2 2 2 7 6 2 2" xfId="28204"/>
    <cellStyle name="Heading 2 2 2 2 2 2 7 6 3" xfId="28205"/>
    <cellStyle name="Heading 2 2 2 2 2 2 7 7" xfId="28206"/>
    <cellStyle name="Heading 2 2 2 2 2 2 7 7 2" xfId="28207"/>
    <cellStyle name="Heading 2 2 2 2 2 2 7 7 2 2" xfId="28208"/>
    <cellStyle name="Heading 2 2 2 2 2 2 7 7 3" xfId="28209"/>
    <cellStyle name="Heading 2 2 2 2 2 2 7 8" xfId="28210"/>
    <cellStyle name="Heading 2 2 2 2 2 2 7 8 2" xfId="28211"/>
    <cellStyle name="Heading 2 2 2 2 2 2 7 9" xfId="28212"/>
    <cellStyle name="Heading 2 2 2 2 2 2 8" xfId="28213"/>
    <cellStyle name="Heading 2 2 2 2 2 2 8 2" xfId="28214"/>
    <cellStyle name="Heading 2 2 2 2 2 2 8 2 2" xfId="28215"/>
    <cellStyle name="Heading 2 2 2 2 2 2 8 2 2 2" xfId="28216"/>
    <cellStyle name="Heading 2 2 2 2 2 2 8 2 3" xfId="28217"/>
    <cellStyle name="Heading 2 2 2 2 2 2 8 3" xfId="28218"/>
    <cellStyle name="Heading 2 2 2 2 2 2 8 3 2" xfId="28219"/>
    <cellStyle name="Heading 2 2 2 2 2 2 8 3 2 2" xfId="28220"/>
    <cellStyle name="Heading 2 2 2 2 2 2 8 3 3" xfId="28221"/>
    <cellStyle name="Heading 2 2 2 2 2 2 8 4" xfId="28222"/>
    <cellStyle name="Heading 2 2 2 2 2 2 8 4 2" xfId="28223"/>
    <cellStyle name="Heading 2 2 2 2 2 2 8 4 2 2" xfId="28224"/>
    <cellStyle name="Heading 2 2 2 2 2 2 8 4 3" xfId="28225"/>
    <cellStyle name="Heading 2 2 2 2 2 2 8 5" xfId="28226"/>
    <cellStyle name="Heading 2 2 2 2 2 2 8 5 2" xfId="28227"/>
    <cellStyle name="Heading 2 2 2 2 2 2 8 5 2 2" xfId="28228"/>
    <cellStyle name="Heading 2 2 2 2 2 2 8 5 3" xfId="28229"/>
    <cellStyle name="Heading 2 2 2 2 2 2 8 6" xfId="28230"/>
    <cellStyle name="Heading 2 2 2 2 2 2 8 6 2" xfId="28231"/>
    <cellStyle name="Heading 2 2 2 2 2 2 8 6 2 2" xfId="28232"/>
    <cellStyle name="Heading 2 2 2 2 2 2 8 6 3" xfId="28233"/>
    <cellStyle name="Heading 2 2 2 2 2 2 8 7" xfId="28234"/>
    <cellStyle name="Heading 2 2 2 2 2 2 8 7 2" xfId="28235"/>
    <cellStyle name="Heading 2 2 2 2 2 2 8 7 2 2" xfId="28236"/>
    <cellStyle name="Heading 2 2 2 2 2 2 8 7 3" xfId="28237"/>
    <cellStyle name="Heading 2 2 2 2 2 2 8 8" xfId="28238"/>
    <cellStyle name="Heading 2 2 2 2 2 2 8 8 2" xfId="28239"/>
    <cellStyle name="Heading 2 2 2 2 2 2 8 9" xfId="28240"/>
    <cellStyle name="Heading 2 2 2 2 2 2 9" xfId="28241"/>
    <cellStyle name="Heading 2 2 2 2 2 2 9 2" xfId="28242"/>
    <cellStyle name="Heading 2 2 2 2 2 2 9 2 2" xfId="28243"/>
    <cellStyle name="Heading 2 2 2 2 2 2 9 2 2 2" xfId="28244"/>
    <cellStyle name="Heading 2 2 2 2 2 2 9 2 3" xfId="28245"/>
    <cellStyle name="Heading 2 2 2 2 2 2 9 3" xfId="28246"/>
    <cellStyle name="Heading 2 2 2 2 2 2 9 3 2" xfId="28247"/>
    <cellStyle name="Heading 2 2 2 2 2 2 9 3 2 2" xfId="28248"/>
    <cellStyle name="Heading 2 2 2 2 2 2 9 3 3" xfId="28249"/>
    <cellStyle name="Heading 2 2 2 2 2 2 9 4" xfId="28250"/>
    <cellStyle name="Heading 2 2 2 2 2 2 9 4 2" xfId="28251"/>
    <cellStyle name="Heading 2 2 2 2 2 2 9 4 2 2" xfId="28252"/>
    <cellStyle name="Heading 2 2 2 2 2 2 9 4 3" xfId="28253"/>
    <cellStyle name="Heading 2 2 2 2 2 2 9 5" xfId="28254"/>
    <cellStyle name="Heading 2 2 2 2 2 2 9 5 2" xfId="28255"/>
    <cellStyle name="Heading 2 2 2 2 2 2 9 5 2 2" xfId="28256"/>
    <cellStyle name="Heading 2 2 2 2 2 2 9 5 3" xfId="28257"/>
    <cellStyle name="Heading 2 2 2 2 2 2 9 6" xfId="28258"/>
    <cellStyle name="Heading 2 2 2 2 2 2 9 6 2" xfId="28259"/>
    <cellStyle name="Heading 2 2 2 2 2 2 9 6 2 2" xfId="28260"/>
    <cellStyle name="Heading 2 2 2 2 2 2 9 6 3" xfId="28261"/>
    <cellStyle name="Heading 2 2 2 2 2 2 9 7" xfId="28262"/>
    <cellStyle name="Heading 2 2 2 2 2 2 9 7 2" xfId="28263"/>
    <cellStyle name="Heading 2 2 2 2 2 2 9 7 2 2" xfId="28264"/>
    <cellStyle name="Heading 2 2 2 2 2 2 9 7 3" xfId="28265"/>
    <cellStyle name="Heading 2 2 2 2 2 2 9 8" xfId="28266"/>
    <cellStyle name="Heading 2 2 2 2 2 2 9 8 2" xfId="28267"/>
    <cellStyle name="Heading 2 2 2 2 2 2 9 9" xfId="28268"/>
    <cellStyle name="Heading 2 2 2 2 2 3" xfId="28269"/>
    <cellStyle name="Heading 2 2 2 2 2 3 10" xfId="28270"/>
    <cellStyle name="Heading 2 2 2 2 2 3 10 2" xfId="28271"/>
    <cellStyle name="Heading 2 2 2 2 2 3 10 2 2" xfId="28272"/>
    <cellStyle name="Heading 2 2 2 2 2 3 10 3" xfId="28273"/>
    <cellStyle name="Heading 2 2 2 2 2 3 11" xfId="28274"/>
    <cellStyle name="Heading 2 2 2 2 2 3 11 2" xfId="28275"/>
    <cellStyle name="Heading 2 2 2 2 2 3 11 2 2" xfId="28276"/>
    <cellStyle name="Heading 2 2 2 2 2 3 11 3" xfId="28277"/>
    <cellStyle name="Heading 2 2 2 2 2 3 12" xfId="28278"/>
    <cellStyle name="Heading 2 2 2 2 2 3 12 2" xfId="28279"/>
    <cellStyle name="Heading 2 2 2 2 2 3 12 2 2" xfId="28280"/>
    <cellStyle name="Heading 2 2 2 2 2 3 12 3" xfId="28281"/>
    <cellStyle name="Heading 2 2 2 2 2 3 13" xfId="28282"/>
    <cellStyle name="Heading 2 2 2 2 2 3 13 2" xfId="28283"/>
    <cellStyle name="Heading 2 2 2 2 2 3 13 2 2" xfId="28284"/>
    <cellStyle name="Heading 2 2 2 2 2 3 13 3" xfId="28285"/>
    <cellStyle name="Heading 2 2 2 2 2 3 14" xfId="28286"/>
    <cellStyle name="Heading 2 2 2 2 2 3 14 2" xfId="28287"/>
    <cellStyle name="Heading 2 2 2 2 2 3 14 2 2" xfId="28288"/>
    <cellStyle name="Heading 2 2 2 2 2 3 14 3" xfId="28289"/>
    <cellStyle name="Heading 2 2 2 2 2 3 15" xfId="28290"/>
    <cellStyle name="Heading 2 2 2 2 2 3 15 2" xfId="28291"/>
    <cellStyle name="Heading 2 2 2 2 2 3 15 2 2" xfId="28292"/>
    <cellStyle name="Heading 2 2 2 2 2 3 15 3" xfId="28293"/>
    <cellStyle name="Heading 2 2 2 2 2 3 16" xfId="28294"/>
    <cellStyle name="Heading 2 2 2 2 2 3 16 2" xfId="28295"/>
    <cellStyle name="Heading 2 2 2 2 2 3 16 2 2" xfId="28296"/>
    <cellStyle name="Heading 2 2 2 2 2 3 16 3" xfId="28297"/>
    <cellStyle name="Heading 2 2 2 2 2 3 17" xfId="28298"/>
    <cellStyle name="Heading 2 2 2 2 2 3 17 2" xfId="28299"/>
    <cellStyle name="Heading 2 2 2 2 2 3 17 2 2" xfId="28300"/>
    <cellStyle name="Heading 2 2 2 2 2 3 17 3" xfId="28301"/>
    <cellStyle name="Heading 2 2 2 2 2 3 18" xfId="28302"/>
    <cellStyle name="Heading 2 2 2 2 2 3 18 2" xfId="28303"/>
    <cellStyle name="Heading 2 2 2 2 2 3 18 2 2" xfId="28304"/>
    <cellStyle name="Heading 2 2 2 2 2 3 18 3" xfId="28305"/>
    <cellStyle name="Heading 2 2 2 2 2 3 19" xfId="28306"/>
    <cellStyle name="Heading 2 2 2 2 2 3 19 2" xfId="28307"/>
    <cellStyle name="Heading 2 2 2 2 2 3 2" xfId="28308"/>
    <cellStyle name="Heading 2 2 2 2 2 3 2 2" xfId="28309"/>
    <cellStyle name="Heading 2 2 2 2 2 3 2 2 2" xfId="28310"/>
    <cellStyle name="Heading 2 2 2 2 2 3 2 2 2 2" xfId="28311"/>
    <cellStyle name="Heading 2 2 2 2 2 3 2 2 3" xfId="28312"/>
    <cellStyle name="Heading 2 2 2 2 2 3 2 3" xfId="28313"/>
    <cellStyle name="Heading 2 2 2 2 2 3 2 3 2" xfId="28314"/>
    <cellStyle name="Heading 2 2 2 2 2 3 2 3 2 2" xfId="28315"/>
    <cellStyle name="Heading 2 2 2 2 2 3 2 3 3" xfId="28316"/>
    <cellStyle name="Heading 2 2 2 2 2 3 2 4" xfId="28317"/>
    <cellStyle name="Heading 2 2 2 2 2 3 2 4 2" xfId="28318"/>
    <cellStyle name="Heading 2 2 2 2 2 3 2 4 2 2" xfId="28319"/>
    <cellStyle name="Heading 2 2 2 2 2 3 2 4 3" xfId="28320"/>
    <cellStyle name="Heading 2 2 2 2 2 3 2 5" xfId="28321"/>
    <cellStyle name="Heading 2 2 2 2 2 3 2 5 2" xfId="28322"/>
    <cellStyle name="Heading 2 2 2 2 2 3 2 5 2 2" xfId="28323"/>
    <cellStyle name="Heading 2 2 2 2 2 3 2 5 3" xfId="28324"/>
    <cellStyle name="Heading 2 2 2 2 2 3 2 6" xfId="28325"/>
    <cellStyle name="Heading 2 2 2 2 2 3 2 6 2" xfId="28326"/>
    <cellStyle name="Heading 2 2 2 2 2 3 2 6 2 2" xfId="28327"/>
    <cellStyle name="Heading 2 2 2 2 2 3 2 6 3" xfId="28328"/>
    <cellStyle name="Heading 2 2 2 2 2 3 2 7" xfId="28329"/>
    <cellStyle name="Heading 2 2 2 2 2 3 2 7 2" xfId="28330"/>
    <cellStyle name="Heading 2 2 2 2 2 3 2 7 2 2" xfId="28331"/>
    <cellStyle name="Heading 2 2 2 2 2 3 2 7 3" xfId="28332"/>
    <cellStyle name="Heading 2 2 2 2 2 3 2 8" xfId="28333"/>
    <cellStyle name="Heading 2 2 2 2 2 3 2 8 2" xfId="28334"/>
    <cellStyle name="Heading 2 2 2 2 2 3 2 9" xfId="28335"/>
    <cellStyle name="Heading 2 2 2 2 2 3 20" xfId="28336"/>
    <cellStyle name="Heading 2 2 2 2 2 3 20 2" xfId="28337"/>
    <cellStyle name="Heading 2 2 2 2 2 3 21" xfId="28338"/>
    <cellStyle name="Heading 2 2 2 2 2 3 21 2" xfId="28339"/>
    <cellStyle name="Heading 2 2 2 2 2 3 22" xfId="28340"/>
    <cellStyle name="Heading 2 2 2 2 2 3 3" xfId="28341"/>
    <cellStyle name="Heading 2 2 2 2 2 3 3 2" xfId="28342"/>
    <cellStyle name="Heading 2 2 2 2 2 3 3 2 2" xfId="28343"/>
    <cellStyle name="Heading 2 2 2 2 2 3 3 2 2 2" xfId="28344"/>
    <cellStyle name="Heading 2 2 2 2 2 3 3 2 3" xfId="28345"/>
    <cellStyle name="Heading 2 2 2 2 2 3 3 3" xfId="28346"/>
    <cellStyle name="Heading 2 2 2 2 2 3 3 3 2" xfId="28347"/>
    <cellStyle name="Heading 2 2 2 2 2 3 3 3 2 2" xfId="28348"/>
    <cellStyle name="Heading 2 2 2 2 2 3 3 3 3" xfId="28349"/>
    <cellStyle name="Heading 2 2 2 2 2 3 3 4" xfId="28350"/>
    <cellStyle name="Heading 2 2 2 2 2 3 3 4 2" xfId="28351"/>
    <cellStyle name="Heading 2 2 2 2 2 3 3 4 2 2" xfId="28352"/>
    <cellStyle name="Heading 2 2 2 2 2 3 3 4 3" xfId="28353"/>
    <cellStyle name="Heading 2 2 2 2 2 3 3 5" xfId="28354"/>
    <cellStyle name="Heading 2 2 2 2 2 3 3 5 2" xfId="28355"/>
    <cellStyle name="Heading 2 2 2 2 2 3 3 5 2 2" xfId="28356"/>
    <cellStyle name="Heading 2 2 2 2 2 3 3 5 3" xfId="28357"/>
    <cellStyle name="Heading 2 2 2 2 2 3 3 6" xfId="28358"/>
    <cellStyle name="Heading 2 2 2 2 2 3 3 6 2" xfId="28359"/>
    <cellStyle name="Heading 2 2 2 2 2 3 3 6 2 2" xfId="28360"/>
    <cellStyle name="Heading 2 2 2 2 2 3 3 6 3" xfId="28361"/>
    <cellStyle name="Heading 2 2 2 2 2 3 3 7" xfId="28362"/>
    <cellStyle name="Heading 2 2 2 2 2 3 3 7 2" xfId="28363"/>
    <cellStyle name="Heading 2 2 2 2 2 3 3 7 2 2" xfId="28364"/>
    <cellStyle name="Heading 2 2 2 2 2 3 3 7 3" xfId="28365"/>
    <cellStyle name="Heading 2 2 2 2 2 3 3 8" xfId="28366"/>
    <cellStyle name="Heading 2 2 2 2 2 3 3 8 2" xfId="28367"/>
    <cellStyle name="Heading 2 2 2 2 2 3 3 9" xfId="28368"/>
    <cellStyle name="Heading 2 2 2 2 2 3 4" xfId="28369"/>
    <cellStyle name="Heading 2 2 2 2 2 3 4 2" xfId="28370"/>
    <cellStyle name="Heading 2 2 2 2 2 3 4 2 2" xfId="28371"/>
    <cellStyle name="Heading 2 2 2 2 2 3 4 2 2 2" xfId="28372"/>
    <cellStyle name="Heading 2 2 2 2 2 3 4 2 3" xfId="28373"/>
    <cellStyle name="Heading 2 2 2 2 2 3 4 3" xfId="28374"/>
    <cellStyle name="Heading 2 2 2 2 2 3 4 3 2" xfId="28375"/>
    <cellStyle name="Heading 2 2 2 2 2 3 4 3 2 2" xfId="28376"/>
    <cellStyle name="Heading 2 2 2 2 2 3 4 3 3" xfId="28377"/>
    <cellStyle name="Heading 2 2 2 2 2 3 4 4" xfId="28378"/>
    <cellStyle name="Heading 2 2 2 2 2 3 4 4 2" xfId="28379"/>
    <cellStyle name="Heading 2 2 2 2 2 3 4 4 2 2" xfId="28380"/>
    <cellStyle name="Heading 2 2 2 2 2 3 4 4 3" xfId="28381"/>
    <cellStyle name="Heading 2 2 2 2 2 3 4 5" xfId="28382"/>
    <cellStyle name="Heading 2 2 2 2 2 3 4 5 2" xfId="28383"/>
    <cellStyle name="Heading 2 2 2 2 2 3 4 5 2 2" xfId="28384"/>
    <cellStyle name="Heading 2 2 2 2 2 3 4 5 3" xfId="28385"/>
    <cellStyle name="Heading 2 2 2 2 2 3 4 6" xfId="28386"/>
    <cellStyle name="Heading 2 2 2 2 2 3 4 6 2" xfId="28387"/>
    <cellStyle name="Heading 2 2 2 2 2 3 4 6 2 2" xfId="28388"/>
    <cellStyle name="Heading 2 2 2 2 2 3 4 6 3" xfId="28389"/>
    <cellStyle name="Heading 2 2 2 2 2 3 4 7" xfId="28390"/>
    <cellStyle name="Heading 2 2 2 2 2 3 4 7 2" xfId="28391"/>
    <cellStyle name="Heading 2 2 2 2 2 3 4 7 2 2" xfId="28392"/>
    <cellStyle name="Heading 2 2 2 2 2 3 4 7 3" xfId="28393"/>
    <cellStyle name="Heading 2 2 2 2 2 3 4 8" xfId="28394"/>
    <cellStyle name="Heading 2 2 2 2 2 3 4 8 2" xfId="28395"/>
    <cellStyle name="Heading 2 2 2 2 2 3 4 9" xfId="28396"/>
    <cellStyle name="Heading 2 2 2 2 2 3 5" xfId="28397"/>
    <cellStyle name="Heading 2 2 2 2 2 3 5 2" xfId="28398"/>
    <cellStyle name="Heading 2 2 2 2 2 3 5 2 2" xfId="28399"/>
    <cellStyle name="Heading 2 2 2 2 2 3 5 2 2 2" xfId="28400"/>
    <cellStyle name="Heading 2 2 2 2 2 3 5 2 3" xfId="28401"/>
    <cellStyle name="Heading 2 2 2 2 2 3 5 3" xfId="28402"/>
    <cellStyle name="Heading 2 2 2 2 2 3 5 3 2" xfId="28403"/>
    <cellStyle name="Heading 2 2 2 2 2 3 5 3 2 2" xfId="28404"/>
    <cellStyle name="Heading 2 2 2 2 2 3 5 3 3" xfId="28405"/>
    <cellStyle name="Heading 2 2 2 2 2 3 5 4" xfId="28406"/>
    <cellStyle name="Heading 2 2 2 2 2 3 5 4 2" xfId="28407"/>
    <cellStyle name="Heading 2 2 2 2 2 3 5 4 2 2" xfId="28408"/>
    <cellStyle name="Heading 2 2 2 2 2 3 5 4 3" xfId="28409"/>
    <cellStyle name="Heading 2 2 2 2 2 3 5 5" xfId="28410"/>
    <cellStyle name="Heading 2 2 2 2 2 3 5 5 2" xfId="28411"/>
    <cellStyle name="Heading 2 2 2 2 2 3 5 5 2 2" xfId="28412"/>
    <cellStyle name="Heading 2 2 2 2 2 3 5 5 3" xfId="28413"/>
    <cellStyle name="Heading 2 2 2 2 2 3 5 6" xfId="28414"/>
    <cellStyle name="Heading 2 2 2 2 2 3 5 6 2" xfId="28415"/>
    <cellStyle name="Heading 2 2 2 2 2 3 5 6 2 2" xfId="28416"/>
    <cellStyle name="Heading 2 2 2 2 2 3 5 6 3" xfId="28417"/>
    <cellStyle name="Heading 2 2 2 2 2 3 5 7" xfId="28418"/>
    <cellStyle name="Heading 2 2 2 2 2 3 5 7 2" xfId="28419"/>
    <cellStyle name="Heading 2 2 2 2 2 3 5 7 2 2" xfId="28420"/>
    <cellStyle name="Heading 2 2 2 2 2 3 5 7 3" xfId="28421"/>
    <cellStyle name="Heading 2 2 2 2 2 3 5 8" xfId="28422"/>
    <cellStyle name="Heading 2 2 2 2 2 3 5 8 2" xfId="28423"/>
    <cellStyle name="Heading 2 2 2 2 2 3 5 9" xfId="28424"/>
    <cellStyle name="Heading 2 2 2 2 2 3 6" xfId="28425"/>
    <cellStyle name="Heading 2 2 2 2 2 3 6 2" xfId="28426"/>
    <cellStyle name="Heading 2 2 2 2 2 3 6 2 2" xfId="28427"/>
    <cellStyle name="Heading 2 2 2 2 2 3 6 2 2 2" xfId="28428"/>
    <cellStyle name="Heading 2 2 2 2 2 3 6 2 3" xfId="28429"/>
    <cellStyle name="Heading 2 2 2 2 2 3 6 3" xfId="28430"/>
    <cellStyle name="Heading 2 2 2 2 2 3 6 3 2" xfId="28431"/>
    <cellStyle name="Heading 2 2 2 2 2 3 6 3 2 2" xfId="28432"/>
    <cellStyle name="Heading 2 2 2 2 2 3 6 3 3" xfId="28433"/>
    <cellStyle name="Heading 2 2 2 2 2 3 6 4" xfId="28434"/>
    <cellStyle name="Heading 2 2 2 2 2 3 6 4 2" xfId="28435"/>
    <cellStyle name="Heading 2 2 2 2 2 3 6 4 2 2" xfId="28436"/>
    <cellStyle name="Heading 2 2 2 2 2 3 6 4 3" xfId="28437"/>
    <cellStyle name="Heading 2 2 2 2 2 3 6 5" xfId="28438"/>
    <cellStyle name="Heading 2 2 2 2 2 3 6 5 2" xfId="28439"/>
    <cellStyle name="Heading 2 2 2 2 2 3 6 5 2 2" xfId="28440"/>
    <cellStyle name="Heading 2 2 2 2 2 3 6 5 3" xfId="28441"/>
    <cellStyle name="Heading 2 2 2 2 2 3 6 6" xfId="28442"/>
    <cellStyle name="Heading 2 2 2 2 2 3 6 6 2" xfId="28443"/>
    <cellStyle name="Heading 2 2 2 2 2 3 6 6 2 2" xfId="28444"/>
    <cellStyle name="Heading 2 2 2 2 2 3 6 6 3" xfId="28445"/>
    <cellStyle name="Heading 2 2 2 2 2 3 6 7" xfId="28446"/>
    <cellStyle name="Heading 2 2 2 2 2 3 6 7 2" xfId="28447"/>
    <cellStyle name="Heading 2 2 2 2 2 3 6 7 2 2" xfId="28448"/>
    <cellStyle name="Heading 2 2 2 2 2 3 6 7 3" xfId="28449"/>
    <cellStyle name="Heading 2 2 2 2 2 3 6 8" xfId="28450"/>
    <cellStyle name="Heading 2 2 2 2 2 3 6 8 2" xfId="28451"/>
    <cellStyle name="Heading 2 2 2 2 2 3 6 9" xfId="28452"/>
    <cellStyle name="Heading 2 2 2 2 2 3 7" xfId="28453"/>
    <cellStyle name="Heading 2 2 2 2 2 3 7 2" xfId="28454"/>
    <cellStyle name="Heading 2 2 2 2 2 3 7 2 2" xfId="28455"/>
    <cellStyle name="Heading 2 2 2 2 2 3 7 2 2 2" xfId="28456"/>
    <cellStyle name="Heading 2 2 2 2 2 3 7 2 3" xfId="28457"/>
    <cellStyle name="Heading 2 2 2 2 2 3 7 3" xfId="28458"/>
    <cellStyle name="Heading 2 2 2 2 2 3 7 3 2" xfId="28459"/>
    <cellStyle name="Heading 2 2 2 2 2 3 7 3 2 2" xfId="28460"/>
    <cellStyle name="Heading 2 2 2 2 2 3 7 3 3" xfId="28461"/>
    <cellStyle name="Heading 2 2 2 2 2 3 7 4" xfId="28462"/>
    <cellStyle name="Heading 2 2 2 2 2 3 7 4 2" xfId="28463"/>
    <cellStyle name="Heading 2 2 2 2 2 3 7 4 2 2" xfId="28464"/>
    <cellStyle name="Heading 2 2 2 2 2 3 7 4 3" xfId="28465"/>
    <cellStyle name="Heading 2 2 2 2 2 3 7 5" xfId="28466"/>
    <cellStyle name="Heading 2 2 2 2 2 3 7 5 2" xfId="28467"/>
    <cellStyle name="Heading 2 2 2 2 2 3 7 5 2 2" xfId="28468"/>
    <cellStyle name="Heading 2 2 2 2 2 3 7 5 3" xfId="28469"/>
    <cellStyle name="Heading 2 2 2 2 2 3 7 6" xfId="28470"/>
    <cellStyle name="Heading 2 2 2 2 2 3 7 6 2" xfId="28471"/>
    <cellStyle name="Heading 2 2 2 2 2 3 7 6 2 2" xfId="28472"/>
    <cellStyle name="Heading 2 2 2 2 2 3 7 6 3" xfId="28473"/>
    <cellStyle name="Heading 2 2 2 2 2 3 7 7" xfId="28474"/>
    <cellStyle name="Heading 2 2 2 2 2 3 7 7 2" xfId="28475"/>
    <cellStyle name="Heading 2 2 2 2 2 3 7 7 2 2" xfId="28476"/>
    <cellStyle name="Heading 2 2 2 2 2 3 7 7 3" xfId="28477"/>
    <cellStyle name="Heading 2 2 2 2 2 3 7 8" xfId="28478"/>
    <cellStyle name="Heading 2 2 2 2 2 3 7 8 2" xfId="28479"/>
    <cellStyle name="Heading 2 2 2 2 2 3 7 9" xfId="28480"/>
    <cellStyle name="Heading 2 2 2 2 2 3 8" xfId="28481"/>
    <cellStyle name="Heading 2 2 2 2 2 3 8 2" xfId="28482"/>
    <cellStyle name="Heading 2 2 2 2 2 3 8 2 2" xfId="28483"/>
    <cellStyle name="Heading 2 2 2 2 2 3 8 2 2 2" xfId="28484"/>
    <cellStyle name="Heading 2 2 2 2 2 3 8 2 3" xfId="28485"/>
    <cellStyle name="Heading 2 2 2 2 2 3 8 3" xfId="28486"/>
    <cellStyle name="Heading 2 2 2 2 2 3 8 3 2" xfId="28487"/>
    <cellStyle name="Heading 2 2 2 2 2 3 8 3 2 2" xfId="28488"/>
    <cellStyle name="Heading 2 2 2 2 2 3 8 3 3" xfId="28489"/>
    <cellStyle name="Heading 2 2 2 2 2 3 8 4" xfId="28490"/>
    <cellStyle name="Heading 2 2 2 2 2 3 8 4 2" xfId="28491"/>
    <cellStyle name="Heading 2 2 2 2 2 3 8 4 2 2" xfId="28492"/>
    <cellStyle name="Heading 2 2 2 2 2 3 8 4 3" xfId="28493"/>
    <cellStyle name="Heading 2 2 2 2 2 3 8 5" xfId="28494"/>
    <cellStyle name="Heading 2 2 2 2 2 3 8 5 2" xfId="28495"/>
    <cellStyle name="Heading 2 2 2 2 2 3 8 5 2 2" xfId="28496"/>
    <cellStyle name="Heading 2 2 2 2 2 3 8 5 3" xfId="28497"/>
    <cellStyle name="Heading 2 2 2 2 2 3 8 6" xfId="28498"/>
    <cellStyle name="Heading 2 2 2 2 2 3 8 6 2" xfId="28499"/>
    <cellStyle name="Heading 2 2 2 2 2 3 8 6 2 2" xfId="28500"/>
    <cellStyle name="Heading 2 2 2 2 2 3 8 6 3" xfId="28501"/>
    <cellStyle name="Heading 2 2 2 2 2 3 8 7" xfId="28502"/>
    <cellStyle name="Heading 2 2 2 2 2 3 8 7 2" xfId="28503"/>
    <cellStyle name="Heading 2 2 2 2 2 3 8 7 2 2" xfId="28504"/>
    <cellStyle name="Heading 2 2 2 2 2 3 8 7 3" xfId="28505"/>
    <cellStyle name="Heading 2 2 2 2 2 3 8 8" xfId="28506"/>
    <cellStyle name="Heading 2 2 2 2 2 3 8 8 2" xfId="28507"/>
    <cellStyle name="Heading 2 2 2 2 2 3 8 9" xfId="28508"/>
    <cellStyle name="Heading 2 2 2 2 2 3 9" xfId="28509"/>
    <cellStyle name="Heading 2 2 2 2 2 3 9 2" xfId="28510"/>
    <cellStyle name="Heading 2 2 2 2 2 3 9 2 2" xfId="28511"/>
    <cellStyle name="Heading 2 2 2 2 2 3 9 3" xfId="28512"/>
    <cellStyle name="Heading 2 2 2 2 2 4" xfId="28513"/>
    <cellStyle name="Heading 2 2 2 2 2 4 2" xfId="28514"/>
    <cellStyle name="Heading 2 2 2 2 2 4 2 2" xfId="28515"/>
    <cellStyle name="Heading 2 2 2 2 2 4 3" xfId="28516"/>
    <cellStyle name="Heading 2 2 2 2 2 5" xfId="28517"/>
    <cellStyle name="Heading 2 2 2 2 2 5 2" xfId="28518"/>
    <cellStyle name="Heading 2 2 2 2 2 6" xfId="28519"/>
    <cellStyle name="Heading 2 2 2 2 20" xfId="28520"/>
    <cellStyle name="Heading 2 2 2 2 3" xfId="28521"/>
    <cellStyle name="Heading 2 2 2 2 3 2" xfId="28522"/>
    <cellStyle name="Heading 2 2 2 2 3 2 10" xfId="28523"/>
    <cellStyle name="Heading 2 2 2 2 3 2 10 2" xfId="28524"/>
    <cellStyle name="Heading 2 2 2 2 3 2 10 2 2" xfId="28525"/>
    <cellStyle name="Heading 2 2 2 2 3 2 10 3" xfId="28526"/>
    <cellStyle name="Heading 2 2 2 2 3 2 11" xfId="28527"/>
    <cellStyle name="Heading 2 2 2 2 3 2 11 2" xfId="28528"/>
    <cellStyle name="Heading 2 2 2 2 3 2 11 2 2" xfId="28529"/>
    <cellStyle name="Heading 2 2 2 2 3 2 11 3" xfId="28530"/>
    <cellStyle name="Heading 2 2 2 2 3 2 12" xfId="28531"/>
    <cellStyle name="Heading 2 2 2 2 3 2 12 2" xfId="28532"/>
    <cellStyle name="Heading 2 2 2 2 3 2 12 2 2" xfId="28533"/>
    <cellStyle name="Heading 2 2 2 2 3 2 12 3" xfId="28534"/>
    <cellStyle name="Heading 2 2 2 2 3 2 13" xfId="28535"/>
    <cellStyle name="Heading 2 2 2 2 3 2 13 2" xfId="28536"/>
    <cellStyle name="Heading 2 2 2 2 3 2 13 2 2" xfId="28537"/>
    <cellStyle name="Heading 2 2 2 2 3 2 13 3" xfId="28538"/>
    <cellStyle name="Heading 2 2 2 2 3 2 14" xfId="28539"/>
    <cellStyle name="Heading 2 2 2 2 3 2 14 2" xfId="28540"/>
    <cellStyle name="Heading 2 2 2 2 3 2 14 2 2" xfId="28541"/>
    <cellStyle name="Heading 2 2 2 2 3 2 14 3" xfId="28542"/>
    <cellStyle name="Heading 2 2 2 2 3 2 15" xfId="28543"/>
    <cellStyle name="Heading 2 2 2 2 3 2 15 2" xfId="28544"/>
    <cellStyle name="Heading 2 2 2 2 3 2 15 2 2" xfId="28545"/>
    <cellStyle name="Heading 2 2 2 2 3 2 15 3" xfId="28546"/>
    <cellStyle name="Heading 2 2 2 2 3 2 16" xfId="28547"/>
    <cellStyle name="Heading 2 2 2 2 3 2 16 2" xfId="28548"/>
    <cellStyle name="Heading 2 2 2 2 3 2 16 2 2" xfId="28549"/>
    <cellStyle name="Heading 2 2 2 2 3 2 16 3" xfId="28550"/>
    <cellStyle name="Heading 2 2 2 2 3 2 17" xfId="28551"/>
    <cellStyle name="Heading 2 2 2 2 3 2 17 2" xfId="28552"/>
    <cellStyle name="Heading 2 2 2 2 3 2 17 2 2" xfId="28553"/>
    <cellStyle name="Heading 2 2 2 2 3 2 17 3" xfId="28554"/>
    <cellStyle name="Heading 2 2 2 2 3 2 18" xfId="28555"/>
    <cellStyle name="Heading 2 2 2 2 3 2 18 2" xfId="28556"/>
    <cellStyle name="Heading 2 2 2 2 3 2 18 2 2" xfId="28557"/>
    <cellStyle name="Heading 2 2 2 2 3 2 18 3" xfId="28558"/>
    <cellStyle name="Heading 2 2 2 2 3 2 19" xfId="28559"/>
    <cellStyle name="Heading 2 2 2 2 3 2 19 2" xfId="28560"/>
    <cellStyle name="Heading 2 2 2 2 3 2 19 2 2" xfId="28561"/>
    <cellStyle name="Heading 2 2 2 2 3 2 19 3" xfId="28562"/>
    <cellStyle name="Heading 2 2 2 2 3 2 2" xfId="28563"/>
    <cellStyle name="Heading 2 2 2 2 3 2 2 10" xfId="28564"/>
    <cellStyle name="Heading 2 2 2 2 3 2 2 10 2" xfId="28565"/>
    <cellStyle name="Heading 2 2 2 2 3 2 2 10 2 2" xfId="28566"/>
    <cellStyle name="Heading 2 2 2 2 3 2 2 10 3" xfId="28567"/>
    <cellStyle name="Heading 2 2 2 2 3 2 2 11" xfId="28568"/>
    <cellStyle name="Heading 2 2 2 2 3 2 2 11 2" xfId="28569"/>
    <cellStyle name="Heading 2 2 2 2 3 2 2 11 2 2" xfId="28570"/>
    <cellStyle name="Heading 2 2 2 2 3 2 2 11 3" xfId="28571"/>
    <cellStyle name="Heading 2 2 2 2 3 2 2 12" xfId="28572"/>
    <cellStyle name="Heading 2 2 2 2 3 2 2 12 2" xfId="28573"/>
    <cellStyle name="Heading 2 2 2 2 3 2 2 12 2 2" xfId="28574"/>
    <cellStyle name="Heading 2 2 2 2 3 2 2 12 3" xfId="28575"/>
    <cellStyle name="Heading 2 2 2 2 3 2 2 13" xfId="28576"/>
    <cellStyle name="Heading 2 2 2 2 3 2 2 13 2" xfId="28577"/>
    <cellStyle name="Heading 2 2 2 2 3 2 2 13 2 2" xfId="28578"/>
    <cellStyle name="Heading 2 2 2 2 3 2 2 13 3" xfId="28579"/>
    <cellStyle name="Heading 2 2 2 2 3 2 2 14" xfId="28580"/>
    <cellStyle name="Heading 2 2 2 2 3 2 2 14 2" xfId="28581"/>
    <cellStyle name="Heading 2 2 2 2 3 2 2 14 2 2" xfId="28582"/>
    <cellStyle name="Heading 2 2 2 2 3 2 2 14 3" xfId="28583"/>
    <cellStyle name="Heading 2 2 2 2 3 2 2 15" xfId="28584"/>
    <cellStyle name="Heading 2 2 2 2 3 2 2 15 2" xfId="28585"/>
    <cellStyle name="Heading 2 2 2 2 3 2 2 15 2 2" xfId="28586"/>
    <cellStyle name="Heading 2 2 2 2 3 2 2 15 3" xfId="28587"/>
    <cellStyle name="Heading 2 2 2 2 3 2 2 16" xfId="28588"/>
    <cellStyle name="Heading 2 2 2 2 3 2 2 16 2" xfId="28589"/>
    <cellStyle name="Heading 2 2 2 2 3 2 2 16 2 2" xfId="28590"/>
    <cellStyle name="Heading 2 2 2 2 3 2 2 16 3" xfId="28591"/>
    <cellStyle name="Heading 2 2 2 2 3 2 2 17" xfId="28592"/>
    <cellStyle name="Heading 2 2 2 2 3 2 2 17 2" xfId="28593"/>
    <cellStyle name="Heading 2 2 2 2 3 2 2 17 2 2" xfId="28594"/>
    <cellStyle name="Heading 2 2 2 2 3 2 2 17 3" xfId="28595"/>
    <cellStyle name="Heading 2 2 2 2 3 2 2 18" xfId="28596"/>
    <cellStyle name="Heading 2 2 2 2 3 2 2 18 2" xfId="28597"/>
    <cellStyle name="Heading 2 2 2 2 3 2 2 18 2 2" xfId="28598"/>
    <cellStyle name="Heading 2 2 2 2 3 2 2 18 3" xfId="28599"/>
    <cellStyle name="Heading 2 2 2 2 3 2 2 19" xfId="28600"/>
    <cellStyle name="Heading 2 2 2 2 3 2 2 19 2" xfId="28601"/>
    <cellStyle name="Heading 2 2 2 2 3 2 2 2" xfId="28602"/>
    <cellStyle name="Heading 2 2 2 2 3 2 2 2 2" xfId="28603"/>
    <cellStyle name="Heading 2 2 2 2 3 2 2 2 2 2" xfId="28604"/>
    <cellStyle name="Heading 2 2 2 2 3 2 2 2 2 2 2" xfId="28605"/>
    <cellStyle name="Heading 2 2 2 2 3 2 2 2 2 3" xfId="28606"/>
    <cellStyle name="Heading 2 2 2 2 3 2 2 2 3" xfId="28607"/>
    <cellStyle name="Heading 2 2 2 2 3 2 2 2 3 2" xfId="28608"/>
    <cellStyle name="Heading 2 2 2 2 3 2 2 2 3 2 2" xfId="28609"/>
    <cellStyle name="Heading 2 2 2 2 3 2 2 2 3 3" xfId="28610"/>
    <cellStyle name="Heading 2 2 2 2 3 2 2 2 4" xfId="28611"/>
    <cellStyle name="Heading 2 2 2 2 3 2 2 2 4 2" xfId="28612"/>
    <cellStyle name="Heading 2 2 2 2 3 2 2 2 4 2 2" xfId="28613"/>
    <cellStyle name="Heading 2 2 2 2 3 2 2 2 4 3" xfId="28614"/>
    <cellStyle name="Heading 2 2 2 2 3 2 2 2 5" xfId="28615"/>
    <cellStyle name="Heading 2 2 2 2 3 2 2 2 5 2" xfId="28616"/>
    <cellStyle name="Heading 2 2 2 2 3 2 2 2 5 2 2" xfId="28617"/>
    <cellStyle name="Heading 2 2 2 2 3 2 2 2 5 3" xfId="28618"/>
    <cellStyle name="Heading 2 2 2 2 3 2 2 2 6" xfId="28619"/>
    <cellStyle name="Heading 2 2 2 2 3 2 2 2 6 2" xfId="28620"/>
    <cellStyle name="Heading 2 2 2 2 3 2 2 2 6 2 2" xfId="28621"/>
    <cellStyle name="Heading 2 2 2 2 3 2 2 2 6 3" xfId="28622"/>
    <cellStyle name="Heading 2 2 2 2 3 2 2 2 7" xfId="28623"/>
    <cellStyle name="Heading 2 2 2 2 3 2 2 2 7 2" xfId="28624"/>
    <cellStyle name="Heading 2 2 2 2 3 2 2 2 7 2 2" xfId="28625"/>
    <cellStyle name="Heading 2 2 2 2 3 2 2 2 7 3" xfId="28626"/>
    <cellStyle name="Heading 2 2 2 2 3 2 2 2 8" xfId="28627"/>
    <cellStyle name="Heading 2 2 2 2 3 2 2 2 8 2" xfId="28628"/>
    <cellStyle name="Heading 2 2 2 2 3 2 2 2 9" xfId="28629"/>
    <cellStyle name="Heading 2 2 2 2 3 2 2 20" xfId="28630"/>
    <cellStyle name="Heading 2 2 2 2 3 2 2 20 2" xfId="28631"/>
    <cellStyle name="Heading 2 2 2 2 3 2 2 21" xfId="28632"/>
    <cellStyle name="Heading 2 2 2 2 3 2 2 21 2" xfId="28633"/>
    <cellStyle name="Heading 2 2 2 2 3 2 2 22" xfId="28634"/>
    <cellStyle name="Heading 2 2 2 2 3 2 2 3" xfId="28635"/>
    <cellStyle name="Heading 2 2 2 2 3 2 2 3 2" xfId="28636"/>
    <cellStyle name="Heading 2 2 2 2 3 2 2 3 2 2" xfId="28637"/>
    <cellStyle name="Heading 2 2 2 2 3 2 2 3 2 2 2" xfId="28638"/>
    <cellStyle name="Heading 2 2 2 2 3 2 2 3 2 3" xfId="28639"/>
    <cellStyle name="Heading 2 2 2 2 3 2 2 3 3" xfId="28640"/>
    <cellStyle name="Heading 2 2 2 2 3 2 2 3 3 2" xfId="28641"/>
    <cellStyle name="Heading 2 2 2 2 3 2 2 3 3 2 2" xfId="28642"/>
    <cellStyle name="Heading 2 2 2 2 3 2 2 3 3 3" xfId="28643"/>
    <cellStyle name="Heading 2 2 2 2 3 2 2 3 4" xfId="28644"/>
    <cellStyle name="Heading 2 2 2 2 3 2 2 3 4 2" xfId="28645"/>
    <cellStyle name="Heading 2 2 2 2 3 2 2 3 4 2 2" xfId="28646"/>
    <cellStyle name="Heading 2 2 2 2 3 2 2 3 4 3" xfId="28647"/>
    <cellStyle name="Heading 2 2 2 2 3 2 2 3 5" xfId="28648"/>
    <cellStyle name="Heading 2 2 2 2 3 2 2 3 5 2" xfId="28649"/>
    <cellStyle name="Heading 2 2 2 2 3 2 2 3 5 2 2" xfId="28650"/>
    <cellStyle name="Heading 2 2 2 2 3 2 2 3 5 3" xfId="28651"/>
    <cellStyle name="Heading 2 2 2 2 3 2 2 3 6" xfId="28652"/>
    <cellStyle name="Heading 2 2 2 2 3 2 2 3 6 2" xfId="28653"/>
    <cellStyle name="Heading 2 2 2 2 3 2 2 3 6 2 2" xfId="28654"/>
    <cellStyle name="Heading 2 2 2 2 3 2 2 3 6 3" xfId="28655"/>
    <cellStyle name="Heading 2 2 2 2 3 2 2 3 7" xfId="28656"/>
    <cellStyle name="Heading 2 2 2 2 3 2 2 3 7 2" xfId="28657"/>
    <cellStyle name="Heading 2 2 2 2 3 2 2 3 7 2 2" xfId="28658"/>
    <cellStyle name="Heading 2 2 2 2 3 2 2 3 7 3" xfId="28659"/>
    <cellStyle name="Heading 2 2 2 2 3 2 2 3 8" xfId="28660"/>
    <cellStyle name="Heading 2 2 2 2 3 2 2 3 8 2" xfId="28661"/>
    <cellStyle name="Heading 2 2 2 2 3 2 2 3 9" xfId="28662"/>
    <cellStyle name="Heading 2 2 2 2 3 2 2 4" xfId="28663"/>
    <cellStyle name="Heading 2 2 2 2 3 2 2 4 2" xfId="28664"/>
    <cellStyle name="Heading 2 2 2 2 3 2 2 4 2 2" xfId="28665"/>
    <cellStyle name="Heading 2 2 2 2 3 2 2 4 2 2 2" xfId="28666"/>
    <cellStyle name="Heading 2 2 2 2 3 2 2 4 2 3" xfId="28667"/>
    <cellStyle name="Heading 2 2 2 2 3 2 2 4 3" xfId="28668"/>
    <cellStyle name="Heading 2 2 2 2 3 2 2 4 3 2" xfId="28669"/>
    <cellStyle name="Heading 2 2 2 2 3 2 2 4 3 2 2" xfId="28670"/>
    <cellStyle name="Heading 2 2 2 2 3 2 2 4 3 3" xfId="28671"/>
    <cellStyle name="Heading 2 2 2 2 3 2 2 4 4" xfId="28672"/>
    <cellStyle name="Heading 2 2 2 2 3 2 2 4 4 2" xfId="28673"/>
    <cellStyle name="Heading 2 2 2 2 3 2 2 4 4 2 2" xfId="28674"/>
    <cellStyle name="Heading 2 2 2 2 3 2 2 4 4 3" xfId="28675"/>
    <cellStyle name="Heading 2 2 2 2 3 2 2 4 5" xfId="28676"/>
    <cellStyle name="Heading 2 2 2 2 3 2 2 4 5 2" xfId="28677"/>
    <cellStyle name="Heading 2 2 2 2 3 2 2 4 5 2 2" xfId="28678"/>
    <cellStyle name="Heading 2 2 2 2 3 2 2 4 5 3" xfId="28679"/>
    <cellStyle name="Heading 2 2 2 2 3 2 2 4 6" xfId="28680"/>
    <cellStyle name="Heading 2 2 2 2 3 2 2 4 6 2" xfId="28681"/>
    <cellStyle name="Heading 2 2 2 2 3 2 2 4 6 2 2" xfId="28682"/>
    <cellStyle name="Heading 2 2 2 2 3 2 2 4 6 3" xfId="28683"/>
    <cellStyle name="Heading 2 2 2 2 3 2 2 4 7" xfId="28684"/>
    <cellStyle name="Heading 2 2 2 2 3 2 2 4 7 2" xfId="28685"/>
    <cellStyle name="Heading 2 2 2 2 3 2 2 4 7 2 2" xfId="28686"/>
    <cellStyle name="Heading 2 2 2 2 3 2 2 4 7 3" xfId="28687"/>
    <cellStyle name="Heading 2 2 2 2 3 2 2 4 8" xfId="28688"/>
    <cellStyle name="Heading 2 2 2 2 3 2 2 4 8 2" xfId="28689"/>
    <cellStyle name="Heading 2 2 2 2 3 2 2 4 9" xfId="28690"/>
    <cellStyle name="Heading 2 2 2 2 3 2 2 5" xfId="28691"/>
    <cellStyle name="Heading 2 2 2 2 3 2 2 5 2" xfId="28692"/>
    <cellStyle name="Heading 2 2 2 2 3 2 2 5 2 2" xfId="28693"/>
    <cellStyle name="Heading 2 2 2 2 3 2 2 5 2 2 2" xfId="28694"/>
    <cellStyle name="Heading 2 2 2 2 3 2 2 5 2 3" xfId="28695"/>
    <cellStyle name="Heading 2 2 2 2 3 2 2 5 3" xfId="28696"/>
    <cellStyle name="Heading 2 2 2 2 3 2 2 5 3 2" xfId="28697"/>
    <cellStyle name="Heading 2 2 2 2 3 2 2 5 3 2 2" xfId="28698"/>
    <cellStyle name="Heading 2 2 2 2 3 2 2 5 3 3" xfId="28699"/>
    <cellStyle name="Heading 2 2 2 2 3 2 2 5 4" xfId="28700"/>
    <cellStyle name="Heading 2 2 2 2 3 2 2 5 4 2" xfId="28701"/>
    <cellStyle name="Heading 2 2 2 2 3 2 2 5 4 2 2" xfId="28702"/>
    <cellStyle name="Heading 2 2 2 2 3 2 2 5 4 3" xfId="28703"/>
    <cellStyle name="Heading 2 2 2 2 3 2 2 5 5" xfId="28704"/>
    <cellStyle name="Heading 2 2 2 2 3 2 2 5 5 2" xfId="28705"/>
    <cellStyle name="Heading 2 2 2 2 3 2 2 5 5 2 2" xfId="28706"/>
    <cellStyle name="Heading 2 2 2 2 3 2 2 5 5 3" xfId="28707"/>
    <cellStyle name="Heading 2 2 2 2 3 2 2 5 6" xfId="28708"/>
    <cellStyle name="Heading 2 2 2 2 3 2 2 5 6 2" xfId="28709"/>
    <cellStyle name="Heading 2 2 2 2 3 2 2 5 6 2 2" xfId="28710"/>
    <cellStyle name="Heading 2 2 2 2 3 2 2 5 6 3" xfId="28711"/>
    <cellStyle name="Heading 2 2 2 2 3 2 2 5 7" xfId="28712"/>
    <cellStyle name="Heading 2 2 2 2 3 2 2 5 7 2" xfId="28713"/>
    <cellStyle name="Heading 2 2 2 2 3 2 2 5 7 2 2" xfId="28714"/>
    <cellStyle name="Heading 2 2 2 2 3 2 2 5 7 3" xfId="28715"/>
    <cellStyle name="Heading 2 2 2 2 3 2 2 5 8" xfId="28716"/>
    <cellStyle name="Heading 2 2 2 2 3 2 2 5 8 2" xfId="28717"/>
    <cellStyle name="Heading 2 2 2 2 3 2 2 5 9" xfId="28718"/>
    <cellStyle name="Heading 2 2 2 2 3 2 2 6" xfId="28719"/>
    <cellStyle name="Heading 2 2 2 2 3 2 2 6 2" xfId="28720"/>
    <cellStyle name="Heading 2 2 2 2 3 2 2 6 2 2" xfId="28721"/>
    <cellStyle name="Heading 2 2 2 2 3 2 2 6 2 2 2" xfId="28722"/>
    <cellStyle name="Heading 2 2 2 2 3 2 2 6 2 3" xfId="28723"/>
    <cellStyle name="Heading 2 2 2 2 3 2 2 6 3" xfId="28724"/>
    <cellStyle name="Heading 2 2 2 2 3 2 2 6 3 2" xfId="28725"/>
    <cellStyle name="Heading 2 2 2 2 3 2 2 6 3 2 2" xfId="28726"/>
    <cellStyle name="Heading 2 2 2 2 3 2 2 6 3 3" xfId="28727"/>
    <cellStyle name="Heading 2 2 2 2 3 2 2 6 4" xfId="28728"/>
    <cellStyle name="Heading 2 2 2 2 3 2 2 6 4 2" xfId="28729"/>
    <cellStyle name="Heading 2 2 2 2 3 2 2 6 4 2 2" xfId="28730"/>
    <cellStyle name="Heading 2 2 2 2 3 2 2 6 4 3" xfId="28731"/>
    <cellStyle name="Heading 2 2 2 2 3 2 2 6 5" xfId="28732"/>
    <cellStyle name="Heading 2 2 2 2 3 2 2 6 5 2" xfId="28733"/>
    <cellStyle name="Heading 2 2 2 2 3 2 2 6 5 2 2" xfId="28734"/>
    <cellStyle name="Heading 2 2 2 2 3 2 2 6 5 3" xfId="28735"/>
    <cellStyle name="Heading 2 2 2 2 3 2 2 6 6" xfId="28736"/>
    <cellStyle name="Heading 2 2 2 2 3 2 2 6 6 2" xfId="28737"/>
    <cellStyle name="Heading 2 2 2 2 3 2 2 6 6 2 2" xfId="28738"/>
    <cellStyle name="Heading 2 2 2 2 3 2 2 6 6 3" xfId="28739"/>
    <cellStyle name="Heading 2 2 2 2 3 2 2 6 7" xfId="28740"/>
    <cellStyle name="Heading 2 2 2 2 3 2 2 6 7 2" xfId="28741"/>
    <cellStyle name="Heading 2 2 2 2 3 2 2 6 7 2 2" xfId="28742"/>
    <cellStyle name="Heading 2 2 2 2 3 2 2 6 7 3" xfId="28743"/>
    <cellStyle name="Heading 2 2 2 2 3 2 2 6 8" xfId="28744"/>
    <cellStyle name="Heading 2 2 2 2 3 2 2 6 8 2" xfId="28745"/>
    <cellStyle name="Heading 2 2 2 2 3 2 2 6 9" xfId="28746"/>
    <cellStyle name="Heading 2 2 2 2 3 2 2 7" xfId="28747"/>
    <cellStyle name="Heading 2 2 2 2 3 2 2 7 2" xfId="28748"/>
    <cellStyle name="Heading 2 2 2 2 3 2 2 7 2 2" xfId="28749"/>
    <cellStyle name="Heading 2 2 2 2 3 2 2 7 2 2 2" xfId="28750"/>
    <cellStyle name="Heading 2 2 2 2 3 2 2 7 2 3" xfId="28751"/>
    <cellStyle name="Heading 2 2 2 2 3 2 2 7 3" xfId="28752"/>
    <cellStyle name="Heading 2 2 2 2 3 2 2 7 3 2" xfId="28753"/>
    <cellStyle name="Heading 2 2 2 2 3 2 2 7 3 2 2" xfId="28754"/>
    <cellStyle name="Heading 2 2 2 2 3 2 2 7 3 3" xfId="28755"/>
    <cellStyle name="Heading 2 2 2 2 3 2 2 7 4" xfId="28756"/>
    <cellStyle name="Heading 2 2 2 2 3 2 2 7 4 2" xfId="28757"/>
    <cellStyle name="Heading 2 2 2 2 3 2 2 7 4 2 2" xfId="28758"/>
    <cellStyle name="Heading 2 2 2 2 3 2 2 7 4 3" xfId="28759"/>
    <cellStyle name="Heading 2 2 2 2 3 2 2 7 5" xfId="28760"/>
    <cellStyle name="Heading 2 2 2 2 3 2 2 7 5 2" xfId="28761"/>
    <cellStyle name="Heading 2 2 2 2 3 2 2 7 5 2 2" xfId="28762"/>
    <cellStyle name="Heading 2 2 2 2 3 2 2 7 5 3" xfId="28763"/>
    <cellStyle name="Heading 2 2 2 2 3 2 2 7 6" xfId="28764"/>
    <cellStyle name="Heading 2 2 2 2 3 2 2 7 6 2" xfId="28765"/>
    <cellStyle name="Heading 2 2 2 2 3 2 2 7 6 2 2" xfId="28766"/>
    <cellStyle name="Heading 2 2 2 2 3 2 2 7 6 3" xfId="28767"/>
    <cellStyle name="Heading 2 2 2 2 3 2 2 7 7" xfId="28768"/>
    <cellStyle name="Heading 2 2 2 2 3 2 2 7 7 2" xfId="28769"/>
    <cellStyle name="Heading 2 2 2 2 3 2 2 7 7 2 2" xfId="28770"/>
    <cellStyle name="Heading 2 2 2 2 3 2 2 7 7 3" xfId="28771"/>
    <cellStyle name="Heading 2 2 2 2 3 2 2 7 8" xfId="28772"/>
    <cellStyle name="Heading 2 2 2 2 3 2 2 7 8 2" xfId="28773"/>
    <cellStyle name="Heading 2 2 2 2 3 2 2 7 9" xfId="28774"/>
    <cellStyle name="Heading 2 2 2 2 3 2 2 8" xfId="28775"/>
    <cellStyle name="Heading 2 2 2 2 3 2 2 8 2" xfId="28776"/>
    <cellStyle name="Heading 2 2 2 2 3 2 2 8 2 2" xfId="28777"/>
    <cellStyle name="Heading 2 2 2 2 3 2 2 8 2 2 2" xfId="28778"/>
    <cellStyle name="Heading 2 2 2 2 3 2 2 8 2 3" xfId="28779"/>
    <cellStyle name="Heading 2 2 2 2 3 2 2 8 3" xfId="28780"/>
    <cellStyle name="Heading 2 2 2 2 3 2 2 8 3 2" xfId="28781"/>
    <cellStyle name="Heading 2 2 2 2 3 2 2 8 3 2 2" xfId="28782"/>
    <cellStyle name="Heading 2 2 2 2 3 2 2 8 3 3" xfId="28783"/>
    <cellStyle name="Heading 2 2 2 2 3 2 2 8 4" xfId="28784"/>
    <cellStyle name="Heading 2 2 2 2 3 2 2 8 4 2" xfId="28785"/>
    <cellStyle name="Heading 2 2 2 2 3 2 2 8 4 2 2" xfId="28786"/>
    <cellStyle name="Heading 2 2 2 2 3 2 2 8 4 3" xfId="28787"/>
    <cellStyle name="Heading 2 2 2 2 3 2 2 8 5" xfId="28788"/>
    <cellStyle name="Heading 2 2 2 2 3 2 2 8 5 2" xfId="28789"/>
    <cellStyle name="Heading 2 2 2 2 3 2 2 8 5 2 2" xfId="28790"/>
    <cellStyle name="Heading 2 2 2 2 3 2 2 8 5 3" xfId="28791"/>
    <cellStyle name="Heading 2 2 2 2 3 2 2 8 6" xfId="28792"/>
    <cellStyle name="Heading 2 2 2 2 3 2 2 8 6 2" xfId="28793"/>
    <cellStyle name="Heading 2 2 2 2 3 2 2 8 6 2 2" xfId="28794"/>
    <cellStyle name="Heading 2 2 2 2 3 2 2 8 6 3" xfId="28795"/>
    <cellStyle name="Heading 2 2 2 2 3 2 2 8 7" xfId="28796"/>
    <cellStyle name="Heading 2 2 2 2 3 2 2 8 7 2" xfId="28797"/>
    <cellStyle name="Heading 2 2 2 2 3 2 2 8 7 2 2" xfId="28798"/>
    <cellStyle name="Heading 2 2 2 2 3 2 2 8 7 3" xfId="28799"/>
    <cellStyle name="Heading 2 2 2 2 3 2 2 8 8" xfId="28800"/>
    <cellStyle name="Heading 2 2 2 2 3 2 2 8 8 2" xfId="28801"/>
    <cellStyle name="Heading 2 2 2 2 3 2 2 8 9" xfId="28802"/>
    <cellStyle name="Heading 2 2 2 2 3 2 2 9" xfId="28803"/>
    <cellStyle name="Heading 2 2 2 2 3 2 2 9 2" xfId="28804"/>
    <cellStyle name="Heading 2 2 2 2 3 2 2 9 2 2" xfId="28805"/>
    <cellStyle name="Heading 2 2 2 2 3 2 2 9 3" xfId="28806"/>
    <cellStyle name="Heading 2 2 2 2 3 2 20" xfId="28807"/>
    <cellStyle name="Heading 2 2 2 2 3 2 20 2" xfId="28808"/>
    <cellStyle name="Heading 2 2 2 2 3 2 21" xfId="28809"/>
    <cellStyle name="Heading 2 2 2 2 3 2 21 2" xfId="28810"/>
    <cellStyle name="Heading 2 2 2 2 3 2 22" xfId="28811"/>
    <cellStyle name="Heading 2 2 2 2 3 2 22 2" xfId="28812"/>
    <cellStyle name="Heading 2 2 2 2 3 2 23" xfId="28813"/>
    <cellStyle name="Heading 2 2 2 2 3 2 3" xfId="28814"/>
    <cellStyle name="Heading 2 2 2 2 3 2 3 2" xfId="28815"/>
    <cellStyle name="Heading 2 2 2 2 3 2 3 2 2" xfId="28816"/>
    <cellStyle name="Heading 2 2 2 2 3 2 3 2 2 2" xfId="28817"/>
    <cellStyle name="Heading 2 2 2 2 3 2 3 2 3" xfId="28818"/>
    <cellStyle name="Heading 2 2 2 2 3 2 3 3" xfId="28819"/>
    <cellStyle name="Heading 2 2 2 2 3 2 3 3 2" xfId="28820"/>
    <cellStyle name="Heading 2 2 2 2 3 2 3 3 2 2" xfId="28821"/>
    <cellStyle name="Heading 2 2 2 2 3 2 3 3 3" xfId="28822"/>
    <cellStyle name="Heading 2 2 2 2 3 2 3 4" xfId="28823"/>
    <cellStyle name="Heading 2 2 2 2 3 2 3 4 2" xfId="28824"/>
    <cellStyle name="Heading 2 2 2 2 3 2 3 4 2 2" xfId="28825"/>
    <cellStyle name="Heading 2 2 2 2 3 2 3 4 3" xfId="28826"/>
    <cellStyle name="Heading 2 2 2 2 3 2 3 5" xfId="28827"/>
    <cellStyle name="Heading 2 2 2 2 3 2 3 5 2" xfId="28828"/>
    <cellStyle name="Heading 2 2 2 2 3 2 3 5 2 2" xfId="28829"/>
    <cellStyle name="Heading 2 2 2 2 3 2 3 5 3" xfId="28830"/>
    <cellStyle name="Heading 2 2 2 2 3 2 3 6" xfId="28831"/>
    <cellStyle name="Heading 2 2 2 2 3 2 3 6 2" xfId="28832"/>
    <cellStyle name="Heading 2 2 2 2 3 2 3 6 2 2" xfId="28833"/>
    <cellStyle name="Heading 2 2 2 2 3 2 3 6 3" xfId="28834"/>
    <cellStyle name="Heading 2 2 2 2 3 2 3 7" xfId="28835"/>
    <cellStyle name="Heading 2 2 2 2 3 2 3 7 2" xfId="28836"/>
    <cellStyle name="Heading 2 2 2 2 3 2 3 7 2 2" xfId="28837"/>
    <cellStyle name="Heading 2 2 2 2 3 2 3 7 3" xfId="28838"/>
    <cellStyle name="Heading 2 2 2 2 3 2 3 8" xfId="28839"/>
    <cellStyle name="Heading 2 2 2 2 3 2 3 8 2" xfId="28840"/>
    <cellStyle name="Heading 2 2 2 2 3 2 3 9" xfId="28841"/>
    <cellStyle name="Heading 2 2 2 2 3 2 4" xfId="28842"/>
    <cellStyle name="Heading 2 2 2 2 3 2 4 2" xfId="28843"/>
    <cellStyle name="Heading 2 2 2 2 3 2 4 2 2" xfId="28844"/>
    <cellStyle name="Heading 2 2 2 2 3 2 4 2 2 2" xfId="28845"/>
    <cellStyle name="Heading 2 2 2 2 3 2 4 2 3" xfId="28846"/>
    <cellStyle name="Heading 2 2 2 2 3 2 4 3" xfId="28847"/>
    <cellStyle name="Heading 2 2 2 2 3 2 4 3 2" xfId="28848"/>
    <cellStyle name="Heading 2 2 2 2 3 2 4 3 2 2" xfId="28849"/>
    <cellStyle name="Heading 2 2 2 2 3 2 4 3 3" xfId="28850"/>
    <cellStyle name="Heading 2 2 2 2 3 2 4 4" xfId="28851"/>
    <cellStyle name="Heading 2 2 2 2 3 2 4 4 2" xfId="28852"/>
    <cellStyle name="Heading 2 2 2 2 3 2 4 4 2 2" xfId="28853"/>
    <cellStyle name="Heading 2 2 2 2 3 2 4 4 3" xfId="28854"/>
    <cellStyle name="Heading 2 2 2 2 3 2 4 5" xfId="28855"/>
    <cellStyle name="Heading 2 2 2 2 3 2 4 5 2" xfId="28856"/>
    <cellStyle name="Heading 2 2 2 2 3 2 4 5 2 2" xfId="28857"/>
    <cellStyle name="Heading 2 2 2 2 3 2 4 5 3" xfId="28858"/>
    <cellStyle name="Heading 2 2 2 2 3 2 4 6" xfId="28859"/>
    <cellStyle name="Heading 2 2 2 2 3 2 4 6 2" xfId="28860"/>
    <cellStyle name="Heading 2 2 2 2 3 2 4 6 2 2" xfId="28861"/>
    <cellStyle name="Heading 2 2 2 2 3 2 4 6 3" xfId="28862"/>
    <cellStyle name="Heading 2 2 2 2 3 2 4 7" xfId="28863"/>
    <cellStyle name="Heading 2 2 2 2 3 2 4 7 2" xfId="28864"/>
    <cellStyle name="Heading 2 2 2 2 3 2 4 7 2 2" xfId="28865"/>
    <cellStyle name="Heading 2 2 2 2 3 2 4 7 3" xfId="28866"/>
    <cellStyle name="Heading 2 2 2 2 3 2 4 8" xfId="28867"/>
    <cellStyle name="Heading 2 2 2 2 3 2 4 8 2" xfId="28868"/>
    <cellStyle name="Heading 2 2 2 2 3 2 4 9" xfId="28869"/>
    <cellStyle name="Heading 2 2 2 2 3 2 5" xfId="28870"/>
    <cellStyle name="Heading 2 2 2 2 3 2 5 2" xfId="28871"/>
    <cellStyle name="Heading 2 2 2 2 3 2 5 2 2" xfId="28872"/>
    <cellStyle name="Heading 2 2 2 2 3 2 5 2 2 2" xfId="28873"/>
    <cellStyle name="Heading 2 2 2 2 3 2 5 2 3" xfId="28874"/>
    <cellStyle name="Heading 2 2 2 2 3 2 5 3" xfId="28875"/>
    <cellStyle name="Heading 2 2 2 2 3 2 5 3 2" xfId="28876"/>
    <cellStyle name="Heading 2 2 2 2 3 2 5 3 2 2" xfId="28877"/>
    <cellStyle name="Heading 2 2 2 2 3 2 5 3 3" xfId="28878"/>
    <cellStyle name="Heading 2 2 2 2 3 2 5 4" xfId="28879"/>
    <cellStyle name="Heading 2 2 2 2 3 2 5 4 2" xfId="28880"/>
    <cellStyle name="Heading 2 2 2 2 3 2 5 4 2 2" xfId="28881"/>
    <cellStyle name="Heading 2 2 2 2 3 2 5 4 3" xfId="28882"/>
    <cellStyle name="Heading 2 2 2 2 3 2 5 5" xfId="28883"/>
    <cellStyle name="Heading 2 2 2 2 3 2 5 5 2" xfId="28884"/>
    <cellStyle name="Heading 2 2 2 2 3 2 5 5 2 2" xfId="28885"/>
    <cellStyle name="Heading 2 2 2 2 3 2 5 5 3" xfId="28886"/>
    <cellStyle name="Heading 2 2 2 2 3 2 5 6" xfId="28887"/>
    <cellStyle name="Heading 2 2 2 2 3 2 5 6 2" xfId="28888"/>
    <cellStyle name="Heading 2 2 2 2 3 2 5 6 2 2" xfId="28889"/>
    <cellStyle name="Heading 2 2 2 2 3 2 5 6 3" xfId="28890"/>
    <cellStyle name="Heading 2 2 2 2 3 2 5 7" xfId="28891"/>
    <cellStyle name="Heading 2 2 2 2 3 2 5 7 2" xfId="28892"/>
    <cellStyle name="Heading 2 2 2 2 3 2 5 7 2 2" xfId="28893"/>
    <cellStyle name="Heading 2 2 2 2 3 2 5 7 3" xfId="28894"/>
    <cellStyle name="Heading 2 2 2 2 3 2 5 8" xfId="28895"/>
    <cellStyle name="Heading 2 2 2 2 3 2 5 8 2" xfId="28896"/>
    <cellStyle name="Heading 2 2 2 2 3 2 5 9" xfId="28897"/>
    <cellStyle name="Heading 2 2 2 2 3 2 6" xfId="28898"/>
    <cellStyle name="Heading 2 2 2 2 3 2 6 2" xfId="28899"/>
    <cellStyle name="Heading 2 2 2 2 3 2 6 2 2" xfId="28900"/>
    <cellStyle name="Heading 2 2 2 2 3 2 6 2 2 2" xfId="28901"/>
    <cellStyle name="Heading 2 2 2 2 3 2 6 2 3" xfId="28902"/>
    <cellStyle name="Heading 2 2 2 2 3 2 6 3" xfId="28903"/>
    <cellStyle name="Heading 2 2 2 2 3 2 6 3 2" xfId="28904"/>
    <cellStyle name="Heading 2 2 2 2 3 2 6 3 2 2" xfId="28905"/>
    <cellStyle name="Heading 2 2 2 2 3 2 6 3 3" xfId="28906"/>
    <cellStyle name="Heading 2 2 2 2 3 2 6 4" xfId="28907"/>
    <cellStyle name="Heading 2 2 2 2 3 2 6 4 2" xfId="28908"/>
    <cellStyle name="Heading 2 2 2 2 3 2 6 4 2 2" xfId="28909"/>
    <cellStyle name="Heading 2 2 2 2 3 2 6 4 3" xfId="28910"/>
    <cellStyle name="Heading 2 2 2 2 3 2 6 5" xfId="28911"/>
    <cellStyle name="Heading 2 2 2 2 3 2 6 5 2" xfId="28912"/>
    <cellStyle name="Heading 2 2 2 2 3 2 6 5 2 2" xfId="28913"/>
    <cellStyle name="Heading 2 2 2 2 3 2 6 5 3" xfId="28914"/>
    <cellStyle name="Heading 2 2 2 2 3 2 6 6" xfId="28915"/>
    <cellStyle name="Heading 2 2 2 2 3 2 6 6 2" xfId="28916"/>
    <cellStyle name="Heading 2 2 2 2 3 2 6 6 2 2" xfId="28917"/>
    <cellStyle name="Heading 2 2 2 2 3 2 6 6 3" xfId="28918"/>
    <cellStyle name="Heading 2 2 2 2 3 2 6 7" xfId="28919"/>
    <cellStyle name="Heading 2 2 2 2 3 2 6 7 2" xfId="28920"/>
    <cellStyle name="Heading 2 2 2 2 3 2 6 7 2 2" xfId="28921"/>
    <cellStyle name="Heading 2 2 2 2 3 2 6 7 3" xfId="28922"/>
    <cellStyle name="Heading 2 2 2 2 3 2 6 8" xfId="28923"/>
    <cellStyle name="Heading 2 2 2 2 3 2 6 8 2" xfId="28924"/>
    <cellStyle name="Heading 2 2 2 2 3 2 6 9" xfId="28925"/>
    <cellStyle name="Heading 2 2 2 2 3 2 7" xfId="28926"/>
    <cellStyle name="Heading 2 2 2 2 3 2 7 2" xfId="28927"/>
    <cellStyle name="Heading 2 2 2 2 3 2 7 2 2" xfId="28928"/>
    <cellStyle name="Heading 2 2 2 2 3 2 7 2 2 2" xfId="28929"/>
    <cellStyle name="Heading 2 2 2 2 3 2 7 2 3" xfId="28930"/>
    <cellStyle name="Heading 2 2 2 2 3 2 7 3" xfId="28931"/>
    <cellStyle name="Heading 2 2 2 2 3 2 7 3 2" xfId="28932"/>
    <cellStyle name="Heading 2 2 2 2 3 2 7 3 2 2" xfId="28933"/>
    <cellStyle name="Heading 2 2 2 2 3 2 7 3 3" xfId="28934"/>
    <cellStyle name="Heading 2 2 2 2 3 2 7 4" xfId="28935"/>
    <cellStyle name="Heading 2 2 2 2 3 2 7 4 2" xfId="28936"/>
    <cellStyle name="Heading 2 2 2 2 3 2 7 4 2 2" xfId="28937"/>
    <cellStyle name="Heading 2 2 2 2 3 2 7 4 3" xfId="28938"/>
    <cellStyle name="Heading 2 2 2 2 3 2 7 5" xfId="28939"/>
    <cellStyle name="Heading 2 2 2 2 3 2 7 5 2" xfId="28940"/>
    <cellStyle name="Heading 2 2 2 2 3 2 7 5 2 2" xfId="28941"/>
    <cellStyle name="Heading 2 2 2 2 3 2 7 5 3" xfId="28942"/>
    <cellStyle name="Heading 2 2 2 2 3 2 7 6" xfId="28943"/>
    <cellStyle name="Heading 2 2 2 2 3 2 7 6 2" xfId="28944"/>
    <cellStyle name="Heading 2 2 2 2 3 2 7 6 2 2" xfId="28945"/>
    <cellStyle name="Heading 2 2 2 2 3 2 7 6 3" xfId="28946"/>
    <cellStyle name="Heading 2 2 2 2 3 2 7 7" xfId="28947"/>
    <cellStyle name="Heading 2 2 2 2 3 2 7 7 2" xfId="28948"/>
    <cellStyle name="Heading 2 2 2 2 3 2 7 7 2 2" xfId="28949"/>
    <cellStyle name="Heading 2 2 2 2 3 2 7 7 3" xfId="28950"/>
    <cellStyle name="Heading 2 2 2 2 3 2 7 8" xfId="28951"/>
    <cellStyle name="Heading 2 2 2 2 3 2 7 8 2" xfId="28952"/>
    <cellStyle name="Heading 2 2 2 2 3 2 7 9" xfId="28953"/>
    <cellStyle name="Heading 2 2 2 2 3 2 8" xfId="28954"/>
    <cellStyle name="Heading 2 2 2 2 3 2 8 2" xfId="28955"/>
    <cellStyle name="Heading 2 2 2 2 3 2 8 2 2" xfId="28956"/>
    <cellStyle name="Heading 2 2 2 2 3 2 8 2 2 2" xfId="28957"/>
    <cellStyle name="Heading 2 2 2 2 3 2 8 2 3" xfId="28958"/>
    <cellStyle name="Heading 2 2 2 2 3 2 8 3" xfId="28959"/>
    <cellStyle name="Heading 2 2 2 2 3 2 8 3 2" xfId="28960"/>
    <cellStyle name="Heading 2 2 2 2 3 2 8 3 2 2" xfId="28961"/>
    <cellStyle name="Heading 2 2 2 2 3 2 8 3 3" xfId="28962"/>
    <cellStyle name="Heading 2 2 2 2 3 2 8 4" xfId="28963"/>
    <cellStyle name="Heading 2 2 2 2 3 2 8 4 2" xfId="28964"/>
    <cellStyle name="Heading 2 2 2 2 3 2 8 4 2 2" xfId="28965"/>
    <cellStyle name="Heading 2 2 2 2 3 2 8 4 3" xfId="28966"/>
    <cellStyle name="Heading 2 2 2 2 3 2 8 5" xfId="28967"/>
    <cellStyle name="Heading 2 2 2 2 3 2 8 5 2" xfId="28968"/>
    <cellStyle name="Heading 2 2 2 2 3 2 8 5 2 2" xfId="28969"/>
    <cellStyle name="Heading 2 2 2 2 3 2 8 5 3" xfId="28970"/>
    <cellStyle name="Heading 2 2 2 2 3 2 8 6" xfId="28971"/>
    <cellStyle name="Heading 2 2 2 2 3 2 8 6 2" xfId="28972"/>
    <cellStyle name="Heading 2 2 2 2 3 2 8 6 2 2" xfId="28973"/>
    <cellStyle name="Heading 2 2 2 2 3 2 8 6 3" xfId="28974"/>
    <cellStyle name="Heading 2 2 2 2 3 2 8 7" xfId="28975"/>
    <cellStyle name="Heading 2 2 2 2 3 2 8 7 2" xfId="28976"/>
    <cellStyle name="Heading 2 2 2 2 3 2 8 7 2 2" xfId="28977"/>
    <cellStyle name="Heading 2 2 2 2 3 2 8 7 3" xfId="28978"/>
    <cellStyle name="Heading 2 2 2 2 3 2 8 8" xfId="28979"/>
    <cellStyle name="Heading 2 2 2 2 3 2 8 8 2" xfId="28980"/>
    <cellStyle name="Heading 2 2 2 2 3 2 8 9" xfId="28981"/>
    <cellStyle name="Heading 2 2 2 2 3 2 9" xfId="28982"/>
    <cellStyle name="Heading 2 2 2 2 3 2 9 2" xfId="28983"/>
    <cellStyle name="Heading 2 2 2 2 3 2 9 2 2" xfId="28984"/>
    <cellStyle name="Heading 2 2 2 2 3 2 9 2 2 2" xfId="28985"/>
    <cellStyle name="Heading 2 2 2 2 3 2 9 2 3" xfId="28986"/>
    <cellStyle name="Heading 2 2 2 2 3 2 9 3" xfId="28987"/>
    <cellStyle name="Heading 2 2 2 2 3 2 9 3 2" xfId="28988"/>
    <cellStyle name="Heading 2 2 2 2 3 2 9 3 2 2" xfId="28989"/>
    <cellStyle name="Heading 2 2 2 2 3 2 9 3 3" xfId="28990"/>
    <cellStyle name="Heading 2 2 2 2 3 2 9 4" xfId="28991"/>
    <cellStyle name="Heading 2 2 2 2 3 2 9 4 2" xfId="28992"/>
    <cellStyle name="Heading 2 2 2 2 3 2 9 4 2 2" xfId="28993"/>
    <cellStyle name="Heading 2 2 2 2 3 2 9 4 3" xfId="28994"/>
    <cellStyle name="Heading 2 2 2 2 3 2 9 5" xfId="28995"/>
    <cellStyle name="Heading 2 2 2 2 3 2 9 5 2" xfId="28996"/>
    <cellStyle name="Heading 2 2 2 2 3 2 9 5 2 2" xfId="28997"/>
    <cellStyle name="Heading 2 2 2 2 3 2 9 5 3" xfId="28998"/>
    <cellStyle name="Heading 2 2 2 2 3 2 9 6" xfId="28999"/>
    <cellStyle name="Heading 2 2 2 2 3 2 9 6 2" xfId="29000"/>
    <cellStyle name="Heading 2 2 2 2 3 2 9 6 2 2" xfId="29001"/>
    <cellStyle name="Heading 2 2 2 2 3 2 9 6 3" xfId="29002"/>
    <cellStyle name="Heading 2 2 2 2 3 2 9 7" xfId="29003"/>
    <cellStyle name="Heading 2 2 2 2 3 2 9 7 2" xfId="29004"/>
    <cellStyle name="Heading 2 2 2 2 3 2 9 7 2 2" xfId="29005"/>
    <cellStyle name="Heading 2 2 2 2 3 2 9 7 3" xfId="29006"/>
    <cellStyle name="Heading 2 2 2 2 3 2 9 8" xfId="29007"/>
    <cellStyle name="Heading 2 2 2 2 3 2 9 8 2" xfId="29008"/>
    <cellStyle name="Heading 2 2 2 2 3 2 9 9" xfId="29009"/>
    <cellStyle name="Heading 2 2 2 2 3 3" xfId="29010"/>
    <cellStyle name="Heading 2 2 2 2 3 3 10" xfId="29011"/>
    <cellStyle name="Heading 2 2 2 2 3 3 10 2" xfId="29012"/>
    <cellStyle name="Heading 2 2 2 2 3 3 10 2 2" xfId="29013"/>
    <cellStyle name="Heading 2 2 2 2 3 3 10 3" xfId="29014"/>
    <cellStyle name="Heading 2 2 2 2 3 3 11" xfId="29015"/>
    <cellStyle name="Heading 2 2 2 2 3 3 11 2" xfId="29016"/>
    <cellStyle name="Heading 2 2 2 2 3 3 11 2 2" xfId="29017"/>
    <cellStyle name="Heading 2 2 2 2 3 3 11 3" xfId="29018"/>
    <cellStyle name="Heading 2 2 2 2 3 3 12" xfId="29019"/>
    <cellStyle name="Heading 2 2 2 2 3 3 12 2" xfId="29020"/>
    <cellStyle name="Heading 2 2 2 2 3 3 12 2 2" xfId="29021"/>
    <cellStyle name="Heading 2 2 2 2 3 3 12 3" xfId="29022"/>
    <cellStyle name="Heading 2 2 2 2 3 3 13" xfId="29023"/>
    <cellStyle name="Heading 2 2 2 2 3 3 13 2" xfId="29024"/>
    <cellStyle name="Heading 2 2 2 2 3 3 13 2 2" xfId="29025"/>
    <cellStyle name="Heading 2 2 2 2 3 3 13 3" xfId="29026"/>
    <cellStyle name="Heading 2 2 2 2 3 3 14" xfId="29027"/>
    <cellStyle name="Heading 2 2 2 2 3 3 14 2" xfId="29028"/>
    <cellStyle name="Heading 2 2 2 2 3 3 14 2 2" xfId="29029"/>
    <cellStyle name="Heading 2 2 2 2 3 3 14 3" xfId="29030"/>
    <cellStyle name="Heading 2 2 2 2 3 3 15" xfId="29031"/>
    <cellStyle name="Heading 2 2 2 2 3 3 15 2" xfId="29032"/>
    <cellStyle name="Heading 2 2 2 2 3 3 15 2 2" xfId="29033"/>
    <cellStyle name="Heading 2 2 2 2 3 3 15 3" xfId="29034"/>
    <cellStyle name="Heading 2 2 2 2 3 3 16" xfId="29035"/>
    <cellStyle name="Heading 2 2 2 2 3 3 16 2" xfId="29036"/>
    <cellStyle name="Heading 2 2 2 2 3 3 16 2 2" xfId="29037"/>
    <cellStyle name="Heading 2 2 2 2 3 3 16 3" xfId="29038"/>
    <cellStyle name="Heading 2 2 2 2 3 3 17" xfId="29039"/>
    <cellStyle name="Heading 2 2 2 2 3 3 17 2" xfId="29040"/>
    <cellStyle name="Heading 2 2 2 2 3 3 17 2 2" xfId="29041"/>
    <cellStyle name="Heading 2 2 2 2 3 3 17 3" xfId="29042"/>
    <cellStyle name="Heading 2 2 2 2 3 3 18" xfId="29043"/>
    <cellStyle name="Heading 2 2 2 2 3 3 18 2" xfId="29044"/>
    <cellStyle name="Heading 2 2 2 2 3 3 18 2 2" xfId="29045"/>
    <cellStyle name="Heading 2 2 2 2 3 3 18 3" xfId="29046"/>
    <cellStyle name="Heading 2 2 2 2 3 3 19" xfId="29047"/>
    <cellStyle name="Heading 2 2 2 2 3 3 19 2" xfId="29048"/>
    <cellStyle name="Heading 2 2 2 2 3 3 2" xfId="29049"/>
    <cellStyle name="Heading 2 2 2 2 3 3 2 2" xfId="29050"/>
    <cellStyle name="Heading 2 2 2 2 3 3 2 2 2" xfId="29051"/>
    <cellStyle name="Heading 2 2 2 2 3 3 2 2 2 2" xfId="29052"/>
    <cellStyle name="Heading 2 2 2 2 3 3 2 2 3" xfId="29053"/>
    <cellStyle name="Heading 2 2 2 2 3 3 2 3" xfId="29054"/>
    <cellStyle name="Heading 2 2 2 2 3 3 2 3 2" xfId="29055"/>
    <cellStyle name="Heading 2 2 2 2 3 3 2 3 2 2" xfId="29056"/>
    <cellStyle name="Heading 2 2 2 2 3 3 2 3 3" xfId="29057"/>
    <cellStyle name="Heading 2 2 2 2 3 3 2 4" xfId="29058"/>
    <cellStyle name="Heading 2 2 2 2 3 3 2 4 2" xfId="29059"/>
    <cellStyle name="Heading 2 2 2 2 3 3 2 4 2 2" xfId="29060"/>
    <cellStyle name="Heading 2 2 2 2 3 3 2 4 3" xfId="29061"/>
    <cellStyle name="Heading 2 2 2 2 3 3 2 5" xfId="29062"/>
    <cellStyle name="Heading 2 2 2 2 3 3 2 5 2" xfId="29063"/>
    <cellStyle name="Heading 2 2 2 2 3 3 2 5 2 2" xfId="29064"/>
    <cellStyle name="Heading 2 2 2 2 3 3 2 5 3" xfId="29065"/>
    <cellStyle name="Heading 2 2 2 2 3 3 2 6" xfId="29066"/>
    <cellStyle name="Heading 2 2 2 2 3 3 2 6 2" xfId="29067"/>
    <cellStyle name="Heading 2 2 2 2 3 3 2 6 2 2" xfId="29068"/>
    <cellStyle name="Heading 2 2 2 2 3 3 2 6 3" xfId="29069"/>
    <cellStyle name="Heading 2 2 2 2 3 3 2 7" xfId="29070"/>
    <cellStyle name="Heading 2 2 2 2 3 3 2 7 2" xfId="29071"/>
    <cellStyle name="Heading 2 2 2 2 3 3 2 7 2 2" xfId="29072"/>
    <cellStyle name="Heading 2 2 2 2 3 3 2 7 3" xfId="29073"/>
    <cellStyle name="Heading 2 2 2 2 3 3 2 8" xfId="29074"/>
    <cellStyle name="Heading 2 2 2 2 3 3 2 8 2" xfId="29075"/>
    <cellStyle name="Heading 2 2 2 2 3 3 2 9" xfId="29076"/>
    <cellStyle name="Heading 2 2 2 2 3 3 20" xfId="29077"/>
    <cellStyle name="Heading 2 2 2 2 3 3 20 2" xfId="29078"/>
    <cellStyle name="Heading 2 2 2 2 3 3 21" xfId="29079"/>
    <cellStyle name="Heading 2 2 2 2 3 3 21 2" xfId="29080"/>
    <cellStyle name="Heading 2 2 2 2 3 3 22" xfId="29081"/>
    <cellStyle name="Heading 2 2 2 2 3 3 3" xfId="29082"/>
    <cellStyle name="Heading 2 2 2 2 3 3 3 2" xfId="29083"/>
    <cellStyle name="Heading 2 2 2 2 3 3 3 2 2" xfId="29084"/>
    <cellStyle name="Heading 2 2 2 2 3 3 3 2 2 2" xfId="29085"/>
    <cellStyle name="Heading 2 2 2 2 3 3 3 2 3" xfId="29086"/>
    <cellStyle name="Heading 2 2 2 2 3 3 3 3" xfId="29087"/>
    <cellStyle name="Heading 2 2 2 2 3 3 3 3 2" xfId="29088"/>
    <cellStyle name="Heading 2 2 2 2 3 3 3 3 2 2" xfId="29089"/>
    <cellStyle name="Heading 2 2 2 2 3 3 3 3 3" xfId="29090"/>
    <cellStyle name="Heading 2 2 2 2 3 3 3 4" xfId="29091"/>
    <cellStyle name="Heading 2 2 2 2 3 3 3 4 2" xfId="29092"/>
    <cellStyle name="Heading 2 2 2 2 3 3 3 4 2 2" xfId="29093"/>
    <cellStyle name="Heading 2 2 2 2 3 3 3 4 3" xfId="29094"/>
    <cellStyle name="Heading 2 2 2 2 3 3 3 5" xfId="29095"/>
    <cellStyle name="Heading 2 2 2 2 3 3 3 5 2" xfId="29096"/>
    <cellStyle name="Heading 2 2 2 2 3 3 3 5 2 2" xfId="29097"/>
    <cellStyle name="Heading 2 2 2 2 3 3 3 5 3" xfId="29098"/>
    <cellStyle name="Heading 2 2 2 2 3 3 3 6" xfId="29099"/>
    <cellStyle name="Heading 2 2 2 2 3 3 3 6 2" xfId="29100"/>
    <cellStyle name="Heading 2 2 2 2 3 3 3 6 2 2" xfId="29101"/>
    <cellStyle name="Heading 2 2 2 2 3 3 3 6 3" xfId="29102"/>
    <cellStyle name="Heading 2 2 2 2 3 3 3 7" xfId="29103"/>
    <cellStyle name="Heading 2 2 2 2 3 3 3 7 2" xfId="29104"/>
    <cellStyle name="Heading 2 2 2 2 3 3 3 7 2 2" xfId="29105"/>
    <cellStyle name="Heading 2 2 2 2 3 3 3 7 3" xfId="29106"/>
    <cellStyle name="Heading 2 2 2 2 3 3 3 8" xfId="29107"/>
    <cellStyle name="Heading 2 2 2 2 3 3 3 8 2" xfId="29108"/>
    <cellStyle name="Heading 2 2 2 2 3 3 3 9" xfId="29109"/>
    <cellStyle name="Heading 2 2 2 2 3 3 4" xfId="29110"/>
    <cellStyle name="Heading 2 2 2 2 3 3 4 2" xfId="29111"/>
    <cellStyle name="Heading 2 2 2 2 3 3 4 2 2" xfId="29112"/>
    <cellStyle name="Heading 2 2 2 2 3 3 4 2 2 2" xfId="29113"/>
    <cellStyle name="Heading 2 2 2 2 3 3 4 2 3" xfId="29114"/>
    <cellStyle name="Heading 2 2 2 2 3 3 4 3" xfId="29115"/>
    <cellStyle name="Heading 2 2 2 2 3 3 4 3 2" xfId="29116"/>
    <cellStyle name="Heading 2 2 2 2 3 3 4 3 2 2" xfId="29117"/>
    <cellStyle name="Heading 2 2 2 2 3 3 4 3 3" xfId="29118"/>
    <cellStyle name="Heading 2 2 2 2 3 3 4 4" xfId="29119"/>
    <cellStyle name="Heading 2 2 2 2 3 3 4 4 2" xfId="29120"/>
    <cellStyle name="Heading 2 2 2 2 3 3 4 4 2 2" xfId="29121"/>
    <cellStyle name="Heading 2 2 2 2 3 3 4 4 3" xfId="29122"/>
    <cellStyle name="Heading 2 2 2 2 3 3 4 5" xfId="29123"/>
    <cellStyle name="Heading 2 2 2 2 3 3 4 5 2" xfId="29124"/>
    <cellStyle name="Heading 2 2 2 2 3 3 4 5 2 2" xfId="29125"/>
    <cellStyle name="Heading 2 2 2 2 3 3 4 5 3" xfId="29126"/>
    <cellStyle name="Heading 2 2 2 2 3 3 4 6" xfId="29127"/>
    <cellStyle name="Heading 2 2 2 2 3 3 4 6 2" xfId="29128"/>
    <cellStyle name="Heading 2 2 2 2 3 3 4 6 2 2" xfId="29129"/>
    <cellStyle name="Heading 2 2 2 2 3 3 4 6 3" xfId="29130"/>
    <cellStyle name="Heading 2 2 2 2 3 3 4 7" xfId="29131"/>
    <cellStyle name="Heading 2 2 2 2 3 3 4 7 2" xfId="29132"/>
    <cellStyle name="Heading 2 2 2 2 3 3 4 7 2 2" xfId="29133"/>
    <cellStyle name="Heading 2 2 2 2 3 3 4 7 3" xfId="29134"/>
    <cellStyle name="Heading 2 2 2 2 3 3 4 8" xfId="29135"/>
    <cellStyle name="Heading 2 2 2 2 3 3 4 8 2" xfId="29136"/>
    <cellStyle name="Heading 2 2 2 2 3 3 4 9" xfId="29137"/>
    <cellStyle name="Heading 2 2 2 2 3 3 5" xfId="29138"/>
    <cellStyle name="Heading 2 2 2 2 3 3 5 2" xfId="29139"/>
    <cellStyle name="Heading 2 2 2 2 3 3 5 2 2" xfId="29140"/>
    <cellStyle name="Heading 2 2 2 2 3 3 5 2 2 2" xfId="29141"/>
    <cellStyle name="Heading 2 2 2 2 3 3 5 2 3" xfId="29142"/>
    <cellStyle name="Heading 2 2 2 2 3 3 5 3" xfId="29143"/>
    <cellStyle name="Heading 2 2 2 2 3 3 5 3 2" xfId="29144"/>
    <cellStyle name="Heading 2 2 2 2 3 3 5 3 2 2" xfId="29145"/>
    <cellStyle name="Heading 2 2 2 2 3 3 5 3 3" xfId="29146"/>
    <cellStyle name="Heading 2 2 2 2 3 3 5 4" xfId="29147"/>
    <cellStyle name="Heading 2 2 2 2 3 3 5 4 2" xfId="29148"/>
    <cellStyle name="Heading 2 2 2 2 3 3 5 4 2 2" xfId="29149"/>
    <cellStyle name="Heading 2 2 2 2 3 3 5 4 3" xfId="29150"/>
    <cellStyle name="Heading 2 2 2 2 3 3 5 5" xfId="29151"/>
    <cellStyle name="Heading 2 2 2 2 3 3 5 5 2" xfId="29152"/>
    <cellStyle name="Heading 2 2 2 2 3 3 5 5 2 2" xfId="29153"/>
    <cellStyle name="Heading 2 2 2 2 3 3 5 5 3" xfId="29154"/>
    <cellStyle name="Heading 2 2 2 2 3 3 5 6" xfId="29155"/>
    <cellStyle name="Heading 2 2 2 2 3 3 5 6 2" xfId="29156"/>
    <cellStyle name="Heading 2 2 2 2 3 3 5 6 2 2" xfId="29157"/>
    <cellStyle name="Heading 2 2 2 2 3 3 5 6 3" xfId="29158"/>
    <cellStyle name="Heading 2 2 2 2 3 3 5 7" xfId="29159"/>
    <cellStyle name="Heading 2 2 2 2 3 3 5 7 2" xfId="29160"/>
    <cellStyle name="Heading 2 2 2 2 3 3 5 7 2 2" xfId="29161"/>
    <cellStyle name="Heading 2 2 2 2 3 3 5 7 3" xfId="29162"/>
    <cellStyle name="Heading 2 2 2 2 3 3 5 8" xfId="29163"/>
    <cellStyle name="Heading 2 2 2 2 3 3 5 8 2" xfId="29164"/>
    <cellStyle name="Heading 2 2 2 2 3 3 5 9" xfId="29165"/>
    <cellStyle name="Heading 2 2 2 2 3 3 6" xfId="29166"/>
    <cellStyle name="Heading 2 2 2 2 3 3 6 2" xfId="29167"/>
    <cellStyle name="Heading 2 2 2 2 3 3 6 2 2" xfId="29168"/>
    <cellStyle name="Heading 2 2 2 2 3 3 6 2 2 2" xfId="29169"/>
    <cellStyle name="Heading 2 2 2 2 3 3 6 2 3" xfId="29170"/>
    <cellStyle name="Heading 2 2 2 2 3 3 6 3" xfId="29171"/>
    <cellStyle name="Heading 2 2 2 2 3 3 6 3 2" xfId="29172"/>
    <cellStyle name="Heading 2 2 2 2 3 3 6 3 2 2" xfId="29173"/>
    <cellStyle name="Heading 2 2 2 2 3 3 6 3 3" xfId="29174"/>
    <cellStyle name="Heading 2 2 2 2 3 3 6 4" xfId="29175"/>
    <cellStyle name="Heading 2 2 2 2 3 3 6 4 2" xfId="29176"/>
    <cellStyle name="Heading 2 2 2 2 3 3 6 4 2 2" xfId="29177"/>
    <cellStyle name="Heading 2 2 2 2 3 3 6 4 3" xfId="29178"/>
    <cellStyle name="Heading 2 2 2 2 3 3 6 5" xfId="29179"/>
    <cellStyle name="Heading 2 2 2 2 3 3 6 5 2" xfId="29180"/>
    <cellStyle name="Heading 2 2 2 2 3 3 6 5 2 2" xfId="29181"/>
    <cellStyle name="Heading 2 2 2 2 3 3 6 5 3" xfId="29182"/>
    <cellStyle name="Heading 2 2 2 2 3 3 6 6" xfId="29183"/>
    <cellStyle name="Heading 2 2 2 2 3 3 6 6 2" xfId="29184"/>
    <cellStyle name="Heading 2 2 2 2 3 3 6 6 2 2" xfId="29185"/>
    <cellStyle name="Heading 2 2 2 2 3 3 6 6 3" xfId="29186"/>
    <cellStyle name="Heading 2 2 2 2 3 3 6 7" xfId="29187"/>
    <cellStyle name="Heading 2 2 2 2 3 3 6 7 2" xfId="29188"/>
    <cellStyle name="Heading 2 2 2 2 3 3 6 7 2 2" xfId="29189"/>
    <cellStyle name="Heading 2 2 2 2 3 3 6 7 3" xfId="29190"/>
    <cellStyle name="Heading 2 2 2 2 3 3 6 8" xfId="29191"/>
    <cellStyle name="Heading 2 2 2 2 3 3 6 8 2" xfId="29192"/>
    <cellStyle name="Heading 2 2 2 2 3 3 6 9" xfId="29193"/>
    <cellStyle name="Heading 2 2 2 2 3 3 7" xfId="29194"/>
    <cellStyle name="Heading 2 2 2 2 3 3 7 2" xfId="29195"/>
    <cellStyle name="Heading 2 2 2 2 3 3 7 2 2" xfId="29196"/>
    <cellStyle name="Heading 2 2 2 2 3 3 7 2 2 2" xfId="29197"/>
    <cellStyle name="Heading 2 2 2 2 3 3 7 2 3" xfId="29198"/>
    <cellStyle name="Heading 2 2 2 2 3 3 7 3" xfId="29199"/>
    <cellStyle name="Heading 2 2 2 2 3 3 7 3 2" xfId="29200"/>
    <cellStyle name="Heading 2 2 2 2 3 3 7 3 2 2" xfId="29201"/>
    <cellStyle name="Heading 2 2 2 2 3 3 7 3 3" xfId="29202"/>
    <cellStyle name="Heading 2 2 2 2 3 3 7 4" xfId="29203"/>
    <cellStyle name="Heading 2 2 2 2 3 3 7 4 2" xfId="29204"/>
    <cellStyle name="Heading 2 2 2 2 3 3 7 4 2 2" xfId="29205"/>
    <cellStyle name="Heading 2 2 2 2 3 3 7 4 3" xfId="29206"/>
    <cellStyle name="Heading 2 2 2 2 3 3 7 5" xfId="29207"/>
    <cellStyle name="Heading 2 2 2 2 3 3 7 5 2" xfId="29208"/>
    <cellStyle name="Heading 2 2 2 2 3 3 7 5 2 2" xfId="29209"/>
    <cellStyle name="Heading 2 2 2 2 3 3 7 5 3" xfId="29210"/>
    <cellStyle name="Heading 2 2 2 2 3 3 7 6" xfId="29211"/>
    <cellStyle name="Heading 2 2 2 2 3 3 7 6 2" xfId="29212"/>
    <cellStyle name="Heading 2 2 2 2 3 3 7 6 2 2" xfId="29213"/>
    <cellStyle name="Heading 2 2 2 2 3 3 7 6 3" xfId="29214"/>
    <cellStyle name="Heading 2 2 2 2 3 3 7 7" xfId="29215"/>
    <cellStyle name="Heading 2 2 2 2 3 3 7 7 2" xfId="29216"/>
    <cellStyle name="Heading 2 2 2 2 3 3 7 7 2 2" xfId="29217"/>
    <cellStyle name="Heading 2 2 2 2 3 3 7 7 3" xfId="29218"/>
    <cellStyle name="Heading 2 2 2 2 3 3 7 8" xfId="29219"/>
    <cellStyle name="Heading 2 2 2 2 3 3 7 8 2" xfId="29220"/>
    <cellStyle name="Heading 2 2 2 2 3 3 7 9" xfId="29221"/>
    <cellStyle name="Heading 2 2 2 2 3 3 8" xfId="29222"/>
    <cellStyle name="Heading 2 2 2 2 3 3 8 2" xfId="29223"/>
    <cellStyle name="Heading 2 2 2 2 3 3 8 2 2" xfId="29224"/>
    <cellStyle name="Heading 2 2 2 2 3 3 8 2 2 2" xfId="29225"/>
    <cellStyle name="Heading 2 2 2 2 3 3 8 2 3" xfId="29226"/>
    <cellStyle name="Heading 2 2 2 2 3 3 8 3" xfId="29227"/>
    <cellStyle name="Heading 2 2 2 2 3 3 8 3 2" xfId="29228"/>
    <cellStyle name="Heading 2 2 2 2 3 3 8 3 2 2" xfId="29229"/>
    <cellStyle name="Heading 2 2 2 2 3 3 8 3 3" xfId="29230"/>
    <cellStyle name="Heading 2 2 2 2 3 3 8 4" xfId="29231"/>
    <cellStyle name="Heading 2 2 2 2 3 3 8 4 2" xfId="29232"/>
    <cellStyle name="Heading 2 2 2 2 3 3 8 4 2 2" xfId="29233"/>
    <cellStyle name="Heading 2 2 2 2 3 3 8 4 3" xfId="29234"/>
    <cellStyle name="Heading 2 2 2 2 3 3 8 5" xfId="29235"/>
    <cellStyle name="Heading 2 2 2 2 3 3 8 5 2" xfId="29236"/>
    <cellStyle name="Heading 2 2 2 2 3 3 8 5 2 2" xfId="29237"/>
    <cellStyle name="Heading 2 2 2 2 3 3 8 5 3" xfId="29238"/>
    <cellStyle name="Heading 2 2 2 2 3 3 8 6" xfId="29239"/>
    <cellStyle name="Heading 2 2 2 2 3 3 8 6 2" xfId="29240"/>
    <cellStyle name="Heading 2 2 2 2 3 3 8 6 2 2" xfId="29241"/>
    <cellStyle name="Heading 2 2 2 2 3 3 8 6 3" xfId="29242"/>
    <cellStyle name="Heading 2 2 2 2 3 3 8 7" xfId="29243"/>
    <cellStyle name="Heading 2 2 2 2 3 3 8 7 2" xfId="29244"/>
    <cellStyle name="Heading 2 2 2 2 3 3 8 7 2 2" xfId="29245"/>
    <cellStyle name="Heading 2 2 2 2 3 3 8 7 3" xfId="29246"/>
    <cellStyle name="Heading 2 2 2 2 3 3 8 8" xfId="29247"/>
    <cellStyle name="Heading 2 2 2 2 3 3 8 8 2" xfId="29248"/>
    <cellStyle name="Heading 2 2 2 2 3 3 8 9" xfId="29249"/>
    <cellStyle name="Heading 2 2 2 2 3 3 9" xfId="29250"/>
    <cellStyle name="Heading 2 2 2 2 3 3 9 2" xfId="29251"/>
    <cellStyle name="Heading 2 2 2 2 3 3 9 2 2" xfId="29252"/>
    <cellStyle name="Heading 2 2 2 2 3 3 9 3" xfId="29253"/>
    <cellStyle name="Heading 2 2 2 2 3 4" xfId="29254"/>
    <cellStyle name="Heading 2 2 2 2 3 4 2" xfId="29255"/>
    <cellStyle name="Heading 2 2 2 2 3 4 2 2" xfId="29256"/>
    <cellStyle name="Heading 2 2 2 2 3 4 3" xfId="29257"/>
    <cellStyle name="Heading 2 2 2 2 3 5" xfId="29258"/>
    <cellStyle name="Heading 2 2 2 2 3 5 2" xfId="29259"/>
    <cellStyle name="Heading 2 2 2 2 3 6" xfId="29260"/>
    <cellStyle name="Heading 2 2 2 2 4" xfId="29261"/>
    <cellStyle name="Heading 2 2 2 2 4 2" xfId="29262"/>
    <cellStyle name="Heading 2 2 2 2 4 2 10" xfId="29263"/>
    <cellStyle name="Heading 2 2 2 2 4 2 10 2" xfId="29264"/>
    <cellStyle name="Heading 2 2 2 2 4 2 10 2 2" xfId="29265"/>
    <cellStyle name="Heading 2 2 2 2 4 2 10 3" xfId="29266"/>
    <cellStyle name="Heading 2 2 2 2 4 2 11" xfId="29267"/>
    <cellStyle name="Heading 2 2 2 2 4 2 11 2" xfId="29268"/>
    <cellStyle name="Heading 2 2 2 2 4 2 11 2 2" xfId="29269"/>
    <cellStyle name="Heading 2 2 2 2 4 2 11 3" xfId="29270"/>
    <cellStyle name="Heading 2 2 2 2 4 2 12" xfId="29271"/>
    <cellStyle name="Heading 2 2 2 2 4 2 12 2" xfId="29272"/>
    <cellStyle name="Heading 2 2 2 2 4 2 12 2 2" xfId="29273"/>
    <cellStyle name="Heading 2 2 2 2 4 2 12 3" xfId="29274"/>
    <cellStyle name="Heading 2 2 2 2 4 2 13" xfId="29275"/>
    <cellStyle name="Heading 2 2 2 2 4 2 13 2" xfId="29276"/>
    <cellStyle name="Heading 2 2 2 2 4 2 13 2 2" xfId="29277"/>
    <cellStyle name="Heading 2 2 2 2 4 2 13 3" xfId="29278"/>
    <cellStyle name="Heading 2 2 2 2 4 2 14" xfId="29279"/>
    <cellStyle name="Heading 2 2 2 2 4 2 14 2" xfId="29280"/>
    <cellStyle name="Heading 2 2 2 2 4 2 14 2 2" xfId="29281"/>
    <cellStyle name="Heading 2 2 2 2 4 2 14 3" xfId="29282"/>
    <cellStyle name="Heading 2 2 2 2 4 2 15" xfId="29283"/>
    <cellStyle name="Heading 2 2 2 2 4 2 15 2" xfId="29284"/>
    <cellStyle name="Heading 2 2 2 2 4 2 15 2 2" xfId="29285"/>
    <cellStyle name="Heading 2 2 2 2 4 2 15 3" xfId="29286"/>
    <cellStyle name="Heading 2 2 2 2 4 2 16" xfId="29287"/>
    <cellStyle name="Heading 2 2 2 2 4 2 16 2" xfId="29288"/>
    <cellStyle name="Heading 2 2 2 2 4 2 16 2 2" xfId="29289"/>
    <cellStyle name="Heading 2 2 2 2 4 2 16 3" xfId="29290"/>
    <cellStyle name="Heading 2 2 2 2 4 2 17" xfId="29291"/>
    <cellStyle name="Heading 2 2 2 2 4 2 17 2" xfId="29292"/>
    <cellStyle name="Heading 2 2 2 2 4 2 17 2 2" xfId="29293"/>
    <cellStyle name="Heading 2 2 2 2 4 2 17 3" xfId="29294"/>
    <cellStyle name="Heading 2 2 2 2 4 2 18" xfId="29295"/>
    <cellStyle name="Heading 2 2 2 2 4 2 18 2" xfId="29296"/>
    <cellStyle name="Heading 2 2 2 2 4 2 18 2 2" xfId="29297"/>
    <cellStyle name="Heading 2 2 2 2 4 2 18 3" xfId="29298"/>
    <cellStyle name="Heading 2 2 2 2 4 2 19" xfId="29299"/>
    <cellStyle name="Heading 2 2 2 2 4 2 19 2" xfId="29300"/>
    <cellStyle name="Heading 2 2 2 2 4 2 19 2 2" xfId="29301"/>
    <cellStyle name="Heading 2 2 2 2 4 2 19 3" xfId="29302"/>
    <cellStyle name="Heading 2 2 2 2 4 2 2" xfId="29303"/>
    <cellStyle name="Heading 2 2 2 2 4 2 2 10" xfId="29304"/>
    <cellStyle name="Heading 2 2 2 2 4 2 2 10 2" xfId="29305"/>
    <cellStyle name="Heading 2 2 2 2 4 2 2 10 2 2" xfId="29306"/>
    <cellStyle name="Heading 2 2 2 2 4 2 2 10 3" xfId="29307"/>
    <cellStyle name="Heading 2 2 2 2 4 2 2 11" xfId="29308"/>
    <cellStyle name="Heading 2 2 2 2 4 2 2 11 2" xfId="29309"/>
    <cellStyle name="Heading 2 2 2 2 4 2 2 11 2 2" xfId="29310"/>
    <cellStyle name="Heading 2 2 2 2 4 2 2 11 3" xfId="29311"/>
    <cellStyle name="Heading 2 2 2 2 4 2 2 12" xfId="29312"/>
    <cellStyle name="Heading 2 2 2 2 4 2 2 12 2" xfId="29313"/>
    <cellStyle name="Heading 2 2 2 2 4 2 2 12 2 2" xfId="29314"/>
    <cellStyle name="Heading 2 2 2 2 4 2 2 12 3" xfId="29315"/>
    <cellStyle name="Heading 2 2 2 2 4 2 2 13" xfId="29316"/>
    <cellStyle name="Heading 2 2 2 2 4 2 2 13 2" xfId="29317"/>
    <cellStyle name="Heading 2 2 2 2 4 2 2 13 2 2" xfId="29318"/>
    <cellStyle name="Heading 2 2 2 2 4 2 2 13 3" xfId="29319"/>
    <cellStyle name="Heading 2 2 2 2 4 2 2 14" xfId="29320"/>
    <cellStyle name="Heading 2 2 2 2 4 2 2 14 2" xfId="29321"/>
    <cellStyle name="Heading 2 2 2 2 4 2 2 14 2 2" xfId="29322"/>
    <cellStyle name="Heading 2 2 2 2 4 2 2 14 3" xfId="29323"/>
    <cellStyle name="Heading 2 2 2 2 4 2 2 15" xfId="29324"/>
    <cellStyle name="Heading 2 2 2 2 4 2 2 15 2" xfId="29325"/>
    <cellStyle name="Heading 2 2 2 2 4 2 2 15 2 2" xfId="29326"/>
    <cellStyle name="Heading 2 2 2 2 4 2 2 15 3" xfId="29327"/>
    <cellStyle name="Heading 2 2 2 2 4 2 2 16" xfId="29328"/>
    <cellStyle name="Heading 2 2 2 2 4 2 2 16 2" xfId="29329"/>
    <cellStyle name="Heading 2 2 2 2 4 2 2 16 2 2" xfId="29330"/>
    <cellStyle name="Heading 2 2 2 2 4 2 2 16 3" xfId="29331"/>
    <cellStyle name="Heading 2 2 2 2 4 2 2 17" xfId="29332"/>
    <cellStyle name="Heading 2 2 2 2 4 2 2 17 2" xfId="29333"/>
    <cellStyle name="Heading 2 2 2 2 4 2 2 17 2 2" xfId="29334"/>
    <cellStyle name="Heading 2 2 2 2 4 2 2 17 3" xfId="29335"/>
    <cellStyle name="Heading 2 2 2 2 4 2 2 18" xfId="29336"/>
    <cellStyle name="Heading 2 2 2 2 4 2 2 18 2" xfId="29337"/>
    <cellStyle name="Heading 2 2 2 2 4 2 2 18 2 2" xfId="29338"/>
    <cellStyle name="Heading 2 2 2 2 4 2 2 18 3" xfId="29339"/>
    <cellStyle name="Heading 2 2 2 2 4 2 2 19" xfId="29340"/>
    <cellStyle name="Heading 2 2 2 2 4 2 2 19 2" xfId="29341"/>
    <cellStyle name="Heading 2 2 2 2 4 2 2 2" xfId="29342"/>
    <cellStyle name="Heading 2 2 2 2 4 2 2 2 2" xfId="29343"/>
    <cellStyle name="Heading 2 2 2 2 4 2 2 2 2 2" xfId="29344"/>
    <cellStyle name="Heading 2 2 2 2 4 2 2 2 2 2 2" xfId="29345"/>
    <cellStyle name="Heading 2 2 2 2 4 2 2 2 2 3" xfId="29346"/>
    <cellStyle name="Heading 2 2 2 2 4 2 2 2 3" xfId="29347"/>
    <cellStyle name="Heading 2 2 2 2 4 2 2 2 3 2" xfId="29348"/>
    <cellStyle name="Heading 2 2 2 2 4 2 2 2 3 2 2" xfId="29349"/>
    <cellStyle name="Heading 2 2 2 2 4 2 2 2 3 3" xfId="29350"/>
    <cellStyle name="Heading 2 2 2 2 4 2 2 2 4" xfId="29351"/>
    <cellStyle name="Heading 2 2 2 2 4 2 2 2 4 2" xfId="29352"/>
    <cellStyle name="Heading 2 2 2 2 4 2 2 2 4 2 2" xfId="29353"/>
    <cellStyle name="Heading 2 2 2 2 4 2 2 2 4 3" xfId="29354"/>
    <cellStyle name="Heading 2 2 2 2 4 2 2 2 5" xfId="29355"/>
    <cellStyle name="Heading 2 2 2 2 4 2 2 2 5 2" xfId="29356"/>
    <cellStyle name="Heading 2 2 2 2 4 2 2 2 5 2 2" xfId="29357"/>
    <cellStyle name="Heading 2 2 2 2 4 2 2 2 5 3" xfId="29358"/>
    <cellStyle name="Heading 2 2 2 2 4 2 2 2 6" xfId="29359"/>
    <cellStyle name="Heading 2 2 2 2 4 2 2 2 6 2" xfId="29360"/>
    <cellStyle name="Heading 2 2 2 2 4 2 2 2 6 2 2" xfId="29361"/>
    <cellStyle name="Heading 2 2 2 2 4 2 2 2 6 3" xfId="29362"/>
    <cellStyle name="Heading 2 2 2 2 4 2 2 2 7" xfId="29363"/>
    <cellStyle name="Heading 2 2 2 2 4 2 2 2 7 2" xfId="29364"/>
    <cellStyle name="Heading 2 2 2 2 4 2 2 2 7 2 2" xfId="29365"/>
    <cellStyle name="Heading 2 2 2 2 4 2 2 2 7 3" xfId="29366"/>
    <cellStyle name="Heading 2 2 2 2 4 2 2 2 8" xfId="29367"/>
    <cellStyle name="Heading 2 2 2 2 4 2 2 2 8 2" xfId="29368"/>
    <cellStyle name="Heading 2 2 2 2 4 2 2 2 9" xfId="29369"/>
    <cellStyle name="Heading 2 2 2 2 4 2 2 20" xfId="29370"/>
    <cellStyle name="Heading 2 2 2 2 4 2 2 20 2" xfId="29371"/>
    <cellStyle name="Heading 2 2 2 2 4 2 2 21" xfId="29372"/>
    <cellStyle name="Heading 2 2 2 2 4 2 2 21 2" xfId="29373"/>
    <cellStyle name="Heading 2 2 2 2 4 2 2 22" xfId="29374"/>
    <cellStyle name="Heading 2 2 2 2 4 2 2 3" xfId="29375"/>
    <cellStyle name="Heading 2 2 2 2 4 2 2 3 2" xfId="29376"/>
    <cellStyle name="Heading 2 2 2 2 4 2 2 3 2 2" xfId="29377"/>
    <cellStyle name="Heading 2 2 2 2 4 2 2 3 2 2 2" xfId="29378"/>
    <cellStyle name="Heading 2 2 2 2 4 2 2 3 2 3" xfId="29379"/>
    <cellStyle name="Heading 2 2 2 2 4 2 2 3 3" xfId="29380"/>
    <cellStyle name="Heading 2 2 2 2 4 2 2 3 3 2" xfId="29381"/>
    <cellStyle name="Heading 2 2 2 2 4 2 2 3 3 2 2" xfId="29382"/>
    <cellStyle name="Heading 2 2 2 2 4 2 2 3 3 3" xfId="29383"/>
    <cellStyle name="Heading 2 2 2 2 4 2 2 3 4" xfId="29384"/>
    <cellStyle name="Heading 2 2 2 2 4 2 2 3 4 2" xfId="29385"/>
    <cellStyle name="Heading 2 2 2 2 4 2 2 3 4 2 2" xfId="29386"/>
    <cellStyle name="Heading 2 2 2 2 4 2 2 3 4 3" xfId="29387"/>
    <cellStyle name="Heading 2 2 2 2 4 2 2 3 5" xfId="29388"/>
    <cellStyle name="Heading 2 2 2 2 4 2 2 3 5 2" xfId="29389"/>
    <cellStyle name="Heading 2 2 2 2 4 2 2 3 5 2 2" xfId="29390"/>
    <cellStyle name="Heading 2 2 2 2 4 2 2 3 5 3" xfId="29391"/>
    <cellStyle name="Heading 2 2 2 2 4 2 2 3 6" xfId="29392"/>
    <cellStyle name="Heading 2 2 2 2 4 2 2 3 6 2" xfId="29393"/>
    <cellStyle name="Heading 2 2 2 2 4 2 2 3 6 2 2" xfId="29394"/>
    <cellStyle name="Heading 2 2 2 2 4 2 2 3 6 3" xfId="29395"/>
    <cellStyle name="Heading 2 2 2 2 4 2 2 3 7" xfId="29396"/>
    <cellStyle name="Heading 2 2 2 2 4 2 2 3 7 2" xfId="29397"/>
    <cellStyle name="Heading 2 2 2 2 4 2 2 3 7 2 2" xfId="29398"/>
    <cellStyle name="Heading 2 2 2 2 4 2 2 3 7 3" xfId="29399"/>
    <cellStyle name="Heading 2 2 2 2 4 2 2 3 8" xfId="29400"/>
    <cellStyle name="Heading 2 2 2 2 4 2 2 3 8 2" xfId="29401"/>
    <cellStyle name="Heading 2 2 2 2 4 2 2 3 9" xfId="29402"/>
    <cellStyle name="Heading 2 2 2 2 4 2 2 4" xfId="29403"/>
    <cellStyle name="Heading 2 2 2 2 4 2 2 4 2" xfId="29404"/>
    <cellStyle name="Heading 2 2 2 2 4 2 2 4 2 2" xfId="29405"/>
    <cellStyle name="Heading 2 2 2 2 4 2 2 4 2 2 2" xfId="29406"/>
    <cellStyle name="Heading 2 2 2 2 4 2 2 4 2 3" xfId="29407"/>
    <cellStyle name="Heading 2 2 2 2 4 2 2 4 3" xfId="29408"/>
    <cellStyle name="Heading 2 2 2 2 4 2 2 4 3 2" xfId="29409"/>
    <cellStyle name="Heading 2 2 2 2 4 2 2 4 3 2 2" xfId="29410"/>
    <cellStyle name="Heading 2 2 2 2 4 2 2 4 3 3" xfId="29411"/>
    <cellStyle name="Heading 2 2 2 2 4 2 2 4 4" xfId="29412"/>
    <cellStyle name="Heading 2 2 2 2 4 2 2 4 4 2" xfId="29413"/>
    <cellStyle name="Heading 2 2 2 2 4 2 2 4 4 2 2" xfId="29414"/>
    <cellStyle name="Heading 2 2 2 2 4 2 2 4 4 3" xfId="29415"/>
    <cellStyle name="Heading 2 2 2 2 4 2 2 4 5" xfId="29416"/>
    <cellStyle name="Heading 2 2 2 2 4 2 2 4 5 2" xfId="29417"/>
    <cellStyle name="Heading 2 2 2 2 4 2 2 4 5 2 2" xfId="29418"/>
    <cellStyle name="Heading 2 2 2 2 4 2 2 4 5 3" xfId="29419"/>
    <cellStyle name="Heading 2 2 2 2 4 2 2 4 6" xfId="29420"/>
    <cellStyle name="Heading 2 2 2 2 4 2 2 4 6 2" xfId="29421"/>
    <cellStyle name="Heading 2 2 2 2 4 2 2 4 6 2 2" xfId="29422"/>
    <cellStyle name="Heading 2 2 2 2 4 2 2 4 6 3" xfId="29423"/>
    <cellStyle name="Heading 2 2 2 2 4 2 2 4 7" xfId="29424"/>
    <cellStyle name="Heading 2 2 2 2 4 2 2 4 7 2" xfId="29425"/>
    <cellStyle name="Heading 2 2 2 2 4 2 2 4 7 2 2" xfId="29426"/>
    <cellStyle name="Heading 2 2 2 2 4 2 2 4 7 3" xfId="29427"/>
    <cellStyle name="Heading 2 2 2 2 4 2 2 4 8" xfId="29428"/>
    <cellStyle name="Heading 2 2 2 2 4 2 2 4 8 2" xfId="29429"/>
    <cellStyle name="Heading 2 2 2 2 4 2 2 4 9" xfId="29430"/>
    <cellStyle name="Heading 2 2 2 2 4 2 2 5" xfId="29431"/>
    <cellStyle name="Heading 2 2 2 2 4 2 2 5 2" xfId="29432"/>
    <cellStyle name="Heading 2 2 2 2 4 2 2 5 2 2" xfId="29433"/>
    <cellStyle name="Heading 2 2 2 2 4 2 2 5 2 2 2" xfId="29434"/>
    <cellStyle name="Heading 2 2 2 2 4 2 2 5 2 3" xfId="29435"/>
    <cellStyle name="Heading 2 2 2 2 4 2 2 5 3" xfId="29436"/>
    <cellStyle name="Heading 2 2 2 2 4 2 2 5 3 2" xfId="29437"/>
    <cellStyle name="Heading 2 2 2 2 4 2 2 5 3 2 2" xfId="29438"/>
    <cellStyle name="Heading 2 2 2 2 4 2 2 5 3 3" xfId="29439"/>
    <cellStyle name="Heading 2 2 2 2 4 2 2 5 4" xfId="29440"/>
    <cellStyle name="Heading 2 2 2 2 4 2 2 5 4 2" xfId="29441"/>
    <cellStyle name="Heading 2 2 2 2 4 2 2 5 4 2 2" xfId="29442"/>
    <cellStyle name="Heading 2 2 2 2 4 2 2 5 4 3" xfId="29443"/>
    <cellStyle name="Heading 2 2 2 2 4 2 2 5 5" xfId="29444"/>
    <cellStyle name="Heading 2 2 2 2 4 2 2 5 5 2" xfId="29445"/>
    <cellStyle name="Heading 2 2 2 2 4 2 2 5 5 2 2" xfId="29446"/>
    <cellStyle name="Heading 2 2 2 2 4 2 2 5 5 3" xfId="29447"/>
    <cellStyle name="Heading 2 2 2 2 4 2 2 5 6" xfId="29448"/>
    <cellStyle name="Heading 2 2 2 2 4 2 2 5 6 2" xfId="29449"/>
    <cellStyle name="Heading 2 2 2 2 4 2 2 5 6 2 2" xfId="29450"/>
    <cellStyle name="Heading 2 2 2 2 4 2 2 5 6 3" xfId="29451"/>
    <cellStyle name="Heading 2 2 2 2 4 2 2 5 7" xfId="29452"/>
    <cellStyle name="Heading 2 2 2 2 4 2 2 5 7 2" xfId="29453"/>
    <cellStyle name="Heading 2 2 2 2 4 2 2 5 7 2 2" xfId="29454"/>
    <cellStyle name="Heading 2 2 2 2 4 2 2 5 7 3" xfId="29455"/>
    <cellStyle name="Heading 2 2 2 2 4 2 2 5 8" xfId="29456"/>
    <cellStyle name="Heading 2 2 2 2 4 2 2 5 8 2" xfId="29457"/>
    <cellStyle name="Heading 2 2 2 2 4 2 2 5 9" xfId="29458"/>
    <cellStyle name="Heading 2 2 2 2 4 2 2 6" xfId="29459"/>
    <cellStyle name="Heading 2 2 2 2 4 2 2 6 2" xfId="29460"/>
    <cellStyle name="Heading 2 2 2 2 4 2 2 6 2 2" xfId="29461"/>
    <cellStyle name="Heading 2 2 2 2 4 2 2 6 2 2 2" xfId="29462"/>
    <cellStyle name="Heading 2 2 2 2 4 2 2 6 2 3" xfId="29463"/>
    <cellStyle name="Heading 2 2 2 2 4 2 2 6 3" xfId="29464"/>
    <cellStyle name="Heading 2 2 2 2 4 2 2 6 3 2" xfId="29465"/>
    <cellStyle name="Heading 2 2 2 2 4 2 2 6 3 2 2" xfId="29466"/>
    <cellStyle name="Heading 2 2 2 2 4 2 2 6 3 3" xfId="29467"/>
    <cellStyle name="Heading 2 2 2 2 4 2 2 6 4" xfId="29468"/>
    <cellStyle name="Heading 2 2 2 2 4 2 2 6 4 2" xfId="29469"/>
    <cellStyle name="Heading 2 2 2 2 4 2 2 6 4 2 2" xfId="29470"/>
    <cellStyle name="Heading 2 2 2 2 4 2 2 6 4 3" xfId="29471"/>
    <cellStyle name="Heading 2 2 2 2 4 2 2 6 5" xfId="29472"/>
    <cellStyle name="Heading 2 2 2 2 4 2 2 6 5 2" xfId="29473"/>
    <cellStyle name="Heading 2 2 2 2 4 2 2 6 5 2 2" xfId="29474"/>
    <cellStyle name="Heading 2 2 2 2 4 2 2 6 5 3" xfId="29475"/>
    <cellStyle name="Heading 2 2 2 2 4 2 2 6 6" xfId="29476"/>
    <cellStyle name="Heading 2 2 2 2 4 2 2 6 6 2" xfId="29477"/>
    <cellStyle name="Heading 2 2 2 2 4 2 2 6 6 2 2" xfId="29478"/>
    <cellStyle name="Heading 2 2 2 2 4 2 2 6 6 3" xfId="29479"/>
    <cellStyle name="Heading 2 2 2 2 4 2 2 6 7" xfId="29480"/>
    <cellStyle name="Heading 2 2 2 2 4 2 2 6 7 2" xfId="29481"/>
    <cellStyle name="Heading 2 2 2 2 4 2 2 6 7 2 2" xfId="29482"/>
    <cellStyle name="Heading 2 2 2 2 4 2 2 6 7 3" xfId="29483"/>
    <cellStyle name="Heading 2 2 2 2 4 2 2 6 8" xfId="29484"/>
    <cellStyle name="Heading 2 2 2 2 4 2 2 6 8 2" xfId="29485"/>
    <cellStyle name="Heading 2 2 2 2 4 2 2 6 9" xfId="29486"/>
    <cellStyle name="Heading 2 2 2 2 4 2 2 7" xfId="29487"/>
    <cellStyle name="Heading 2 2 2 2 4 2 2 7 2" xfId="29488"/>
    <cellStyle name="Heading 2 2 2 2 4 2 2 7 2 2" xfId="29489"/>
    <cellStyle name="Heading 2 2 2 2 4 2 2 7 2 2 2" xfId="29490"/>
    <cellStyle name="Heading 2 2 2 2 4 2 2 7 2 3" xfId="29491"/>
    <cellStyle name="Heading 2 2 2 2 4 2 2 7 3" xfId="29492"/>
    <cellStyle name="Heading 2 2 2 2 4 2 2 7 3 2" xfId="29493"/>
    <cellStyle name="Heading 2 2 2 2 4 2 2 7 3 2 2" xfId="29494"/>
    <cellStyle name="Heading 2 2 2 2 4 2 2 7 3 3" xfId="29495"/>
    <cellStyle name="Heading 2 2 2 2 4 2 2 7 4" xfId="29496"/>
    <cellStyle name="Heading 2 2 2 2 4 2 2 7 4 2" xfId="29497"/>
    <cellStyle name="Heading 2 2 2 2 4 2 2 7 4 2 2" xfId="29498"/>
    <cellStyle name="Heading 2 2 2 2 4 2 2 7 4 3" xfId="29499"/>
    <cellStyle name="Heading 2 2 2 2 4 2 2 7 5" xfId="29500"/>
    <cellStyle name="Heading 2 2 2 2 4 2 2 7 5 2" xfId="29501"/>
    <cellStyle name="Heading 2 2 2 2 4 2 2 7 5 2 2" xfId="29502"/>
    <cellStyle name="Heading 2 2 2 2 4 2 2 7 5 3" xfId="29503"/>
    <cellStyle name="Heading 2 2 2 2 4 2 2 7 6" xfId="29504"/>
    <cellStyle name="Heading 2 2 2 2 4 2 2 7 6 2" xfId="29505"/>
    <cellStyle name="Heading 2 2 2 2 4 2 2 7 6 2 2" xfId="29506"/>
    <cellStyle name="Heading 2 2 2 2 4 2 2 7 6 3" xfId="29507"/>
    <cellStyle name="Heading 2 2 2 2 4 2 2 7 7" xfId="29508"/>
    <cellStyle name="Heading 2 2 2 2 4 2 2 7 7 2" xfId="29509"/>
    <cellStyle name="Heading 2 2 2 2 4 2 2 7 7 2 2" xfId="29510"/>
    <cellStyle name="Heading 2 2 2 2 4 2 2 7 7 3" xfId="29511"/>
    <cellStyle name="Heading 2 2 2 2 4 2 2 7 8" xfId="29512"/>
    <cellStyle name="Heading 2 2 2 2 4 2 2 7 8 2" xfId="29513"/>
    <cellStyle name="Heading 2 2 2 2 4 2 2 7 9" xfId="29514"/>
    <cellStyle name="Heading 2 2 2 2 4 2 2 8" xfId="29515"/>
    <cellStyle name="Heading 2 2 2 2 4 2 2 8 2" xfId="29516"/>
    <cellStyle name="Heading 2 2 2 2 4 2 2 8 2 2" xfId="29517"/>
    <cellStyle name="Heading 2 2 2 2 4 2 2 8 2 2 2" xfId="29518"/>
    <cellStyle name="Heading 2 2 2 2 4 2 2 8 2 3" xfId="29519"/>
    <cellStyle name="Heading 2 2 2 2 4 2 2 8 3" xfId="29520"/>
    <cellStyle name="Heading 2 2 2 2 4 2 2 8 3 2" xfId="29521"/>
    <cellStyle name="Heading 2 2 2 2 4 2 2 8 3 2 2" xfId="29522"/>
    <cellStyle name="Heading 2 2 2 2 4 2 2 8 3 3" xfId="29523"/>
    <cellStyle name="Heading 2 2 2 2 4 2 2 8 4" xfId="29524"/>
    <cellStyle name="Heading 2 2 2 2 4 2 2 8 4 2" xfId="29525"/>
    <cellStyle name="Heading 2 2 2 2 4 2 2 8 4 2 2" xfId="29526"/>
    <cellStyle name="Heading 2 2 2 2 4 2 2 8 4 3" xfId="29527"/>
    <cellStyle name="Heading 2 2 2 2 4 2 2 8 5" xfId="29528"/>
    <cellStyle name="Heading 2 2 2 2 4 2 2 8 5 2" xfId="29529"/>
    <cellStyle name="Heading 2 2 2 2 4 2 2 8 5 2 2" xfId="29530"/>
    <cellStyle name="Heading 2 2 2 2 4 2 2 8 5 3" xfId="29531"/>
    <cellStyle name="Heading 2 2 2 2 4 2 2 8 6" xfId="29532"/>
    <cellStyle name="Heading 2 2 2 2 4 2 2 8 6 2" xfId="29533"/>
    <cellStyle name="Heading 2 2 2 2 4 2 2 8 6 2 2" xfId="29534"/>
    <cellStyle name="Heading 2 2 2 2 4 2 2 8 6 3" xfId="29535"/>
    <cellStyle name="Heading 2 2 2 2 4 2 2 8 7" xfId="29536"/>
    <cellStyle name="Heading 2 2 2 2 4 2 2 8 7 2" xfId="29537"/>
    <cellStyle name="Heading 2 2 2 2 4 2 2 8 7 2 2" xfId="29538"/>
    <cellStyle name="Heading 2 2 2 2 4 2 2 8 7 3" xfId="29539"/>
    <cellStyle name="Heading 2 2 2 2 4 2 2 8 8" xfId="29540"/>
    <cellStyle name="Heading 2 2 2 2 4 2 2 8 8 2" xfId="29541"/>
    <cellStyle name="Heading 2 2 2 2 4 2 2 8 9" xfId="29542"/>
    <cellStyle name="Heading 2 2 2 2 4 2 2 9" xfId="29543"/>
    <cellStyle name="Heading 2 2 2 2 4 2 2 9 2" xfId="29544"/>
    <cellStyle name="Heading 2 2 2 2 4 2 2 9 2 2" xfId="29545"/>
    <cellStyle name="Heading 2 2 2 2 4 2 2 9 3" xfId="29546"/>
    <cellStyle name="Heading 2 2 2 2 4 2 20" xfId="29547"/>
    <cellStyle name="Heading 2 2 2 2 4 2 20 2" xfId="29548"/>
    <cellStyle name="Heading 2 2 2 2 4 2 21" xfId="29549"/>
    <cellStyle name="Heading 2 2 2 2 4 2 21 2" xfId="29550"/>
    <cellStyle name="Heading 2 2 2 2 4 2 22" xfId="29551"/>
    <cellStyle name="Heading 2 2 2 2 4 2 22 2" xfId="29552"/>
    <cellStyle name="Heading 2 2 2 2 4 2 23" xfId="29553"/>
    <cellStyle name="Heading 2 2 2 2 4 2 3" xfId="29554"/>
    <cellStyle name="Heading 2 2 2 2 4 2 3 2" xfId="29555"/>
    <cellStyle name="Heading 2 2 2 2 4 2 3 2 2" xfId="29556"/>
    <cellStyle name="Heading 2 2 2 2 4 2 3 2 2 2" xfId="29557"/>
    <cellStyle name="Heading 2 2 2 2 4 2 3 2 3" xfId="29558"/>
    <cellStyle name="Heading 2 2 2 2 4 2 3 3" xfId="29559"/>
    <cellStyle name="Heading 2 2 2 2 4 2 3 3 2" xfId="29560"/>
    <cellStyle name="Heading 2 2 2 2 4 2 3 3 2 2" xfId="29561"/>
    <cellStyle name="Heading 2 2 2 2 4 2 3 3 3" xfId="29562"/>
    <cellStyle name="Heading 2 2 2 2 4 2 3 4" xfId="29563"/>
    <cellStyle name="Heading 2 2 2 2 4 2 3 4 2" xfId="29564"/>
    <cellStyle name="Heading 2 2 2 2 4 2 3 4 2 2" xfId="29565"/>
    <cellStyle name="Heading 2 2 2 2 4 2 3 4 3" xfId="29566"/>
    <cellStyle name="Heading 2 2 2 2 4 2 3 5" xfId="29567"/>
    <cellStyle name="Heading 2 2 2 2 4 2 3 5 2" xfId="29568"/>
    <cellStyle name="Heading 2 2 2 2 4 2 3 5 2 2" xfId="29569"/>
    <cellStyle name="Heading 2 2 2 2 4 2 3 5 3" xfId="29570"/>
    <cellStyle name="Heading 2 2 2 2 4 2 3 6" xfId="29571"/>
    <cellStyle name="Heading 2 2 2 2 4 2 3 6 2" xfId="29572"/>
    <cellStyle name="Heading 2 2 2 2 4 2 3 6 2 2" xfId="29573"/>
    <cellStyle name="Heading 2 2 2 2 4 2 3 6 3" xfId="29574"/>
    <cellStyle name="Heading 2 2 2 2 4 2 3 7" xfId="29575"/>
    <cellStyle name="Heading 2 2 2 2 4 2 3 7 2" xfId="29576"/>
    <cellStyle name="Heading 2 2 2 2 4 2 3 7 2 2" xfId="29577"/>
    <cellStyle name="Heading 2 2 2 2 4 2 3 7 3" xfId="29578"/>
    <cellStyle name="Heading 2 2 2 2 4 2 3 8" xfId="29579"/>
    <cellStyle name="Heading 2 2 2 2 4 2 3 8 2" xfId="29580"/>
    <cellStyle name="Heading 2 2 2 2 4 2 3 9" xfId="29581"/>
    <cellStyle name="Heading 2 2 2 2 4 2 4" xfId="29582"/>
    <cellStyle name="Heading 2 2 2 2 4 2 4 2" xfId="29583"/>
    <cellStyle name="Heading 2 2 2 2 4 2 4 2 2" xfId="29584"/>
    <cellStyle name="Heading 2 2 2 2 4 2 4 2 2 2" xfId="29585"/>
    <cellStyle name="Heading 2 2 2 2 4 2 4 2 3" xfId="29586"/>
    <cellStyle name="Heading 2 2 2 2 4 2 4 3" xfId="29587"/>
    <cellStyle name="Heading 2 2 2 2 4 2 4 3 2" xfId="29588"/>
    <cellStyle name="Heading 2 2 2 2 4 2 4 3 2 2" xfId="29589"/>
    <cellStyle name="Heading 2 2 2 2 4 2 4 3 3" xfId="29590"/>
    <cellStyle name="Heading 2 2 2 2 4 2 4 4" xfId="29591"/>
    <cellStyle name="Heading 2 2 2 2 4 2 4 4 2" xfId="29592"/>
    <cellStyle name="Heading 2 2 2 2 4 2 4 4 2 2" xfId="29593"/>
    <cellStyle name="Heading 2 2 2 2 4 2 4 4 3" xfId="29594"/>
    <cellStyle name="Heading 2 2 2 2 4 2 4 5" xfId="29595"/>
    <cellStyle name="Heading 2 2 2 2 4 2 4 5 2" xfId="29596"/>
    <cellStyle name="Heading 2 2 2 2 4 2 4 5 2 2" xfId="29597"/>
    <cellStyle name="Heading 2 2 2 2 4 2 4 5 3" xfId="29598"/>
    <cellStyle name="Heading 2 2 2 2 4 2 4 6" xfId="29599"/>
    <cellStyle name="Heading 2 2 2 2 4 2 4 6 2" xfId="29600"/>
    <cellStyle name="Heading 2 2 2 2 4 2 4 6 2 2" xfId="29601"/>
    <cellStyle name="Heading 2 2 2 2 4 2 4 6 3" xfId="29602"/>
    <cellStyle name="Heading 2 2 2 2 4 2 4 7" xfId="29603"/>
    <cellStyle name="Heading 2 2 2 2 4 2 4 7 2" xfId="29604"/>
    <cellStyle name="Heading 2 2 2 2 4 2 4 7 2 2" xfId="29605"/>
    <cellStyle name="Heading 2 2 2 2 4 2 4 7 3" xfId="29606"/>
    <cellStyle name="Heading 2 2 2 2 4 2 4 8" xfId="29607"/>
    <cellStyle name="Heading 2 2 2 2 4 2 4 8 2" xfId="29608"/>
    <cellStyle name="Heading 2 2 2 2 4 2 4 9" xfId="29609"/>
    <cellStyle name="Heading 2 2 2 2 4 2 5" xfId="29610"/>
    <cellStyle name="Heading 2 2 2 2 4 2 5 2" xfId="29611"/>
    <cellStyle name="Heading 2 2 2 2 4 2 5 2 2" xfId="29612"/>
    <cellStyle name="Heading 2 2 2 2 4 2 5 2 2 2" xfId="29613"/>
    <cellStyle name="Heading 2 2 2 2 4 2 5 2 3" xfId="29614"/>
    <cellStyle name="Heading 2 2 2 2 4 2 5 3" xfId="29615"/>
    <cellStyle name="Heading 2 2 2 2 4 2 5 3 2" xfId="29616"/>
    <cellStyle name="Heading 2 2 2 2 4 2 5 3 2 2" xfId="29617"/>
    <cellStyle name="Heading 2 2 2 2 4 2 5 3 3" xfId="29618"/>
    <cellStyle name="Heading 2 2 2 2 4 2 5 4" xfId="29619"/>
    <cellStyle name="Heading 2 2 2 2 4 2 5 4 2" xfId="29620"/>
    <cellStyle name="Heading 2 2 2 2 4 2 5 4 2 2" xfId="29621"/>
    <cellStyle name="Heading 2 2 2 2 4 2 5 4 3" xfId="29622"/>
    <cellStyle name="Heading 2 2 2 2 4 2 5 5" xfId="29623"/>
    <cellStyle name="Heading 2 2 2 2 4 2 5 5 2" xfId="29624"/>
    <cellStyle name="Heading 2 2 2 2 4 2 5 5 2 2" xfId="29625"/>
    <cellStyle name="Heading 2 2 2 2 4 2 5 5 3" xfId="29626"/>
    <cellStyle name="Heading 2 2 2 2 4 2 5 6" xfId="29627"/>
    <cellStyle name="Heading 2 2 2 2 4 2 5 6 2" xfId="29628"/>
    <cellStyle name="Heading 2 2 2 2 4 2 5 6 2 2" xfId="29629"/>
    <cellStyle name="Heading 2 2 2 2 4 2 5 6 3" xfId="29630"/>
    <cellStyle name="Heading 2 2 2 2 4 2 5 7" xfId="29631"/>
    <cellStyle name="Heading 2 2 2 2 4 2 5 7 2" xfId="29632"/>
    <cellStyle name="Heading 2 2 2 2 4 2 5 7 2 2" xfId="29633"/>
    <cellStyle name="Heading 2 2 2 2 4 2 5 7 3" xfId="29634"/>
    <cellStyle name="Heading 2 2 2 2 4 2 5 8" xfId="29635"/>
    <cellStyle name="Heading 2 2 2 2 4 2 5 8 2" xfId="29636"/>
    <cellStyle name="Heading 2 2 2 2 4 2 5 9" xfId="29637"/>
    <cellStyle name="Heading 2 2 2 2 4 2 6" xfId="29638"/>
    <cellStyle name="Heading 2 2 2 2 4 2 6 2" xfId="29639"/>
    <cellStyle name="Heading 2 2 2 2 4 2 6 2 2" xfId="29640"/>
    <cellStyle name="Heading 2 2 2 2 4 2 6 2 2 2" xfId="29641"/>
    <cellStyle name="Heading 2 2 2 2 4 2 6 2 3" xfId="29642"/>
    <cellStyle name="Heading 2 2 2 2 4 2 6 3" xfId="29643"/>
    <cellStyle name="Heading 2 2 2 2 4 2 6 3 2" xfId="29644"/>
    <cellStyle name="Heading 2 2 2 2 4 2 6 3 2 2" xfId="29645"/>
    <cellStyle name="Heading 2 2 2 2 4 2 6 3 3" xfId="29646"/>
    <cellStyle name="Heading 2 2 2 2 4 2 6 4" xfId="29647"/>
    <cellStyle name="Heading 2 2 2 2 4 2 6 4 2" xfId="29648"/>
    <cellStyle name="Heading 2 2 2 2 4 2 6 4 2 2" xfId="29649"/>
    <cellStyle name="Heading 2 2 2 2 4 2 6 4 3" xfId="29650"/>
    <cellStyle name="Heading 2 2 2 2 4 2 6 5" xfId="29651"/>
    <cellStyle name="Heading 2 2 2 2 4 2 6 5 2" xfId="29652"/>
    <cellStyle name="Heading 2 2 2 2 4 2 6 5 2 2" xfId="29653"/>
    <cellStyle name="Heading 2 2 2 2 4 2 6 5 3" xfId="29654"/>
    <cellStyle name="Heading 2 2 2 2 4 2 6 6" xfId="29655"/>
    <cellStyle name="Heading 2 2 2 2 4 2 6 6 2" xfId="29656"/>
    <cellStyle name="Heading 2 2 2 2 4 2 6 6 2 2" xfId="29657"/>
    <cellStyle name="Heading 2 2 2 2 4 2 6 6 3" xfId="29658"/>
    <cellStyle name="Heading 2 2 2 2 4 2 6 7" xfId="29659"/>
    <cellStyle name="Heading 2 2 2 2 4 2 6 7 2" xfId="29660"/>
    <cellStyle name="Heading 2 2 2 2 4 2 6 7 2 2" xfId="29661"/>
    <cellStyle name="Heading 2 2 2 2 4 2 6 7 3" xfId="29662"/>
    <cellStyle name="Heading 2 2 2 2 4 2 6 8" xfId="29663"/>
    <cellStyle name="Heading 2 2 2 2 4 2 6 8 2" xfId="29664"/>
    <cellStyle name="Heading 2 2 2 2 4 2 6 9" xfId="29665"/>
    <cellStyle name="Heading 2 2 2 2 4 2 7" xfId="29666"/>
    <cellStyle name="Heading 2 2 2 2 4 2 7 2" xfId="29667"/>
    <cellStyle name="Heading 2 2 2 2 4 2 7 2 2" xfId="29668"/>
    <cellStyle name="Heading 2 2 2 2 4 2 7 2 2 2" xfId="29669"/>
    <cellStyle name="Heading 2 2 2 2 4 2 7 2 3" xfId="29670"/>
    <cellStyle name="Heading 2 2 2 2 4 2 7 3" xfId="29671"/>
    <cellStyle name="Heading 2 2 2 2 4 2 7 3 2" xfId="29672"/>
    <cellStyle name="Heading 2 2 2 2 4 2 7 3 2 2" xfId="29673"/>
    <cellStyle name="Heading 2 2 2 2 4 2 7 3 3" xfId="29674"/>
    <cellStyle name="Heading 2 2 2 2 4 2 7 4" xfId="29675"/>
    <cellStyle name="Heading 2 2 2 2 4 2 7 4 2" xfId="29676"/>
    <cellStyle name="Heading 2 2 2 2 4 2 7 4 2 2" xfId="29677"/>
    <cellStyle name="Heading 2 2 2 2 4 2 7 4 3" xfId="29678"/>
    <cellStyle name="Heading 2 2 2 2 4 2 7 5" xfId="29679"/>
    <cellStyle name="Heading 2 2 2 2 4 2 7 5 2" xfId="29680"/>
    <cellStyle name="Heading 2 2 2 2 4 2 7 5 2 2" xfId="29681"/>
    <cellStyle name="Heading 2 2 2 2 4 2 7 5 3" xfId="29682"/>
    <cellStyle name="Heading 2 2 2 2 4 2 7 6" xfId="29683"/>
    <cellStyle name="Heading 2 2 2 2 4 2 7 6 2" xfId="29684"/>
    <cellStyle name="Heading 2 2 2 2 4 2 7 6 2 2" xfId="29685"/>
    <cellStyle name="Heading 2 2 2 2 4 2 7 6 3" xfId="29686"/>
    <cellStyle name="Heading 2 2 2 2 4 2 7 7" xfId="29687"/>
    <cellStyle name="Heading 2 2 2 2 4 2 7 7 2" xfId="29688"/>
    <cellStyle name="Heading 2 2 2 2 4 2 7 7 2 2" xfId="29689"/>
    <cellStyle name="Heading 2 2 2 2 4 2 7 7 3" xfId="29690"/>
    <cellStyle name="Heading 2 2 2 2 4 2 7 8" xfId="29691"/>
    <cellStyle name="Heading 2 2 2 2 4 2 7 8 2" xfId="29692"/>
    <cellStyle name="Heading 2 2 2 2 4 2 7 9" xfId="29693"/>
    <cellStyle name="Heading 2 2 2 2 4 2 8" xfId="29694"/>
    <cellStyle name="Heading 2 2 2 2 4 2 8 2" xfId="29695"/>
    <cellStyle name="Heading 2 2 2 2 4 2 8 2 2" xfId="29696"/>
    <cellStyle name="Heading 2 2 2 2 4 2 8 2 2 2" xfId="29697"/>
    <cellStyle name="Heading 2 2 2 2 4 2 8 2 3" xfId="29698"/>
    <cellStyle name="Heading 2 2 2 2 4 2 8 3" xfId="29699"/>
    <cellStyle name="Heading 2 2 2 2 4 2 8 3 2" xfId="29700"/>
    <cellStyle name="Heading 2 2 2 2 4 2 8 3 2 2" xfId="29701"/>
    <cellStyle name="Heading 2 2 2 2 4 2 8 3 3" xfId="29702"/>
    <cellStyle name="Heading 2 2 2 2 4 2 8 4" xfId="29703"/>
    <cellStyle name="Heading 2 2 2 2 4 2 8 4 2" xfId="29704"/>
    <cellStyle name="Heading 2 2 2 2 4 2 8 4 2 2" xfId="29705"/>
    <cellStyle name="Heading 2 2 2 2 4 2 8 4 3" xfId="29706"/>
    <cellStyle name="Heading 2 2 2 2 4 2 8 5" xfId="29707"/>
    <cellStyle name="Heading 2 2 2 2 4 2 8 5 2" xfId="29708"/>
    <cellStyle name="Heading 2 2 2 2 4 2 8 5 2 2" xfId="29709"/>
    <cellStyle name="Heading 2 2 2 2 4 2 8 5 3" xfId="29710"/>
    <cellStyle name="Heading 2 2 2 2 4 2 8 6" xfId="29711"/>
    <cellStyle name="Heading 2 2 2 2 4 2 8 6 2" xfId="29712"/>
    <cellStyle name="Heading 2 2 2 2 4 2 8 6 2 2" xfId="29713"/>
    <cellStyle name="Heading 2 2 2 2 4 2 8 6 3" xfId="29714"/>
    <cellStyle name="Heading 2 2 2 2 4 2 8 7" xfId="29715"/>
    <cellStyle name="Heading 2 2 2 2 4 2 8 7 2" xfId="29716"/>
    <cellStyle name="Heading 2 2 2 2 4 2 8 7 2 2" xfId="29717"/>
    <cellStyle name="Heading 2 2 2 2 4 2 8 7 3" xfId="29718"/>
    <cellStyle name="Heading 2 2 2 2 4 2 8 8" xfId="29719"/>
    <cellStyle name="Heading 2 2 2 2 4 2 8 8 2" xfId="29720"/>
    <cellStyle name="Heading 2 2 2 2 4 2 8 9" xfId="29721"/>
    <cellStyle name="Heading 2 2 2 2 4 2 9" xfId="29722"/>
    <cellStyle name="Heading 2 2 2 2 4 2 9 2" xfId="29723"/>
    <cellStyle name="Heading 2 2 2 2 4 2 9 2 2" xfId="29724"/>
    <cellStyle name="Heading 2 2 2 2 4 2 9 2 2 2" xfId="29725"/>
    <cellStyle name="Heading 2 2 2 2 4 2 9 2 3" xfId="29726"/>
    <cellStyle name="Heading 2 2 2 2 4 2 9 3" xfId="29727"/>
    <cellStyle name="Heading 2 2 2 2 4 2 9 3 2" xfId="29728"/>
    <cellStyle name="Heading 2 2 2 2 4 2 9 3 2 2" xfId="29729"/>
    <cellStyle name="Heading 2 2 2 2 4 2 9 3 3" xfId="29730"/>
    <cellStyle name="Heading 2 2 2 2 4 2 9 4" xfId="29731"/>
    <cellStyle name="Heading 2 2 2 2 4 2 9 4 2" xfId="29732"/>
    <cellStyle name="Heading 2 2 2 2 4 2 9 4 2 2" xfId="29733"/>
    <cellStyle name="Heading 2 2 2 2 4 2 9 4 3" xfId="29734"/>
    <cellStyle name="Heading 2 2 2 2 4 2 9 5" xfId="29735"/>
    <cellStyle name="Heading 2 2 2 2 4 2 9 5 2" xfId="29736"/>
    <cellStyle name="Heading 2 2 2 2 4 2 9 5 2 2" xfId="29737"/>
    <cellStyle name="Heading 2 2 2 2 4 2 9 5 3" xfId="29738"/>
    <cellStyle name="Heading 2 2 2 2 4 2 9 6" xfId="29739"/>
    <cellStyle name="Heading 2 2 2 2 4 2 9 6 2" xfId="29740"/>
    <cellStyle name="Heading 2 2 2 2 4 2 9 6 2 2" xfId="29741"/>
    <cellStyle name="Heading 2 2 2 2 4 2 9 6 3" xfId="29742"/>
    <cellStyle name="Heading 2 2 2 2 4 2 9 7" xfId="29743"/>
    <cellStyle name="Heading 2 2 2 2 4 2 9 7 2" xfId="29744"/>
    <cellStyle name="Heading 2 2 2 2 4 2 9 7 2 2" xfId="29745"/>
    <cellStyle name="Heading 2 2 2 2 4 2 9 7 3" xfId="29746"/>
    <cellStyle name="Heading 2 2 2 2 4 2 9 8" xfId="29747"/>
    <cellStyle name="Heading 2 2 2 2 4 2 9 8 2" xfId="29748"/>
    <cellStyle name="Heading 2 2 2 2 4 2 9 9" xfId="29749"/>
    <cellStyle name="Heading 2 2 2 2 4 3" xfId="29750"/>
    <cellStyle name="Heading 2 2 2 2 4 3 10" xfId="29751"/>
    <cellStyle name="Heading 2 2 2 2 4 3 10 2" xfId="29752"/>
    <cellStyle name="Heading 2 2 2 2 4 3 10 2 2" xfId="29753"/>
    <cellStyle name="Heading 2 2 2 2 4 3 10 3" xfId="29754"/>
    <cellStyle name="Heading 2 2 2 2 4 3 11" xfId="29755"/>
    <cellStyle name="Heading 2 2 2 2 4 3 11 2" xfId="29756"/>
    <cellStyle name="Heading 2 2 2 2 4 3 11 2 2" xfId="29757"/>
    <cellStyle name="Heading 2 2 2 2 4 3 11 3" xfId="29758"/>
    <cellStyle name="Heading 2 2 2 2 4 3 12" xfId="29759"/>
    <cellStyle name="Heading 2 2 2 2 4 3 12 2" xfId="29760"/>
    <cellStyle name="Heading 2 2 2 2 4 3 12 2 2" xfId="29761"/>
    <cellStyle name="Heading 2 2 2 2 4 3 12 3" xfId="29762"/>
    <cellStyle name="Heading 2 2 2 2 4 3 13" xfId="29763"/>
    <cellStyle name="Heading 2 2 2 2 4 3 13 2" xfId="29764"/>
    <cellStyle name="Heading 2 2 2 2 4 3 13 2 2" xfId="29765"/>
    <cellStyle name="Heading 2 2 2 2 4 3 13 3" xfId="29766"/>
    <cellStyle name="Heading 2 2 2 2 4 3 14" xfId="29767"/>
    <cellStyle name="Heading 2 2 2 2 4 3 14 2" xfId="29768"/>
    <cellStyle name="Heading 2 2 2 2 4 3 14 2 2" xfId="29769"/>
    <cellStyle name="Heading 2 2 2 2 4 3 14 3" xfId="29770"/>
    <cellStyle name="Heading 2 2 2 2 4 3 15" xfId="29771"/>
    <cellStyle name="Heading 2 2 2 2 4 3 15 2" xfId="29772"/>
    <cellStyle name="Heading 2 2 2 2 4 3 15 2 2" xfId="29773"/>
    <cellStyle name="Heading 2 2 2 2 4 3 15 3" xfId="29774"/>
    <cellStyle name="Heading 2 2 2 2 4 3 16" xfId="29775"/>
    <cellStyle name="Heading 2 2 2 2 4 3 16 2" xfId="29776"/>
    <cellStyle name="Heading 2 2 2 2 4 3 16 2 2" xfId="29777"/>
    <cellStyle name="Heading 2 2 2 2 4 3 16 3" xfId="29778"/>
    <cellStyle name="Heading 2 2 2 2 4 3 17" xfId="29779"/>
    <cellStyle name="Heading 2 2 2 2 4 3 17 2" xfId="29780"/>
    <cellStyle name="Heading 2 2 2 2 4 3 17 2 2" xfId="29781"/>
    <cellStyle name="Heading 2 2 2 2 4 3 17 3" xfId="29782"/>
    <cellStyle name="Heading 2 2 2 2 4 3 18" xfId="29783"/>
    <cellStyle name="Heading 2 2 2 2 4 3 18 2" xfId="29784"/>
    <cellStyle name="Heading 2 2 2 2 4 3 18 2 2" xfId="29785"/>
    <cellStyle name="Heading 2 2 2 2 4 3 18 3" xfId="29786"/>
    <cellStyle name="Heading 2 2 2 2 4 3 19" xfId="29787"/>
    <cellStyle name="Heading 2 2 2 2 4 3 19 2" xfId="29788"/>
    <cellStyle name="Heading 2 2 2 2 4 3 2" xfId="29789"/>
    <cellStyle name="Heading 2 2 2 2 4 3 2 2" xfId="29790"/>
    <cellStyle name="Heading 2 2 2 2 4 3 2 2 2" xfId="29791"/>
    <cellStyle name="Heading 2 2 2 2 4 3 2 2 2 2" xfId="29792"/>
    <cellStyle name="Heading 2 2 2 2 4 3 2 2 3" xfId="29793"/>
    <cellStyle name="Heading 2 2 2 2 4 3 2 3" xfId="29794"/>
    <cellStyle name="Heading 2 2 2 2 4 3 2 3 2" xfId="29795"/>
    <cellStyle name="Heading 2 2 2 2 4 3 2 3 2 2" xfId="29796"/>
    <cellStyle name="Heading 2 2 2 2 4 3 2 3 3" xfId="29797"/>
    <cellStyle name="Heading 2 2 2 2 4 3 2 4" xfId="29798"/>
    <cellStyle name="Heading 2 2 2 2 4 3 2 4 2" xfId="29799"/>
    <cellStyle name="Heading 2 2 2 2 4 3 2 4 2 2" xfId="29800"/>
    <cellStyle name="Heading 2 2 2 2 4 3 2 4 3" xfId="29801"/>
    <cellStyle name="Heading 2 2 2 2 4 3 2 5" xfId="29802"/>
    <cellStyle name="Heading 2 2 2 2 4 3 2 5 2" xfId="29803"/>
    <cellStyle name="Heading 2 2 2 2 4 3 2 5 2 2" xfId="29804"/>
    <cellStyle name="Heading 2 2 2 2 4 3 2 5 3" xfId="29805"/>
    <cellStyle name="Heading 2 2 2 2 4 3 2 6" xfId="29806"/>
    <cellStyle name="Heading 2 2 2 2 4 3 2 6 2" xfId="29807"/>
    <cellStyle name="Heading 2 2 2 2 4 3 2 6 2 2" xfId="29808"/>
    <cellStyle name="Heading 2 2 2 2 4 3 2 6 3" xfId="29809"/>
    <cellStyle name="Heading 2 2 2 2 4 3 2 7" xfId="29810"/>
    <cellStyle name="Heading 2 2 2 2 4 3 2 7 2" xfId="29811"/>
    <cellStyle name="Heading 2 2 2 2 4 3 2 7 2 2" xfId="29812"/>
    <cellStyle name="Heading 2 2 2 2 4 3 2 7 3" xfId="29813"/>
    <cellStyle name="Heading 2 2 2 2 4 3 2 8" xfId="29814"/>
    <cellStyle name="Heading 2 2 2 2 4 3 2 8 2" xfId="29815"/>
    <cellStyle name="Heading 2 2 2 2 4 3 2 9" xfId="29816"/>
    <cellStyle name="Heading 2 2 2 2 4 3 20" xfId="29817"/>
    <cellStyle name="Heading 2 2 2 2 4 3 20 2" xfId="29818"/>
    <cellStyle name="Heading 2 2 2 2 4 3 21" xfId="29819"/>
    <cellStyle name="Heading 2 2 2 2 4 3 21 2" xfId="29820"/>
    <cellStyle name="Heading 2 2 2 2 4 3 22" xfId="29821"/>
    <cellStyle name="Heading 2 2 2 2 4 3 3" xfId="29822"/>
    <cellStyle name="Heading 2 2 2 2 4 3 3 2" xfId="29823"/>
    <cellStyle name="Heading 2 2 2 2 4 3 3 2 2" xfId="29824"/>
    <cellStyle name="Heading 2 2 2 2 4 3 3 2 2 2" xfId="29825"/>
    <cellStyle name="Heading 2 2 2 2 4 3 3 2 3" xfId="29826"/>
    <cellStyle name="Heading 2 2 2 2 4 3 3 3" xfId="29827"/>
    <cellStyle name="Heading 2 2 2 2 4 3 3 3 2" xfId="29828"/>
    <cellStyle name="Heading 2 2 2 2 4 3 3 3 2 2" xfId="29829"/>
    <cellStyle name="Heading 2 2 2 2 4 3 3 3 3" xfId="29830"/>
    <cellStyle name="Heading 2 2 2 2 4 3 3 4" xfId="29831"/>
    <cellStyle name="Heading 2 2 2 2 4 3 3 4 2" xfId="29832"/>
    <cellStyle name="Heading 2 2 2 2 4 3 3 4 2 2" xfId="29833"/>
    <cellStyle name="Heading 2 2 2 2 4 3 3 4 3" xfId="29834"/>
    <cellStyle name="Heading 2 2 2 2 4 3 3 5" xfId="29835"/>
    <cellStyle name="Heading 2 2 2 2 4 3 3 5 2" xfId="29836"/>
    <cellStyle name="Heading 2 2 2 2 4 3 3 5 2 2" xfId="29837"/>
    <cellStyle name="Heading 2 2 2 2 4 3 3 5 3" xfId="29838"/>
    <cellStyle name="Heading 2 2 2 2 4 3 3 6" xfId="29839"/>
    <cellStyle name="Heading 2 2 2 2 4 3 3 6 2" xfId="29840"/>
    <cellStyle name="Heading 2 2 2 2 4 3 3 6 2 2" xfId="29841"/>
    <cellStyle name="Heading 2 2 2 2 4 3 3 6 3" xfId="29842"/>
    <cellStyle name="Heading 2 2 2 2 4 3 3 7" xfId="29843"/>
    <cellStyle name="Heading 2 2 2 2 4 3 3 7 2" xfId="29844"/>
    <cellStyle name="Heading 2 2 2 2 4 3 3 7 2 2" xfId="29845"/>
    <cellStyle name="Heading 2 2 2 2 4 3 3 7 3" xfId="29846"/>
    <cellStyle name="Heading 2 2 2 2 4 3 3 8" xfId="29847"/>
    <cellStyle name="Heading 2 2 2 2 4 3 3 8 2" xfId="29848"/>
    <cellStyle name="Heading 2 2 2 2 4 3 3 9" xfId="29849"/>
    <cellStyle name="Heading 2 2 2 2 4 3 4" xfId="29850"/>
    <cellStyle name="Heading 2 2 2 2 4 3 4 2" xfId="29851"/>
    <cellStyle name="Heading 2 2 2 2 4 3 4 2 2" xfId="29852"/>
    <cellStyle name="Heading 2 2 2 2 4 3 4 2 2 2" xfId="29853"/>
    <cellStyle name="Heading 2 2 2 2 4 3 4 2 3" xfId="29854"/>
    <cellStyle name="Heading 2 2 2 2 4 3 4 3" xfId="29855"/>
    <cellStyle name="Heading 2 2 2 2 4 3 4 3 2" xfId="29856"/>
    <cellStyle name="Heading 2 2 2 2 4 3 4 3 2 2" xfId="29857"/>
    <cellStyle name="Heading 2 2 2 2 4 3 4 3 3" xfId="29858"/>
    <cellStyle name="Heading 2 2 2 2 4 3 4 4" xfId="29859"/>
    <cellStyle name="Heading 2 2 2 2 4 3 4 4 2" xfId="29860"/>
    <cellStyle name="Heading 2 2 2 2 4 3 4 4 2 2" xfId="29861"/>
    <cellStyle name="Heading 2 2 2 2 4 3 4 4 3" xfId="29862"/>
    <cellStyle name="Heading 2 2 2 2 4 3 4 5" xfId="29863"/>
    <cellStyle name="Heading 2 2 2 2 4 3 4 5 2" xfId="29864"/>
    <cellStyle name="Heading 2 2 2 2 4 3 4 5 2 2" xfId="29865"/>
    <cellStyle name="Heading 2 2 2 2 4 3 4 5 3" xfId="29866"/>
    <cellStyle name="Heading 2 2 2 2 4 3 4 6" xfId="29867"/>
    <cellStyle name="Heading 2 2 2 2 4 3 4 6 2" xfId="29868"/>
    <cellStyle name="Heading 2 2 2 2 4 3 4 6 2 2" xfId="29869"/>
    <cellStyle name="Heading 2 2 2 2 4 3 4 6 3" xfId="29870"/>
    <cellStyle name="Heading 2 2 2 2 4 3 4 7" xfId="29871"/>
    <cellStyle name="Heading 2 2 2 2 4 3 4 7 2" xfId="29872"/>
    <cellStyle name="Heading 2 2 2 2 4 3 4 7 2 2" xfId="29873"/>
    <cellStyle name="Heading 2 2 2 2 4 3 4 7 3" xfId="29874"/>
    <cellStyle name="Heading 2 2 2 2 4 3 4 8" xfId="29875"/>
    <cellStyle name="Heading 2 2 2 2 4 3 4 8 2" xfId="29876"/>
    <cellStyle name="Heading 2 2 2 2 4 3 4 9" xfId="29877"/>
    <cellStyle name="Heading 2 2 2 2 4 3 5" xfId="29878"/>
    <cellStyle name="Heading 2 2 2 2 4 3 5 2" xfId="29879"/>
    <cellStyle name="Heading 2 2 2 2 4 3 5 2 2" xfId="29880"/>
    <cellStyle name="Heading 2 2 2 2 4 3 5 2 2 2" xfId="29881"/>
    <cellStyle name="Heading 2 2 2 2 4 3 5 2 3" xfId="29882"/>
    <cellStyle name="Heading 2 2 2 2 4 3 5 3" xfId="29883"/>
    <cellStyle name="Heading 2 2 2 2 4 3 5 3 2" xfId="29884"/>
    <cellStyle name="Heading 2 2 2 2 4 3 5 3 2 2" xfId="29885"/>
    <cellStyle name="Heading 2 2 2 2 4 3 5 3 3" xfId="29886"/>
    <cellStyle name="Heading 2 2 2 2 4 3 5 4" xfId="29887"/>
    <cellStyle name="Heading 2 2 2 2 4 3 5 4 2" xfId="29888"/>
    <cellStyle name="Heading 2 2 2 2 4 3 5 4 2 2" xfId="29889"/>
    <cellStyle name="Heading 2 2 2 2 4 3 5 4 3" xfId="29890"/>
    <cellStyle name="Heading 2 2 2 2 4 3 5 5" xfId="29891"/>
    <cellStyle name="Heading 2 2 2 2 4 3 5 5 2" xfId="29892"/>
    <cellStyle name="Heading 2 2 2 2 4 3 5 5 2 2" xfId="29893"/>
    <cellStyle name="Heading 2 2 2 2 4 3 5 5 3" xfId="29894"/>
    <cellStyle name="Heading 2 2 2 2 4 3 5 6" xfId="29895"/>
    <cellStyle name="Heading 2 2 2 2 4 3 5 6 2" xfId="29896"/>
    <cellStyle name="Heading 2 2 2 2 4 3 5 6 2 2" xfId="29897"/>
    <cellStyle name="Heading 2 2 2 2 4 3 5 6 3" xfId="29898"/>
    <cellStyle name="Heading 2 2 2 2 4 3 5 7" xfId="29899"/>
    <cellStyle name="Heading 2 2 2 2 4 3 5 7 2" xfId="29900"/>
    <cellStyle name="Heading 2 2 2 2 4 3 5 7 2 2" xfId="29901"/>
    <cellStyle name="Heading 2 2 2 2 4 3 5 7 3" xfId="29902"/>
    <cellStyle name="Heading 2 2 2 2 4 3 5 8" xfId="29903"/>
    <cellStyle name="Heading 2 2 2 2 4 3 5 8 2" xfId="29904"/>
    <cellStyle name="Heading 2 2 2 2 4 3 5 9" xfId="29905"/>
    <cellStyle name="Heading 2 2 2 2 4 3 6" xfId="29906"/>
    <cellStyle name="Heading 2 2 2 2 4 3 6 2" xfId="29907"/>
    <cellStyle name="Heading 2 2 2 2 4 3 6 2 2" xfId="29908"/>
    <cellStyle name="Heading 2 2 2 2 4 3 6 2 2 2" xfId="29909"/>
    <cellStyle name="Heading 2 2 2 2 4 3 6 2 3" xfId="29910"/>
    <cellStyle name="Heading 2 2 2 2 4 3 6 3" xfId="29911"/>
    <cellStyle name="Heading 2 2 2 2 4 3 6 3 2" xfId="29912"/>
    <cellStyle name="Heading 2 2 2 2 4 3 6 3 2 2" xfId="29913"/>
    <cellStyle name="Heading 2 2 2 2 4 3 6 3 3" xfId="29914"/>
    <cellStyle name="Heading 2 2 2 2 4 3 6 4" xfId="29915"/>
    <cellStyle name="Heading 2 2 2 2 4 3 6 4 2" xfId="29916"/>
    <cellStyle name="Heading 2 2 2 2 4 3 6 4 2 2" xfId="29917"/>
    <cellStyle name="Heading 2 2 2 2 4 3 6 4 3" xfId="29918"/>
    <cellStyle name="Heading 2 2 2 2 4 3 6 5" xfId="29919"/>
    <cellStyle name="Heading 2 2 2 2 4 3 6 5 2" xfId="29920"/>
    <cellStyle name="Heading 2 2 2 2 4 3 6 5 2 2" xfId="29921"/>
    <cellStyle name="Heading 2 2 2 2 4 3 6 5 3" xfId="29922"/>
    <cellStyle name="Heading 2 2 2 2 4 3 6 6" xfId="29923"/>
    <cellStyle name="Heading 2 2 2 2 4 3 6 6 2" xfId="29924"/>
    <cellStyle name="Heading 2 2 2 2 4 3 6 6 2 2" xfId="29925"/>
    <cellStyle name="Heading 2 2 2 2 4 3 6 6 3" xfId="29926"/>
    <cellStyle name="Heading 2 2 2 2 4 3 6 7" xfId="29927"/>
    <cellStyle name="Heading 2 2 2 2 4 3 6 7 2" xfId="29928"/>
    <cellStyle name="Heading 2 2 2 2 4 3 6 7 2 2" xfId="29929"/>
    <cellStyle name="Heading 2 2 2 2 4 3 6 7 3" xfId="29930"/>
    <cellStyle name="Heading 2 2 2 2 4 3 6 8" xfId="29931"/>
    <cellStyle name="Heading 2 2 2 2 4 3 6 8 2" xfId="29932"/>
    <cellStyle name="Heading 2 2 2 2 4 3 6 9" xfId="29933"/>
    <cellStyle name="Heading 2 2 2 2 4 3 7" xfId="29934"/>
    <cellStyle name="Heading 2 2 2 2 4 3 7 2" xfId="29935"/>
    <cellStyle name="Heading 2 2 2 2 4 3 7 2 2" xfId="29936"/>
    <cellStyle name="Heading 2 2 2 2 4 3 7 2 2 2" xfId="29937"/>
    <cellStyle name="Heading 2 2 2 2 4 3 7 2 3" xfId="29938"/>
    <cellStyle name="Heading 2 2 2 2 4 3 7 3" xfId="29939"/>
    <cellStyle name="Heading 2 2 2 2 4 3 7 3 2" xfId="29940"/>
    <cellStyle name="Heading 2 2 2 2 4 3 7 3 2 2" xfId="29941"/>
    <cellStyle name="Heading 2 2 2 2 4 3 7 3 3" xfId="29942"/>
    <cellStyle name="Heading 2 2 2 2 4 3 7 4" xfId="29943"/>
    <cellStyle name="Heading 2 2 2 2 4 3 7 4 2" xfId="29944"/>
    <cellStyle name="Heading 2 2 2 2 4 3 7 4 2 2" xfId="29945"/>
    <cellStyle name="Heading 2 2 2 2 4 3 7 4 3" xfId="29946"/>
    <cellStyle name="Heading 2 2 2 2 4 3 7 5" xfId="29947"/>
    <cellStyle name="Heading 2 2 2 2 4 3 7 5 2" xfId="29948"/>
    <cellStyle name="Heading 2 2 2 2 4 3 7 5 2 2" xfId="29949"/>
    <cellStyle name="Heading 2 2 2 2 4 3 7 5 3" xfId="29950"/>
    <cellStyle name="Heading 2 2 2 2 4 3 7 6" xfId="29951"/>
    <cellStyle name="Heading 2 2 2 2 4 3 7 6 2" xfId="29952"/>
    <cellStyle name="Heading 2 2 2 2 4 3 7 6 2 2" xfId="29953"/>
    <cellStyle name="Heading 2 2 2 2 4 3 7 6 3" xfId="29954"/>
    <cellStyle name="Heading 2 2 2 2 4 3 7 7" xfId="29955"/>
    <cellStyle name="Heading 2 2 2 2 4 3 7 7 2" xfId="29956"/>
    <cellStyle name="Heading 2 2 2 2 4 3 7 7 2 2" xfId="29957"/>
    <cellStyle name="Heading 2 2 2 2 4 3 7 7 3" xfId="29958"/>
    <cellStyle name="Heading 2 2 2 2 4 3 7 8" xfId="29959"/>
    <cellStyle name="Heading 2 2 2 2 4 3 7 8 2" xfId="29960"/>
    <cellStyle name="Heading 2 2 2 2 4 3 7 9" xfId="29961"/>
    <cellStyle name="Heading 2 2 2 2 4 3 8" xfId="29962"/>
    <cellStyle name="Heading 2 2 2 2 4 3 8 2" xfId="29963"/>
    <cellStyle name="Heading 2 2 2 2 4 3 8 2 2" xfId="29964"/>
    <cellStyle name="Heading 2 2 2 2 4 3 8 2 2 2" xfId="29965"/>
    <cellStyle name="Heading 2 2 2 2 4 3 8 2 3" xfId="29966"/>
    <cellStyle name="Heading 2 2 2 2 4 3 8 3" xfId="29967"/>
    <cellStyle name="Heading 2 2 2 2 4 3 8 3 2" xfId="29968"/>
    <cellStyle name="Heading 2 2 2 2 4 3 8 3 2 2" xfId="29969"/>
    <cellStyle name="Heading 2 2 2 2 4 3 8 3 3" xfId="29970"/>
    <cellStyle name="Heading 2 2 2 2 4 3 8 4" xfId="29971"/>
    <cellStyle name="Heading 2 2 2 2 4 3 8 4 2" xfId="29972"/>
    <cellStyle name="Heading 2 2 2 2 4 3 8 4 2 2" xfId="29973"/>
    <cellStyle name="Heading 2 2 2 2 4 3 8 4 3" xfId="29974"/>
    <cellStyle name="Heading 2 2 2 2 4 3 8 5" xfId="29975"/>
    <cellStyle name="Heading 2 2 2 2 4 3 8 5 2" xfId="29976"/>
    <cellStyle name="Heading 2 2 2 2 4 3 8 5 2 2" xfId="29977"/>
    <cellStyle name="Heading 2 2 2 2 4 3 8 5 3" xfId="29978"/>
    <cellStyle name="Heading 2 2 2 2 4 3 8 6" xfId="29979"/>
    <cellStyle name="Heading 2 2 2 2 4 3 8 6 2" xfId="29980"/>
    <cellStyle name="Heading 2 2 2 2 4 3 8 6 2 2" xfId="29981"/>
    <cellStyle name="Heading 2 2 2 2 4 3 8 6 3" xfId="29982"/>
    <cellStyle name="Heading 2 2 2 2 4 3 8 7" xfId="29983"/>
    <cellStyle name="Heading 2 2 2 2 4 3 8 7 2" xfId="29984"/>
    <cellStyle name="Heading 2 2 2 2 4 3 8 7 2 2" xfId="29985"/>
    <cellStyle name="Heading 2 2 2 2 4 3 8 7 3" xfId="29986"/>
    <cellStyle name="Heading 2 2 2 2 4 3 8 8" xfId="29987"/>
    <cellStyle name="Heading 2 2 2 2 4 3 8 8 2" xfId="29988"/>
    <cellStyle name="Heading 2 2 2 2 4 3 8 9" xfId="29989"/>
    <cellStyle name="Heading 2 2 2 2 4 3 9" xfId="29990"/>
    <cellStyle name="Heading 2 2 2 2 4 3 9 2" xfId="29991"/>
    <cellStyle name="Heading 2 2 2 2 4 3 9 2 2" xfId="29992"/>
    <cellStyle name="Heading 2 2 2 2 4 3 9 3" xfId="29993"/>
    <cellStyle name="Heading 2 2 2 2 4 4" xfId="29994"/>
    <cellStyle name="Heading 2 2 2 2 4 4 2" xfId="29995"/>
    <cellStyle name="Heading 2 2 2 2 4 4 2 2" xfId="29996"/>
    <cellStyle name="Heading 2 2 2 2 4 4 3" xfId="29997"/>
    <cellStyle name="Heading 2 2 2 2 4 5" xfId="29998"/>
    <cellStyle name="Heading 2 2 2 2 4 5 2" xfId="29999"/>
    <cellStyle name="Heading 2 2 2 2 4 6" xfId="30000"/>
    <cellStyle name="Heading 2 2 2 2 5" xfId="30001"/>
    <cellStyle name="Heading 2 2 2 2 5 2" xfId="30002"/>
    <cellStyle name="Heading 2 2 2 2 5 2 10" xfId="30003"/>
    <cellStyle name="Heading 2 2 2 2 5 2 10 2" xfId="30004"/>
    <cellStyle name="Heading 2 2 2 2 5 2 10 2 2" xfId="30005"/>
    <cellStyle name="Heading 2 2 2 2 5 2 10 3" xfId="30006"/>
    <cellStyle name="Heading 2 2 2 2 5 2 11" xfId="30007"/>
    <cellStyle name="Heading 2 2 2 2 5 2 11 2" xfId="30008"/>
    <cellStyle name="Heading 2 2 2 2 5 2 11 2 2" xfId="30009"/>
    <cellStyle name="Heading 2 2 2 2 5 2 11 3" xfId="30010"/>
    <cellStyle name="Heading 2 2 2 2 5 2 12" xfId="30011"/>
    <cellStyle name="Heading 2 2 2 2 5 2 12 2" xfId="30012"/>
    <cellStyle name="Heading 2 2 2 2 5 2 12 2 2" xfId="30013"/>
    <cellStyle name="Heading 2 2 2 2 5 2 12 3" xfId="30014"/>
    <cellStyle name="Heading 2 2 2 2 5 2 13" xfId="30015"/>
    <cellStyle name="Heading 2 2 2 2 5 2 13 2" xfId="30016"/>
    <cellStyle name="Heading 2 2 2 2 5 2 13 2 2" xfId="30017"/>
    <cellStyle name="Heading 2 2 2 2 5 2 13 3" xfId="30018"/>
    <cellStyle name="Heading 2 2 2 2 5 2 14" xfId="30019"/>
    <cellStyle name="Heading 2 2 2 2 5 2 14 2" xfId="30020"/>
    <cellStyle name="Heading 2 2 2 2 5 2 14 2 2" xfId="30021"/>
    <cellStyle name="Heading 2 2 2 2 5 2 14 3" xfId="30022"/>
    <cellStyle name="Heading 2 2 2 2 5 2 15" xfId="30023"/>
    <cellStyle name="Heading 2 2 2 2 5 2 15 2" xfId="30024"/>
    <cellStyle name="Heading 2 2 2 2 5 2 15 2 2" xfId="30025"/>
    <cellStyle name="Heading 2 2 2 2 5 2 15 3" xfId="30026"/>
    <cellStyle name="Heading 2 2 2 2 5 2 16" xfId="30027"/>
    <cellStyle name="Heading 2 2 2 2 5 2 16 2" xfId="30028"/>
    <cellStyle name="Heading 2 2 2 2 5 2 16 2 2" xfId="30029"/>
    <cellStyle name="Heading 2 2 2 2 5 2 16 3" xfId="30030"/>
    <cellStyle name="Heading 2 2 2 2 5 2 17" xfId="30031"/>
    <cellStyle name="Heading 2 2 2 2 5 2 17 2" xfId="30032"/>
    <cellStyle name="Heading 2 2 2 2 5 2 17 2 2" xfId="30033"/>
    <cellStyle name="Heading 2 2 2 2 5 2 17 3" xfId="30034"/>
    <cellStyle name="Heading 2 2 2 2 5 2 18" xfId="30035"/>
    <cellStyle name="Heading 2 2 2 2 5 2 18 2" xfId="30036"/>
    <cellStyle name="Heading 2 2 2 2 5 2 18 2 2" xfId="30037"/>
    <cellStyle name="Heading 2 2 2 2 5 2 18 3" xfId="30038"/>
    <cellStyle name="Heading 2 2 2 2 5 2 19" xfId="30039"/>
    <cellStyle name="Heading 2 2 2 2 5 2 19 2" xfId="30040"/>
    <cellStyle name="Heading 2 2 2 2 5 2 19 2 2" xfId="30041"/>
    <cellStyle name="Heading 2 2 2 2 5 2 19 3" xfId="30042"/>
    <cellStyle name="Heading 2 2 2 2 5 2 2" xfId="30043"/>
    <cellStyle name="Heading 2 2 2 2 5 2 2 10" xfId="30044"/>
    <cellStyle name="Heading 2 2 2 2 5 2 2 10 2" xfId="30045"/>
    <cellStyle name="Heading 2 2 2 2 5 2 2 10 2 2" xfId="30046"/>
    <cellStyle name="Heading 2 2 2 2 5 2 2 10 3" xfId="30047"/>
    <cellStyle name="Heading 2 2 2 2 5 2 2 11" xfId="30048"/>
    <cellStyle name="Heading 2 2 2 2 5 2 2 11 2" xfId="30049"/>
    <cellStyle name="Heading 2 2 2 2 5 2 2 11 2 2" xfId="30050"/>
    <cellStyle name="Heading 2 2 2 2 5 2 2 11 3" xfId="30051"/>
    <cellStyle name="Heading 2 2 2 2 5 2 2 12" xfId="30052"/>
    <cellStyle name="Heading 2 2 2 2 5 2 2 12 2" xfId="30053"/>
    <cellStyle name="Heading 2 2 2 2 5 2 2 12 2 2" xfId="30054"/>
    <cellStyle name="Heading 2 2 2 2 5 2 2 12 3" xfId="30055"/>
    <cellStyle name="Heading 2 2 2 2 5 2 2 13" xfId="30056"/>
    <cellStyle name="Heading 2 2 2 2 5 2 2 13 2" xfId="30057"/>
    <cellStyle name="Heading 2 2 2 2 5 2 2 13 2 2" xfId="30058"/>
    <cellStyle name="Heading 2 2 2 2 5 2 2 13 3" xfId="30059"/>
    <cellStyle name="Heading 2 2 2 2 5 2 2 14" xfId="30060"/>
    <cellStyle name="Heading 2 2 2 2 5 2 2 14 2" xfId="30061"/>
    <cellStyle name="Heading 2 2 2 2 5 2 2 14 2 2" xfId="30062"/>
    <cellStyle name="Heading 2 2 2 2 5 2 2 14 3" xfId="30063"/>
    <cellStyle name="Heading 2 2 2 2 5 2 2 15" xfId="30064"/>
    <cellStyle name="Heading 2 2 2 2 5 2 2 15 2" xfId="30065"/>
    <cellStyle name="Heading 2 2 2 2 5 2 2 15 2 2" xfId="30066"/>
    <cellStyle name="Heading 2 2 2 2 5 2 2 15 3" xfId="30067"/>
    <cellStyle name="Heading 2 2 2 2 5 2 2 16" xfId="30068"/>
    <cellStyle name="Heading 2 2 2 2 5 2 2 16 2" xfId="30069"/>
    <cellStyle name="Heading 2 2 2 2 5 2 2 16 2 2" xfId="30070"/>
    <cellStyle name="Heading 2 2 2 2 5 2 2 16 3" xfId="30071"/>
    <cellStyle name="Heading 2 2 2 2 5 2 2 17" xfId="30072"/>
    <cellStyle name="Heading 2 2 2 2 5 2 2 17 2" xfId="30073"/>
    <cellStyle name="Heading 2 2 2 2 5 2 2 17 2 2" xfId="30074"/>
    <cellStyle name="Heading 2 2 2 2 5 2 2 17 3" xfId="30075"/>
    <cellStyle name="Heading 2 2 2 2 5 2 2 18" xfId="30076"/>
    <cellStyle name="Heading 2 2 2 2 5 2 2 18 2" xfId="30077"/>
    <cellStyle name="Heading 2 2 2 2 5 2 2 18 2 2" xfId="30078"/>
    <cellStyle name="Heading 2 2 2 2 5 2 2 18 3" xfId="30079"/>
    <cellStyle name="Heading 2 2 2 2 5 2 2 19" xfId="30080"/>
    <cellStyle name="Heading 2 2 2 2 5 2 2 19 2" xfId="30081"/>
    <cellStyle name="Heading 2 2 2 2 5 2 2 2" xfId="30082"/>
    <cellStyle name="Heading 2 2 2 2 5 2 2 2 2" xfId="30083"/>
    <cellStyle name="Heading 2 2 2 2 5 2 2 2 2 2" xfId="30084"/>
    <cellStyle name="Heading 2 2 2 2 5 2 2 2 2 2 2" xfId="30085"/>
    <cellStyle name="Heading 2 2 2 2 5 2 2 2 2 3" xfId="30086"/>
    <cellStyle name="Heading 2 2 2 2 5 2 2 2 3" xfId="30087"/>
    <cellStyle name="Heading 2 2 2 2 5 2 2 2 3 2" xfId="30088"/>
    <cellStyle name="Heading 2 2 2 2 5 2 2 2 3 2 2" xfId="30089"/>
    <cellStyle name="Heading 2 2 2 2 5 2 2 2 3 3" xfId="30090"/>
    <cellStyle name="Heading 2 2 2 2 5 2 2 2 4" xfId="30091"/>
    <cellStyle name="Heading 2 2 2 2 5 2 2 2 4 2" xfId="30092"/>
    <cellStyle name="Heading 2 2 2 2 5 2 2 2 4 2 2" xfId="30093"/>
    <cellStyle name="Heading 2 2 2 2 5 2 2 2 4 3" xfId="30094"/>
    <cellStyle name="Heading 2 2 2 2 5 2 2 2 5" xfId="30095"/>
    <cellStyle name="Heading 2 2 2 2 5 2 2 2 5 2" xfId="30096"/>
    <cellStyle name="Heading 2 2 2 2 5 2 2 2 5 2 2" xfId="30097"/>
    <cellStyle name="Heading 2 2 2 2 5 2 2 2 5 3" xfId="30098"/>
    <cellStyle name="Heading 2 2 2 2 5 2 2 2 6" xfId="30099"/>
    <cellStyle name="Heading 2 2 2 2 5 2 2 2 6 2" xfId="30100"/>
    <cellStyle name="Heading 2 2 2 2 5 2 2 2 6 2 2" xfId="30101"/>
    <cellStyle name="Heading 2 2 2 2 5 2 2 2 6 3" xfId="30102"/>
    <cellStyle name="Heading 2 2 2 2 5 2 2 2 7" xfId="30103"/>
    <cellStyle name="Heading 2 2 2 2 5 2 2 2 7 2" xfId="30104"/>
    <cellStyle name="Heading 2 2 2 2 5 2 2 2 7 2 2" xfId="30105"/>
    <cellStyle name="Heading 2 2 2 2 5 2 2 2 7 3" xfId="30106"/>
    <cellStyle name="Heading 2 2 2 2 5 2 2 2 8" xfId="30107"/>
    <cellStyle name="Heading 2 2 2 2 5 2 2 2 8 2" xfId="30108"/>
    <cellStyle name="Heading 2 2 2 2 5 2 2 2 9" xfId="30109"/>
    <cellStyle name="Heading 2 2 2 2 5 2 2 20" xfId="30110"/>
    <cellStyle name="Heading 2 2 2 2 5 2 2 20 2" xfId="30111"/>
    <cellStyle name="Heading 2 2 2 2 5 2 2 21" xfId="30112"/>
    <cellStyle name="Heading 2 2 2 2 5 2 2 21 2" xfId="30113"/>
    <cellStyle name="Heading 2 2 2 2 5 2 2 22" xfId="30114"/>
    <cellStyle name="Heading 2 2 2 2 5 2 2 3" xfId="30115"/>
    <cellStyle name="Heading 2 2 2 2 5 2 2 3 2" xfId="30116"/>
    <cellStyle name="Heading 2 2 2 2 5 2 2 3 2 2" xfId="30117"/>
    <cellStyle name="Heading 2 2 2 2 5 2 2 3 2 2 2" xfId="30118"/>
    <cellStyle name="Heading 2 2 2 2 5 2 2 3 2 3" xfId="30119"/>
    <cellStyle name="Heading 2 2 2 2 5 2 2 3 3" xfId="30120"/>
    <cellStyle name="Heading 2 2 2 2 5 2 2 3 3 2" xfId="30121"/>
    <cellStyle name="Heading 2 2 2 2 5 2 2 3 3 2 2" xfId="30122"/>
    <cellStyle name="Heading 2 2 2 2 5 2 2 3 3 3" xfId="30123"/>
    <cellStyle name="Heading 2 2 2 2 5 2 2 3 4" xfId="30124"/>
    <cellStyle name="Heading 2 2 2 2 5 2 2 3 4 2" xfId="30125"/>
    <cellStyle name="Heading 2 2 2 2 5 2 2 3 4 2 2" xfId="30126"/>
    <cellStyle name="Heading 2 2 2 2 5 2 2 3 4 3" xfId="30127"/>
    <cellStyle name="Heading 2 2 2 2 5 2 2 3 5" xfId="30128"/>
    <cellStyle name="Heading 2 2 2 2 5 2 2 3 5 2" xfId="30129"/>
    <cellStyle name="Heading 2 2 2 2 5 2 2 3 5 2 2" xfId="30130"/>
    <cellStyle name="Heading 2 2 2 2 5 2 2 3 5 3" xfId="30131"/>
    <cellStyle name="Heading 2 2 2 2 5 2 2 3 6" xfId="30132"/>
    <cellStyle name="Heading 2 2 2 2 5 2 2 3 6 2" xfId="30133"/>
    <cellStyle name="Heading 2 2 2 2 5 2 2 3 6 2 2" xfId="30134"/>
    <cellStyle name="Heading 2 2 2 2 5 2 2 3 6 3" xfId="30135"/>
    <cellStyle name="Heading 2 2 2 2 5 2 2 3 7" xfId="30136"/>
    <cellStyle name="Heading 2 2 2 2 5 2 2 3 7 2" xfId="30137"/>
    <cellStyle name="Heading 2 2 2 2 5 2 2 3 7 2 2" xfId="30138"/>
    <cellStyle name="Heading 2 2 2 2 5 2 2 3 7 3" xfId="30139"/>
    <cellStyle name="Heading 2 2 2 2 5 2 2 3 8" xfId="30140"/>
    <cellStyle name="Heading 2 2 2 2 5 2 2 3 8 2" xfId="30141"/>
    <cellStyle name="Heading 2 2 2 2 5 2 2 3 9" xfId="30142"/>
    <cellStyle name="Heading 2 2 2 2 5 2 2 4" xfId="30143"/>
    <cellStyle name="Heading 2 2 2 2 5 2 2 4 2" xfId="30144"/>
    <cellStyle name="Heading 2 2 2 2 5 2 2 4 2 2" xfId="30145"/>
    <cellStyle name="Heading 2 2 2 2 5 2 2 4 2 2 2" xfId="30146"/>
    <cellStyle name="Heading 2 2 2 2 5 2 2 4 2 3" xfId="30147"/>
    <cellStyle name="Heading 2 2 2 2 5 2 2 4 3" xfId="30148"/>
    <cellStyle name="Heading 2 2 2 2 5 2 2 4 3 2" xfId="30149"/>
    <cellStyle name="Heading 2 2 2 2 5 2 2 4 3 2 2" xfId="30150"/>
    <cellStyle name="Heading 2 2 2 2 5 2 2 4 3 3" xfId="30151"/>
    <cellStyle name="Heading 2 2 2 2 5 2 2 4 4" xfId="30152"/>
    <cellStyle name="Heading 2 2 2 2 5 2 2 4 4 2" xfId="30153"/>
    <cellStyle name="Heading 2 2 2 2 5 2 2 4 4 2 2" xfId="30154"/>
    <cellStyle name="Heading 2 2 2 2 5 2 2 4 4 3" xfId="30155"/>
    <cellStyle name="Heading 2 2 2 2 5 2 2 4 5" xfId="30156"/>
    <cellStyle name="Heading 2 2 2 2 5 2 2 4 5 2" xfId="30157"/>
    <cellStyle name="Heading 2 2 2 2 5 2 2 4 5 2 2" xfId="30158"/>
    <cellStyle name="Heading 2 2 2 2 5 2 2 4 5 3" xfId="30159"/>
    <cellStyle name="Heading 2 2 2 2 5 2 2 4 6" xfId="30160"/>
    <cellStyle name="Heading 2 2 2 2 5 2 2 4 6 2" xfId="30161"/>
    <cellStyle name="Heading 2 2 2 2 5 2 2 4 6 2 2" xfId="30162"/>
    <cellStyle name="Heading 2 2 2 2 5 2 2 4 6 3" xfId="30163"/>
    <cellStyle name="Heading 2 2 2 2 5 2 2 4 7" xfId="30164"/>
    <cellStyle name="Heading 2 2 2 2 5 2 2 4 7 2" xfId="30165"/>
    <cellStyle name="Heading 2 2 2 2 5 2 2 4 7 2 2" xfId="30166"/>
    <cellStyle name="Heading 2 2 2 2 5 2 2 4 7 3" xfId="30167"/>
    <cellStyle name="Heading 2 2 2 2 5 2 2 4 8" xfId="30168"/>
    <cellStyle name="Heading 2 2 2 2 5 2 2 4 8 2" xfId="30169"/>
    <cellStyle name="Heading 2 2 2 2 5 2 2 4 9" xfId="30170"/>
    <cellStyle name="Heading 2 2 2 2 5 2 2 5" xfId="30171"/>
    <cellStyle name="Heading 2 2 2 2 5 2 2 5 2" xfId="30172"/>
    <cellStyle name="Heading 2 2 2 2 5 2 2 5 2 2" xfId="30173"/>
    <cellStyle name="Heading 2 2 2 2 5 2 2 5 2 2 2" xfId="30174"/>
    <cellStyle name="Heading 2 2 2 2 5 2 2 5 2 3" xfId="30175"/>
    <cellStyle name="Heading 2 2 2 2 5 2 2 5 3" xfId="30176"/>
    <cellStyle name="Heading 2 2 2 2 5 2 2 5 3 2" xfId="30177"/>
    <cellStyle name="Heading 2 2 2 2 5 2 2 5 3 2 2" xfId="30178"/>
    <cellStyle name="Heading 2 2 2 2 5 2 2 5 3 3" xfId="30179"/>
    <cellStyle name="Heading 2 2 2 2 5 2 2 5 4" xfId="30180"/>
    <cellStyle name="Heading 2 2 2 2 5 2 2 5 4 2" xfId="30181"/>
    <cellStyle name="Heading 2 2 2 2 5 2 2 5 4 2 2" xfId="30182"/>
    <cellStyle name="Heading 2 2 2 2 5 2 2 5 4 3" xfId="30183"/>
    <cellStyle name="Heading 2 2 2 2 5 2 2 5 5" xfId="30184"/>
    <cellStyle name="Heading 2 2 2 2 5 2 2 5 5 2" xfId="30185"/>
    <cellStyle name="Heading 2 2 2 2 5 2 2 5 5 2 2" xfId="30186"/>
    <cellStyle name="Heading 2 2 2 2 5 2 2 5 5 3" xfId="30187"/>
    <cellStyle name="Heading 2 2 2 2 5 2 2 5 6" xfId="30188"/>
    <cellStyle name="Heading 2 2 2 2 5 2 2 5 6 2" xfId="30189"/>
    <cellStyle name="Heading 2 2 2 2 5 2 2 5 6 2 2" xfId="30190"/>
    <cellStyle name="Heading 2 2 2 2 5 2 2 5 6 3" xfId="30191"/>
    <cellStyle name="Heading 2 2 2 2 5 2 2 5 7" xfId="30192"/>
    <cellStyle name="Heading 2 2 2 2 5 2 2 5 7 2" xfId="30193"/>
    <cellStyle name="Heading 2 2 2 2 5 2 2 5 7 2 2" xfId="30194"/>
    <cellStyle name="Heading 2 2 2 2 5 2 2 5 7 3" xfId="30195"/>
    <cellStyle name="Heading 2 2 2 2 5 2 2 5 8" xfId="30196"/>
    <cellStyle name="Heading 2 2 2 2 5 2 2 5 8 2" xfId="30197"/>
    <cellStyle name="Heading 2 2 2 2 5 2 2 5 9" xfId="30198"/>
    <cellStyle name="Heading 2 2 2 2 5 2 2 6" xfId="30199"/>
    <cellStyle name="Heading 2 2 2 2 5 2 2 6 2" xfId="30200"/>
    <cellStyle name="Heading 2 2 2 2 5 2 2 6 2 2" xfId="30201"/>
    <cellStyle name="Heading 2 2 2 2 5 2 2 6 2 2 2" xfId="30202"/>
    <cellStyle name="Heading 2 2 2 2 5 2 2 6 2 3" xfId="30203"/>
    <cellStyle name="Heading 2 2 2 2 5 2 2 6 3" xfId="30204"/>
    <cellStyle name="Heading 2 2 2 2 5 2 2 6 3 2" xfId="30205"/>
    <cellStyle name="Heading 2 2 2 2 5 2 2 6 3 2 2" xfId="30206"/>
    <cellStyle name="Heading 2 2 2 2 5 2 2 6 3 3" xfId="30207"/>
    <cellStyle name="Heading 2 2 2 2 5 2 2 6 4" xfId="30208"/>
    <cellStyle name="Heading 2 2 2 2 5 2 2 6 4 2" xfId="30209"/>
    <cellStyle name="Heading 2 2 2 2 5 2 2 6 4 2 2" xfId="30210"/>
    <cellStyle name="Heading 2 2 2 2 5 2 2 6 4 3" xfId="30211"/>
    <cellStyle name="Heading 2 2 2 2 5 2 2 6 5" xfId="30212"/>
    <cellStyle name="Heading 2 2 2 2 5 2 2 6 5 2" xfId="30213"/>
    <cellStyle name="Heading 2 2 2 2 5 2 2 6 5 2 2" xfId="30214"/>
    <cellStyle name="Heading 2 2 2 2 5 2 2 6 5 3" xfId="30215"/>
    <cellStyle name="Heading 2 2 2 2 5 2 2 6 6" xfId="30216"/>
    <cellStyle name="Heading 2 2 2 2 5 2 2 6 6 2" xfId="30217"/>
    <cellStyle name="Heading 2 2 2 2 5 2 2 6 6 2 2" xfId="30218"/>
    <cellStyle name="Heading 2 2 2 2 5 2 2 6 6 3" xfId="30219"/>
    <cellStyle name="Heading 2 2 2 2 5 2 2 6 7" xfId="30220"/>
    <cellStyle name="Heading 2 2 2 2 5 2 2 6 7 2" xfId="30221"/>
    <cellStyle name="Heading 2 2 2 2 5 2 2 6 7 2 2" xfId="30222"/>
    <cellStyle name="Heading 2 2 2 2 5 2 2 6 7 3" xfId="30223"/>
    <cellStyle name="Heading 2 2 2 2 5 2 2 6 8" xfId="30224"/>
    <cellStyle name="Heading 2 2 2 2 5 2 2 6 8 2" xfId="30225"/>
    <cellStyle name="Heading 2 2 2 2 5 2 2 6 9" xfId="30226"/>
    <cellStyle name="Heading 2 2 2 2 5 2 2 7" xfId="30227"/>
    <cellStyle name="Heading 2 2 2 2 5 2 2 7 2" xfId="30228"/>
    <cellStyle name="Heading 2 2 2 2 5 2 2 7 2 2" xfId="30229"/>
    <cellStyle name="Heading 2 2 2 2 5 2 2 7 2 2 2" xfId="30230"/>
    <cellStyle name="Heading 2 2 2 2 5 2 2 7 2 3" xfId="30231"/>
    <cellStyle name="Heading 2 2 2 2 5 2 2 7 3" xfId="30232"/>
    <cellStyle name="Heading 2 2 2 2 5 2 2 7 3 2" xfId="30233"/>
    <cellStyle name="Heading 2 2 2 2 5 2 2 7 3 2 2" xfId="30234"/>
    <cellStyle name="Heading 2 2 2 2 5 2 2 7 3 3" xfId="30235"/>
    <cellStyle name="Heading 2 2 2 2 5 2 2 7 4" xfId="30236"/>
    <cellStyle name="Heading 2 2 2 2 5 2 2 7 4 2" xfId="30237"/>
    <cellStyle name="Heading 2 2 2 2 5 2 2 7 4 2 2" xfId="30238"/>
    <cellStyle name="Heading 2 2 2 2 5 2 2 7 4 3" xfId="30239"/>
    <cellStyle name="Heading 2 2 2 2 5 2 2 7 5" xfId="30240"/>
    <cellStyle name="Heading 2 2 2 2 5 2 2 7 5 2" xfId="30241"/>
    <cellStyle name="Heading 2 2 2 2 5 2 2 7 5 2 2" xfId="30242"/>
    <cellStyle name="Heading 2 2 2 2 5 2 2 7 5 3" xfId="30243"/>
    <cellStyle name="Heading 2 2 2 2 5 2 2 7 6" xfId="30244"/>
    <cellStyle name="Heading 2 2 2 2 5 2 2 7 6 2" xfId="30245"/>
    <cellStyle name="Heading 2 2 2 2 5 2 2 7 6 2 2" xfId="30246"/>
    <cellStyle name="Heading 2 2 2 2 5 2 2 7 6 3" xfId="30247"/>
    <cellStyle name="Heading 2 2 2 2 5 2 2 7 7" xfId="30248"/>
    <cellStyle name="Heading 2 2 2 2 5 2 2 7 7 2" xfId="30249"/>
    <cellStyle name="Heading 2 2 2 2 5 2 2 7 7 2 2" xfId="30250"/>
    <cellStyle name="Heading 2 2 2 2 5 2 2 7 7 3" xfId="30251"/>
    <cellStyle name="Heading 2 2 2 2 5 2 2 7 8" xfId="30252"/>
    <cellStyle name="Heading 2 2 2 2 5 2 2 7 8 2" xfId="30253"/>
    <cellStyle name="Heading 2 2 2 2 5 2 2 7 9" xfId="30254"/>
    <cellStyle name="Heading 2 2 2 2 5 2 2 8" xfId="30255"/>
    <cellStyle name="Heading 2 2 2 2 5 2 2 8 2" xfId="30256"/>
    <cellStyle name="Heading 2 2 2 2 5 2 2 8 2 2" xfId="30257"/>
    <cellStyle name="Heading 2 2 2 2 5 2 2 8 2 2 2" xfId="30258"/>
    <cellStyle name="Heading 2 2 2 2 5 2 2 8 2 3" xfId="30259"/>
    <cellStyle name="Heading 2 2 2 2 5 2 2 8 3" xfId="30260"/>
    <cellStyle name="Heading 2 2 2 2 5 2 2 8 3 2" xfId="30261"/>
    <cellStyle name="Heading 2 2 2 2 5 2 2 8 3 2 2" xfId="30262"/>
    <cellStyle name="Heading 2 2 2 2 5 2 2 8 3 3" xfId="30263"/>
    <cellStyle name="Heading 2 2 2 2 5 2 2 8 4" xfId="30264"/>
    <cellStyle name="Heading 2 2 2 2 5 2 2 8 4 2" xfId="30265"/>
    <cellStyle name="Heading 2 2 2 2 5 2 2 8 4 2 2" xfId="30266"/>
    <cellStyle name="Heading 2 2 2 2 5 2 2 8 4 3" xfId="30267"/>
    <cellStyle name="Heading 2 2 2 2 5 2 2 8 5" xfId="30268"/>
    <cellStyle name="Heading 2 2 2 2 5 2 2 8 5 2" xfId="30269"/>
    <cellStyle name="Heading 2 2 2 2 5 2 2 8 5 2 2" xfId="30270"/>
    <cellStyle name="Heading 2 2 2 2 5 2 2 8 5 3" xfId="30271"/>
    <cellStyle name="Heading 2 2 2 2 5 2 2 8 6" xfId="30272"/>
    <cellStyle name="Heading 2 2 2 2 5 2 2 8 6 2" xfId="30273"/>
    <cellStyle name="Heading 2 2 2 2 5 2 2 8 6 2 2" xfId="30274"/>
    <cellStyle name="Heading 2 2 2 2 5 2 2 8 6 3" xfId="30275"/>
    <cellStyle name="Heading 2 2 2 2 5 2 2 8 7" xfId="30276"/>
    <cellStyle name="Heading 2 2 2 2 5 2 2 8 7 2" xfId="30277"/>
    <cellStyle name="Heading 2 2 2 2 5 2 2 8 7 2 2" xfId="30278"/>
    <cellStyle name="Heading 2 2 2 2 5 2 2 8 7 3" xfId="30279"/>
    <cellStyle name="Heading 2 2 2 2 5 2 2 8 8" xfId="30280"/>
    <cellStyle name="Heading 2 2 2 2 5 2 2 8 8 2" xfId="30281"/>
    <cellStyle name="Heading 2 2 2 2 5 2 2 8 9" xfId="30282"/>
    <cellStyle name="Heading 2 2 2 2 5 2 2 9" xfId="30283"/>
    <cellStyle name="Heading 2 2 2 2 5 2 2 9 2" xfId="30284"/>
    <cellStyle name="Heading 2 2 2 2 5 2 2 9 2 2" xfId="30285"/>
    <cellStyle name="Heading 2 2 2 2 5 2 2 9 3" xfId="30286"/>
    <cellStyle name="Heading 2 2 2 2 5 2 20" xfId="30287"/>
    <cellStyle name="Heading 2 2 2 2 5 2 20 2" xfId="30288"/>
    <cellStyle name="Heading 2 2 2 2 5 2 21" xfId="30289"/>
    <cellStyle name="Heading 2 2 2 2 5 2 21 2" xfId="30290"/>
    <cellStyle name="Heading 2 2 2 2 5 2 22" xfId="30291"/>
    <cellStyle name="Heading 2 2 2 2 5 2 22 2" xfId="30292"/>
    <cellStyle name="Heading 2 2 2 2 5 2 23" xfId="30293"/>
    <cellStyle name="Heading 2 2 2 2 5 2 3" xfId="30294"/>
    <cellStyle name="Heading 2 2 2 2 5 2 3 2" xfId="30295"/>
    <cellStyle name="Heading 2 2 2 2 5 2 3 2 2" xfId="30296"/>
    <cellStyle name="Heading 2 2 2 2 5 2 3 2 2 2" xfId="30297"/>
    <cellStyle name="Heading 2 2 2 2 5 2 3 2 3" xfId="30298"/>
    <cellStyle name="Heading 2 2 2 2 5 2 3 3" xfId="30299"/>
    <cellStyle name="Heading 2 2 2 2 5 2 3 3 2" xfId="30300"/>
    <cellStyle name="Heading 2 2 2 2 5 2 3 3 2 2" xfId="30301"/>
    <cellStyle name="Heading 2 2 2 2 5 2 3 3 3" xfId="30302"/>
    <cellStyle name="Heading 2 2 2 2 5 2 3 4" xfId="30303"/>
    <cellStyle name="Heading 2 2 2 2 5 2 3 4 2" xfId="30304"/>
    <cellStyle name="Heading 2 2 2 2 5 2 3 4 2 2" xfId="30305"/>
    <cellStyle name="Heading 2 2 2 2 5 2 3 4 3" xfId="30306"/>
    <cellStyle name="Heading 2 2 2 2 5 2 3 5" xfId="30307"/>
    <cellStyle name="Heading 2 2 2 2 5 2 3 5 2" xfId="30308"/>
    <cellStyle name="Heading 2 2 2 2 5 2 3 5 2 2" xfId="30309"/>
    <cellStyle name="Heading 2 2 2 2 5 2 3 5 3" xfId="30310"/>
    <cellStyle name="Heading 2 2 2 2 5 2 3 6" xfId="30311"/>
    <cellStyle name="Heading 2 2 2 2 5 2 3 6 2" xfId="30312"/>
    <cellStyle name="Heading 2 2 2 2 5 2 3 6 2 2" xfId="30313"/>
    <cellStyle name="Heading 2 2 2 2 5 2 3 6 3" xfId="30314"/>
    <cellStyle name="Heading 2 2 2 2 5 2 3 7" xfId="30315"/>
    <cellStyle name="Heading 2 2 2 2 5 2 3 7 2" xfId="30316"/>
    <cellStyle name="Heading 2 2 2 2 5 2 3 7 2 2" xfId="30317"/>
    <cellStyle name="Heading 2 2 2 2 5 2 3 7 3" xfId="30318"/>
    <cellStyle name="Heading 2 2 2 2 5 2 3 8" xfId="30319"/>
    <cellStyle name="Heading 2 2 2 2 5 2 3 8 2" xfId="30320"/>
    <cellStyle name="Heading 2 2 2 2 5 2 3 9" xfId="30321"/>
    <cellStyle name="Heading 2 2 2 2 5 2 4" xfId="30322"/>
    <cellStyle name="Heading 2 2 2 2 5 2 4 2" xfId="30323"/>
    <cellStyle name="Heading 2 2 2 2 5 2 4 2 2" xfId="30324"/>
    <cellStyle name="Heading 2 2 2 2 5 2 4 2 2 2" xfId="30325"/>
    <cellStyle name="Heading 2 2 2 2 5 2 4 2 3" xfId="30326"/>
    <cellStyle name="Heading 2 2 2 2 5 2 4 3" xfId="30327"/>
    <cellStyle name="Heading 2 2 2 2 5 2 4 3 2" xfId="30328"/>
    <cellStyle name="Heading 2 2 2 2 5 2 4 3 2 2" xfId="30329"/>
    <cellStyle name="Heading 2 2 2 2 5 2 4 3 3" xfId="30330"/>
    <cellStyle name="Heading 2 2 2 2 5 2 4 4" xfId="30331"/>
    <cellStyle name="Heading 2 2 2 2 5 2 4 4 2" xfId="30332"/>
    <cellStyle name="Heading 2 2 2 2 5 2 4 4 2 2" xfId="30333"/>
    <cellStyle name="Heading 2 2 2 2 5 2 4 4 3" xfId="30334"/>
    <cellStyle name="Heading 2 2 2 2 5 2 4 5" xfId="30335"/>
    <cellStyle name="Heading 2 2 2 2 5 2 4 5 2" xfId="30336"/>
    <cellStyle name="Heading 2 2 2 2 5 2 4 5 2 2" xfId="30337"/>
    <cellStyle name="Heading 2 2 2 2 5 2 4 5 3" xfId="30338"/>
    <cellStyle name="Heading 2 2 2 2 5 2 4 6" xfId="30339"/>
    <cellStyle name="Heading 2 2 2 2 5 2 4 6 2" xfId="30340"/>
    <cellStyle name="Heading 2 2 2 2 5 2 4 6 2 2" xfId="30341"/>
    <cellStyle name="Heading 2 2 2 2 5 2 4 6 3" xfId="30342"/>
    <cellStyle name="Heading 2 2 2 2 5 2 4 7" xfId="30343"/>
    <cellStyle name="Heading 2 2 2 2 5 2 4 7 2" xfId="30344"/>
    <cellStyle name="Heading 2 2 2 2 5 2 4 7 2 2" xfId="30345"/>
    <cellStyle name="Heading 2 2 2 2 5 2 4 7 3" xfId="30346"/>
    <cellStyle name="Heading 2 2 2 2 5 2 4 8" xfId="30347"/>
    <cellStyle name="Heading 2 2 2 2 5 2 4 8 2" xfId="30348"/>
    <cellStyle name="Heading 2 2 2 2 5 2 4 9" xfId="30349"/>
    <cellStyle name="Heading 2 2 2 2 5 2 5" xfId="30350"/>
    <cellStyle name="Heading 2 2 2 2 5 2 5 2" xfId="30351"/>
    <cellStyle name="Heading 2 2 2 2 5 2 5 2 2" xfId="30352"/>
    <cellStyle name="Heading 2 2 2 2 5 2 5 2 2 2" xfId="30353"/>
    <cellStyle name="Heading 2 2 2 2 5 2 5 2 3" xfId="30354"/>
    <cellStyle name="Heading 2 2 2 2 5 2 5 3" xfId="30355"/>
    <cellStyle name="Heading 2 2 2 2 5 2 5 3 2" xfId="30356"/>
    <cellStyle name="Heading 2 2 2 2 5 2 5 3 2 2" xfId="30357"/>
    <cellStyle name="Heading 2 2 2 2 5 2 5 3 3" xfId="30358"/>
    <cellStyle name="Heading 2 2 2 2 5 2 5 4" xfId="30359"/>
    <cellStyle name="Heading 2 2 2 2 5 2 5 4 2" xfId="30360"/>
    <cellStyle name="Heading 2 2 2 2 5 2 5 4 2 2" xfId="30361"/>
    <cellStyle name="Heading 2 2 2 2 5 2 5 4 3" xfId="30362"/>
    <cellStyle name="Heading 2 2 2 2 5 2 5 5" xfId="30363"/>
    <cellStyle name="Heading 2 2 2 2 5 2 5 5 2" xfId="30364"/>
    <cellStyle name="Heading 2 2 2 2 5 2 5 5 2 2" xfId="30365"/>
    <cellStyle name="Heading 2 2 2 2 5 2 5 5 3" xfId="30366"/>
    <cellStyle name="Heading 2 2 2 2 5 2 5 6" xfId="30367"/>
    <cellStyle name="Heading 2 2 2 2 5 2 5 6 2" xfId="30368"/>
    <cellStyle name="Heading 2 2 2 2 5 2 5 6 2 2" xfId="30369"/>
    <cellStyle name="Heading 2 2 2 2 5 2 5 6 3" xfId="30370"/>
    <cellStyle name="Heading 2 2 2 2 5 2 5 7" xfId="30371"/>
    <cellStyle name="Heading 2 2 2 2 5 2 5 7 2" xfId="30372"/>
    <cellStyle name="Heading 2 2 2 2 5 2 5 7 2 2" xfId="30373"/>
    <cellStyle name="Heading 2 2 2 2 5 2 5 7 3" xfId="30374"/>
    <cellStyle name="Heading 2 2 2 2 5 2 5 8" xfId="30375"/>
    <cellStyle name="Heading 2 2 2 2 5 2 5 8 2" xfId="30376"/>
    <cellStyle name="Heading 2 2 2 2 5 2 5 9" xfId="30377"/>
    <cellStyle name="Heading 2 2 2 2 5 2 6" xfId="30378"/>
    <cellStyle name="Heading 2 2 2 2 5 2 6 2" xfId="30379"/>
    <cellStyle name="Heading 2 2 2 2 5 2 6 2 2" xfId="30380"/>
    <cellStyle name="Heading 2 2 2 2 5 2 6 2 2 2" xfId="30381"/>
    <cellStyle name="Heading 2 2 2 2 5 2 6 2 3" xfId="30382"/>
    <cellStyle name="Heading 2 2 2 2 5 2 6 3" xfId="30383"/>
    <cellStyle name="Heading 2 2 2 2 5 2 6 3 2" xfId="30384"/>
    <cellStyle name="Heading 2 2 2 2 5 2 6 3 2 2" xfId="30385"/>
    <cellStyle name="Heading 2 2 2 2 5 2 6 3 3" xfId="30386"/>
    <cellStyle name="Heading 2 2 2 2 5 2 6 4" xfId="30387"/>
    <cellStyle name="Heading 2 2 2 2 5 2 6 4 2" xfId="30388"/>
    <cellStyle name="Heading 2 2 2 2 5 2 6 4 2 2" xfId="30389"/>
    <cellStyle name="Heading 2 2 2 2 5 2 6 4 3" xfId="30390"/>
    <cellStyle name="Heading 2 2 2 2 5 2 6 5" xfId="30391"/>
    <cellStyle name="Heading 2 2 2 2 5 2 6 5 2" xfId="30392"/>
    <cellStyle name="Heading 2 2 2 2 5 2 6 5 2 2" xfId="30393"/>
    <cellStyle name="Heading 2 2 2 2 5 2 6 5 3" xfId="30394"/>
    <cellStyle name="Heading 2 2 2 2 5 2 6 6" xfId="30395"/>
    <cellStyle name="Heading 2 2 2 2 5 2 6 6 2" xfId="30396"/>
    <cellStyle name="Heading 2 2 2 2 5 2 6 6 2 2" xfId="30397"/>
    <cellStyle name="Heading 2 2 2 2 5 2 6 6 3" xfId="30398"/>
    <cellStyle name="Heading 2 2 2 2 5 2 6 7" xfId="30399"/>
    <cellStyle name="Heading 2 2 2 2 5 2 6 7 2" xfId="30400"/>
    <cellStyle name="Heading 2 2 2 2 5 2 6 7 2 2" xfId="30401"/>
    <cellStyle name="Heading 2 2 2 2 5 2 6 7 3" xfId="30402"/>
    <cellStyle name="Heading 2 2 2 2 5 2 6 8" xfId="30403"/>
    <cellStyle name="Heading 2 2 2 2 5 2 6 8 2" xfId="30404"/>
    <cellStyle name="Heading 2 2 2 2 5 2 6 9" xfId="30405"/>
    <cellStyle name="Heading 2 2 2 2 5 2 7" xfId="30406"/>
    <cellStyle name="Heading 2 2 2 2 5 2 7 2" xfId="30407"/>
    <cellStyle name="Heading 2 2 2 2 5 2 7 2 2" xfId="30408"/>
    <cellStyle name="Heading 2 2 2 2 5 2 7 2 2 2" xfId="30409"/>
    <cellStyle name="Heading 2 2 2 2 5 2 7 2 3" xfId="30410"/>
    <cellStyle name="Heading 2 2 2 2 5 2 7 3" xfId="30411"/>
    <cellStyle name="Heading 2 2 2 2 5 2 7 3 2" xfId="30412"/>
    <cellStyle name="Heading 2 2 2 2 5 2 7 3 2 2" xfId="30413"/>
    <cellStyle name="Heading 2 2 2 2 5 2 7 3 3" xfId="30414"/>
    <cellStyle name="Heading 2 2 2 2 5 2 7 4" xfId="30415"/>
    <cellStyle name="Heading 2 2 2 2 5 2 7 4 2" xfId="30416"/>
    <cellStyle name="Heading 2 2 2 2 5 2 7 4 2 2" xfId="30417"/>
    <cellStyle name="Heading 2 2 2 2 5 2 7 4 3" xfId="30418"/>
    <cellStyle name="Heading 2 2 2 2 5 2 7 5" xfId="30419"/>
    <cellStyle name="Heading 2 2 2 2 5 2 7 5 2" xfId="30420"/>
    <cellStyle name="Heading 2 2 2 2 5 2 7 5 2 2" xfId="30421"/>
    <cellStyle name="Heading 2 2 2 2 5 2 7 5 3" xfId="30422"/>
    <cellStyle name="Heading 2 2 2 2 5 2 7 6" xfId="30423"/>
    <cellStyle name="Heading 2 2 2 2 5 2 7 6 2" xfId="30424"/>
    <cellStyle name="Heading 2 2 2 2 5 2 7 6 2 2" xfId="30425"/>
    <cellStyle name="Heading 2 2 2 2 5 2 7 6 3" xfId="30426"/>
    <cellStyle name="Heading 2 2 2 2 5 2 7 7" xfId="30427"/>
    <cellStyle name="Heading 2 2 2 2 5 2 7 7 2" xfId="30428"/>
    <cellStyle name="Heading 2 2 2 2 5 2 7 7 2 2" xfId="30429"/>
    <cellStyle name="Heading 2 2 2 2 5 2 7 7 3" xfId="30430"/>
    <cellStyle name="Heading 2 2 2 2 5 2 7 8" xfId="30431"/>
    <cellStyle name="Heading 2 2 2 2 5 2 7 8 2" xfId="30432"/>
    <cellStyle name="Heading 2 2 2 2 5 2 7 9" xfId="30433"/>
    <cellStyle name="Heading 2 2 2 2 5 2 8" xfId="30434"/>
    <cellStyle name="Heading 2 2 2 2 5 2 8 2" xfId="30435"/>
    <cellStyle name="Heading 2 2 2 2 5 2 8 2 2" xfId="30436"/>
    <cellStyle name="Heading 2 2 2 2 5 2 8 2 2 2" xfId="30437"/>
    <cellStyle name="Heading 2 2 2 2 5 2 8 2 3" xfId="30438"/>
    <cellStyle name="Heading 2 2 2 2 5 2 8 3" xfId="30439"/>
    <cellStyle name="Heading 2 2 2 2 5 2 8 3 2" xfId="30440"/>
    <cellStyle name="Heading 2 2 2 2 5 2 8 3 2 2" xfId="30441"/>
    <cellStyle name="Heading 2 2 2 2 5 2 8 3 3" xfId="30442"/>
    <cellStyle name="Heading 2 2 2 2 5 2 8 4" xfId="30443"/>
    <cellStyle name="Heading 2 2 2 2 5 2 8 4 2" xfId="30444"/>
    <cellStyle name="Heading 2 2 2 2 5 2 8 4 2 2" xfId="30445"/>
    <cellStyle name="Heading 2 2 2 2 5 2 8 4 3" xfId="30446"/>
    <cellStyle name="Heading 2 2 2 2 5 2 8 5" xfId="30447"/>
    <cellStyle name="Heading 2 2 2 2 5 2 8 5 2" xfId="30448"/>
    <cellStyle name="Heading 2 2 2 2 5 2 8 5 2 2" xfId="30449"/>
    <cellStyle name="Heading 2 2 2 2 5 2 8 5 3" xfId="30450"/>
    <cellStyle name="Heading 2 2 2 2 5 2 8 6" xfId="30451"/>
    <cellStyle name="Heading 2 2 2 2 5 2 8 6 2" xfId="30452"/>
    <cellStyle name="Heading 2 2 2 2 5 2 8 6 2 2" xfId="30453"/>
    <cellStyle name="Heading 2 2 2 2 5 2 8 6 3" xfId="30454"/>
    <cellStyle name="Heading 2 2 2 2 5 2 8 7" xfId="30455"/>
    <cellStyle name="Heading 2 2 2 2 5 2 8 7 2" xfId="30456"/>
    <cellStyle name="Heading 2 2 2 2 5 2 8 7 2 2" xfId="30457"/>
    <cellStyle name="Heading 2 2 2 2 5 2 8 7 3" xfId="30458"/>
    <cellStyle name="Heading 2 2 2 2 5 2 8 8" xfId="30459"/>
    <cellStyle name="Heading 2 2 2 2 5 2 8 8 2" xfId="30460"/>
    <cellStyle name="Heading 2 2 2 2 5 2 8 9" xfId="30461"/>
    <cellStyle name="Heading 2 2 2 2 5 2 9" xfId="30462"/>
    <cellStyle name="Heading 2 2 2 2 5 2 9 2" xfId="30463"/>
    <cellStyle name="Heading 2 2 2 2 5 2 9 2 2" xfId="30464"/>
    <cellStyle name="Heading 2 2 2 2 5 2 9 2 2 2" xfId="30465"/>
    <cellStyle name="Heading 2 2 2 2 5 2 9 2 3" xfId="30466"/>
    <cellStyle name="Heading 2 2 2 2 5 2 9 3" xfId="30467"/>
    <cellStyle name="Heading 2 2 2 2 5 2 9 3 2" xfId="30468"/>
    <cellStyle name="Heading 2 2 2 2 5 2 9 3 2 2" xfId="30469"/>
    <cellStyle name="Heading 2 2 2 2 5 2 9 3 3" xfId="30470"/>
    <cellStyle name="Heading 2 2 2 2 5 2 9 4" xfId="30471"/>
    <cellStyle name="Heading 2 2 2 2 5 2 9 4 2" xfId="30472"/>
    <cellStyle name="Heading 2 2 2 2 5 2 9 4 2 2" xfId="30473"/>
    <cellStyle name="Heading 2 2 2 2 5 2 9 4 3" xfId="30474"/>
    <cellStyle name="Heading 2 2 2 2 5 2 9 5" xfId="30475"/>
    <cellStyle name="Heading 2 2 2 2 5 2 9 5 2" xfId="30476"/>
    <cellStyle name="Heading 2 2 2 2 5 2 9 5 2 2" xfId="30477"/>
    <cellStyle name="Heading 2 2 2 2 5 2 9 5 3" xfId="30478"/>
    <cellStyle name="Heading 2 2 2 2 5 2 9 6" xfId="30479"/>
    <cellStyle name="Heading 2 2 2 2 5 2 9 6 2" xfId="30480"/>
    <cellStyle name="Heading 2 2 2 2 5 2 9 6 2 2" xfId="30481"/>
    <cellStyle name="Heading 2 2 2 2 5 2 9 6 3" xfId="30482"/>
    <cellStyle name="Heading 2 2 2 2 5 2 9 7" xfId="30483"/>
    <cellStyle name="Heading 2 2 2 2 5 2 9 7 2" xfId="30484"/>
    <cellStyle name="Heading 2 2 2 2 5 2 9 7 2 2" xfId="30485"/>
    <cellStyle name="Heading 2 2 2 2 5 2 9 7 3" xfId="30486"/>
    <cellStyle name="Heading 2 2 2 2 5 2 9 8" xfId="30487"/>
    <cellStyle name="Heading 2 2 2 2 5 2 9 8 2" xfId="30488"/>
    <cellStyle name="Heading 2 2 2 2 5 2 9 9" xfId="30489"/>
    <cellStyle name="Heading 2 2 2 2 5 3" xfId="30490"/>
    <cellStyle name="Heading 2 2 2 2 5 3 10" xfId="30491"/>
    <cellStyle name="Heading 2 2 2 2 5 3 10 2" xfId="30492"/>
    <cellStyle name="Heading 2 2 2 2 5 3 10 2 2" xfId="30493"/>
    <cellStyle name="Heading 2 2 2 2 5 3 10 3" xfId="30494"/>
    <cellStyle name="Heading 2 2 2 2 5 3 11" xfId="30495"/>
    <cellStyle name="Heading 2 2 2 2 5 3 11 2" xfId="30496"/>
    <cellStyle name="Heading 2 2 2 2 5 3 11 2 2" xfId="30497"/>
    <cellStyle name="Heading 2 2 2 2 5 3 11 3" xfId="30498"/>
    <cellStyle name="Heading 2 2 2 2 5 3 12" xfId="30499"/>
    <cellStyle name="Heading 2 2 2 2 5 3 12 2" xfId="30500"/>
    <cellStyle name="Heading 2 2 2 2 5 3 12 2 2" xfId="30501"/>
    <cellStyle name="Heading 2 2 2 2 5 3 12 3" xfId="30502"/>
    <cellStyle name="Heading 2 2 2 2 5 3 13" xfId="30503"/>
    <cellStyle name="Heading 2 2 2 2 5 3 13 2" xfId="30504"/>
    <cellStyle name="Heading 2 2 2 2 5 3 13 2 2" xfId="30505"/>
    <cellStyle name="Heading 2 2 2 2 5 3 13 3" xfId="30506"/>
    <cellStyle name="Heading 2 2 2 2 5 3 14" xfId="30507"/>
    <cellStyle name="Heading 2 2 2 2 5 3 14 2" xfId="30508"/>
    <cellStyle name="Heading 2 2 2 2 5 3 14 2 2" xfId="30509"/>
    <cellStyle name="Heading 2 2 2 2 5 3 14 3" xfId="30510"/>
    <cellStyle name="Heading 2 2 2 2 5 3 15" xfId="30511"/>
    <cellStyle name="Heading 2 2 2 2 5 3 15 2" xfId="30512"/>
    <cellStyle name="Heading 2 2 2 2 5 3 15 2 2" xfId="30513"/>
    <cellStyle name="Heading 2 2 2 2 5 3 15 3" xfId="30514"/>
    <cellStyle name="Heading 2 2 2 2 5 3 16" xfId="30515"/>
    <cellStyle name="Heading 2 2 2 2 5 3 16 2" xfId="30516"/>
    <cellStyle name="Heading 2 2 2 2 5 3 16 2 2" xfId="30517"/>
    <cellStyle name="Heading 2 2 2 2 5 3 16 3" xfId="30518"/>
    <cellStyle name="Heading 2 2 2 2 5 3 17" xfId="30519"/>
    <cellStyle name="Heading 2 2 2 2 5 3 17 2" xfId="30520"/>
    <cellStyle name="Heading 2 2 2 2 5 3 17 2 2" xfId="30521"/>
    <cellStyle name="Heading 2 2 2 2 5 3 17 3" xfId="30522"/>
    <cellStyle name="Heading 2 2 2 2 5 3 18" xfId="30523"/>
    <cellStyle name="Heading 2 2 2 2 5 3 18 2" xfId="30524"/>
    <cellStyle name="Heading 2 2 2 2 5 3 18 2 2" xfId="30525"/>
    <cellStyle name="Heading 2 2 2 2 5 3 18 3" xfId="30526"/>
    <cellStyle name="Heading 2 2 2 2 5 3 19" xfId="30527"/>
    <cellStyle name="Heading 2 2 2 2 5 3 19 2" xfId="30528"/>
    <cellStyle name="Heading 2 2 2 2 5 3 2" xfId="30529"/>
    <cellStyle name="Heading 2 2 2 2 5 3 2 2" xfId="30530"/>
    <cellStyle name="Heading 2 2 2 2 5 3 2 2 2" xfId="30531"/>
    <cellStyle name="Heading 2 2 2 2 5 3 2 2 2 2" xfId="30532"/>
    <cellStyle name="Heading 2 2 2 2 5 3 2 2 3" xfId="30533"/>
    <cellStyle name="Heading 2 2 2 2 5 3 2 3" xfId="30534"/>
    <cellStyle name="Heading 2 2 2 2 5 3 2 3 2" xfId="30535"/>
    <cellStyle name="Heading 2 2 2 2 5 3 2 3 2 2" xfId="30536"/>
    <cellStyle name="Heading 2 2 2 2 5 3 2 3 3" xfId="30537"/>
    <cellStyle name="Heading 2 2 2 2 5 3 2 4" xfId="30538"/>
    <cellStyle name="Heading 2 2 2 2 5 3 2 4 2" xfId="30539"/>
    <cellStyle name="Heading 2 2 2 2 5 3 2 4 2 2" xfId="30540"/>
    <cellStyle name="Heading 2 2 2 2 5 3 2 4 3" xfId="30541"/>
    <cellStyle name="Heading 2 2 2 2 5 3 2 5" xfId="30542"/>
    <cellStyle name="Heading 2 2 2 2 5 3 2 5 2" xfId="30543"/>
    <cellStyle name="Heading 2 2 2 2 5 3 2 5 2 2" xfId="30544"/>
    <cellStyle name="Heading 2 2 2 2 5 3 2 5 3" xfId="30545"/>
    <cellStyle name="Heading 2 2 2 2 5 3 2 6" xfId="30546"/>
    <cellStyle name="Heading 2 2 2 2 5 3 2 6 2" xfId="30547"/>
    <cellStyle name="Heading 2 2 2 2 5 3 2 6 2 2" xfId="30548"/>
    <cellStyle name="Heading 2 2 2 2 5 3 2 6 3" xfId="30549"/>
    <cellStyle name="Heading 2 2 2 2 5 3 2 7" xfId="30550"/>
    <cellStyle name="Heading 2 2 2 2 5 3 2 7 2" xfId="30551"/>
    <cellStyle name="Heading 2 2 2 2 5 3 2 7 2 2" xfId="30552"/>
    <cellStyle name="Heading 2 2 2 2 5 3 2 7 3" xfId="30553"/>
    <cellStyle name="Heading 2 2 2 2 5 3 2 8" xfId="30554"/>
    <cellStyle name="Heading 2 2 2 2 5 3 2 8 2" xfId="30555"/>
    <cellStyle name="Heading 2 2 2 2 5 3 2 9" xfId="30556"/>
    <cellStyle name="Heading 2 2 2 2 5 3 20" xfId="30557"/>
    <cellStyle name="Heading 2 2 2 2 5 3 20 2" xfId="30558"/>
    <cellStyle name="Heading 2 2 2 2 5 3 21" xfId="30559"/>
    <cellStyle name="Heading 2 2 2 2 5 3 21 2" xfId="30560"/>
    <cellStyle name="Heading 2 2 2 2 5 3 22" xfId="30561"/>
    <cellStyle name="Heading 2 2 2 2 5 3 3" xfId="30562"/>
    <cellStyle name="Heading 2 2 2 2 5 3 3 2" xfId="30563"/>
    <cellStyle name="Heading 2 2 2 2 5 3 3 2 2" xfId="30564"/>
    <cellStyle name="Heading 2 2 2 2 5 3 3 2 2 2" xfId="30565"/>
    <cellStyle name="Heading 2 2 2 2 5 3 3 2 3" xfId="30566"/>
    <cellStyle name="Heading 2 2 2 2 5 3 3 3" xfId="30567"/>
    <cellStyle name="Heading 2 2 2 2 5 3 3 3 2" xfId="30568"/>
    <cellStyle name="Heading 2 2 2 2 5 3 3 3 2 2" xfId="30569"/>
    <cellStyle name="Heading 2 2 2 2 5 3 3 3 3" xfId="30570"/>
    <cellStyle name="Heading 2 2 2 2 5 3 3 4" xfId="30571"/>
    <cellStyle name="Heading 2 2 2 2 5 3 3 4 2" xfId="30572"/>
    <cellStyle name="Heading 2 2 2 2 5 3 3 4 2 2" xfId="30573"/>
    <cellStyle name="Heading 2 2 2 2 5 3 3 4 3" xfId="30574"/>
    <cellStyle name="Heading 2 2 2 2 5 3 3 5" xfId="30575"/>
    <cellStyle name="Heading 2 2 2 2 5 3 3 5 2" xfId="30576"/>
    <cellStyle name="Heading 2 2 2 2 5 3 3 5 2 2" xfId="30577"/>
    <cellStyle name="Heading 2 2 2 2 5 3 3 5 3" xfId="30578"/>
    <cellStyle name="Heading 2 2 2 2 5 3 3 6" xfId="30579"/>
    <cellStyle name="Heading 2 2 2 2 5 3 3 6 2" xfId="30580"/>
    <cellStyle name="Heading 2 2 2 2 5 3 3 6 2 2" xfId="30581"/>
    <cellStyle name="Heading 2 2 2 2 5 3 3 6 3" xfId="30582"/>
    <cellStyle name="Heading 2 2 2 2 5 3 3 7" xfId="30583"/>
    <cellStyle name="Heading 2 2 2 2 5 3 3 7 2" xfId="30584"/>
    <cellStyle name="Heading 2 2 2 2 5 3 3 7 2 2" xfId="30585"/>
    <cellStyle name="Heading 2 2 2 2 5 3 3 7 3" xfId="30586"/>
    <cellStyle name="Heading 2 2 2 2 5 3 3 8" xfId="30587"/>
    <cellStyle name="Heading 2 2 2 2 5 3 3 8 2" xfId="30588"/>
    <cellStyle name="Heading 2 2 2 2 5 3 3 9" xfId="30589"/>
    <cellStyle name="Heading 2 2 2 2 5 3 4" xfId="30590"/>
    <cellStyle name="Heading 2 2 2 2 5 3 4 2" xfId="30591"/>
    <cellStyle name="Heading 2 2 2 2 5 3 4 2 2" xfId="30592"/>
    <cellStyle name="Heading 2 2 2 2 5 3 4 2 2 2" xfId="30593"/>
    <cellStyle name="Heading 2 2 2 2 5 3 4 2 3" xfId="30594"/>
    <cellStyle name="Heading 2 2 2 2 5 3 4 3" xfId="30595"/>
    <cellStyle name="Heading 2 2 2 2 5 3 4 3 2" xfId="30596"/>
    <cellStyle name="Heading 2 2 2 2 5 3 4 3 2 2" xfId="30597"/>
    <cellStyle name="Heading 2 2 2 2 5 3 4 3 3" xfId="30598"/>
    <cellStyle name="Heading 2 2 2 2 5 3 4 4" xfId="30599"/>
    <cellStyle name="Heading 2 2 2 2 5 3 4 4 2" xfId="30600"/>
    <cellStyle name="Heading 2 2 2 2 5 3 4 4 2 2" xfId="30601"/>
    <cellStyle name="Heading 2 2 2 2 5 3 4 4 3" xfId="30602"/>
    <cellStyle name="Heading 2 2 2 2 5 3 4 5" xfId="30603"/>
    <cellStyle name="Heading 2 2 2 2 5 3 4 5 2" xfId="30604"/>
    <cellStyle name="Heading 2 2 2 2 5 3 4 5 2 2" xfId="30605"/>
    <cellStyle name="Heading 2 2 2 2 5 3 4 5 3" xfId="30606"/>
    <cellStyle name="Heading 2 2 2 2 5 3 4 6" xfId="30607"/>
    <cellStyle name="Heading 2 2 2 2 5 3 4 6 2" xfId="30608"/>
    <cellStyle name="Heading 2 2 2 2 5 3 4 6 2 2" xfId="30609"/>
    <cellStyle name="Heading 2 2 2 2 5 3 4 6 3" xfId="30610"/>
    <cellStyle name="Heading 2 2 2 2 5 3 4 7" xfId="30611"/>
    <cellStyle name="Heading 2 2 2 2 5 3 4 7 2" xfId="30612"/>
    <cellStyle name="Heading 2 2 2 2 5 3 4 7 2 2" xfId="30613"/>
    <cellStyle name="Heading 2 2 2 2 5 3 4 7 3" xfId="30614"/>
    <cellStyle name="Heading 2 2 2 2 5 3 4 8" xfId="30615"/>
    <cellStyle name="Heading 2 2 2 2 5 3 4 8 2" xfId="30616"/>
    <cellStyle name="Heading 2 2 2 2 5 3 4 9" xfId="30617"/>
    <cellStyle name="Heading 2 2 2 2 5 3 5" xfId="30618"/>
    <cellStyle name="Heading 2 2 2 2 5 3 5 2" xfId="30619"/>
    <cellStyle name="Heading 2 2 2 2 5 3 5 2 2" xfId="30620"/>
    <cellStyle name="Heading 2 2 2 2 5 3 5 2 2 2" xfId="30621"/>
    <cellStyle name="Heading 2 2 2 2 5 3 5 2 3" xfId="30622"/>
    <cellStyle name="Heading 2 2 2 2 5 3 5 3" xfId="30623"/>
    <cellStyle name="Heading 2 2 2 2 5 3 5 3 2" xfId="30624"/>
    <cellStyle name="Heading 2 2 2 2 5 3 5 3 2 2" xfId="30625"/>
    <cellStyle name="Heading 2 2 2 2 5 3 5 3 3" xfId="30626"/>
    <cellStyle name="Heading 2 2 2 2 5 3 5 4" xfId="30627"/>
    <cellStyle name="Heading 2 2 2 2 5 3 5 4 2" xfId="30628"/>
    <cellStyle name="Heading 2 2 2 2 5 3 5 4 2 2" xfId="30629"/>
    <cellStyle name="Heading 2 2 2 2 5 3 5 4 3" xfId="30630"/>
    <cellStyle name="Heading 2 2 2 2 5 3 5 5" xfId="30631"/>
    <cellStyle name="Heading 2 2 2 2 5 3 5 5 2" xfId="30632"/>
    <cellStyle name="Heading 2 2 2 2 5 3 5 5 2 2" xfId="30633"/>
    <cellStyle name="Heading 2 2 2 2 5 3 5 5 3" xfId="30634"/>
    <cellStyle name="Heading 2 2 2 2 5 3 5 6" xfId="30635"/>
    <cellStyle name="Heading 2 2 2 2 5 3 5 6 2" xfId="30636"/>
    <cellStyle name="Heading 2 2 2 2 5 3 5 6 2 2" xfId="30637"/>
    <cellStyle name="Heading 2 2 2 2 5 3 5 6 3" xfId="30638"/>
    <cellStyle name="Heading 2 2 2 2 5 3 5 7" xfId="30639"/>
    <cellStyle name="Heading 2 2 2 2 5 3 5 7 2" xfId="30640"/>
    <cellStyle name="Heading 2 2 2 2 5 3 5 7 2 2" xfId="30641"/>
    <cellStyle name="Heading 2 2 2 2 5 3 5 7 3" xfId="30642"/>
    <cellStyle name="Heading 2 2 2 2 5 3 5 8" xfId="30643"/>
    <cellStyle name="Heading 2 2 2 2 5 3 5 8 2" xfId="30644"/>
    <cellStyle name="Heading 2 2 2 2 5 3 5 9" xfId="30645"/>
    <cellStyle name="Heading 2 2 2 2 5 3 6" xfId="30646"/>
    <cellStyle name="Heading 2 2 2 2 5 3 6 2" xfId="30647"/>
    <cellStyle name="Heading 2 2 2 2 5 3 6 2 2" xfId="30648"/>
    <cellStyle name="Heading 2 2 2 2 5 3 6 2 2 2" xfId="30649"/>
    <cellStyle name="Heading 2 2 2 2 5 3 6 2 3" xfId="30650"/>
    <cellStyle name="Heading 2 2 2 2 5 3 6 3" xfId="30651"/>
    <cellStyle name="Heading 2 2 2 2 5 3 6 3 2" xfId="30652"/>
    <cellStyle name="Heading 2 2 2 2 5 3 6 3 2 2" xfId="30653"/>
    <cellStyle name="Heading 2 2 2 2 5 3 6 3 3" xfId="30654"/>
    <cellStyle name="Heading 2 2 2 2 5 3 6 4" xfId="30655"/>
    <cellStyle name="Heading 2 2 2 2 5 3 6 4 2" xfId="30656"/>
    <cellStyle name="Heading 2 2 2 2 5 3 6 4 2 2" xfId="30657"/>
    <cellStyle name="Heading 2 2 2 2 5 3 6 4 3" xfId="30658"/>
    <cellStyle name="Heading 2 2 2 2 5 3 6 5" xfId="30659"/>
    <cellStyle name="Heading 2 2 2 2 5 3 6 5 2" xfId="30660"/>
    <cellStyle name="Heading 2 2 2 2 5 3 6 5 2 2" xfId="30661"/>
    <cellStyle name="Heading 2 2 2 2 5 3 6 5 3" xfId="30662"/>
    <cellStyle name="Heading 2 2 2 2 5 3 6 6" xfId="30663"/>
    <cellStyle name="Heading 2 2 2 2 5 3 6 6 2" xfId="30664"/>
    <cellStyle name="Heading 2 2 2 2 5 3 6 6 2 2" xfId="30665"/>
    <cellStyle name="Heading 2 2 2 2 5 3 6 6 3" xfId="30666"/>
    <cellStyle name="Heading 2 2 2 2 5 3 6 7" xfId="30667"/>
    <cellStyle name="Heading 2 2 2 2 5 3 6 7 2" xfId="30668"/>
    <cellStyle name="Heading 2 2 2 2 5 3 6 7 2 2" xfId="30669"/>
    <cellStyle name="Heading 2 2 2 2 5 3 6 7 3" xfId="30670"/>
    <cellStyle name="Heading 2 2 2 2 5 3 6 8" xfId="30671"/>
    <cellStyle name="Heading 2 2 2 2 5 3 6 8 2" xfId="30672"/>
    <cellStyle name="Heading 2 2 2 2 5 3 6 9" xfId="30673"/>
    <cellStyle name="Heading 2 2 2 2 5 3 7" xfId="30674"/>
    <cellStyle name="Heading 2 2 2 2 5 3 7 2" xfId="30675"/>
    <cellStyle name="Heading 2 2 2 2 5 3 7 2 2" xfId="30676"/>
    <cellStyle name="Heading 2 2 2 2 5 3 7 2 2 2" xfId="30677"/>
    <cellStyle name="Heading 2 2 2 2 5 3 7 2 3" xfId="30678"/>
    <cellStyle name="Heading 2 2 2 2 5 3 7 3" xfId="30679"/>
    <cellStyle name="Heading 2 2 2 2 5 3 7 3 2" xfId="30680"/>
    <cellStyle name="Heading 2 2 2 2 5 3 7 3 2 2" xfId="30681"/>
    <cellStyle name="Heading 2 2 2 2 5 3 7 3 3" xfId="30682"/>
    <cellStyle name="Heading 2 2 2 2 5 3 7 4" xfId="30683"/>
    <cellStyle name="Heading 2 2 2 2 5 3 7 4 2" xfId="30684"/>
    <cellStyle name="Heading 2 2 2 2 5 3 7 4 2 2" xfId="30685"/>
    <cellStyle name="Heading 2 2 2 2 5 3 7 4 3" xfId="30686"/>
    <cellStyle name="Heading 2 2 2 2 5 3 7 5" xfId="30687"/>
    <cellStyle name="Heading 2 2 2 2 5 3 7 5 2" xfId="30688"/>
    <cellStyle name="Heading 2 2 2 2 5 3 7 5 2 2" xfId="30689"/>
    <cellStyle name="Heading 2 2 2 2 5 3 7 5 3" xfId="30690"/>
    <cellStyle name="Heading 2 2 2 2 5 3 7 6" xfId="30691"/>
    <cellStyle name="Heading 2 2 2 2 5 3 7 6 2" xfId="30692"/>
    <cellStyle name="Heading 2 2 2 2 5 3 7 6 2 2" xfId="30693"/>
    <cellStyle name="Heading 2 2 2 2 5 3 7 6 3" xfId="30694"/>
    <cellStyle name="Heading 2 2 2 2 5 3 7 7" xfId="30695"/>
    <cellStyle name="Heading 2 2 2 2 5 3 7 7 2" xfId="30696"/>
    <cellStyle name="Heading 2 2 2 2 5 3 7 7 2 2" xfId="30697"/>
    <cellStyle name="Heading 2 2 2 2 5 3 7 7 3" xfId="30698"/>
    <cellStyle name="Heading 2 2 2 2 5 3 7 8" xfId="30699"/>
    <cellStyle name="Heading 2 2 2 2 5 3 7 8 2" xfId="30700"/>
    <cellStyle name="Heading 2 2 2 2 5 3 7 9" xfId="30701"/>
    <cellStyle name="Heading 2 2 2 2 5 3 8" xfId="30702"/>
    <cellStyle name="Heading 2 2 2 2 5 3 8 2" xfId="30703"/>
    <cellStyle name="Heading 2 2 2 2 5 3 8 2 2" xfId="30704"/>
    <cellStyle name="Heading 2 2 2 2 5 3 8 2 2 2" xfId="30705"/>
    <cellStyle name="Heading 2 2 2 2 5 3 8 2 3" xfId="30706"/>
    <cellStyle name="Heading 2 2 2 2 5 3 8 3" xfId="30707"/>
    <cellStyle name="Heading 2 2 2 2 5 3 8 3 2" xfId="30708"/>
    <cellStyle name="Heading 2 2 2 2 5 3 8 3 2 2" xfId="30709"/>
    <cellStyle name="Heading 2 2 2 2 5 3 8 3 3" xfId="30710"/>
    <cellStyle name="Heading 2 2 2 2 5 3 8 4" xfId="30711"/>
    <cellStyle name="Heading 2 2 2 2 5 3 8 4 2" xfId="30712"/>
    <cellStyle name="Heading 2 2 2 2 5 3 8 4 2 2" xfId="30713"/>
    <cellStyle name="Heading 2 2 2 2 5 3 8 4 3" xfId="30714"/>
    <cellStyle name="Heading 2 2 2 2 5 3 8 5" xfId="30715"/>
    <cellStyle name="Heading 2 2 2 2 5 3 8 5 2" xfId="30716"/>
    <cellStyle name="Heading 2 2 2 2 5 3 8 5 2 2" xfId="30717"/>
    <cellStyle name="Heading 2 2 2 2 5 3 8 5 3" xfId="30718"/>
    <cellStyle name="Heading 2 2 2 2 5 3 8 6" xfId="30719"/>
    <cellStyle name="Heading 2 2 2 2 5 3 8 6 2" xfId="30720"/>
    <cellStyle name="Heading 2 2 2 2 5 3 8 6 2 2" xfId="30721"/>
    <cellStyle name="Heading 2 2 2 2 5 3 8 6 3" xfId="30722"/>
    <cellStyle name="Heading 2 2 2 2 5 3 8 7" xfId="30723"/>
    <cellStyle name="Heading 2 2 2 2 5 3 8 7 2" xfId="30724"/>
    <cellStyle name="Heading 2 2 2 2 5 3 8 7 2 2" xfId="30725"/>
    <cellStyle name="Heading 2 2 2 2 5 3 8 7 3" xfId="30726"/>
    <cellStyle name="Heading 2 2 2 2 5 3 8 8" xfId="30727"/>
    <cellStyle name="Heading 2 2 2 2 5 3 8 8 2" xfId="30728"/>
    <cellStyle name="Heading 2 2 2 2 5 3 8 9" xfId="30729"/>
    <cellStyle name="Heading 2 2 2 2 5 3 9" xfId="30730"/>
    <cellStyle name="Heading 2 2 2 2 5 3 9 2" xfId="30731"/>
    <cellStyle name="Heading 2 2 2 2 5 3 9 2 2" xfId="30732"/>
    <cellStyle name="Heading 2 2 2 2 5 3 9 3" xfId="30733"/>
    <cellStyle name="Heading 2 2 2 2 5 4" xfId="30734"/>
    <cellStyle name="Heading 2 2 2 2 5 4 2" xfId="30735"/>
    <cellStyle name="Heading 2 2 2 2 5 4 2 2" xfId="30736"/>
    <cellStyle name="Heading 2 2 2 2 5 4 3" xfId="30737"/>
    <cellStyle name="Heading 2 2 2 2 5 5" xfId="30738"/>
    <cellStyle name="Heading 2 2 2 2 5 5 2" xfId="30739"/>
    <cellStyle name="Heading 2 2 2 2 5 6" xfId="30740"/>
    <cellStyle name="Heading 2 2 2 2 6" xfId="30741"/>
    <cellStyle name="Heading 2 2 2 2 6 2" xfId="30742"/>
    <cellStyle name="Heading 2 2 2 2 6 2 10" xfId="30743"/>
    <cellStyle name="Heading 2 2 2 2 6 2 10 2" xfId="30744"/>
    <cellStyle name="Heading 2 2 2 2 6 2 10 2 2" xfId="30745"/>
    <cellStyle name="Heading 2 2 2 2 6 2 10 3" xfId="30746"/>
    <cellStyle name="Heading 2 2 2 2 6 2 11" xfId="30747"/>
    <cellStyle name="Heading 2 2 2 2 6 2 11 2" xfId="30748"/>
    <cellStyle name="Heading 2 2 2 2 6 2 11 2 2" xfId="30749"/>
    <cellStyle name="Heading 2 2 2 2 6 2 11 3" xfId="30750"/>
    <cellStyle name="Heading 2 2 2 2 6 2 12" xfId="30751"/>
    <cellStyle name="Heading 2 2 2 2 6 2 12 2" xfId="30752"/>
    <cellStyle name="Heading 2 2 2 2 6 2 12 2 2" xfId="30753"/>
    <cellStyle name="Heading 2 2 2 2 6 2 12 3" xfId="30754"/>
    <cellStyle name="Heading 2 2 2 2 6 2 13" xfId="30755"/>
    <cellStyle name="Heading 2 2 2 2 6 2 13 2" xfId="30756"/>
    <cellStyle name="Heading 2 2 2 2 6 2 13 2 2" xfId="30757"/>
    <cellStyle name="Heading 2 2 2 2 6 2 13 3" xfId="30758"/>
    <cellStyle name="Heading 2 2 2 2 6 2 14" xfId="30759"/>
    <cellStyle name="Heading 2 2 2 2 6 2 14 2" xfId="30760"/>
    <cellStyle name="Heading 2 2 2 2 6 2 14 2 2" xfId="30761"/>
    <cellStyle name="Heading 2 2 2 2 6 2 14 3" xfId="30762"/>
    <cellStyle name="Heading 2 2 2 2 6 2 15" xfId="30763"/>
    <cellStyle name="Heading 2 2 2 2 6 2 15 2" xfId="30764"/>
    <cellStyle name="Heading 2 2 2 2 6 2 15 2 2" xfId="30765"/>
    <cellStyle name="Heading 2 2 2 2 6 2 15 3" xfId="30766"/>
    <cellStyle name="Heading 2 2 2 2 6 2 16" xfId="30767"/>
    <cellStyle name="Heading 2 2 2 2 6 2 16 2" xfId="30768"/>
    <cellStyle name="Heading 2 2 2 2 6 2 16 2 2" xfId="30769"/>
    <cellStyle name="Heading 2 2 2 2 6 2 16 3" xfId="30770"/>
    <cellStyle name="Heading 2 2 2 2 6 2 17" xfId="30771"/>
    <cellStyle name="Heading 2 2 2 2 6 2 17 2" xfId="30772"/>
    <cellStyle name="Heading 2 2 2 2 6 2 17 2 2" xfId="30773"/>
    <cellStyle name="Heading 2 2 2 2 6 2 17 3" xfId="30774"/>
    <cellStyle name="Heading 2 2 2 2 6 2 18" xfId="30775"/>
    <cellStyle name="Heading 2 2 2 2 6 2 18 2" xfId="30776"/>
    <cellStyle name="Heading 2 2 2 2 6 2 18 2 2" xfId="30777"/>
    <cellStyle name="Heading 2 2 2 2 6 2 18 3" xfId="30778"/>
    <cellStyle name="Heading 2 2 2 2 6 2 19" xfId="30779"/>
    <cellStyle name="Heading 2 2 2 2 6 2 19 2" xfId="30780"/>
    <cellStyle name="Heading 2 2 2 2 6 2 19 2 2" xfId="30781"/>
    <cellStyle name="Heading 2 2 2 2 6 2 19 3" xfId="30782"/>
    <cellStyle name="Heading 2 2 2 2 6 2 2" xfId="30783"/>
    <cellStyle name="Heading 2 2 2 2 6 2 2 10" xfId="30784"/>
    <cellStyle name="Heading 2 2 2 2 6 2 2 10 2" xfId="30785"/>
    <cellStyle name="Heading 2 2 2 2 6 2 2 10 2 2" xfId="30786"/>
    <cellStyle name="Heading 2 2 2 2 6 2 2 10 3" xfId="30787"/>
    <cellStyle name="Heading 2 2 2 2 6 2 2 11" xfId="30788"/>
    <cellStyle name="Heading 2 2 2 2 6 2 2 11 2" xfId="30789"/>
    <cellStyle name="Heading 2 2 2 2 6 2 2 11 2 2" xfId="30790"/>
    <cellStyle name="Heading 2 2 2 2 6 2 2 11 3" xfId="30791"/>
    <cellStyle name="Heading 2 2 2 2 6 2 2 12" xfId="30792"/>
    <cellStyle name="Heading 2 2 2 2 6 2 2 12 2" xfId="30793"/>
    <cellStyle name="Heading 2 2 2 2 6 2 2 12 2 2" xfId="30794"/>
    <cellStyle name="Heading 2 2 2 2 6 2 2 12 3" xfId="30795"/>
    <cellStyle name="Heading 2 2 2 2 6 2 2 13" xfId="30796"/>
    <cellStyle name="Heading 2 2 2 2 6 2 2 13 2" xfId="30797"/>
    <cellStyle name="Heading 2 2 2 2 6 2 2 13 2 2" xfId="30798"/>
    <cellStyle name="Heading 2 2 2 2 6 2 2 13 3" xfId="30799"/>
    <cellStyle name="Heading 2 2 2 2 6 2 2 14" xfId="30800"/>
    <cellStyle name="Heading 2 2 2 2 6 2 2 14 2" xfId="30801"/>
    <cellStyle name="Heading 2 2 2 2 6 2 2 14 2 2" xfId="30802"/>
    <cellStyle name="Heading 2 2 2 2 6 2 2 14 3" xfId="30803"/>
    <cellStyle name="Heading 2 2 2 2 6 2 2 15" xfId="30804"/>
    <cellStyle name="Heading 2 2 2 2 6 2 2 15 2" xfId="30805"/>
    <cellStyle name="Heading 2 2 2 2 6 2 2 15 2 2" xfId="30806"/>
    <cellStyle name="Heading 2 2 2 2 6 2 2 15 3" xfId="30807"/>
    <cellStyle name="Heading 2 2 2 2 6 2 2 16" xfId="30808"/>
    <cellStyle name="Heading 2 2 2 2 6 2 2 16 2" xfId="30809"/>
    <cellStyle name="Heading 2 2 2 2 6 2 2 16 2 2" xfId="30810"/>
    <cellStyle name="Heading 2 2 2 2 6 2 2 16 3" xfId="30811"/>
    <cellStyle name="Heading 2 2 2 2 6 2 2 17" xfId="30812"/>
    <cellStyle name="Heading 2 2 2 2 6 2 2 17 2" xfId="30813"/>
    <cellStyle name="Heading 2 2 2 2 6 2 2 17 2 2" xfId="30814"/>
    <cellStyle name="Heading 2 2 2 2 6 2 2 17 3" xfId="30815"/>
    <cellStyle name="Heading 2 2 2 2 6 2 2 18" xfId="30816"/>
    <cellStyle name="Heading 2 2 2 2 6 2 2 18 2" xfId="30817"/>
    <cellStyle name="Heading 2 2 2 2 6 2 2 18 2 2" xfId="30818"/>
    <cellStyle name="Heading 2 2 2 2 6 2 2 18 3" xfId="30819"/>
    <cellStyle name="Heading 2 2 2 2 6 2 2 19" xfId="30820"/>
    <cellStyle name="Heading 2 2 2 2 6 2 2 19 2" xfId="30821"/>
    <cellStyle name="Heading 2 2 2 2 6 2 2 2" xfId="30822"/>
    <cellStyle name="Heading 2 2 2 2 6 2 2 2 2" xfId="30823"/>
    <cellStyle name="Heading 2 2 2 2 6 2 2 2 2 2" xfId="30824"/>
    <cellStyle name="Heading 2 2 2 2 6 2 2 2 2 2 2" xfId="30825"/>
    <cellStyle name="Heading 2 2 2 2 6 2 2 2 2 3" xfId="30826"/>
    <cellStyle name="Heading 2 2 2 2 6 2 2 2 3" xfId="30827"/>
    <cellStyle name="Heading 2 2 2 2 6 2 2 2 3 2" xfId="30828"/>
    <cellStyle name="Heading 2 2 2 2 6 2 2 2 3 2 2" xfId="30829"/>
    <cellStyle name="Heading 2 2 2 2 6 2 2 2 3 3" xfId="30830"/>
    <cellStyle name="Heading 2 2 2 2 6 2 2 2 4" xfId="30831"/>
    <cellStyle name="Heading 2 2 2 2 6 2 2 2 4 2" xfId="30832"/>
    <cellStyle name="Heading 2 2 2 2 6 2 2 2 4 2 2" xfId="30833"/>
    <cellStyle name="Heading 2 2 2 2 6 2 2 2 4 3" xfId="30834"/>
    <cellStyle name="Heading 2 2 2 2 6 2 2 2 5" xfId="30835"/>
    <cellStyle name="Heading 2 2 2 2 6 2 2 2 5 2" xfId="30836"/>
    <cellStyle name="Heading 2 2 2 2 6 2 2 2 5 2 2" xfId="30837"/>
    <cellStyle name="Heading 2 2 2 2 6 2 2 2 5 3" xfId="30838"/>
    <cellStyle name="Heading 2 2 2 2 6 2 2 2 6" xfId="30839"/>
    <cellStyle name="Heading 2 2 2 2 6 2 2 2 6 2" xfId="30840"/>
    <cellStyle name="Heading 2 2 2 2 6 2 2 2 6 2 2" xfId="30841"/>
    <cellStyle name="Heading 2 2 2 2 6 2 2 2 6 3" xfId="30842"/>
    <cellStyle name="Heading 2 2 2 2 6 2 2 2 7" xfId="30843"/>
    <cellStyle name="Heading 2 2 2 2 6 2 2 2 7 2" xfId="30844"/>
    <cellStyle name="Heading 2 2 2 2 6 2 2 2 7 2 2" xfId="30845"/>
    <cellStyle name="Heading 2 2 2 2 6 2 2 2 7 3" xfId="30846"/>
    <cellStyle name="Heading 2 2 2 2 6 2 2 2 8" xfId="30847"/>
    <cellStyle name="Heading 2 2 2 2 6 2 2 2 8 2" xfId="30848"/>
    <cellStyle name="Heading 2 2 2 2 6 2 2 2 9" xfId="30849"/>
    <cellStyle name="Heading 2 2 2 2 6 2 2 20" xfId="30850"/>
    <cellStyle name="Heading 2 2 2 2 6 2 2 20 2" xfId="30851"/>
    <cellStyle name="Heading 2 2 2 2 6 2 2 21" xfId="30852"/>
    <cellStyle name="Heading 2 2 2 2 6 2 2 21 2" xfId="30853"/>
    <cellStyle name="Heading 2 2 2 2 6 2 2 22" xfId="30854"/>
    <cellStyle name="Heading 2 2 2 2 6 2 2 3" xfId="30855"/>
    <cellStyle name="Heading 2 2 2 2 6 2 2 3 2" xfId="30856"/>
    <cellStyle name="Heading 2 2 2 2 6 2 2 3 2 2" xfId="30857"/>
    <cellStyle name="Heading 2 2 2 2 6 2 2 3 2 2 2" xfId="30858"/>
    <cellStyle name="Heading 2 2 2 2 6 2 2 3 2 3" xfId="30859"/>
    <cellStyle name="Heading 2 2 2 2 6 2 2 3 3" xfId="30860"/>
    <cellStyle name="Heading 2 2 2 2 6 2 2 3 3 2" xfId="30861"/>
    <cellStyle name="Heading 2 2 2 2 6 2 2 3 3 2 2" xfId="30862"/>
    <cellStyle name="Heading 2 2 2 2 6 2 2 3 3 3" xfId="30863"/>
    <cellStyle name="Heading 2 2 2 2 6 2 2 3 4" xfId="30864"/>
    <cellStyle name="Heading 2 2 2 2 6 2 2 3 4 2" xfId="30865"/>
    <cellStyle name="Heading 2 2 2 2 6 2 2 3 4 2 2" xfId="30866"/>
    <cellStyle name="Heading 2 2 2 2 6 2 2 3 4 3" xfId="30867"/>
    <cellStyle name="Heading 2 2 2 2 6 2 2 3 5" xfId="30868"/>
    <cellStyle name="Heading 2 2 2 2 6 2 2 3 5 2" xfId="30869"/>
    <cellStyle name="Heading 2 2 2 2 6 2 2 3 5 2 2" xfId="30870"/>
    <cellStyle name="Heading 2 2 2 2 6 2 2 3 5 3" xfId="30871"/>
    <cellStyle name="Heading 2 2 2 2 6 2 2 3 6" xfId="30872"/>
    <cellStyle name="Heading 2 2 2 2 6 2 2 3 6 2" xfId="30873"/>
    <cellStyle name="Heading 2 2 2 2 6 2 2 3 6 2 2" xfId="30874"/>
    <cellStyle name="Heading 2 2 2 2 6 2 2 3 6 3" xfId="30875"/>
    <cellStyle name="Heading 2 2 2 2 6 2 2 3 7" xfId="30876"/>
    <cellStyle name="Heading 2 2 2 2 6 2 2 3 7 2" xfId="30877"/>
    <cellStyle name="Heading 2 2 2 2 6 2 2 3 7 2 2" xfId="30878"/>
    <cellStyle name="Heading 2 2 2 2 6 2 2 3 7 3" xfId="30879"/>
    <cellStyle name="Heading 2 2 2 2 6 2 2 3 8" xfId="30880"/>
    <cellStyle name="Heading 2 2 2 2 6 2 2 3 8 2" xfId="30881"/>
    <cellStyle name="Heading 2 2 2 2 6 2 2 3 9" xfId="30882"/>
    <cellStyle name="Heading 2 2 2 2 6 2 2 4" xfId="30883"/>
    <cellStyle name="Heading 2 2 2 2 6 2 2 4 2" xfId="30884"/>
    <cellStyle name="Heading 2 2 2 2 6 2 2 4 2 2" xfId="30885"/>
    <cellStyle name="Heading 2 2 2 2 6 2 2 4 2 2 2" xfId="30886"/>
    <cellStyle name="Heading 2 2 2 2 6 2 2 4 2 3" xfId="30887"/>
    <cellStyle name="Heading 2 2 2 2 6 2 2 4 3" xfId="30888"/>
    <cellStyle name="Heading 2 2 2 2 6 2 2 4 3 2" xfId="30889"/>
    <cellStyle name="Heading 2 2 2 2 6 2 2 4 3 2 2" xfId="30890"/>
    <cellStyle name="Heading 2 2 2 2 6 2 2 4 3 3" xfId="30891"/>
    <cellStyle name="Heading 2 2 2 2 6 2 2 4 4" xfId="30892"/>
    <cellStyle name="Heading 2 2 2 2 6 2 2 4 4 2" xfId="30893"/>
    <cellStyle name="Heading 2 2 2 2 6 2 2 4 4 2 2" xfId="30894"/>
    <cellStyle name="Heading 2 2 2 2 6 2 2 4 4 3" xfId="30895"/>
    <cellStyle name="Heading 2 2 2 2 6 2 2 4 5" xfId="30896"/>
    <cellStyle name="Heading 2 2 2 2 6 2 2 4 5 2" xfId="30897"/>
    <cellStyle name="Heading 2 2 2 2 6 2 2 4 5 2 2" xfId="30898"/>
    <cellStyle name="Heading 2 2 2 2 6 2 2 4 5 3" xfId="30899"/>
    <cellStyle name="Heading 2 2 2 2 6 2 2 4 6" xfId="30900"/>
    <cellStyle name="Heading 2 2 2 2 6 2 2 4 6 2" xfId="30901"/>
    <cellStyle name="Heading 2 2 2 2 6 2 2 4 6 2 2" xfId="30902"/>
    <cellStyle name="Heading 2 2 2 2 6 2 2 4 6 3" xfId="30903"/>
    <cellStyle name="Heading 2 2 2 2 6 2 2 4 7" xfId="30904"/>
    <cellStyle name="Heading 2 2 2 2 6 2 2 4 7 2" xfId="30905"/>
    <cellStyle name="Heading 2 2 2 2 6 2 2 4 7 2 2" xfId="30906"/>
    <cellStyle name="Heading 2 2 2 2 6 2 2 4 7 3" xfId="30907"/>
    <cellStyle name="Heading 2 2 2 2 6 2 2 4 8" xfId="30908"/>
    <cellStyle name="Heading 2 2 2 2 6 2 2 4 8 2" xfId="30909"/>
    <cellStyle name="Heading 2 2 2 2 6 2 2 4 9" xfId="30910"/>
    <cellStyle name="Heading 2 2 2 2 6 2 2 5" xfId="30911"/>
    <cellStyle name="Heading 2 2 2 2 6 2 2 5 2" xfId="30912"/>
    <cellStyle name="Heading 2 2 2 2 6 2 2 5 2 2" xfId="30913"/>
    <cellStyle name="Heading 2 2 2 2 6 2 2 5 2 2 2" xfId="30914"/>
    <cellStyle name="Heading 2 2 2 2 6 2 2 5 2 3" xfId="30915"/>
    <cellStyle name="Heading 2 2 2 2 6 2 2 5 3" xfId="30916"/>
    <cellStyle name="Heading 2 2 2 2 6 2 2 5 3 2" xfId="30917"/>
    <cellStyle name="Heading 2 2 2 2 6 2 2 5 3 2 2" xfId="30918"/>
    <cellStyle name="Heading 2 2 2 2 6 2 2 5 3 3" xfId="30919"/>
    <cellStyle name="Heading 2 2 2 2 6 2 2 5 4" xfId="30920"/>
    <cellStyle name="Heading 2 2 2 2 6 2 2 5 4 2" xfId="30921"/>
    <cellStyle name="Heading 2 2 2 2 6 2 2 5 4 2 2" xfId="30922"/>
    <cellStyle name="Heading 2 2 2 2 6 2 2 5 4 3" xfId="30923"/>
    <cellStyle name="Heading 2 2 2 2 6 2 2 5 5" xfId="30924"/>
    <cellStyle name="Heading 2 2 2 2 6 2 2 5 5 2" xfId="30925"/>
    <cellStyle name="Heading 2 2 2 2 6 2 2 5 5 2 2" xfId="30926"/>
    <cellStyle name="Heading 2 2 2 2 6 2 2 5 5 3" xfId="30927"/>
    <cellStyle name="Heading 2 2 2 2 6 2 2 5 6" xfId="30928"/>
    <cellStyle name="Heading 2 2 2 2 6 2 2 5 6 2" xfId="30929"/>
    <cellStyle name="Heading 2 2 2 2 6 2 2 5 6 2 2" xfId="30930"/>
    <cellStyle name="Heading 2 2 2 2 6 2 2 5 6 3" xfId="30931"/>
    <cellStyle name="Heading 2 2 2 2 6 2 2 5 7" xfId="30932"/>
    <cellStyle name="Heading 2 2 2 2 6 2 2 5 7 2" xfId="30933"/>
    <cellStyle name="Heading 2 2 2 2 6 2 2 5 7 2 2" xfId="30934"/>
    <cellStyle name="Heading 2 2 2 2 6 2 2 5 7 3" xfId="30935"/>
    <cellStyle name="Heading 2 2 2 2 6 2 2 5 8" xfId="30936"/>
    <cellStyle name="Heading 2 2 2 2 6 2 2 5 8 2" xfId="30937"/>
    <cellStyle name="Heading 2 2 2 2 6 2 2 5 9" xfId="30938"/>
    <cellStyle name="Heading 2 2 2 2 6 2 2 6" xfId="30939"/>
    <cellStyle name="Heading 2 2 2 2 6 2 2 6 2" xfId="30940"/>
    <cellStyle name="Heading 2 2 2 2 6 2 2 6 2 2" xfId="30941"/>
    <cellStyle name="Heading 2 2 2 2 6 2 2 6 2 2 2" xfId="30942"/>
    <cellStyle name="Heading 2 2 2 2 6 2 2 6 2 3" xfId="30943"/>
    <cellStyle name="Heading 2 2 2 2 6 2 2 6 3" xfId="30944"/>
    <cellStyle name="Heading 2 2 2 2 6 2 2 6 3 2" xfId="30945"/>
    <cellStyle name="Heading 2 2 2 2 6 2 2 6 3 2 2" xfId="30946"/>
    <cellStyle name="Heading 2 2 2 2 6 2 2 6 3 3" xfId="30947"/>
    <cellStyle name="Heading 2 2 2 2 6 2 2 6 4" xfId="30948"/>
    <cellStyle name="Heading 2 2 2 2 6 2 2 6 4 2" xfId="30949"/>
    <cellStyle name="Heading 2 2 2 2 6 2 2 6 4 2 2" xfId="30950"/>
    <cellStyle name="Heading 2 2 2 2 6 2 2 6 4 3" xfId="30951"/>
    <cellStyle name="Heading 2 2 2 2 6 2 2 6 5" xfId="30952"/>
    <cellStyle name="Heading 2 2 2 2 6 2 2 6 5 2" xfId="30953"/>
    <cellStyle name="Heading 2 2 2 2 6 2 2 6 5 2 2" xfId="30954"/>
    <cellStyle name="Heading 2 2 2 2 6 2 2 6 5 3" xfId="30955"/>
    <cellStyle name="Heading 2 2 2 2 6 2 2 6 6" xfId="30956"/>
    <cellStyle name="Heading 2 2 2 2 6 2 2 6 6 2" xfId="30957"/>
    <cellStyle name="Heading 2 2 2 2 6 2 2 6 6 2 2" xfId="30958"/>
    <cellStyle name="Heading 2 2 2 2 6 2 2 6 6 3" xfId="30959"/>
    <cellStyle name="Heading 2 2 2 2 6 2 2 6 7" xfId="30960"/>
    <cellStyle name="Heading 2 2 2 2 6 2 2 6 7 2" xfId="30961"/>
    <cellStyle name="Heading 2 2 2 2 6 2 2 6 7 2 2" xfId="30962"/>
    <cellStyle name="Heading 2 2 2 2 6 2 2 6 7 3" xfId="30963"/>
    <cellStyle name="Heading 2 2 2 2 6 2 2 6 8" xfId="30964"/>
    <cellStyle name="Heading 2 2 2 2 6 2 2 6 8 2" xfId="30965"/>
    <cellStyle name="Heading 2 2 2 2 6 2 2 6 9" xfId="30966"/>
    <cellStyle name="Heading 2 2 2 2 6 2 2 7" xfId="30967"/>
    <cellStyle name="Heading 2 2 2 2 6 2 2 7 2" xfId="30968"/>
    <cellStyle name="Heading 2 2 2 2 6 2 2 7 2 2" xfId="30969"/>
    <cellStyle name="Heading 2 2 2 2 6 2 2 7 2 2 2" xfId="30970"/>
    <cellStyle name="Heading 2 2 2 2 6 2 2 7 2 3" xfId="30971"/>
    <cellStyle name="Heading 2 2 2 2 6 2 2 7 3" xfId="30972"/>
    <cellStyle name="Heading 2 2 2 2 6 2 2 7 3 2" xfId="30973"/>
    <cellStyle name="Heading 2 2 2 2 6 2 2 7 3 2 2" xfId="30974"/>
    <cellStyle name="Heading 2 2 2 2 6 2 2 7 3 3" xfId="30975"/>
    <cellStyle name="Heading 2 2 2 2 6 2 2 7 4" xfId="30976"/>
    <cellStyle name="Heading 2 2 2 2 6 2 2 7 4 2" xfId="30977"/>
    <cellStyle name="Heading 2 2 2 2 6 2 2 7 4 2 2" xfId="30978"/>
    <cellStyle name="Heading 2 2 2 2 6 2 2 7 4 3" xfId="30979"/>
    <cellStyle name="Heading 2 2 2 2 6 2 2 7 5" xfId="30980"/>
    <cellStyle name="Heading 2 2 2 2 6 2 2 7 5 2" xfId="30981"/>
    <cellStyle name="Heading 2 2 2 2 6 2 2 7 5 2 2" xfId="30982"/>
    <cellStyle name="Heading 2 2 2 2 6 2 2 7 5 3" xfId="30983"/>
    <cellStyle name="Heading 2 2 2 2 6 2 2 7 6" xfId="30984"/>
    <cellStyle name="Heading 2 2 2 2 6 2 2 7 6 2" xfId="30985"/>
    <cellStyle name="Heading 2 2 2 2 6 2 2 7 6 2 2" xfId="30986"/>
    <cellStyle name="Heading 2 2 2 2 6 2 2 7 6 3" xfId="30987"/>
    <cellStyle name="Heading 2 2 2 2 6 2 2 7 7" xfId="30988"/>
    <cellStyle name="Heading 2 2 2 2 6 2 2 7 7 2" xfId="30989"/>
    <cellStyle name="Heading 2 2 2 2 6 2 2 7 7 2 2" xfId="30990"/>
    <cellStyle name="Heading 2 2 2 2 6 2 2 7 7 3" xfId="30991"/>
    <cellStyle name="Heading 2 2 2 2 6 2 2 7 8" xfId="30992"/>
    <cellStyle name="Heading 2 2 2 2 6 2 2 7 8 2" xfId="30993"/>
    <cellStyle name="Heading 2 2 2 2 6 2 2 7 9" xfId="30994"/>
    <cellStyle name="Heading 2 2 2 2 6 2 2 8" xfId="30995"/>
    <cellStyle name="Heading 2 2 2 2 6 2 2 8 2" xfId="30996"/>
    <cellStyle name="Heading 2 2 2 2 6 2 2 8 2 2" xfId="30997"/>
    <cellStyle name="Heading 2 2 2 2 6 2 2 8 2 2 2" xfId="30998"/>
    <cellStyle name="Heading 2 2 2 2 6 2 2 8 2 3" xfId="30999"/>
    <cellStyle name="Heading 2 2 2 2 6 2 2 8 3" xfId="31000"/>
    <cellStyle name="Heading 2 2 2 2 6 2 2 8 3 2" xfId="31001"/>
    <cellStyle name="Heading 2 2 2 2 6 2 2 8 3 2 2" xfId="31002"/>
    <cellStyle name="Heading 2 2 2 2 6 2 2 8 3 3" xfId="31003"/>
    <cellStyle name="Heading 2 2 2 2 6 2 2 8 4" xfId="31004"/>
    <cellStyle name="Heading 2 2 2 2 6 2 2 8 4 2" xfId="31005"/>
    <cellStyle name="Heading 2 2 2 2 6 2 2 8 4 2 2" xfId="31006"/>
    <cellStyle name="Heading 2 2 2 2 6 2 2 8 4 3" xfId="31007"/>
    <cellStyle name="Heading 2 2 2 2 6 2 2 8 5" xfId="31008"/>
    <cellStyle name="Heading 2 2 2 2 6 2 2 8 5 2" xfId="31009"/>
    <cellStyle name="Heading 2 2 2 2 6 2 2 8 5 2 2" xfId="31010"/>
    <cellStyle name="Heading 2 2 2 2 6 2 2 8 5 3" xfId="31011"/>
    <cellStyle name="Heading 2 2 2 2 6 2 2 8 6" xfId="31012"/>
    <cellStyle name="Heading 2 2 2 2 6 2 2 8 6 2" xfId="31013"/>
    <cellStyle name="Heading 2 2 2 2 6 2 2 8 6 2 2" xfId="31014"/>
    <cellStyle name="Heading 2 2 2 2 6 2 2 8 6 3" xfId="31015"/>
    <cellStyle name="Heading 2 2 2 2 6 2 2 8 7" xfId="31016"/>
    <cellStyle name="Heading 2 2 2 2 6 2 2 8 7 2" xfId="31017"/>
    <cellStyle name="Heading 2 2 2 2 6 2 2 8 7 2 2" xfId="31018"/>
    <cellStyle name="Heading 2 2 2 2 6 2 2 8 7 3" xfId="31019"/>
    <cellStyle name="Heading 2 2 2 2 6 2 2 8 8" xfId="31020"/>
    <cellStyle name="Heading 2 2 2 2 6 2 2 8 8 2" xfId="31021"/>
    <cellStyle name="Heading 2 2 2 2 6 2 2 8 9" xfId="31022"/>
    <cellStyle name="Heading 2 2 2 2 6 2 2 9" xfId="31023"/>
    <cellStyle name="Heading 2 2 2 2 6 2 2 9 2" xfId="31024"/>
    <cellStyle name="Heading 2 2 2 2 6 2 2 9 2 2" xfId="31025"/>
    <cellStyle name="Heading 2 2 2 2 6 2 2 9 3" xfId="31026"/>
    <cellStyle name="Heading 2 2 2 2 6 2 20" xfId="31027"/>
    <cellStyle name="Heading 2 2 2 2 6 2 20 2" xfId="31028"/>
    <cellStyle name="Heading 2 2 2 2 6 2 21" xfId="31029"/>
    <cellStyle name="Heading 2 2 2 2 6 2 21 2" xfId="31030"/>
    <cellStyle name="Heading 2 2 2 2 6 2 22" xfId="31031"/>
    <cellStyle name="Heading 2 2 2 2 6 2 22 2" xfId="31032"/>
    <cellStyle name="Heading 2 2 2 2 6 2 23" xfId="31033"/>
    <cellStyle name="Heading 2 2 2 2 6 2 3" xfId="31034"/>
    <cellStyle name="Heading 2 2 2 2 6 2 3 2" xfId="31035"/>
    <cellStyle name="Heading 2 2 2 2 6 2 3 2 2" xfId="31036"/>
    <cellStyle name="Heading 2 2 2 2 6 2 3 2 2 2" xfId="31037"/>
    <cellStyle name="Heading 2 2 2 2 6 2 3 2 3" xfId="31038"/>
    <cellStyle name="Heading 2 2 2 2 6 2 3 3" xfId="31039"/>
    <cellStyle name="Heading 2 2 2 2 6 2 3 3 2" xfId="31040"/>
    <cellStyle name="Heading 2 2 2 2 6 2 3 3 2 2" xfId="31041"/>
    <cellStyle name="Heading 2 2 2 2 6 2 3 3 3" xfId="31042"/>
    <cellStyle name="Heading 2 2 2 2 6 2 3 4" xfId="31043"/>
    <cellStyle name="Heading 2 2 2 2 6 2 3 4 2" xfId="31044"/>
    <cellStyle name="Heading 2 2 2 2 6 2 3 4 2 2" xfId="31045"/>
    <cellStyle name="Heading 2 2 2 2 6 2 3 4 3" xfId="31046"/>
    <cellStyle name="Heading 2 2 2 2 6 2 3 5" xfId="31047"/>
    <cellStyle name="Heading 2 2 2 2 6 2 3 5 2" xfId="31048"/>
    <cellStyle name="Heading 2 2 2 2 6 2 3 5 2 2" xfId="31049"/>
    <cellStyle name="Heading 2 2 2 2 6 2 3 5 3" xfId="31050"/>
    <cellStyle name="Heading 2 2 2 2 6 2 3 6" xfId="31051"/>
    <cellStyle name="Heading 2 2 2 2 6 2 3 6 2" xfId="31052"/>
    <cellStyle name="Heading 2 2 2 2 6 2 3 6 2 2" xfId="31053"/>
    <cellStyle name="Heading 2 2 2 2 6 2 3 6 3" xfId="31054"/>
    <cellStyle name="Heading 2 2 2 2 6 2 3 7" xfId="31055"/>
    <cellStyle name="Heading 2 2 2 2 6 2 3 7 2" xfId="31056"/>
    <cellStyle name="Heading 2 2 2 2 6 2 3 7 2 2" xfId="31057"/>
    <cellStyle name="Heading 2 2 2 2 6 2 3 7 3" xfId="31058"/>
    <cellStyle name="Heading 2 2 2 2 6 2 3 8" xfId="31059"/>
    <cellStyle name="Heading 2 2 2 2 6 2 3 8 2" xfId="31060"/>
    <cellStyle name="Heading 2 2 2 2 6 2 3 9" xfId="31061"/>
    <cellStyle name="Heading 2 2 2 2 6 2 4" xfId="31062"/>
    <cellStyle name="Heading 2 2 2 2 6 2 4 2" xfId="31063"/>
    <cellStyle name="Heading 2 2 2 2 6 2 4 2 2" xfId="31064"/>
    <cellStyle name="Heading 2 2 2 2 6 2 4 2 2 2" xfId="31065"/>
    <cellStyle name="Heading 2 2 2 2 6 2 4 2 3" xfId="31066"/>
    <cellStyle name="Heading 2 2 2 2 6 2 4 3" xfId="31067"/>
    <cellStyle name="Heading 2 2 2 2 6 2 4 3 2" xfId="31068"/>
    <cellStyle name="Heading 2 2 2 2 6 2 4 3 2 2" xfId="31069"/>
    <cellStyle name="Heading 2 2 2 2 6 2 4 3 3" xfId="31070"/>
    <cellStyle name="Heading 2 2 2 2 6 2 4 4" xfId="31071"/>
    <cellStyle name="Heading 2 2 2 2 6 2 4 4 2" xfId="31072"/>
    <cellStyle name="Heading 2 2 2 2 6 2 4 4 2 2" xfId="31073"/>
    <cellStyle name="Heading 2 2 2 2 6 2 4 4 3" xfId="31074"/>
    <cellStyle name="Heading 2 2 2 2 6 2 4 5" xfId="31075"/>
    <cellStyle name="Heading 2 2 2 2 6 2 4 5 2" xfId="31076"/>
    <cellStyle name="Heading 2 2 2 2 6 2 4 5 2 2" xfId="31077"/>
    <cellStyle name="Heading 2 2 2 2 6 2 4 5 3" xfId="31078"/>
    <cellStyle name="Heading 2 2 2 2 6 2 4 6" xfId="31079"/>
    <cellStyle name="Heading 2 2 2 2 6 2 4 6 2" xfId="31080"/>
    <cellStyle name="Heading 2 2 2 2 6 2 4 6 2 2" xfId="31081"/>
    <cellStyle name="Heading 2 2 2 2 6 2 4 6 3" xfId="31082"/>
    <cellStyle name="Heading 2 2 2 2 6 2 4 7" xfId="31083"/>
    <cellStyle name="Heading 2 2 2 2 6 2 4 7 2" xfId="31084"/>
    <cellStyle name="Heading 2 2 2 2 6 2 4 7 2 2" xfId="31085"/>
    <cellStyle name="Heading 2 2 2 2 6 2 4 7 3" xfId="31086"/>
    <cellStyle name="Heading 2 2 2 2 6 2 4 8" xfId="31087"/>
    <cellStyle name="Heading 2 2 2 2 6 2 4 8 2" xfId="31088"/>
    <cellStyle name="Heading 2 2 2 2 6 2 4 9" xfId="31089"/>
    <cellStyle name="Heading 2 2 2 2 6 2 5" xfId="31090"/>
    <cellStyle name="Heading 2 2 2 2 6 2 5 2" xfId="31091"/>
    <cellStyle name="Heading 2 2 2 2 6 2 5 2 2" xfId="31092"/>
    <cellStyle name="Heading 2 2 2 2 6 2 5 2 2 2" xfId="31093"/>
    <cellStyle name="Heading 2 2 2 2 6 2 5 2 3" xfId="31094"/>
    <cellStyle name="Heading 2 2 2 2 6 2 5 3" xfId="31095"/>
    <cellStyle name="Heading 2 2 2 2 6 2 5 3 2" xfId="31096"/>
    <cellStyle name="Heading 2 2 2 2 6 2 5 3 2 2" xfId="31097"/>
    <cellStyle name="Heading 2 2 2 2 6 2 5 3 3" xfId="31098"/>
    <cellStyle name="Heading 2 2 2 2 6 2 5 4" xfId="31099"/>
    <cellStyle name="Heading 2 2 2 2 6 2 5 4 2" xfId="31100"/>
    <cellStyle name="Heading 2 2 2 2 6 2 5 4 2 2" xfId="31101"/>
    <cellStyle name="Heading 2 2 2 2 6 2 5 4 3" xfId="31102"/>
    <cellStyle name="Heading 2 2 2 2 6 2 5 5" xfId="31103"/>
    <cellStyle name="Heading 2 2 2 2 6 2 5 5 2" xfId="31104"/>
    <cellStyle name="Heading 2 2 2 2 6 2 5 5 2 2" xfId="31105"/>
    <cellStyle name="Heading 2 2 2 2 6 2 5 5 3" xfId="31106"/>
    <cellStyle name="Heading 2 2 2 2 6 2 5 6" xfId="31107"/>
    <cellStyle name="Heading 2 2 2 2 6 2 5 6 2" xfId="31108"/>
    <cellStyle name="Heading 2 2 2 2 6 2 5 6 2 2" xfId="31109"/>
    <cellStyle name="Heading 2 2 2 2 6 2 5 6 3" xfId="31110"/>
    <cellStyle name="Heading 2 2 2 2 6 2 5 7" xfId="31111"/>
    <cellStyle name="Heading 2 2 2 2 6 2 5 7 2" xfId="31112"/>
    <cellStyle name="Heading 2 2 2 2 6 2 5 7 2 2" xfId="31113"/>
    <cellStyle name="Heading 2 2 2 2 6 2 5 7 3" xfId="31114"/>
    <cellStyle name="Heading 2 2 2 2 6 2 5 8" xfId="31115"/>
    <cellStyle name="Heading 2 2 2 2 6 2 5 8 2" xfId="31116"/>
    <cellStyle name="Heading 2 2 2 2 6 2 5 9" xfId="31117"/>
    <cellStyle name="Heading 2 2 2 2 6 2 6" xfId="31118"/>
    <cellStyle name="Heading 2 2 2 2 6 2 6 2" xfId="31119"/>
    <cellStyle name="Heading 2 2 2 2 6 2 6 2 2" xfId="31120"/>
    <cellStyle name="Heading 2 2 2 2 6 2 6 2 2 2" xfId="31121"/>
    <cellStyle name="Heading 2 2 2 2 6 2 6 2 3" xfId="31122"/>
    <cellStyle name="Heading 2 2 2 2 6 2 6 3" xfId="31123"/>
    <cellStyle name="Heading 2 2 2 2 6 2 6 3 2" xfId="31124"/>
    <cellStyle name="Heading 2 2 2 2 6 2 6 3 2 2" xfId="31125"/>
    <cellStyle name="Heading 2 2 2 2 6 2 6 3 3" xfId="31126"/>
    <cellStyle name="Heading 2 2 2 2 6 2 6 4" xfId="31127"/>
    <cellStyle name="Heading 2 2 2 2 6 2 6 4 2" xfId="31128"/>
    <cellStyle name="Heading 2 2 2 2 6 2 6 4 2 2" xfId="31129"/>
    <cellStyle name="Heading 2 2 2 2 6 2 6 4 3" xfId="31130"/>
    <cellStyle name="Heading 2 2 2 2 6 2 6 5" xfId="31131"/>
    <cellStyle name="Heading 2 2 2 2 6 2 6 5 2" xfId="31132"/>
    <cellStyle name="Heading 2 2 2 2 6 2 6 5 2 2" xfId="31133"/>
    <cellStyle name="Heading 2 2 2 2 6 2 6 5 3" xfId="31134"/>
    <cellStyle name="Heading 2 2 2 2 6 2 6 6" xfId="31135"/>
    <cellStyle name="Heading 2 2 2 2 6 2 6 6 2" xfId="31136"/>
    <cellStyle name="Heading 2 2 2 2 6 2 6 6 2 2" xfId="31137"/>
    <cellStyle name="Heading 2 2 2 2 6 2 6 6 3" xfId="31138"/>
    <cellStyle name="Heading 2 2 2 2 6 2 6 7" xfId="31139"/>
    <cellStyle name="Heading 2 2 2 2 6 2 6 7 2" xfId="31140"/>
    <cellStyle name="Heading 2 2 2 2 6 2 6 7 2 2" xfId="31141"/>
    <cellStyle name="Heading 2 2 2 2 6 2 6 7 3" xfId="31142"/>
    <cellStyle name="Heading 2 2 2 2 6 2 6 8" xfId="31143"/>
    <cellStyle name="Heading 2 2 2 2 6 2 6 8 2" xfId="31144"/>
    <cellStyle name="Heading 2 2 2 2 6 2 6 9" xfId="31145"/>
    <cellStyle name="Heading 2 2 2 2 6 2 7" xfId="31146"/>
    <cellStyle name="Heading 2 2 2 2 6 2 7 2" xfId="31147"/>
    <cellStyle name="Heading 2 2 2 2 6 2 7 2 2" xfId="31148"/>
    <cellStyle name="Heading 2 2 2 2 6 2 7 2 2 2" xfId="31149"/>
    <cellStyle name="Heading 2 2 2 2 6 2 7 2 3" xfId="31150"/>
    <cellStyle name="Heading 2 2 2 2 6 2 7 3" xfId="31151"/>
    <cellStyle name="Heading 2 2 2 2 6 2 7 3 2" xfId="31152"/>
    <cellStyle name="Heading 2 2 2 2 6 2 7 3 2 2" xfId="31153"/>
    <cellStyle name="Heading 2 2 2 2 6 2 7 3 3" xfId="31154"/>
    <cellStyle name="Heading 2 2 2 2 6 2 7 4" xfId="31155"/>
    <cellStyle name="Heading 2 2 2 2 6 2 7 4 2" xfId="31156"/>
    <cellStyle name="Heading 2 2 2 2 6 2 7 4 2 2" xfId="31157"/>
    <cellStyle name="Heading 2 2 2 2 6 2 7 4 3" xfId="31158"/>
    <cellStyle name="Heading 2 2 2 2 6 2 7 5" xfId="31159"/>
    <cellStyle name="Heading 2 2 2 2 6 2 7 5 2" xfId="31160"/>
    <cellStyle name="Heading 2 2 2 2 6 2 7 5 2 2" xfId="31161"/>
    <cellStyle name="Heading 2 2 2 2 6 2 7 5 3" xfId="31162"/>
    <cellStyle name="Heading 2 2 2 2 6 2 7 6" xfId="31163"/>
    <cellStyle name="Heading 2 2 2 2 6 2 7 6 2" xfId="31164"/>
    <cellStyle name="Heading 2 2 2 2 6 2 7 6 2 2" xfId="31165"/>
    <cellStyle name="Heading 2 2 2 2 6 2 7 6 3" xfId="31166"/>
    <cellStyle name="Heading 2 2 2 2 6 2 7 7" xfId="31167"/>
    <cellStyle name="Heading 2 2 2 2 6 2 7 7 2" xfId="31168"/>
    <cellStyle name="Heading 2 2 2 2 6 2 7 7 2 2" xfId="31169"/>
    <cellStyle name="Heading 2 2 2 2 6 2 7 7 3" xfId="31170"/>
    <cellStyle name="Heading 2 2 2 2 6 2 7 8" xfId="31171"/>
    <cellStyle name="Heading 2 2 2 2 6 2 7 8 2" xfId="31172"/>
    <cellStyle name="Heading 2 2 2 2 6 2 7 9" xfId="31173"/>
    <cellStyle name="Heading 2 2 2 2 6 2 8" xfId="31174"/>
    <cellStyle name="Heading 2 2 2 2 6 2 8 2" xfId="31175"/>
    <cellStyle name="Heading 2 2 2 2 6 2 8 2 2" xfId="31176"/>
    <cellStyle name="Heading 2 2 2 2 6 2 8 2 2 2" xfId="31177"/>
    <cellStyle name="Heading 2 2 2 2 6 2 8 2 3" xfId="31178"/>
    <cellStyle name="Heading 2 2 2 2 6 2 8 3" xfId="31179"/>
    <cellStyle name="Heading 2 2 2 2 6 2 8 3 2" xfId="31180"/>
    <cellStyle name="Heading 2 2 2 2 6 2 8 3 2 2" xfId="31181"/>
    <cellStyle name="Heading 2 2 2 2 6 2 8 3 3" xfId="31182"/>
    <cellStyle name="Heading 2 2 2 2 6 2 8 4" xfId="31183"/>
    <cellStyle name="Heading 2 2 2 2 6 2 8 4 2" xfId="31184"/>
    <cellStyle name="Heading 2 2 2 2 6 2 8 4 2 2" xfId="31185"/>
    <cellStyle name="Heading 2 2 2 2 6 2 8 4 3" xfId="31186"/>
    <cellStyle name="Heading 2 2 2 2 6 2 8 5" xfId="31187"/>
    <cellStyle name="Heading 2 2 2 2 6 2 8 5 2" xfId="31188"/>
    <cellStyle name="Heading 2 2 2 2 6 2 8 5 2 2" xfId="31189"/>
    <cellStyle name="Heading 2 2 2 2 6 2 8 5 3" xfId="31190"/>
    <cellStyle name="Heading 2 2 2 2 6 2 8 6" xfId="31191"/>
    <cellStyle name="Heading 2 2 2 2 6 2 8 6 2" xfId="31192"/>
    <cellStyle name="Heading 2 2 2 2 6 2 8 6 2 2" xfId="31193"/>
    <cellStyle name="Heading 2 2 2 2 6 2 8 6 3" xfId="31194"/>
    <cellStyle name="Heading 2 2 2 2 6 2 8 7" xfId="31195"/>
    <cellStyle name="Heading 2 2 2 2 6 2 8 7 2" xfId="31196"/>
    <cellStyle name="Heading 2 2 2 2 6 2 8 7 2 2" xfId="31197"/>
    <cellStyle name="Heading 2 2 2 2 6 2 8 7 3" xfId="31198"/>
    <cellStyle name="Heading 2 2 2 2 6 2 8 8" xfId="31199"/>
    <cellStyle name="Heading 2 2 2 2 6 2 8 8 2" xfId="31200"/>
    <cellStyle name="Heading 2 2 2 2 6 2 8 9" xfId="31201"/>
    <cellStyle name="Heading 2 2 2 2 6 2 9" xfId="31202"/>
    <cellStyle name="Heading 2 2 2 2 6 2 9 2" xfId="31203"/>
    <cellStyle name="Heading 2 2 2 2 6 2 9 2 2" xfId="31204"/>
    <cellStyle name="Heading 2 2 2 2 6 2 9 2 2 2" xfId="31205"/>
    <cellStyle name="Heading 2 2 2 2 6 2 9 2 3" xfId="31206"/>
    <cellStyle name="Heading 2 2 2 2 6 2 9 3" xfId="31207"/>
    <cellStyle name="Heading 2 2 2 2 6 2 9 3 2" xfId="31208"/>
    <cellStyle name="Heading 2 2 2 2 6 2 9 3 2 2" xfId="31209"/>
    <cellStyle name="Heading 2 2 2 2 6 2 9 3 3" xfId="31210"/>
    <cellStyle name="Heading 2 2 2 2 6 2 9 4" xfId="31211"/>
    <cellStyle name="Heading 2 2 2 2 6 2 9 4 2" xfId="31212"/>
    <cellStyle name="Heading 2 2 2 2 6 2 9 4 2 2" xfId="31213"/>
    <cellStyle name="Heading 2 2 2 2 6 2 9 4 3" xfId="31214"/>
    <cellStyle name="Heading 2 2 2 2 6 2 9 5" xfId="31215"/>
    <cellStyle name="Heading 2 2 2 2 6 2 9 5 2" xfId="31216"/>
    <cellStyle name="Heading 2 2 2 2 6 2 9 5 2 2" xfId="31217"/>
    <cellStyle name="Heading 2 2 2 2 6 2 9 5 3" xfId="31218"/>
    <cellStyle name="Heading 2 2 2 2 6 2 9 6" xfId="31219"/>
    <cellStyle name="Heading 2 2 2 2 6 2 9 6 2" xfId="31220"/>
    <cellStyle name="Heading 2 2 2 2 6 2 9 6 2 2" xfId="31221"/>
    <cellStyle name="Heading 2 2 2 2 6 2 9 6 3" xfId="31222"/>
    <cellStyle name="Heading 2 2 2 2 6 2 9 7" xfId="31223"/>
    <cellStyle name="Heading 2 2 2 2 6 2 9 7 2" xfId="31224"/>
    <cellStyle name="Heading 2 2 2 2 6 2 9 7 2 2" xfId="31225"/>
    <cellStyle name="Heading 2 2 2 2 6 2 9 7 3" xfId="31226"/>
    <cellStyle name="Heading 2 2 2 2 6 2 9 8" xfId="31227"/>
    <cellStyle name="Heading 2 2 2 2 6 2 9 8 2" xfId="31228"/>
    <cellStyle name="Heading 2 2 2 2 6 2 9 9" xfId="31229"/>
    <cellStyle name="Heading 2 2 2 2 6 3" xfId="31230"/>
    <cellStyle name="Heading 2 2 2 2 6 3 10" xfId="31231"/>
    <cellStyle name="Heading 2 2 2 2 6 3 10 2" xfId="31232"/>
    <cellStyle name="Heading 2 2 2 2 6 3 10 2 2" xfId="31233"/>
    <cellStyle name="Heading 2 2 2 2 6 3 10 3" xfId="31234"/>
    <cellStyle name="Heading 2 2 2 2 6 3 11" xfId="31235"/>
    <cellStyle name="Heading 2 2 2 2 6 3 11 2" xfId="31236"/>
    <cellStyle name="Heading 2 2 2 2 6 3 11 2 2" xfId="31237"/>
    <cellStyle name="Heading 2 2 2 2 6 3 11 3" xfId="31238"/>
    <cellStyle name="Heading 2 2 2 2 6 3 12" xfId="31239"/>
    <cellStyle name="Heading 2 2 2 2 6 3 12 2" xfId="31240"/>
    <cellStyle name="Heading 2 2 2 2 6 3 12 2 2" xfId="31241"/>
    <cellStyle name="Heading 2 2 2 2 6 3 12 3" xfId="31242"/>
    <cellStyle name="Heading 2 2 2 2 6 3 13" xfId="31243"/>
    <cellStyle name="Heading 2 2 2 2 6 3 13 2" xfId="31244"/>
    <cellStyle name="Heading 2 2 2 2 6 3 13 2 2" xfId="31245"/>
    <cellStyle name="Heading 2 2 2 2 6 3 13 3" xfId="31246"/>
    <cellStyle name="Heading 2 2 2 2 6 3 14" xfId="31247"/>
    <cellStyle name="Heading 2 2 2 2 6 3 14 2" xfId="31248"/>
    <cellStyle name="Heading 2 2 2 2 6 3 14 2 2" xfId="31249"/>
    <cellStyle name="Heading 2 2 2 2 6 3 14 3" xfId="31250"/>
    <cellStyle name="Heading 2 2 2 2 6 3 15" xfId="31251"/>
    <cellStyle name="Heading 2 2 2 2 6 3 15 2" xfId="31252"/>
    <cellStyle name="Heading 2 2 2 2 6 3 15 2 2" xfId="31253"/>
    <cellStyle name="Heading 2 2 2 2 6 3 15 3" xfId="31254"/>
    <cellStyle name="Heading 2 2 2 2 6 3 16" xfId="31255"/>
    <cellStyle name="Heading 2 2 2 2 6 3 16 2" xfId="31256"/>
    <cellStyle name="Heading 2 2 2 2 6 3 16 2 2" xfId="31257"/>
    <cellStyle name="Heading 2 2 2 2 6 3 16 3" xfId="31258"/>
    <cellStyle name="Heading 2 2 2 2 6 3 17" xfId="31259"/>
    <cellStyle name="Heading 2 2 2 2 6 3 17 2" xfId="31260"/>
    <cellStyle name="Heading 2 2 2 2 6 3 17 2 2" xfId="31261"/>
    <cellStyle name="Heading 2 2 2 2 6 3 17 3" xfId="31262"/>
    <cellStyle name="Heading 2 2 2 2 6 3 18" xfId="31263"/>
    <cellStyle name="Heading 2 2 2 2 6 3 18 2" xfId="31264"/>
    <cellStyle name="Heading 2 2 2 2 6 3 18 2 2" xfId="31265"/>
    <cellStyle name="Heading 2 2 2 2 6 3 18 3" xfId="31266"/>
    <cellStyle name="Heading 2 2 2 2 6 3 19" xfId="31267"/>
    <cellStyle name="Heading 2 2 2 2 6 3 19 2" xfId="31268"/>
    <cellStyle name="Heading 2 2 2 2 6 3 2" xfId="31269"/>
    <cellStyle name="Heading 2 2 2 2 6 3 2 2" xfId="31270"/>
    <cellStyle name="Heading 2 2 2 2 6 3 2 2 2" xfId="31271"/>
    <cellStyle name="Heading 2 2 2 2 6 3 2 2 2 2" xfId="31272"/>
    <cellStyle name="Heading 2 2 2 2 6 3 2 2 3" xfId="31273"/>
    <cellStyle name="Heading 2 2 2 2 6 3 2 3" xfId="31274"/>
    <cellStyle name="Heading 2 2 2 2 6 3 2 3 2" xfId="31275"/>
    <cellStyle name="Heading 2 2 2 2 6 3 2 3 2 2" xfId="31276"/>
    <cellStyle name="Heading 2 2 2 2 6 3 2 3 3" xfId="31277"/>
    <cellStyle name="Heading 2 2 2 2 6 3 2 4" xfId="31278"/>
    <cellStyle name="Heading 2 2 2 2 6 3 2 4 2" xfId="31279"/>
    <cellStyle name="Heading 2 2 2 2 6 3 2 4 2 2" xfId="31280"/>
    <cellStyle name="Heading 2 2 2 2 6 3 2 4 3" xfId="31281"/>
    <cellStyle name="Heading 2 2 2 2 6 3 2 5" xfId="31282"/>
    <cellStyle name="Heading 2 2 2 2 6 3 2 5 2" xfId="31283"/>
    <cellStyle name="Heading 2 2 2 2 6 3 2 5 2 2" xfId="31284"/>
    <cellStyle name="Heading 2 2 2 2 6 3 2 5 3" xfId="31285"/>
    <cellStyle name="Heading 2 2 2 2 6 3 2 6" xfId="31286"/>
    <cellStyle name="Heading 2 2 2 2 6 3 2 6 2" xfId="31287"/>
    <cellStyle name="Heading 2 2 2 2 6 3 2 6 2 2" xfId="31288"/>
    <cellStyle name="Heading 2 2 2 2 6 3 2 6 3" xfId="31289"/>
    <cellStyle name="Heading 2 2 2 2 6 3 2 7" xfId="31290"/>
    <cellStyle name="Heading 2 2 2 2 6 3 2 7 2" xfId="31291"/>
    <cellStyle name="Heading 2 2 2 2 6 3 2 7 2 2" xfId="31292"/>
    <cellStyle name="Heading 2 2 2 2 6 3 2 7 3" xfId="31293"/>
    <cellStyle name="Heading 2 2 2 2 6 3 2 8" xfId="31294"/>
    <cellStyle name="Heading 2 2 2 2 6 3 2 8 2" xfId="31295"/>
    <cellStyle name="Heading 2 2 2 2 6 3 2 9" xfId="31296"/>
    <cellStyle name="Heading 2 2 2 2 6 3 20" xfId="31297"/>
    <cellStyle name="Heading 2 2 2 2 6 3 20 2" xfId="31298"/>
    <cellStyle name="Heading 2 2 2 2 6 3 21" xfId="31299"/>
    <cellStyle name="Heading 2 2 2 2 6 3 21 2" xfId="31300"/>
    <cellStyle name="Heading 2 2 2 2 6 3 22" xfId="31301"/>
    <cellStyle name="Heading 2 2 2 2 6 3 3" xfId="31302"/>
    <cellStyle name="Heading 2 2 2 2 6 3 3 2" xfId="31303"/>
    <cellStyle name="Heading 2 2 2 2 6 3 3 2 2" xfId="31304"/>
    <cellStyle name="Heading 2 2 2 2 6 3 3 2 2 2" xfId="31305"/>
    <cellStyle name="Heading 2 2 2 2 6 3 3 2 3" xfId="31306"/>
    <cellStyle name="Heading 2 2 2 2 6 3 3 3" xfId="31307"/>
    <cellStyle name="Heading 2 2 2 2 6 3 3 3 2" xfId="31308"/>
    <cellStyle name="Heading 2 2 2 2 6 3 3 3 2 2" xfId="31309"/>
    <cellStyle name="Heading 2 2 2 2 6 3 3 3 3" xfId="31310"/>
    <cellStyle name="Heading 2 2 2 2 6 3 3 4" xfId="31311"/>
    <cellStyle name="Heading 2 2 2 2 6 3 3 4 2" xfId="31312"/>
    <cellStyle name="Heading 2 2 2 2 6 3 3 4 2 2" xfId="31313"/>
    <cellStyle name="Heading 2 2 2 2 6 3 3 4 3" xfId="31314"/>
    <cellStyle name="Heading 2 2 2 2 6 3 3 5" xfId="31315"/>
    <cellStyle name="Heading 2 2 2 2 6 3 3 5 2" xfId="31316"/>
    <cellStyle name="Heading 2 2 2 2 6 3 3 5 2 2" xfId="31317"/>
    <cellStyle name="Heading 2 2 2 2 6 3 3 5 3" xfId="31318"/>
    <cellStyle name="Heading 2 2 2 2 6 3 3 6" xfId="31319"/>
    <cellStyle name="Heading 2 2 2 2 6 3 3 6 2" xfId="31320"/>
    <cellStyle name="Heading 2 2 2 2 6 3 3 6 2 2" xfId="31321"/>
    <cellStyle name="Heading 2 2 2 2 6 3 3 6 3" xfId="31322"/>
    <cellStyle name="Heading 2 2 2 2 6 3 3 7" xfId="31323"/>
    <cellStyle name="Heading 2 2 2 2 6 3 3 7 2" xfId="31324"/>
    <cellStyle name="Heading 2 2 2 2 6 3 3 7 2 2" xfId="31325"/>
    <cellStyle name="Heading 2 2 2 2 6 3 3 7 3" xfId="31326"/>
    <cellStyle name="Heading 2 2 2 2 6 3 3 8" xfId="31327"/>
    <cellStyle name="Heading 2 2 2 2 6 3 3 8 2" xfId="31328"/>
    <cellStyle name="Heading 2 2 2 2 6 3 3 9" xfId="31329"/>
    <cellStyle name="Heading 2 2 2 2 6 3 4" xfId="31330"/>
    <cellStyle name="Heading 2 2 2 2 6 3 4 2" xfId="31331"/>
    <cellStyle name="Heading 2 2 2 2 6 3 4 2 2" xfId="31332"/>
    <cellStyle name="Heading 2 2 2 2 6 3 4 2 2 2" xfId="31333"/>
    <cellStyle name="Heading 2 2 2 2 6 3 4 2 3" xfId="31334"/>
    <cellStyle name="Heading 2 2 2 2 6 3 4 3" xfId="31335"/>
    <cellStyle name="Heading 2 2 2 2 6 3 4 3 2" xfId="31336"/>
    <cellStyle name="Heading 2 2 2 2 6 3 4 3 2 2" xfId="31337"/>
    <cellStyle name="Heading 2 2 2 2 6 3 4 3 3" xfId="31338"/>
    <cellStyle name="Heading 2 2 2 2 6 3 4 4" xfId="31339"/>
    <cellStyle name="Heading 2 2 2 2 6 3 4 4 2" xfId="31340"/>
    <cellStyle name="Heading 2 2 2 2 6 3 4 4 2 2" xfId="31341"/>
    <cellStyle name="Heading 2 2 2 2 6 3 4 4 3" xfId="31342"/>
    <cellStyle name="Heading 2 2 2 2 6 3 4 5" xfId="31343"/>
    <cellStyle name="Heading 2 2 2 2 6 3 4 5 2" xfId="31344"/>
    <cellStyle name="Heading 2 2 2 2 6 3 4 5 2 2" xfId="31345"/>
    <cellStyle name="Heading 2 2 2 2 6 3 4 5 3" xfId="31346"/>
    <cellStyle name="Heading 2 2 2 2 6 3 4 6" xfId="31347"/>
    <cellStyle name="Heading 2 2 2 2 6 3 4 6 2" xfId="31348"/>
    <cellStyle name="Heading 2 2 2 2 6 3 4 6 2 2" xfId="31349"/>
    <cellStyle name="Heading 2 2 2 2 6 3 4 6 3" xfId="31350"/>
    <cellStyle name="Heading 2 2 2 2 6 3 4 7" xfId="31351"/>
    <cellStyle name="Heading 2 2 2 2 6 3 4 7 2" xfId="31352"/>
    <cellStyle name="Heading 2 2 2 2 6 3 4 7 2 2" xfId="31353"/>
    <cellStyle name="Heading 2 2 2 2 6 3 4 7 3" xfId="31354"/>
    <cellStyle name="Heading 2 2 2 2 6 3 4 8" xfId="31355"/>
    <cellStyle name="Heading 2 2 2 2 6 3 4 8 2" xfId="31356"/>
    <cellStyle name="Heading 2 2 2 2 6 3 4 9" xfId="31357"/>
    <cellStyle name="Heading 2 2 2 2 6 3 5" xfId="31358"/>
    <cellStyle name="Heading 2 2 2 2 6 3 5 2" xfId="31359"/>
    <cellStyle name="Heading 2 2 2 2 6 3 5 2 2" xfId="31360"/>
    <cellStyle name="Heading 2 2 2 2 6 3 5 2 2 2" xfId="31361"/>
    <cellStyle name="Heading 2 2 2 2 6 3 5 2 3" xfId="31362"/>
    <cellStyle name="Heading 2 2 2 2 6 3 5 3" xfId="31363"/>
    <cellStyle name="Heading 2 2 2 2 6 3 5 3 2" xfId="31364"/>
    <cellStyle name="Heading 2 2 2 2 6 3 5 3 2 2" xfId="31365"/>
    <cellStyle name="Heading 2 2 2 2 6 3 5 3 3" xfId="31366"/>
    <cellStyle name="Heading 2 2 2 2 6 3 5 4" xfId="31367"/>
    <cellStyle name="Heading 2 2 2 2 6 3 5 4 2" xfId="31368"/>
    <cellStyle name="Heading 2 2 2 2 6 3 5 4 2 2" xfId="31369"/>
    <cellStyle name="Heading 2 2 2 2 6 3 5 4 3" xfId="31370"/>
    <cellStyle name="Heading 2 2 2 2 6 3 5 5" xfId="31371"/>
    <cellStyle name="Heading 2 2 2 2 6 3 5 5 2" xfId="31372"/>
    <cellStyle name="Heading 2 2 2 2 6 3 5 5 2 2" xfId="31373"/>
    <cellStyle name="Heading 2 2 2 2 6 3 5 5 3" xfId="31374"/>
    <cellStyle name="Heading 2 2 2 2 6 3 5 6" xfId="31375"/>
    <cellStyle name="Heading 2 2 2 2 6 3 5 6 2" xfId="31376"/>
    <cellStyle name="Heading 2 2 2 2 6 3 5 6 2 2" xfId="31377"/>
    <cellStyle name="Heading 2 2 2 2 6 3 5 6 3" xfId="31378"/>
    <cellStyle name="Heading 2 2 2 2 6 3 5 7" xfId="31379"/>
    <cellStyle name="Heading 2 2 2 2 6 3 5 7 2" xfId="31380"/>
    <cellStyle name="Heading 2 2 2 2 6 3 5 7 2 2" xfId="31381"/>
    <cellStyle name="Heading 2 2 2 2 6 3 5 7 3" xfId="31382"/>
    <cellStyle name="Heading 2 2 2 2 6 3 5 8" xfId="31383"/>
    <cellStyle name="Heading 2 2 2 2 6 3 5 8 2" xfId="31384"/>
    <cellStyle name="Heading 2 2 2 2 6 3 5 9" xfId="31385"/>
    <cellStyle name="Heading 2 2 2 2 6 3 6" xfId="31386"/>
    <cellStyle name="Heading 2 2 2 2 6 3 6 2" xfId="31387"/>
    <cellStyle name="Heading 2 2 2 2 6 3 6 2 2" xfId="31388"/>
    <cellStyle name="Heading 2 2 2 2 6 3 6 2 2 2" xfId="31389"/>
    <cellStyle name="Heading 2 2 2 2 6 3 6 2 3" xfId="31390"/>
    <cellStyle name="Heading 2 2 2 2 6 3 6 3" xfId="31391"/>
    <cellStyle name="Heading 2 2 2 2 6 3 6 3 2" xfId="31392"/>
    <cellStyle name="Heading 2 2 2 2 6 3 6 3 2 2" xfId="31393"/>
    <cellStyle name="Heading 2 2 2 2 6 3 6 3 3" xfId="31394"/>
    <cellStyle name="Heading 2 2 2 2 6 3 6 4" xfId="31395"/>
    <cellStyle name="Heading 2 2 2 2 6 3 6 4 2" xfId="31396"/>
    <cellStyle name="Heading 2 2 2 2 6 3 6 4 2 2" xfId="31397"/>
    <cellStyle name="Heading 2 2 2 2 6 3 6 4 3" xfId="31398"/>
    <cellStyle name="Heading 2 2 2 2 6 3 6 5" xfId="31399"/>
    <cellStyle name="Heading 2 2 2 2 6 3 6 5 2" xfId="31400"/>
    <cellStyle name="Heading 2 2 2 2 6 3 6 5 2 2" xfId="31401"/>
    <cellStyle name="Heading 2 2 2 2 6 3 6 5 3" xfId="31402"/>
    <cellStyle name="Heading 2 2 2 2 6 3 6 6" xfId="31403"/>
    <cellStyle name="Heading 2 2 2 2 6 3 6 6 2" xfId="31404"/>
    <cellStyle name="Heading 2 2 2 2 6 3 6 6 2 2" xfId="31405"/>
    <cellStyle name="Heading 2 2 2 2 6 3 6 6 3" xfId="31406"/>
    <cellStyle name="Heading 2 2 2 2 6 3 6 7" xfId="31407"/>
    <cellStyle name="Heading 2 2 2 2 6 3 6 7 2" xfId="31408"/>
    <cellStyle name="Heading 2 2 2 2 6 3 6 7 2 2" xfId="31409"/>
    <cellStyle name="Heading 2 2 2 2 6 3 6 7 3" xfId="31410"/>
    <cellStyle name="Heading 2 2 2 2 6 3 6 8" xfId="31411"/>
    <cellStyle name="Heading 2 2 2 2 6 3 6 8 2" xfId="31412"/>
    <cellStyle name="Heading 2 2 2 2 6 3 6 9" xfId="31413"/>
    <cellStyle name="Heading 2 2 2 2 6 3 7" xfId="31414"/>
    <cellStyle name="Heading 2 2 2 2 6 3 7 2" xfId="31415"/>
    <cellStyle name="Heading 2 2 2 2 6 3 7 2 2" xfId="31416"/>
    <cellStyle name="Heading 2 2 2 2 6 3 7 2 2 2" xfId="31417"/>
    <cellStyle name="Heading 2 2 2 2 6 3 7 2 3" xfId="31418"/>
    <cellStyle name="Heading 2 2 2 2 6 3 7 3" xfId="31419"/>
    <cellStyle name="Heading 2 2 2 2 6 3 7 3 2" xfId="31420"/>
    <cellStyle name="Heading 2 2 2 2 6 3 7 3 2 2" xfId="31421"/>
    <cellStyle name="Heading 2 2 2 2 6 3 7 3 3" xfId="31422"/>
    <cellStyle name="Heading 2 2 2 2 6 3 7 4" xfId="31423"/>
    <cellStyle name="Heading 2 2 2 2 6 3 7 4 2" xfId="31424"/>
    <cellStyle name="Heading 2 2 2 2 6 3 7 4 2 2" xfId="31425"/>
    <cellStyle name="Heading 2 2 2 2 6 3 7 4 3" xfId="31426"/>
    <cellStyle name="Heading 2 2 2 2 6 3 7 5" xfId="31427"/>
    <cellStyle name="Heading 2 2 2 2 6 3 7 5 2" xfId="31428"/>
    <cellStyle name="Heading 2 2 2 2 6 3 7 5 2 2" xfId="31429"/>
    <cellStyle name="Heading 2 2 2 2 6 3 7 5 3" xfId="31430"/>
    <cellStyle name="Heading 2 2 2 2 6 3 7 6" xfId="31431"/>
    <cellStyle name="Heading 2 2 2 2 6 3 7 6 2" xfId="31432"/>
    <cellStyle name="Heading 2 2 2 2 6 3 7 6 2 2" xfId="31433"/>
    <cellStyle name="Heading 2 2 2 2 6 3 7 6 3" xfId="31434"/>
    <cellStyle name="Heading 2 2 2 2 6 3 7 7" xfId="31435"/>
    <cellStyle name="Heading 2 2 2 2 6 3 7 7 2" xfId="31436"/>
    <cellStyle name="Heading 2 2 2 2 6 3 7 7 2 2" xfId="31437"/>
    <cellStyle name="Heading 2 2 2 2 6 3 7 7 3" xfId="31438"/>
    <cellStyle name="Heading 2 2 2 2 6 3 7 8" xfId="31439"/>
    <cellStyle name="Heading 2 2 2 2 6 3 7 8 2" xfId="31440"/>
    <cellStyle name="Heading 2 2 2 2 6 3 7 9" xfId="31441"/>
    <cellStyle name="Heading 2 2 2 2 6 3 8" xfId="31442"/>
    <cellStyle name="Heading 2 2 2 2 6 3 8 2" xfId="31443"/>
    <cellStyle name="Heading 2 2 2 2 6 3 8 2 2" xfId="31444"/>
    <cellStyle name="Heading 2 2 2 2 6 3 8 2 2 2" xfId="31445"/>
    <cellStyle name="Heading 2 2 2 2 6 3 8 2 3" xfId="31446"/>
    <cellStyle name="Heading 2 2 2 2 6 3 8 3" xfId="31447"/>
    <cellStyle name="Heading 2 2 2 2 6 3 8 3 2" xfId="31448"/>
    <cellStyle name="Heading 2 2 2 2 6 3 8 3 2 2" xfId="31449"/>
    <cellStyle name="Heading 2 2 2 2 6 3 8 3 3" xfId="31450"/>
    <cellStyle name="Heading 2 2 2 2 6 3 8 4" xfId="31451"/>
    <cellStyle name="Heading 2 2 2 2 6 3 8 4 2" xfId="31452"/>
    <cellStyle name="Heading 2 2 2 2 6 3 8 4 2 2" xfId="31453"/>
    <cellStyle name="Heading 2 2 2 2 6 3 8 4 3" xfId="31454"/>
    <cellStyle name="Heading 2 2 2 2 6 3 8 5" xfId="31455"/>
    <cellStyle name="Heading 2 2 2 2 6 3 8 5 2" xfId="31456"/>
    <cellStyle name="Heading 2 2 2 2 6 3 8 5 2 2" xfId="31457"/>
    <cellStyle name="Heading 2 2 2 2 6 3 8 5 3" xfId="31458"/>
    <cellStyle name="Heading 2 2 2 2 6 3 8 6" xfId="31459"/>
    <cellStyle name="Heading 2 2 2 2 6 3 8 6 2" xfId="31460"/>
    <cellStyle name="Heading 2 2 2 2 6 3 8 6 2 2" xfId="31461"/>
    <cellStyle name="Heading 2 2 2 2 6 3 8 6 3" xfId="31462"/>
    <cellStyle name="Heading 2 2 2 2 6 3 8 7" xfId="31463"/>
    <cellStyle name="Heading 2 2 2 2 6 3 8 7 2" xfId="31464"/>
    <cellStyle name="Heading 2 2 2 2 6 3 8 7 2 2" xfId="31465"/>
    <cellStyle name="Heading 2 2 2 2 6 3 8 7 3" xfId="31466"/>
    <cellStyle name="Heading 2 2 2 2 6 3 8 8" xfId="31467"/>
    <cellStyle name="Heading 2 2 2 2 6 3 8 8 2" xfId="31468"/>
    <cellStyle name="Heading 2 2 2 2 6 3 8 9" xfId="31469"/>
    <cellStyle name="Heading 2 2 2 2 6 3 9" xfId="31470"/>
    <cellStyle name="Heading 2 2 2 2 6 3 9 2" xfId="31471"/>
    <cellStyle name="Heading 2 2 2 2 6 3 9 2 2" xfId="31472"/>
    <cellStyle name="Heading 2 2 2 2 6 3 9 3" xfId="31473"/>
    <cellStyle name="Heading 2 2 2 2 6 4" xfId="31474"/>
    <cellStyle name="Heading 2 2 2 2 6 4 2" xfId="31475"/>
    <cellStyle name="Heading 2 2 2 2 6 4 2 2" xfId="31476"/>
    <cellStyle name="Heading 2 2 2 2 6 4 3" xfId="31477"/>
    <cellStyle name="Heading 2 2 2 2 6 5" xfId="31478"/>
    <cellStyle name="Heading 2 2 2 2 6 5 2" xfId="31479"/>
    <cellStyle name="Heading 2 2 2 2 6 6" xfId="31480"/>
    <cellStyle name="Heading 2 2 2 2 7" xfId="31481"/>
    <cellStyle name="Heading 2 2 2 2 7 2" xfId="31482"/>
    <cellStyle name="Heading 2 2 2 2 7 2 10" xfId="31483"/>
    <cellStyle name="Heading 2 2 2 2 7 2 10 2" xfId="31484"/>
    <cellStyle name="Heading 2 2 2 2 7 2 10 2 2" xfId="31485"/>
    <cellStyle name="Heading 2 2 2 2 7 2 10 3" xfId="31486"/>
    <cellStyle name="Heading 2 2 2 2 7 2 11" xfId="31487"/>
    <cellStyle name="Heading 2 2 2 2 7 2 11 2" xfId="31488"/>
    <cellStyle name="Heading 2 2 2 2 7 2 11 2 2" xfId="31489"/>
    <cellStyle name="Heading 2 2 2 2 7 2 11 3" xfId="31490"/>
    <cellStyle name="Heading 2 2 2 2 7 2 12" xfId="31491"/>
    <cellStyle name="Heading 2 2 2 2 7 2 12 2" xfId="31492"/>
    <cellStyle name="Heading 2 2 2 2 7 2 12 2 2" xfId="31493"/>
    <cellStyle name="Heading 2 2 2 2 7 2 12 3" xfId="31494"/>
    <cellStyle name="Heading 2 2 2 2 7 2 13" xfId="31495"/>
    <cellStyle name="Heading 2 2 2 2 7 2 13 2" xfId="31496"/>
    <cellStyle name="Heading 2 2 2 2 7 2 13 2 2" xfId="31497"/>
    <cellStyle name="Heading 2 2 2 2 7 2 13 3" xfId="31498"/>
    <cellStyle name="Heading 2 2 2 2 7 2 14" xfId="31499"/>
    <cellStyle name="Heading 2 2 2 2 7 2 14 2" xfId="31500"/>
    <cellStyle name="Heading 2 2 2 2 7 2 14 2 2" xfId="31501"/>
    <cellStyle name="Heading 2 2 2 2 7 2 14 3" xfId="31502"/>
    <cellStyle name="Heading 2 2 2 2 7 2 15" xfId="31503"/>
    <cellStyle name="Heading 2 2 2 2 7 2 15 2" xfId="31504"/>
    <cellStyle name="Heading 2 2 2 2 7 2 15 2 2" xfId="31505"/>
    <cellStyle name="Heading 2 2 2 2 7 2 15 3" xfId="31506"/>
    <cellStyle name="Heading 2 2 2 2 7 2 16" xfId="31507"/>
    <cellStyle name="Heading 2 2 2 2 7 2 16 2" xfId="31508"/>
    <cellStyle name="Heading 2 2 2 2 7 2 16 2 2" xfId="31509"/>
    <cellStyle name="Heading 2 2 2 2 7 2 16 3" xfId="31510"/>
    <cellStyle name="Heading 2 2 2 2 7 2 17" xfId="31511"/>
    <cellStyle name="Heading 2 2 2 2 7 2 17 2" xfId="31512"/>
    <cellStyle name="Heading 2 2 2 2 7 2 17 2 2" xfId="31513"/>
    <cellStyle name="Heading 2 2 2 2 7 2 17 3" xfId="31514"/>
    <cellStyle name="Heading 2 2 2 2 7 2 18" xfId="31515"/>
    <cellStyle name="Heading 2 2 2 2 7 2 18 2" xfId="31516"/>
    <cellStyle name="Heading 2 2 2 2 7 2 18 2 2" xfId="31517"/>
    <cellStyle name="Heading 2 2 2 2 7 2 18 3" xfId="31518"/>
    <cellStyle name="Heading 2 2 2 2 7 2 19" xfId="31519"/>
    <cellStyle name="Heading 2 2 2 2 7 2 19 2" xfId="31520"/>
    <cellStyle name="Heading 2 2 2 2 7 2 19 2 2" xfId="31521"/>
    <cellStyle name="Heading 2 2 2 2 7 2 19 3" xfId="31522"/>
    <cellStyle name="Heading 2 2 2 2 7 2 2" xfId="31523"/>
    <cellStyle name="Heading 2 2 2 2 7 2 2 10" xfId="31524"/>
    <cellStyle name="Heading 2 2 2 2 7 2 2 10 2" xfId="31525"/>
    <cellStyle name="Heading 2 2 2 2 7 2 2 10 2 2" xfId="31526"/>
    <cellStyle name="Heading 2 2 2 2 7 2 2 10 3" xfId="31527"/>
    <cellStyle name="Heading 2 2 2 2 7 2 2 11" xfId="31528"/>
    <cellStyle name="Heading 2 2 2 2 7 2 2 11 2" xfId="31529"/>
    <cellStyle name="Heading 2 2 2 2 7 2 2 11 2 2" xfId="31530"/>
    <cellStyle name="Heading 2 2 2 2 7 2 2 11 3" xfId="31531"/>
    <cellStyle name="Heading 2 2 2 2 7 2 2 12" xfId="31532"/>
    <cellStyle name="Heading 2 2 2 2 7 2 2 12 2" xfId="31533"/>
    <cellStyle name="Heading 2 2 2 2 7 2 2 12 2 2" xfId="31534"/>
    <cellStyle name="Heading 2 2 2 2 7 2 2 12 3" xfId="31535"/>
    <cellStyle name="Heading 2 2 2 2 7 2 2 13" xfId="31536"/>
    <cellStyle name="Heading 2 2 2 2 7 2 2 13 2" xfId="31537"/>
    <cellStyle name="Heading 2 2 2 2 7 2 2 13 2 2" xfId="31538"/>
    <cellStyle name="Heading 2 2 2 2 7 2 2 13 3" xfId="31539"/>
    <cellStyle name="Heading 2 2 2 2 7 2 2 14" xfId="31540"/>
    <cellStyle name="Heading 2 2 2 2 7 2 2 14 2" xfId="31541"/>
    <cellStyle name="Heading 2 2 2 2 7 2 2 14 2 2" xfId="31542"/>
    <cellStyle name="Heading 2 2 2 2 7 2 2 14 3" xfId="31543"/>
    <cellStyle name="Heading 2 2 2 2 7 2 2 15" xfId="31544"/>
    <cellStyle name="Heading 2 2 2 2 7 2 2 15 2" xfId="31545"/>
    <cellStyle name="Heading 2 2 2 2 7 2 2 15 2 2" xfId="31546"/>
    <cellStyle name="Heading 2 2 2 2 7 2 2 15 3" xfId="31547"/>
    <cellStyle name="Heading 2 2 2 2 7 2 2 16" xfId="31548"/>
    <cellStyle name="Heading 2 2 2 2 7 2 2 16 2" xfId="31549"/>
    <cellStyle name="Heading 2 2 2 2 7 2 2 16 2 2" xfId="31550"/>
    <cellStyle name="Heading 2 2 2 2 7 2 2 16 3" xfId="31551"/>
    <cellStyle name="Heading 2 2 2 2 7 2 2 17" xfId="31552"/>
    <cellStyle name="Heading 2 2 2 2 7 2 2 17 2" xfId="31553"/>
    <cellStyle name="Heading 2 2 2 2 7 2 2 17 2 2" xfId="31554"/>
    <cellStyle name="Heading 2 2 2 2 7 2 2 17 3" xfId="31555"/>
    <cellStyle name="Heading 2 2 2 2 7 2 2 18" xfId="31556"/>
    <cellStyle name="Heading 2 2 2 2 7 2 2 18 2" xfId="31557"/>
    <cellStyle name="Heading 2 2 2 2 7 2 2 18 2 2" xfId="31558"/>
    <cellStyle name="Heading 2 2 2 2 7 2 2 18 3" xfId="31559"/>
    <cellStyle name="Heading 2 2 2 2 7 2 2 19" xfId="31560"/>
    <cellStyle name="Heading 2 2 2 2 7 2 2 19 2" xfId="31561"/>
    <cellStyle name="Heading 2 2 2 2 7 2 2 2" xfId="31562"/>
    <cellStyle name="Heading 2 2 2 2 7 2 2 2 2" xfId="31563"/>
    <cellStyle name="Heading 2 2 2 2 7 2 2 2 2 2" xfId="31564"/>
    <cellStyle name="Heading 2 2 2 2 7 2 2 2 2 2 2" xfId="31565"/>
    <cellStyle name="Heading 2 2 2 2 7 2 2 2 2 3" xfId="31566"/>
    <cellStyle name="Heading 2 2 2 2 7 2 2 2 3" xfId="31567"/>
    <cellStyle name="Heading 2 2 2 2 7 2 2 2 3 2" xfId="31568"/>
    <cellStyle name="Heading 2 2 2 2 7 2 2 2 3 2 2" xfId="31569"/>
    <cellStyle name="Heading 2 2 2 2 7 2 2 2 3 3" xfId="31570"/>
    <cellStyle name="Heading 2 2 2 2 7 2 2 2 4" xfId="31571"/>
    <cellStyle name="Heading 2 2 2 2 7 2 2 2 4 2" xfId="31572"/>
    <cellStyle name="Heading 2 2 2 2 7 2 2 2 4 2 2" xfId="31573"/>
    <cellStyle name="Heading 2 2 2 2 7 2 2 2 4 3" xfId="31574"/>
    <cellStyle name="Heading 2 2 2 2 7 2 2 2 5" xfId="31575"/>
    <cellStyle name="Heading 2 2 2 2 7 2 2 2 5 2" xfId="31576"/>
    <cellStyle name="Heading 2 2 2 2 7 2 2 2 5 2 2" xfId="31577"/>
    <cellStyle name="Heading 2 2 2 2 7 2 2 2 5 3" xfId="31578"/>
    <cellStyle name="Heading 2 2 2 2 7 2 2 2 6" xfId="31579"/>
    <cellStyle name="Heading 2 2 2 2 7 2 2 2 6 2" xfId="31580"/>
    <cellStyle name="Heading 2 2 2 2 7 2 2 2 6 2 2" xfId="31581"/>
    <cellStyle name="Heading 2 2 2 2 7 2 2 2 6 3" xfId="31582"/>
    <cellStyle name="Heading 2 2 2 2 7 2 2 2 7" xfId="31583"/>
    <cellStyle name="Heading 2 2 2 2 7 2 2 2 7 2" xfId="31584"/>
    <cellStyle name="Heading 2 2 2 2 7 2 2 2 7 2 2" xfId="31585"/>
    <cellStyle name="Heading 2 2 2 2 7 2 2 2 7 3" xfId="31586"/>
    <cellStyle name="Heading 2 2 2 2 7 2 2 2 8" xfId="31587"/>
    <cellStyle name="Heading 2 2 2 2 7 2 2 2 8 2" xfId="31588"/>
    <cellStyle name="Heading 2 2 2 2 7 2 2 2 9" xfId="31589"/>
    <cellStyle name="Heading 2 2 2 2 7 2 2 20" xfId="31590"/>
    <cellStyle name="Heading 2 2 2 2 7 2 2 20 2" xfId="31591"/>
    <cellStyle name="Heading 2 2 2 2 7 2 2 21" xfId="31592"/>
    <cellStyle name="Heading 2 2 2 2 7 2 2 21 2" xfId="31593"/>
    <cellStyle name="Heading 2 2 2 2 7 2 2 22" xfId="31594"/>
    <cellStyle name="Heading 2 2 2 2 7 2 2 3" xfId="31595"/>
    <cellStyle name="Heading 2 2 2 2 7 2 2 3 2" xfId="31596"/>
    <cellStyle name="Heading 2 2 2 2 7 2 2 3 2 2" xfId="31597"/>
    <cellStyle name="Heading 2 2 2 2 7 2 2 3 2 2 2" xfId="31598"/>
    <cellStyle name="Heading 2 2 2 2 7 2 2 3 2 3" xfId="31599"/>
    <cellStyle name="Heading 2 2 2 2 7 2 2 3 3" xfId="31600"/>
    <cellStyle name="Heading 2 2 2 2 7 2 2 3 3 2" xfId="31601"/>
    <cellStyle name="Heading 2 2 2 2 7 2 2 3 3 2 2" xfId="31602"/>
    <cellStyle name="Heading 2 2 2 2 7 2 2 3 3 3" xfId="31603"/>
    <cellStyle name="Heading 2 2 2 2 7 2 2 3 4" xfId="31604"/>
    <cellStyle name="Heading 2 2 2 2 7 2 2 3 4 2" xfId="31605"/>
    <cellStyle name="Heading 2 2 2 2 7 2 2 3 4 2 2" xfId="31606"/>
    <cellStyle name="Heading 2 2 2 2 7 2 2 3 4 3" xfId="31607"/>
    <cellStyle name="Heading 2 2 2 2 7 2 2 3 5" xfId="31608"/>
    <cellStyle name="Heading 2 2 2 2 7 2 2 3 5 2" xfId="31609"/>
    <cellStyle name="Heading 2 2 2 2 7 2 2 3 5 2 2" xfId="31610"/>
    <cellStyle name="Heading 2 2 2 2 7 2 2 3 5 3" xfId="31611"/>
    <cellStyle name="Heading 2 2 2 2 7 2 2 3 6" xfId="31612"/>
    <cellStyle name="Heading 2 2 2 2 7 2 2 3 6 2" xfId="31613"/>
    <cellStyle name="Heading 2 2 2 2 7 2 2 3 6 2 2" xfId="31614"/>
    <cellStyle name="Heading 2 2 2 2 7 2 2 3 6 3" xfId="31615"/>
    <cellStyle name="Heading 2 2 2 2 7 2 2 3 7" xfId="31616"/>
    <cellStyle name="Heading 2 2 2 2 7 2 2 3 7 2" xfId="31617"/>
    <cellStyle name="Heading 2 2 2 2 7 2 2 3 7 2 2" xfId="31618"/>
    <cellStyle name="Heading 2 2 2 2 7 2 2 3 7 3" xfId="31619"/>
    <cellStyle name="Heading 2 2 2 2 7 2 2 3 8" xfId="31620"/>
    <cellStyle name="Heading 2 2 2 2 7 2 2 3 8 2" xfId="31621"/>
    <cellStyle name="Heading 2 2 2 2 7 2 2 3 9" xfId="31622"/>
    <cellStyle name="Heading 2 2 2 2 7 2 2 4" xfId="31623"/>
    <cellStyle name="Heading 2 2 2 2 7 2 2 4 2" xfId="31624"/>
    <cellStyle name="Heading 2 2 2 2 7 2 2 4 2 2" xfId="31625"/>
    <cellStyle name="Heading 2 2 2 2 7 2 2 4 2 2 2" xfId="31626"/>
    <cellStyle name="Heading 2 2 2 2 7 2 2 4 2 3" xfId="31627"/>
    <cellStyle name="Heading 2 2 2 2 7 2 2 4 3" xfId="31628"/>
    <cellStyle name="Heading 2 2 2 2 7 2 2 4 3 2" xfId="31629"/>
    <cellStyle name="Heading 2 2 2 2 7 2 2 4 3 2 2" xfId="31630"/>
    <cellStyle name="Heading 2 2 2 2 7 2 2 4 3 3" xfId="31631"/>
    <cellStyle name="Heading 2 2 2 2 7 2 2 4 4" xfId="31632"/>
    <cellStyle name="Heading 2 2 2 2 7 2 2 4 4 2" xfId="31633"/>
    <cellStyle name="Heading 2 2 2 2 7 2 2 4 4 2 2" xfId="31634"/>
    <cellStyle name="Heading 2 2 2 2 7 2 2 4 4 3" xfId="31635"/>
    <cellStyle name="Heading 2 2 2 2 7 2 2 4 5" xfId="31636"/>
    <cellStyle name="Heading 2 2 2 2 7 2 2 4 5 2" xfId="31637"/>
    <cellStyle name="Heading 2 2 2 2 7 2 2 4 5 2 2" xfId="31638"/>
    <cellStyle name="Heading 2 2 2 2 7 2 2 4 5 3" xfId="31639"/>
    <cellStyle name="Heading 2 2 2 2 7 2 2 4 6" xfId="31640"/>
    <cellStyle name="Heading 2 2 2 2 7 2 2 4 6 2" xfId="31641"/>
    <cellStyle name="Heading 2 2 2 2 7 2 2 4 6 2 2" xfId="31642"/>
    <cellStyle name="Heading 2 2 2 2 7 2 2 4 6 3" xfId="31643"/>
    <cellStyle name="Heading 2 2 2 2 7 2 2 4 7" xfId="31644"/>
    <cellStyle name="Heading 2 2 2 2 7 2 2 4 7 2" xfId="31645"/>
    <cellStyle name="Heading 2 2 2 2 7 2 2 4 7 2 2" xfId="31646"/>
    <cellStyle name="Heading 2 2 2 2 7 2 2 4 7 3" xfId="31647"/>
    <cellStyle name="Heading 2 2 2 2 7 2 2 4 8" xfId="31648"/>
    <cellStyle name="Heading 2 2 2 2 7 2 2 4 8 2" xfId="31649"/>
    <cellStyle name="Heading 2 2 2 2 7 2 2 4 9" xfId="31650"/>
    <cellStyle name="Heading 2 2 2 2 7 2 2 5" xfId="31651"/>
    <cellStyle name="Heading 2 2 2 2 7 2 2 5 2" xfId="31652"/>
    <cellStyle name="Heading 2 2 2 2 7 2 2 5 2 2" xfId="31653"/>
    <cellStyle name="Heading 2 2 2 2 7 2 2 5 2 2 2" xfId="31654"/>
    <cellStyle name="Heading 2 2 2 2 7 2 2 5 2 3" xfId="31655"/>
    <cellStyle name="Heading 2 2 2 2 7 2 2 5 3" xfId="31656"/>
    <cellStyle name="Heading 2 2 2 2 7 2 2 5 3 2" xfId="31657"/>
    <cellStyle name="Heading 2 2 2 2 7 2 2 5 3 2 2" xfId="31658"/>
    <cellStyle name="Heading 2 2 2 2 7 2 2 5 3 3" xfId="31659"/>
    <cellStyle name="Heading 2 2 2 2 7 2 2 5 4" xfId="31660"/>
    <cellStyle name="Heading 2 2 2 2 7 2 2 5 4 2" xfId="31661"/>
    <cellStyle name="Heading 2 2 2 2 7 2 2 5 4 2 2" xfId="31662"/>
    <cellStyle name="Heading 2 2 2 2 7 2 2 5 4 3" xfId="31663"/>
    <cellStyle name="Heading 2 2 2 2 7 2 2 5 5" xfId="31664"/>
    <cellStyle name="Heading 2 2 2 2 7 2 2 5 5 2" xfId="31665"/>
    <cellStyle name="Heading 2 2 2 2 7 2 2 5 5 2 2" xfId="31666"/>
    <cellStyle name="Heading 2 2 2 2 7 2 2 5 5 3" xfId="31667"/>
    <cellStyle name="Heading 2 2 2 2 7 2 2 5 6" xfId="31668"/>
    <cellStyle name="Heading 2 2 2 2 7 2 2 5 6 2" xfId="31669"/>
    <cellStyle name="Heading 2 2 2 2 7 2 2 5 6 2 2" xfId="31670"/>
    <cellStyle name="Heading 2 2 2 2 7 2 2 5 6 3" xfId="31671"/>
    <cellStyle name="Heading 2 2 2 2 7 2 2 5 7" xfId="31672"/>
    <cellStyle name="Heading 2 2 2 2 7 2 2 5 7 2" xfId="31673"/>
    <cellStyle name="Heading 2 2 2 2 7 2 2 5 7 2 2" xfId="31674"/>
    <cellStyle name="Heading 2 2 2 2 7 2 2 5 7 3" xfId="31675"/>
    <cellStyle name="Heading 2 2 2 2 7 2 2 5 8" xfId="31676"/>
    <cellStyle name="Heading 2 2 2 2 7 2 2 5 8 2" xfId="31677"/>
    <cellStyle name="Heading 2 2 2 2 7 2 2 5 9" xfId="31678"/>
    <cellStyle name="Heading 2 2 2 2 7 2 2 6" xfId="31679"/>
    <cellStyle name="Heading 2 2 2 2 7 2 2 6 2" xfId="31680"/>
    <cellStyle name="Heading 2 2 2 2 7 2 2 6 2 2" xfId="31681"/>
    <cellStyle name="Heading 2 2 2 2 7 2 2 6 2 2 2" xfId="31682"/>
    <cellStyle name="Heading 2 2 2 2 7 2 2 6 2 3" xfId="31683"/>
    <cellStyle name="Heading 2 2 2 2 7 2 2 6 3" xfId="31684"/>
    <cellStyle name="Heading 2 2 2 2 7 2 2 6 3 2" xfId="31685"/>
    <cellStyle name="Heading 2 2 2 2 7 2 2 6 3 2 2" xfId="31686"/>
    <cellStyle name="Heading 2 2 2 2 7 2 2 6 3 3" xfId="31687"/>
    <cellStyle name="Heading 2 2 2 2 7 2 2 6 4" xfId="31688"/>
    <cellStyle name="Heading 2 2 2 2 7 2 2 6 4 2" xfId="31689"/>
    <cellStyle name="Heading 2 2 2 2 7 2 2 6 4 2 2" xfId="31690"/>
    <cellStyle name="Heading 2 2 2 2 7 2 2 6 4 3" xfId="31691"/>
    <cellStyle name="Heading 2 2 2 2 7 2 2 6 5" xfId="31692"/>
    <cellStyle name="Heading 2 2 2 2 7 2 2 6 5 2" xfId="31693"/>
    <cellStyle name="Heading 2 2 2 2 7 2 2 6 5 2 2" xfId="31694"/>
    <cellStyle name="Heading 2 2 2 2 7 2 2 6 5 3" xfId="31695"/>
    <cellStyle name="Heading 2 2 2 2 7 2 2 6 6" xfId="31696"/>
    <cellStyle name="Heading 2 2 2 2 7 2 2 6 6 2" xfId="31697"/>
    <cellStyle name="Heading 2 2 2 2 7 2 2 6 6 2 2" xfId="31698"/>
    <cellStyle name="Heading 2 2 2 2 7 2 2 6 6 3" xfId="31699"/>
    <cellStyle name="Heading 2 2 2 2 7 2 2 6 7" xfId="31700"/>
    <cellStyle name="Heading 2 2 2 2 7 2 2 6 7 2" xfId="31701"/>
    <cellStyle name="Heading 2 2 2 2 7 2 2 6 7 2 2" xfId="31702"/>
    <cellStyle name="Heading 2 2 2 2 7 2 2 6 7 3" xfId="31703"/>
    <cellStyle name="Heading 2 2 2 2 7 2 2 6 8" xfId="31704"/>
    <cellStyle name="Heading 2 2 2 2 7 2 2 6 8 2" xfId="31705"/>
    <cellStyle name="Heading 2 2 2 2 7 2 2 6 9" xfId="31706"/>
    <cellStyle name="Heading 2 2 2 2 7 2 2 7" xfId="31707"/>
    <cellStyle name="Heading 2 2 2 2 7 2 2 7 2" xfId="31708"/>
    <cellStyle name="Heading 2 2 2 2 7 2 2 7 2 2" xfId="31709"/>
    <cellStyle name="Heading 2 2 2 2 7 2 2 7 2 2 2" xfId="31710"/>
    <cellStyle name="Heading 2 2 2 2 7 2 2 7 2 3" xfId="31711"/>
    <cellStyle name="Heading 2 2 2 2 7 2 2 7 3" xfId="31712"/>
    <cellStyle name="Heading 2 2 2 2 7 2 2 7 3 2" xfId="31713"/>
    <cellStyle name="Heading 2 2 2 2 7 2 2 7 3 2 2" xfId="31714"/>
    <cellStyle name="Heading 2 2 2 2 7 2 2 7 3 3" xfId="31715"/>
    <cellStyle name="Heading 2 2 2 2 7 2 2 7 4" xfId="31716"/>
    <cellStyle name="Heading 2 2 2 2 7 2 2 7 4 2" xfId="31717"/>
    <cellStyle name="Heading 2 2 2 2 7 2 2 7 4 2 2" xfId="31718"/>
    <cellStyle name="Heading 2 2 2 2 7 2 2 7 4 3" xfId="31719"/>
    <cellStyle name="Heading 2 2 2 2 7 2 2 7 5" xfId="31720"/>
    <cellStyle name="Heading 2 2 2 2 7 2 2 7 5 2" xfId="31721"/>
    <cellStyle name="Heading 2 2 2 2 7 2 2 7 5 2 2" xfId="31722"/>
    <cellStyle name="Heading 2 2 2 2 7 2 2 7 5 3" xfId="31723"/>
    <cellStyle name="Heading 2 2 2 2 7 2 2 7 6" xfId="31724"/>
    <cellStyle name="Heading 2 2 2 2 7 2 2 7 6 2" xfId="31725"/>
    <cellStyle name="Heading 2 2 2 2 7 2 2 7 6 2 2" xfId="31726"/>
    <cellStyle name="Heading 2 2 2 2 7 2 2 7 6 3" xfId="31727"/>
    <cellStyle name="Heading 2 2 2 2 7 2 2 7 7" xfId="31728"/>
    <cellStyle name="Heading 2 2 2 2 7 2 2 7 7 2" xfId="31729"/>
    <cellStyle name="Heading 2 2 2 2 7 2 2 7 7 2 2" xfId="31730"/>
    <cellStyle name="Heading 2 2 2 2 7 2 2 7 7 3" xfId="31731"/>
    <cellStyle name="Heading 2 2 2 2 7 2 2 7 8" xfId="31732"/>
    <cellStyle name="Heading 2 2 2 2 7 2 2 7 8 2" xfId="31733"/>
    <cellStyle name="Heading 2 2 2 2 7 2 2 7 9" xfId="31734"/>
    <cellStyle name="Heading 2 2 2 2 7 2 2 8" xfId="31735"/>
    <cellStyle name="Heading 2 2 2 2 7 2 2 8 2" xfId="31736"/>
    <cellStyle name="Heading 2 2 2 2 7 2 2 8 2 2" xfId="31737"/>
    <cellStyle name="Heading 2 2 2 2 7 2 2 8 2 2 2" xfId="31738"/>
    <cellStyle name="Heading 2 2 2 2 7 2 2 8 2 3" xfId="31739"/>
    <cellStyle name="Heading 2 2 2 2 7 2 2 8 3" xfId="31740"/>
    <cellStyle name="Heading 2 2 2 2 7 2 2 8 3 2" xfId="31741"/>
    <cellStyle name="Heading 2 2 2 2 7 2 2 8 3 2 2" xfId="31742"/>
    <cellStyle name="Heading 2 2 2 2 7 2 2 8 3 3" xfId="31743"/>
    <cellStyle name="Heading 2 2 2 2 7 2 2 8 4" xfId="31744"/>
    <cellStyle name="Heading 2 2 2 2 7 2 2 8 4 2" xfId="31745"/>
    <cellStyle name="Heading 2 2 2 2 7 2 2 8 4 2 2" xfId="31746"/>
    <cellStyle name="Heading 2 2 2 2 7 2 2 8 4 3" xfId="31747"/>
    <cellStyle name="Heading 2 2 2 2 7 2 2 8 5" xfId="31748"/>
    <cellStyle name="Heading 2 2 2 2 7 2 2 8 5 2" xfId="31749"/>
    <cellStyle name="Heading 2 2 2 2 7 2 2 8 5 2 2" xfId="31750"/>
    <cellStyle name="Heading 2 2 2 2 7 2 2 8 5 3" xfId="31751"/>
    <cellStyle name="Heading 2 2 2 2 7 2 2 8 6" xfId="31752"/>
    <cellStyle name="Heading 2 2 2 2 7 2 2 8 6 2" xfId="31753"/>
    <cellStyle name="Heading 2 2 2 2 7 2 2 8 6 2 2" xfId="31754"/>
    <cellStyle name="Heading 2 2 2 2 7 2 2 8 6 3" xfId="31755"/>
    <cellStyle name="Heading 2 2 2 2 7 2 2 8 7" xfId="31756"/>
    <cellStyle name="Heading 2 2 2 2 7 2 2 8 7 2" xfId="31757"/>
    <cellStyle name="Heading 2 2 2 2 7 2 2 8 7 2 2" xfId="31758"/>
    <cellStyle name="Heading 2 2 2 2 7 2 2 8 7 3" xfId="31759"/>
    <cellStyle name="Heading 2 2 2 2 7 2 2 8 8" xfId="31760"/>
    <cellStyle name="Heading 2 2 2 2 7 2 2 8 8 2" xfId="31761"/>
    <cellStyle name="Heading 2 2 2 2 7 2 2 8 9" xfId="31762"/>
    <cellStyle name="Heading 2 2 2 2 7 2 2 9" xfId="31763"/>
    <cellStyle name="Heading 2 2 2 2 7 2 2 9 2" xfId="31764"/>
    <cellStyle name="Heading 2 2 2 2 7 2 2 9 2 2" xfId="31765"/>
    <cellStyle name="Heading 2 2 2 2 7 2 2 9 3" xfId="31766"/>
    <cellStyle name="Heading 2 2 2 2 7 2 20" xfId="31767"/>
    <cellStyle name="Heading 2 2 2 2 7 2 20 2" xfId="31768"/>
    <cellStyle name="Heading 2 2 2 2 7 2 21" xfId="31769"/>
    <cellStyle name="Heading 2 2 2 2 7 2 21 2" xfId="31770"/>
    <cellStyle name="Heading 2 2 2 2 7 2 22" xfId="31771"/>
    <cellStyle name="Heading 2 2 2 2 7 2 22 2" xfId="31772"/>
    <cellStyle name="Heading 2 2 2 2 7 2 23" xfId="31773"/>
    <cellStyle name="Heading 2 2 2 2 7 2 3" xfId="31774"/>
    <cellStyle name="Heading 2 2 2 2 7 2 3 2" xfId="31775"/>
    <cellStyle name="Heading 2 2 2 2 7 2 3 2 2" xfId="31776"/>
    <cellStyle name="Heading 2 2 2 2 7 2 3 2 2 2" xfId="31777"/>
    <cellStyle name="Heading 2 2 2 2 7 2 3 2 3" xfId="31778"/>
    <cellStyle name="Heading 2 2 2 2 7 2 3 3" xfId="31779"/>
    <cellStyle name="Heading 2 2 2 2 7 2 3 3 2" xfId="31780"/>
    <cellStyle name="Heading 2 2 2 2 7 2 3 3 2 2" xfId="31781"/>
    <cellStyle name="Heading 2 2 2 2 7 2 3 3 3" xfId="31782"/>
    <cellStyle name="Heading 2 2 2 2 7 2 3 4" xfId="31783"/>
    <cellStyle name="Heading 2 2 2 2 7 2 3 4 2" xfId="31784"/>
    <cellStyle name="Heading 2 2 2 2 7 2 3 4 2 2" xfId="31785"/>
    <cellStyle name="Heading 2 2 2 2 7 2 3 4 3" xfId="31786"/>
    <cellStyle name="Heading 2 2 2 2 7 2 3 5" xfId="31787"/>
    <cellStyle name="Heading 2 2 2 2 7 2 3 5 2" xfId="31788"/>
    <cellStyle name="Heading 2 2 2 2 7 2 3 5 2 2" xfId="31789"/>
    <cellStyle name="Heading 2 2 2 2 7 2 3 5 3" xfId="31790"/>
    <cellStyle name="Heading 2 2 2 2 7 2 3 6" xfId="31791"/>
    <cellStyle name="Heading 2 2 2 2 7 2 3 6 2" xfId="31792"/>
    <cellStyle name="Heading 2 2 2 2 7 2 3 6 2 2" xfId="31793"/>
    <cellStyle name="Heading 2 2 2 2 7 2 3 6 3" xfId="31794"/>
    <cellStyle name="Heading 2 2 2 2 7 2 3 7" xfId="31795"/>
    <cellStyle name="Heading 2 2 2 2 7 2 3 7 2" xfId="31796"/>
    <cellStyle name="Heading 2 2 2 2 7 2 3 7 2 2" xfId="31797"/>
    <cellStyle name="Heading 2 2 2 2 7 2 3 7 3" xfId="31798"/>
    <cellStyle name="Heading 2 2 2 2 7 2 3 8" xfId="31799"/>
    <cellStyle name="Heading 2 2 2 2 7 2 3 8 2" xfId="31800"/>
    <cellStyle name="Heading 2 2 2 2 7 2 3 9" xfId="31801"/>
    <cellStyle name="Heading 2 2 2 2 7 2 4" xfId="31802"/>
    <cellStyle name="Heading 2 2 2 2 7 2 4 2" xfId="31803"/>
    <cellStyle name="Heading 2 2 2 2 7 2 4 2 2" xfId="31804"/>
    <cellStyle name="Heading 2 2 2 2 7 2 4 2 2 2" xfId="31805"/>
    <cellStyle name="Heading 2 2 2 2 7 2 4 2 3" xfId="31806"/>
    <cellStyle name="Heading 2 2 2 2 7 2 4 3" xfId="31807"/>
    <cellStyle name="Heading 2 2 2 2 7 2 4 3 2" xfId="31808"/>
    <cellStyle name="Heading 2 2 2 2 7 2 4 3 2 2" xfId="31809"/>
    <cellStyle name="Heading 2 2 2 2 7 2 4 3 3" xfId="31810"/>
    <cellStyle name="Heading 2 2 2 2 7 2 4 4" xfId="31811"/>
    <cellStyle name="Heading 2 2 2 2 7 2 4 4 2" xfId="31812"/>
    <cellStyle name="Heading 2 2 2 2 7 2 4 4 2 2" xfId="31813"/>
    <cellStyle name="Heading 2 2 2 2 7 2 4 4 3" xfId="31814"/>
    <cellStyle name="Heading 2 2 2 2 7 2 4 5" xfId="31815"/>
    <cellStyle name="Heading 2 2 2 2 7 2 4 5 2" xfId="31816"/>
    <cellStyle name="Heading 2 2 2 2 7 2 4 5 2 2" xfId="31817"/>
    <cellStyle name="Heading 2 2 2 2 7 2 4 5 3" xfId="31818"/>
    <cellStyle name="Heading 2 2 2 2 7 2 4 6" xfId="31819"/>
    <cellStyle name="Heading 2 2 2 2 7 2 4 6 2" xfId="31820"/>
    <cellStyle name="Heading 2 2 2 2 7 2 4 6 2 2" xfId="31821"/>
    <cellStyle name="Heading 2 2 2 2 7 2 4 6 3" xfId="31822"/>
    <cellStyle name="Heading 2 2 2 2 7 2 4 7" xfId="31823"/>
    <cellStyle name="Heading 2 2 2 2 7 2 4 7 2" xfId="31824"/>
    <cellStyle name="Heading 2 2 2 2 7 2 4 7 2 2" xfId="31825"/>
    <cellStyle name="Heading 2 2 2 2 7 2 4 7 3" xfId="31826"/>
    <cellStyle name="Heading 2 2 2 2 7 2 4 8" xfId="31827"/>
    <cellStyle name="Heading 2 2 2 2 7 2 4 8 2" xfId="31828"/>
    <cellStyle name="Heading 2 2 2 2 7 2 4 9" xfId="31829"/>
    <cellStyle name="Heading 2 2 2 2 7 2 5" xfId="31830"/>
    <cellStyle name="Heading 2 2 2 2 7 2 5 2" xfId="31831"/>
    <cellStyle name="Heading 2 2 2 2 7 2 5 2 2" xfId="31832"/>
    <cellStyle name="Heading 2 2 2 2 7 2 5 2 2 2" xfId="31833"/>
    <cellStyle name="Heading 2 2 2 2 7 2 5 2 3" xfId="31834"/>
    <cellStyle name="Heading 2 2 2 2 7 2 5 3" xfId="31835"/>
    <cellStyle name="Heading 2 2 2 2 7 2 5 3 2" xfId="31836"/>
    <cellStyle name="Heading 2 2 2 2 7 2 5 3 2 2" xfId="31837"/>
    <cellStyle name="Heading 2 2 2 2 7 2 5 3 3" xfId="31838"/>
    <cellStyle name="Heading 2 2 2 2 7 2 5 4" xfId="31839"/>
    <cellStyle name="Heading 2 2 2 2 7 2 5 4 2" xfId="31840"/>
    <cellStyle name="Heading 2 2 2 2 7 2 5 4 2 2" xfId="31841"/>
    <cellStyle name="Heading 2 2 2 2 7 2 5 4 3" xfId="31842"/>
    <cellStyle name="Heading 2 2 2 2 7 2 5 5" xfId="31843"/>
    <cellStyle name="Heading 2 2 2 2 7 2 5 5 2" xfId="31844"/>
    <cellStyle name="Heading 2 2 2 2 7 2 5 5 2 2" xfId="31845"/>
    <cellStyle name="Heading 2 2 2 2 7 2 5 5 3" xfId="31846"/>
    <cellStyle name="Heading 2 2 2 2 7 2 5 6" xfId="31847"/>
    <cellStyle name="Heading 2 2 2 2 7 2 5 6 2" xfId="31848"/>
    <cellStyle name="Heading 2 2 2 2 7 2 5 6 2 2" xfId="31849"/>
    <cellStyle name="Heading 2 2 2 2 7 2 5 6 3" xfId="31850"/>
    <cellStyle name="Heading 2 2 2 2 7 2 5 7" xfId="31851"/>
    <cellStyle name="Heading 2 2 2 2 7 2 5 7 2" xfId="31852"/>
    <cellStyle name="Heading 2 2 2 2 7 2 5 7 2 2" xfId="31853"/>
    <cellStyle name="Heading 2 2 2 2 7 2 5 7 3" xfId="31854"/>
    <cellStyle name="Heading 2 2 2 2 7 2 5 8" xfId="31855"/>
    <cellStyle name="Heading 2 2 2 2 7 2 5 8 2" xfId="31856"/>
    <cellStyle name="Heading 2 2 2 2 7 2 5 9" xfId="31857"/>
    <cellStyle name="Heading 2 2 2 2 7 2 6" xfId="31858"/>
    <cellStyle name="Heading 2 2 2 2 7 2 6 2" xfId="31859"/>
    <cellStyle name="Heading 2 2 2 2 7 2 6 2 2" xfId="31860"/>
    <cellStyle name="Heading 2 2 2 2 7 2 6 2 2 2" xfId="31861"/>
    <cellStyle name="Heading 2 2 2 2 7 2 6 2 3" xfId="31862"/>
    <cellStyle name="Heading 2 2 2 2 7 2 6 3" xfId="31863"/>
    <cellStyle name="Heading 2 2 2 2 7 2 6 3 2" xfId="31864"/>
    <cellStyle name="Heading 2 2 2 2 7 2 6 3 2 2" xfId="31865"/>
    <cellStyle name="Heading 2 2 2 2 7 2 6 3 3" xfId="31866"/>
    <cellStyle name="Heading 2 2 2 2 7 2 6 4" xfId="31867"/>
    <cellStyle name="Heading 2 2 2 2 7 2 6 4 2" xfId="31868"/>
    <cellStyle name="Heading 2 2 2 2 7 2 6 4 2 2" xfId="31869"/>
    <cellStyle name="Heading 2 2 2 2 7 2 6 4 3" xfId="31870"/>
    <cellStyle name="Heading 2 2 2 2 7 2 6 5" xfId="31871"/>
    <cellStyle name="Heading 2 2 2 2 7 2 6 5 2" xfId="31872"/>
    <cellStyle name="Heading 2 2 2 2 7 2 6 5 2 2" xfId="31873"/>
    <cellStyle name="Heading 2 2 2 2 7 2 6 5 3" xfId="31874"/>
    <cellStyle name="Heading 2 2 2 2 7 2 6 6" xfId="31875"/>
    <cellStyle name="Heading 2 2 2 2 7 2 6 6 2" xfId="31876"/>
    <cellStyle name="Heading 2 2 2 2 7 2 6 6 2 2" xfId="31877"/>
    <cellStyle name="Heading 2 2 2 2 7 2 6 6 3" xfId="31878"/>
    <cellStyle name="Heading 2 2 2 2 7 2 6 7" xfId="31879"/>
    <cellStyle name="Heading 2 2 2 2 7 2 6 7 2" xfId="31880"/>
    <cellStyle name="Heading 2 2 2 2 7 2 6 7 2 2" xfId="31881"/>
    <cellStyle name="Heading 2 2 2 2 7 2 6 7 3" xfId="31882"/>
    <cellStyle name="Heading 2 2 2 2 7 2 6 8" xfId="31883"/>
    <cellStyle name="Heading 2 2 2 2 7 2 6 8 2" xfId="31884"/>
    <cellStyle name="Heading 2 2 2 2 7 2 6 9" xfId="31885"/>
    <cellStyle name="Heading 2 2 2 2 7 2 7" xfId="31886"/>
    <cellStyle name="Heading 2 2 2 2 7 2 7 2" xfId="31887"/>
    <cellStyle name="Heading 2 2 2 2 7 2 7 2 2" xfId="31888"/>
    <cellStyle name="Heading 2 2 2 2 7 2 7 2 2 2" xfId="31889"/>
    <cellStyle name="Heading 2 2 2 2 7 2 7 2 3" xfId="31890"/>
    <cellStyle name="Heading 2 2 2 2 7 2 7 3" xfId="31891"/>
    <cellStyle name="Heading 2 2 2 2 7 2 7 3 2" xfId="31892"/>
    <cellStyle name="Heading 2 2 2 2 7 2 7 3 2 2" xfId="31893"/>
    <cellStyle name="Heading 2 2 2 2 7 2 7 3 3" xfId="31894"/>
    <cellStyle name="Heading 2 2 2 2 7 2 7 4" xfId="31895"/>
    <cellStyle name="Heading 2 2 2 2 7 2 7 4 2" xfId="31896"/>
    <cellStyle name="Heading 2 2 2 2 7 2 7 4 2 2" xfId="31897"/>
    <cellStyle name="Heading 2 2 2 2 7 2 7 4 3" xfId="31898"/>
    <cellStyle name="Heading 2 2 2 2 7 2 7 5" xfId="31899"/>
    <cellStyle name="Heading 2 2 2 2 7 2 7 5 2" xfId="31900"/>
    <cellStyle name="Heading 2 2 2 2 7 2 7 5 2 2" xfId="31901"/>
    <cellStyle name="Heading 2 2 2 2 7 2 7 5 3" xfId="31902"/>
    <cellStyle name="Heading 2 2 2 2 7 2 7 6" xfId="31903"/>
    <cellStyle name="Heading 2 2 2 2 7 2 7 6 2" xfId="31904"/>
    <cellStyle name="Heading 2 2 2 2 7 2 7 6 2 2" xfId="31905"/>
    <cellStyle name="Heading 2 2 2 2 7 2 7 6 3" xfId="31906"/>
    <cellStyle name="Heading 2 2 2 2 7 2 7 7" xfId="31907"/>
    <cellStyle name="Heading 2 2 2 2 7 2 7 7 2" xfId="31908"/>
    <cellStyle name="Heading 2 2 2 2 7 2 7 7 2 2" xfId="31909"/>
    <cellStyle name="Heading 2 2 2 2 7 2 7 7 3" xfId="31910"/>
    <cellStyle name="Heading 2 2 2 2 7 2 7 8" xfId="31911"/>
    <cellStyle name="Heading 2 2 2 2 7 2 7 8 2" xfId="31912"/>
    <cellStyle name="Heading 2 2 2 2 7 2 7 9" xfId="31913"/>
    <cellStyle name="Heading 2 2 2 2 7 2 8" xfId="31914"/>
    <cellStyle name="Heading 2 2 2 2 7 2 8 2" xfId="31915"/>
    <cellStyle name="Heading 2 2 2 2 7 2 8 2 2" xfId="31916"/>
    <cellStyle name="Heading 2 2 2 2 7 2 8 2 2 2" xfId="31917"/>
    <cellStyle name="Heading 2 2 2 2 7 2 8 2 3" xfId="31918"/>
    <cellStyle name="Heading 2 2 2 2 7 2 8 3" xfId="31919"/>
    <cellStyle name="Heading 2 2 2 2 7 2 8 3 2" xfId="31920"/>
    <cellStyle name="Heading 2 2 2 2 7 2 8 3 2 2" xfId="31921"/>
    <cellStyle name="Heading 2 2 2 2 7 2 8 3 3" xfId="31922"/>
    <cellStyle name="Heading 2 2 2 2 7 2 8 4" xfId="31923"/>
    <cellStyle name="Heading 2 2 2 2 7 2 8 4 2" xfId="31924"/>
    <cellStyle name="Heading 2 2 2 2 7 2 8 4 2 2" xfId="31925"/>
    <cellStyle name="Heading 2 2 2 2 7 2 8 4 3" xfId="31926"/>
    <cellStyle name="Heading 2 2 2 2 7 2 8 5" xfId="31927"/>
    <cellStyle name="Heading 2 2 2 2 7 2 8 5 2" xfId="31928"/>
    <cellStyle name="Heading 2 2 2 2 7 2 8 5 2 2" xfId="31929"/>
    <cellStyle name="Heading 2 2 2 2 7 2 8 5 3" xfId="31930"/>
    <cellStyle name="Heading 2 2 2 2 7 2 8 6" xfId="31931"/>
    <cellStyle name="Heading 2 2 2 2 7 2 8 6 2" xfId="31932"/>
    <cellStyle name="Heading 2 2 2 2 7 2 8 6 2 2" xfId="31933"/>
    <cellStyle name="Heading 2 2 2 2 7 2 8 6 3" xfId="31934"/>
    <cellStyle name="Heading 2 2 2 2 7 2 8 7" xfId="31935"/>
    <cellStyle name="Heading 2 2 2 2 7 2 8 7 2" xfId="31936"/>
    <cellStyle name="Heading 2 2 2 2 7 2 8 7 2 2" xfId="31937"/>
    <cellStyle name="Heading 2 2 2 2 7 2 8 7 3" xfId="31938"/>
    <cellStyle name="Heading 2 2 2 2 7 2 8 8" xfId="31939"/>
    <cellStyle name="Heading 2 2 2 2 7 2 8 8 2" xfId="31940"/>
    <cellStyle name="Heading 2 2 2 2 7 2 8 9" xfId="31941"/>
    <cellStyle name="Heading 2 2 2 2 7 2 9" xfId="31942"/>
    <cellStyle name="Heading 2 2 2 2 7 2 9 2" xfId="31943"/>
    <cellStyle name="Heading 2 2 2 2 7 2 9 2 2" xfId="31944"/>
    <cellStyle name="Heading 2 2 2 2 7 2 9 2 2 2" xfId="31945"/>
    <cellStyle name="Heading 2 2 2 2 7 2 9 2 3" xfId="31946"/>
    <cellStyle name="Heading 2 2 2 2 7 2 9 3" xfId="31947"/>
    <cellStyle name="Heading 2 2 2 2 7 2 9 3 2" xfId="31948"/>
    <cellStyle name="Heading 2 2 2 2 7 2 9 3 2 2" xfId="31949"/>
    <cellStyle name="Heading 2 2 2 2 7 2 9 3 3" xfId="31950"/>
    <cellStyle name="Heading 2 2 2 2 7 2 9 4" xfId="31951"/>
    <cellStyle name="Heading 2 2 2 2 7 2 9 4 2" xfId="31952"/>
    <cellStyle name="Heading 2 2 2 2 7 2 9 4 2 2" xfId="31953"/>
    <cellStyle name="Heading 2 2 2 2 7 2 9 4 3" xfId="31954"/>
    <cellStyle name="Heading 2 2 2 2 7 2 9 5" xfId="31955"/>
    <cellStyle name="Heading 2 2 2 2 7 2 9 5 2" xfId="31956"/>
    <cellStyle name="Heading 2 2 2 2 7 2 9 5 2 2" xfId="31957"/>
    <cellStyle name="Heading 2 2 2 2 7 2 9 5 3" xfId="31958"/>
    <cellStyle name="Heading 2 2 2 2 7 2 9 6" xfId="31959"/>
    <cellStyle name="Heading 2 2 2 2 7 2 9 6 2" xfId="31960"/>
    <cellStyle name="Heading 2 2 2 2 7 2 9 6 2 2" xfId="31961"/>
    <cellStyle name="Heading 2 2 2 2 7 2 9 6 3" xfId="31962"/>
    <cellStyle name="Heading 2 2 2 2 7 2 9 7" xfId="31963"/>
    <cellStyle name="Heading 2 2 2 2 7 2 9 7 2" xfId="31964"/>
    <cellStyle name="Heading 2 2 2 2 7 2 9 7 2 2" xfId="31965"/>
    <cellStyle name="Heading 2 2 2 2 7 2 9 7 3" xfId="31966"/>
    <cellStyle name="Heading 2 2 2 2 7 2 9 8" xfId="31967"/>
    <cellStyle name="Heading 2 2 2 2 7 2 9 8 2" xfId="31968"/>
    <cellStyle name="Heading 2 2 2 2 7 2 9 9" xfId="31969"/>
    <cellStyle name="Heading 2 2 2 2 7 3" xfId="31970"/>
    <cellStyle name="Heading 2 2 2 2 7 3 10" xfId="31971"/>
    <cellStyle name="Heading 2 2 2 2 7 3 10 2" xfId="31972"/>
    <cellStyle name="Heading 2 2 2 2 7 3 10 2 2" xfId="31973"/>
    <cellStyle name="Heading 2 2 2 2 7 3 10 3" xfId="31974"/>
    <cellStyle name="Heading 2 2 2 2 7 3 11" xfId="31975"/>
    <cellStyle name="Heading 2 2 2 2 7 3 11 2" xfId="31976"/>
    <cellStyle name="Heading 2 2 2 2 7 3 11 2 2" xfId="31977"/>
    <cellStyle name="Heading 2 2 2 2 7 3 11 3" xfId="31978"/>
    <cellStyle name="Heading 2 2 2 2 7 3 12" xfId="31979"/>
    <cellStyle name="Heading 2 2 2 2 7 3 12 2" xfId="31980"/>
    <cellStyle name="Heading 2 2 2 2 7 3 12 2 2" xfId="31981"/>
    <cellStyle name="Heading 2 2 2 2 7 3 12 3" xfId="31982"/>
    <cellStyle name="Heading 2 2 2 2 7 3 13" xfId="31983"/>
    <cellStyle name="Heading 2 2 2 2 7 3 13 2" xfId="31984"/>
    <cellStyle name="Heading 2 2 2 2 7 3 13 2 2" xfId="31985"/>
    <cellStyle name="Heading 2 2 2 2 7 3 13 3" xfId="31986"/>
    <cellStyle name="Heading 2 2 2 2 7 3 14" xfId="31987"/>
    <cellStyle name="Heading 2 2 2 2 7 3 14 2" xfId="31988"/>
    <cellStyle name="Heading 2 2 2 2 7 3 14 2 2" xfId="31989"/>
    <cellStyle name="Heading 2 2 2 2 7 3 14 3" xfId="31990"/>
    <cellStyle name="Heading 2 2 2 2 7 3 15" xfId="31991"/>
    <cellStyle name="Heading 2 2 2 2 7 3 15 2" xfId="31992"/>
    <cellStyle name="Heading 2 2 2 2 7 3 15 2 2" xfId="31993"/>
    <cellStyle name="Heading 2 2 2 2 7 3 15 3" xfId="31994"/>
    <cellStyle name="Heading 2 2 2 2 7 3 16" xfId="31995"/>
    <cellStyle name="Heading 2 2 2 2 7 3 16 2" xfId="31996"/>
    <cellStyle name="Heading 2 2 2 2 7 3 16 2 2" xfId="31997"/>
    <cellStyle name="Heading 2 2 2 2 7 3 16 3" xfId="31998"/>
    <cellStyle name="Heading 2 2 2 2 7 3 17" xfId="31999"/>
    <cellStyle name="Heading 2 2 2 2 7 3 17 2" xfId="32000"/>
    <cellStyle name="Heading 2 2 2 2 7 3 17 2 2" xfId="32001"/>
    <cellStyle name="Heading 2 2 2 2 7 3 17 3" xfId="32002"/>
    <cellStyle name="Heading 2 2 2 2 7 3 18" xfId="32003"/>
    <cellStyle name="Heading 2 2 2 2 7 3 18 2" xfId="32004"/>
    <cellStyle name="Heading 2 2 2 2 7 3 18 2 2" xfId="32005"/>
    <cellStyle name="Heading 2 2 2 2 7 3 18 3" xfId="32006"/>
    <cellStyle name="Heading 2 2 2 2 7 3 19" xfId="32007"/>
    <cellStyle name="Heading 2 2 2 2 7 3 19 2" xfId="32008"/>
    <cellStyle name="Heading 2 2 2 2 7 3 2" xfId="32009"/>
    <cellStyle name="Heading 2 2 2 2 7 3 2 2" xfId="32010"/>
    <cellStyle name="Heading 2 2 2 2 7 3 2 2 2" xfId="32011"/>
    <cellStyle name="Heading 2 2 2 2 7 3 2 2 2 2" xfId="32012"/>
    <cellStyle name="Heading 2 2 2 2 7 3 2 2 3" xfId="32013"/>
    <cellStyle name="Heading 2 2 2 2 7 3 2 3" xfId="32014"/>
    <cellStyle name="Heading 2 2 2 2 7 3 2 3 2" xfId="32015"/>
    <cellStyle name="Heading 2 2 2 2 7 3 2 3 2 2" xfId="32016"/>
    <cellStyle name="Heading 2 2 2 2 7 3 2 3 3" xfId="32017"/>
    <cellStyle name="Heading 2 2 2 2 7 3 2 4" xfId="32018"/>
    <cellStyle name="Heading 2 2 2 2 7 3 2 4 2" xfId="32019"/>
    <cellStyle name="Heading 2 2 2 2 7 3 2 4 2 2" xfId="32020"/>
    <cellStyle name="Heading 2 2 2 2 7 3 2 4 3" xfId="32021"/>
    <cellStyle name="Heading 2 2 2 2 7 3 2 5" xfId="32022"/>
    <cellStyle name="Heading 2 2 2 2 7 3 2 5 2" xfId="32023"/>
    <cellStyle name="Heading 2 2 2 2 7 3 2 5 2 2" xfId="32024"/>
    <cellStyle name="Heading 2 2 2 2 7 3 2 5 3" xfId="32025"/>
    <cellStyle name="Heading 2 2 2 2 7 3 2 6" xfId="32026"/>
    <cellStyle name="Heading 2 2 2 2 7 3 2 6 2" xfId="32027"/>
    <cellStyle name="Heading 2 2 2 2 7 3 2 6 2 2" xfId="32028"/>
    <cellStyle name="Heading 2 2 2 2 7 3 2 6 3" xfId="32029"/>
    <cellStyle name="Heading 2 2 2 2 7 3 2 7" xfId="32030"/>
    <cellStyle name="Heading 2 2 2 2 7 3 2 7 2" xfId="32031"/>
    <cellStyle name="Heading 2 2 2 2 7 3 2 7 2 2" xfId="32032"/>
    <cellStyle name="Heading 2 2 2 2 7 3 2 7 3" xfId="32033"/>
    <cellStyle name="Heading 2 2 2 2 7 3 2 8" xfId="32034"/>
    <cellStyle name="Heading 2 2 2 2 7 3 2 8 2" xfId="32035"/>
    <cellStyle name="Heading 2 2 2 2 7 3 2 9" xfId="32036"/>
    <cellStyle name="Heading 2 2 2 2 7 3 20" xfId="32037"/>
    <cellStyle name="Heading 2 2 2 2 7 3 20 2" xfId="32038"/>
    <cellStyle name="Heading 2 2 2 2 7 3 21" xfId="32039"/>
    <cellStyle name="Heading 2 2 2 2 7 3 21 2" xfId="32040"/>
    <cellStyle name="Heading 2 2 2 2 7 3 22" xfId="32041"/>
    <cellStyle name="Heading 2 2 2 2 7 3 3" xfId="32042"/>
    <cellStyle name="Heading 2 2 2 2 7 3 3 2" xfId="32043"/>
    <cellStyle name="Heading 2 2 2 2 7 3 3 2 2" xfId="32044"/>
    <cellStyle name="Heading 2 2 2 2 7 3 3 2 2 2" xfId="32045"/>
    <cellStyle name="Heading 2 2 2 2 7 3 3 2 3" xfId="32046"/>
    <cellStyle name="Heading 2 2 2 2 7 3 3 3" xfId="32047"/>
    <cellStyle name="Heading 2 2 2 2 7 3 3 3 2" xfId="32048"/>
    <cellStyle name="Heading 2 2 2 2 7 3 3 3 2 2" xfId="32049"/>
    <cellStyle name="Heading 2 2 2 2 7 3 3 3 3" xfId="32050"/>
    <cellStyle name="Heading 2 2 2 2 7 3 3 4" xfId="32051"/>
    <cellStyle name="Heading 2 2 2 2 7 3 3 4 2" xfId="32052"/>
    <cellStyle name="Heading 2 2 2 2 7 3 3 4 2 2" xfId="32053"/>
    <cellStyle name="Heading 2 2 2 2 7 3 3 4 3" xfId="32054"/>
    <cellStyle name="Heading 2 2 2 2 7 3 3 5" xfId="32055"/>
    <cellStyle name="Heading 2 2 2 2 7 3 3 5 2" xfId="32056"/>
    <cellStyle name="Heading 2 2 2 2 7 3 3 5 2 2" xfId="32057"/>
    <cellStyle name="Heading 2 2 2 2 7 3 3 5 3" xfId="32058"/>
    <cellStyle name="Heading 2 2 2 2 7 3 3 6" xfId="32059"/>
    <cellStyle name="Heading 2 2 2 2 7 3 3 6 2" xfId="32060"/>
    <cellStyle name="Heading 2 2 2 2 7 3 3 6 2 2" xfId="32061"/>
    <cellStyle name="Heading 2 2 2 2 7 3 3 6 3" xfId="32062"/>
    <cellStyle name="Heading 2 2 2 2 7 3 3 7" xfId="32063"/>
    <cellStyle name="Heading 2 2 2 2 7 3 3 7 2" xfId="32064"/>
    <cellStyle name="Heading 2 2 2 2 7 3 3 7 2 2" xfId="32065"/>
    <cellStyle name="Heading 2 2 2 2 7 3 3 7 3" xfId="32066"/>
    <cellStyle name="Heading 2 2 2 2 7 3 3 8" xfId="32067"/>
    <cellStyle name="Heading 2 2 2 2 7 3 3 8 2" xfId="32068"/>
    <cellStyle name="Heading 2 2 2 2 7 3 3 9" xfId="32069"/>
    <cellStyle name="Heading 2 2 2 2 7 3 4" xfId="32070"/>
    <cellStyle name="Heading 2 2 2 2 7 3 4 2" xfId="32071"/>
    <cellStyle name="Heading 2 2 2 2 7 3 4 2 2" xfId="32072"/>
    <cellStyle name="Heading 2 2 2 2 7 3 4 2 2 2" xfId="32073"/>
    <cellStyle name="Heading 2 2 2 2 7 3 4 2 3" xfId="32074"/>
    <cellStyle name="Heading 2 2 2 2 7 3 4 3" xfId="32075"/>
    <cellStyle name="Heading 2 2 2 2 7 3 4 3 2" xfId="32076"/>
    <cellStyle name="Heading 2 2 2 2 7 3 4 3 2 2" xfId="32077"/>
    <cellStyle name="Heading 2 2 2 2 7 3 4 3 3" xfId="32078"/>
    <cellStyle name="Heading 2 2 2 2 7 3 4 4" xfId="32079"/>
    <cellStyle name="Heading 2 2 2 2 7 3 4 4 2" xfId="32080"/>
    <cellStyle name="Heading 2 2 2 2 7 3 4 4 2 2" xfId="32081"/>
    <cellStyle name="Heading 2 2 2 2 7 3 4 4 3" xfId="32082"/>
    <cellStyle name="Heading 2 2 2 2 7 3 4 5" xfId="32083"/>
    <cellStyle name="Heading 2 2 2 2 7 3 4 5 2" xfId="32084"/>
    <cellStyle name="Heading 2 2 2 2 7 3 4 5 2 2" xfId="32085"/>
    <cellStyle name="Heading 2 2 2 2 7 3 4 5 3" xfId="32086"/>
    <cellStyle name="Heading 2 2 2 2 7 3 4 6" xfId="32087"/>
    <cellStyle name="Heading 2 2 2 2 7 3 4 6 2" xfId="32088"/>
    <cellStyle name="Heading 2 2 2 2 7 3 4 6 2 2" xfId="32089"/>
    <cellStyle name="Heading 2 2 2 2 7 3 4 6 3" xfId="32090"/>
    <cellStyle name="Heading 2 2 2 2 7 3 4 7" xfId="32091"/>
    <cellStyle name="Heading 2 2 2 2 7 3 4 7 2" xfId="32092"/>
    <cellStyle name="Heading 2 2 2 2 7 3 4 7 2 2" xfId="32093"/>
    <cellStyle name="Heading 2 2 2 2 7 3 4 7 3" xfId="32094"/>
    <cellStyle name="Heading 2 2 2 2 7 3 4 8" xfId="32095"/>
    <cellStyle name="Heading 2 2 2 2 7 3 4 8 2" xfId="32096"/>
    <cellStyle name="Heading 2 2 2 2 7 3 4 9" xfId="32097"/>
    <cellStyle name="Heading 2 2 2 2 7 3 5" xfId="32098"/>
    <cellStyle name="Heading 2 2 2 2 7 3 5 2" xfId="32099"/>
    <cellStyle name="Heading 2 2 2 2 7 3 5 2 2" xfId="32100"/>
    <cellStyle name="Heading 2 2 2 2 7 3 5 2 2 2" xfId="32101"/>
    <cellStyle name="Heading 2 2 2 2 7 3 5 2 3" xfId="32102"/>
    <cellStyle name="Heading 2 2 2 2 7 3 5 3" xfId="32103"/>
    <cellStyle name="Heading 2 2 2 2 7 3 5 3 2" xfId="32104"/>
    <cellStyle name="Heading 2 2 2 2 7 3 5 3 2 2" xfId="32105"/>
    <cellStyle name="Heading 2 2 2 2 7 3 5 3 3" xfId="32106"/>
    <cellStyle name="Heading 2 2 2 2 7 3 5 4" xfId="32107"/>
    <cellStyle name="Heading 2 2 2 2 7 3 5 4 2" xfId="32108"/>
    <cellStyle name="Heading 2 2 2 2 7 3 5 4 2 2" xfId="32109"/>
    <cellStyle name="Heading 2 2 2 2 7 3 5 4 3" xfId="32110"/>
    <cellStyle name="Heading 2 2 2 2 7 3 5 5" xfId="32111"/>
    <cellStyle name="Heading 2 2 2 2 7 3 5 5 2" xfId="32112"/>
    <cellStyle name="Heading 2 2 2 2 7 3 5 5 2 2" xfId="32113"/>
    <cellStyle name="Heading 2 2 2 2 7 3 5 5 3" xfId="32114"/>
    <cellStyle name="Heading 2 2 2 2 7 3 5 6" xfId="32115"/>
    <cellStyle name="Heading 2 2 2 2 7 3 5 6 2" xfId="32116"/>
    <cellStyle name="Heading 2 2 2 2 7 3 5 6 2 2" xfId="32117"/>
    <cellStyle name="Heading 2 2 2 2 7 3 5 6 3" xfId="32118"/>
    <cellStyle name="Heading 2 2 2 2 7 3 5 7" xfId="32119"/>
    <cellStyle name="Heading 2 2 2 2 7 3 5 7 2" xfId="32120"/>
    <cellStyle name="Heading 2 2 2 2 7 3 5 7 2 2" xfId="32121"/>
    <cellStyle name="Heading 2 2 2 2 7 3 5 7 3" xfId="32122"/>
    <cellStyle name="Heading 2 2 2 2 7 3 5 8" xfId="32123"/>
    <cellStyle name="Heading 2 2 2 2 7 3 5 8 2" xfId="32124"/>
    <cellStyle name="Heading 2 2 2 2 7 3 5 9" xfId="32125"/>
    <cellStyle name="Heading 2 2 2 2 7 3 6" xfId="32126"/>
    <cellStyle name="Heading 2 2 2 2 7 3 6 2" xfId="32127"/>
    <cellStyle name="Heading 2 2 2 2 7 3 6 2 2" xfId="32128"/>
    <cellStyle name="Heading 2 2 2 2 7 3 6 2 2 2" xfId="32129"/>
    <cellStyle name="Heading 2 2 2 2 7 3 6 2 3" xfId="32130"/>
    <cellStyle name="Heading 2 2 2 2 7 3 6 3" xfId="32131"/>
    <cellStyle name="Heading 2 2 2 2 7 3 6 3 2" xfId="32132"/>
    <cellStyle name="Heading 2 2 2 2 7 3 6 3 2 2" xfId="32133"/>
    <cellStyle name="Heading 2 2 2 2 7 3 6 3 3" xfId="32134"/>
    <cellStyle name="Heading 2 2 2 2 7 3 6 4" xfId="32135"/>
    <cellStyle name="Heading 2 2 2 2 7 3 6 4 2" xfId="32136"/>
    <cellStyle name="Heading 2 2 2 2 7 3 6 4 2 2" xfId="32137"/>
    <cellStyle name="Heading 2 2 2 2 7 3 6 4 3" xfId="32138"/>
    <cellStyle name="Heading 2 2 2 2 7 3 6 5" xfId="32139"/>
    <cellStyle name="Heading 2 2 2 2 7 3 6 5 2" xfId="32140"/>
    <cellStyle name="Heading 2 2 2 2 7 3 6 5 2 2" xfId="32141"/>
    <cellStyle name="Heading 2 2 2 2 7 3 6 5 3" xfId="32142"/>
    <cellStyle name="Heading 2 2 2 2 7 3 6 6" xfId="32143"/>
    <cellStyle name="Heading 2 2 2 2 7 3 6 6 2" xfId="32144"/>
    <cellStyle name="Heading 2 2 2 2 7 3 6 6 2 2" xfId="32145"/>
    <cellStyle name="Heading 2 2 2 2 7 3 6 6 3" xfId="32146"/>
    <cellStyle name="Heading 2 2 2 2 7 3 6 7" xfId="32147"/>
    <cellStyle name="Heading 2 2 2 2 7 3 6 7 2" xfId="32148"/>
    <cellStyle name="Heading 2 2 2 2 7 3 6 7 2 2" xfId="32149"/>
    <cellStyle name="Heading 2 2 2 2 7 3 6 7 3" xfId="32150"/>
    <cellStyle name="Heading 2 2 2 2 7 3 6 8" xfId="32151"/>
    <cellStyle name="Heading 2 2 2 2 7 3 6 8 2" xfId="32152"/>
    <cellStyle name="Heading 2 2 2 2 7 3 6 9" xfId="32153"/>
    <cellStyle name="Heading 2 2 2 2 7 3 7" xfId="32154"/>
    <cellStyle name="Heading 2 2 2 2 7 3 7 2" xfId="32155"/>
    <cellStyle name="Heading 2 2 2 2 7 3 7 2 2" xfId="32156"/>
    <cellStyle name="Heading 2 2 2 2 7 3 7 2 2 2" xfId="32157"/>
    <cellStyle name="Heading 2 2 2 2 7 3 7 2 3" xfId="32158"/>
    <cellStyle name="Heading 2 2 2 2 7 3 7 3" xfId="32159"/>
    <cellStyle name="Heading 2 2 2 2 7 3 7 3 2" xfId="32160"/>
    <cellStyle name="Heading 2 2 2 2 7 3 7 3 2 2" xfId="32161"/>
    <cellStyle name="Heading 2 2 2 2 7 3 7 3 3" xfId="32162"/>
    <cellStyle name="Heading 2 2 2 2 7 3 7 4" xfId="32163"/>
    <cellStyle name="Heading 2 2 2 2 7 3 7 4 2" xfId="32164"/>
    <cellStyle name="Heading 2 2 2 2 7 3 7 4 2 2" xfId="32165"/>
    <cellStyle name="Heading 2 2 2 2 7 3 7 4 3" xfId="32166"/>
    <cellStyle name="Heading 2 2 2 2 7 3 7 5" xfId="32167"/>
    <cellStyle name="Heading 2 2 2 2 7 3 7 5 2" xfId="32168"/>
    <cellStyle name="Heading 2 2 2 2 7 3 7 5 2 2" xfId="32169"/>
    <cellStyle name="Heading 2 2 2 2 7 3 7 5 3" xfId="32170"/>
    <cellStyle name="Heading 2 2 2 2 7 3 7 6" xfId="32171"/>
    <cellStyle name="Heading 2 2 2 2 7 3 7 6 2" xfId="32172"/>
    <cellStyle name="Heading 2 2 2 2 7 3 7 6 2 2" xfId="32173"/>
    <cellStyle name="Heading 2 2 2 2 7 3 7 6 3" xfId="32174"/>
    <cellStyle name="Heading 2 2 2 2 7 3 7 7" xfId="32175"/>
    <cellStyle name="Heading 2 2 2 2 7 3 7 7 2" xfId="32176"/>
    <cellStyle name="Heading 2 2 2 2 7 3 7 7 2 2" xfId="32177"/>
    <cellStyle name="Heading 2 2 2 2 7 3 7 7 3" xfId="32178"/>
    <cellStyle name="Heading 2 2 2 2 7 3 7 8" xfId="32179"/>
    <cellStyle name="Heading 2 2 2 2 7 3 7 8 2" xfId="32180"/>
    <cellStyle name="Heading 2 2 2 2 7 3 7 9" xfId="32181"/>
    <cellStyle name="Heading 2 2 2 2 7 3 8" xfId="32182"/>
    <cellStyle name="Heading 2 2 2 2 7 3 8 2" xfId="32183"/>
    <cellStyle name="Heading 2 2 2 2 7 3 8 2 2" xfId="32184"/>
    <cellStyle name="Heading 2 2 2 2 7 3 8 2 2 2" xfId="32185"/>
    <cellStyle name="Heading 2 2 2 2 7 3 8 2 3" xfId="32186"/>
    <cellStyle name="Heading 2 2 2 2 7 3 8 3" xfId="32187"/>
    <cellStyle name="Heading 2 2 2 2 7 3 8 3 2" xfId="32188"/>
    <cellStyle name="Heading 2 2 2 2 7 3 8 3 2 2" xfId="32189"/>
    <cellStyle name="Heading 2 2 2 2 7 3 8 3 3" xfId="32190"/>
    <cellStyle name="Heading 2 2 2 2 7 3 8 4" xfId="32191"/>
    <cellStyle name="Heading 2 2 2 2 7 3 8 4 2" xfId="32192"/>
    <cellStyle name="Heading 2 2 2 2 7 3 8 4 2 2" xfId="32193"/>
    <cellStyle name="Heading 2 2 2 2 7 3 8 4 3" xfId="32194"/>
    <cellStyle name="Heading 2 2 2 2 7 3 8 5" xfId="32195"/>
    <cellStyle name="Heading 2 2 2 2 7 3 8 5 2" xfId="32196"/>
    <cellStyle name="Heading 2 2 2 2 7 3 8 5 2 2" xfId="32197"/>
    <cellStyle name="Heading 2 2 2 2 7 3 8 5 3" xfId="32198"/>
    <cellStyle name="Heading 2 2 2 2 7 3 8 6" xfId="32199"/>
    <cellStyle name="Heading 2 2 2 2 7 3 8 6 2" xfId="32200"/>
    <cellStyle name="Heading 2 2 2 2 7 3 8 6 2 2" xfId="32201"/>
    <cellStyle name="Heading 2 2 2 2 7 3 8 6 3" xfId="32202"/>
    <cellStyle name="Heading 2 2 2 2 7 3 8 7" xfId="32203"/>
    <cellStyle name="Heading 2 2 2 2 7 3 8 7 2" xfId="32204"/>
    <cellStyle name="Heading 2 2 2 2 7 3 8 7 2 2" xfId="32205"/>
    <cellStyle name="Heading 2 2 2 2 7 3 8 7 3" xfId="32206"/>
    <cellStyle name="Heading 2 2 2 2 7 3 8 8" xfId="32207"/>
    <cellStyle name="Heading 2 2 2 2 7 3 8 8 2" xfId="32208"/>
    <cellStyle name="Heading 2 2 2 2 7 3 8 9" xfId="32209"/>
    <cellStyle name="Heading 2 2 2 2 7 3 9" xfId="32210"/>
    <cellStyle name="Heading 2 2 2 2 7 3 9 2" xfId="32211"/>
    <cellStyle name="Heading 2 2 2 2 7 3 9 2 2" xfId="32212"/>
    <cellStyle name="Heading 2 2 2 2 7 3 9 3" xfId="32213"/>
    <cellStyle name="Heading 2 2 2 2 7 4" xfId="32214"/>
    <cellStyle name="Heading 2 2 2 2 7 4 2" xfId="32215"/>
    <cellStyle name="Heading 2 2 2 2 7 4 2 2" xfId="32216"/>
    <cellStyle name="Heading 2 2 2 2 7 4 3" xfId="32217"/>
    <cellStyle name="Heading 2 2 2 2 7 5" xfId="32218"/>
    <cellStyle name="Heading 2 2 2 2 7 5 2" xfId="32219"/>
    <cellStyle name="Heading 2 2 2 2 7 6" xfId="32220"/>
    <cellStyle name="Heading 2 2 2 2 8" xfId="32221"/>
    <cellStyle name="Heading 2 2 2 2 8 10" xfId="32222"/>
    <cellStyle name="Heading 2 2 2 2 8 10 2" xfId="32223"/>
    <cellStyle name="Heading 2 2 2 2 8 10 2 2" xfId="32224"/>
    <cellStyle name="Heading 2 2 2 2 8 10 3" xfId="32225"/>
    <cellStyle name="Heading 2 2 2 2 8 11" xfId="32226"/>
    <cellStyle name="Heading 2 2 2 2 8 11 2" xfId="32227"/>
    <cellStyle name="Heading 2 2 2 2 8 11 2 2" xfId="32228"/>
    <cellStyle name="Heading 2 2 2 2 8 11 3" xfId="32229"/>
    <cellStyle name="Heading 2 2 2 2 8 12" xfId="32230"/>
    <cellStyle name="Heading 2 2 2 2 8 12 2" xfId="32231"/>
    <cellStyle name="Heading 2 2 2 2 8 12 2 2" xfId="32232"/>
    <cellStyle name="Heading 2 2 2 2 8 12 3" xfId="32233"/>
    <cellStyle name="Heading 2 2 2 2 8 13" xfId="32234"/>
    <cellStyle name="Heading 2 2 2 2 8 13 2" xfId="32235"/>
    <cellStyle name="Heading 2 2 2 2 8 13 2 2" xfId="32236"/>
    <cellStyle name="Heading 2 2 2 2 8 13 3" xfId="32237"/>
    <cellStyle name="Heading 2 2 2 2 8 14" xfId="32238"/>
    <cellStyle name="Heading 2 2 2 2 8 14 2" xfId="32239"/>
    <cellStyle name="Heading 2 2 2 2 8 14 2 2" xfId="32240"/>
    <cellStyle name="Heading 2 2 2 2 8 14 3" xfId="32241"/>
    <cellStyle name="Heading 2 2 2 2 8 15" xfId="32242"/>
    <cellStyle name="Heading 2 2 2 2 8 15 2" xfId="32243"/>
    <cellStyle name="Heading 2 2 2 2 8 15 2 2" xfId="32244"/>
    <cellStyle name="Heading 2 2 2 2 8 15 3" xfId="32245"/>
    <cellStyle name="Heading 2 2 2 2 8 16" xfId="32246"/>
    <cellStyle name="Heading 2 2 2 2 8 16 2" xfId="32247"/>
    <cellStyle name="Heading 2 2 2 2 8 16 2 2" xfId="32248"/>
    <cellStyle name="Heading 2 2 2 2 8 16 3" xfId="32249"/>
    <cellStyle name="Heading 2 2 2 2 8 17" xfId="32250"/>
    <cellStyle name="Heading 2 2 2 2 8 17 2" xfId="32251"/>
    <cellStyle name="Heading 2 2 2 2 8 17 2 2" xfId="32252"/>
    <cellStyle name="Heading 2 2 2 2 8 17 3" xfId="32253"/>
    <cellStyle name="Heading 2 2 2 2 8 18" xfId="32254"/>
    <cellStyle name="Heading 2 2 2 2 8 18 2" xfId="32255"/>
    <cellStyle name="Heading 2 2 2 2 8 18 2 2" xfId="32256"/>
    <cellStyle name="Heading 2 2 2 2 8 18 3" xfId="32257"/>
    <cellStyle name="Heading 2 2 2 2 8 19" xfId="32258"/>
    <cellStyle name="Heading 2 2 2 2 8 19 2" xfId="32259"/>
    <cellStyle name="Heading 2 2 2 2 8 19 2 2" xfId="32260"/>
    <cellStyle name="Heading 2 2 2 2 8 19 3" xfId="32261"/>
    <cellStyle name="Heading 2 2 2 2 8 2" xfId="32262"/>
    <cellStyle name="Heading 2 2 2 2 8 2 10" xfId="32263"/>
    <cellStyle name="Heading 2 2 2 2 8 2 10 2" xfId="32264"/>
    <cellStyle name="Heading 2 2 2 2 8 2 10 2 2" xfId="32265"/>
    <cellStyle name="Heading 2 2 2 2 8 2 10 3" xfId="32266"/>
    <cellStyle name="Heading 2 2 2 2 8 2 11" xfId="32267"/>
    <cellStyle name="Heading 2 2 2 2 8 2 11 2" xfId="32268"/>
    <cellStyle name="Heading 2 2 2 2 8 2 11 2 2" xfId="32269"/>
    <cellStyle name="Heading 2 2 2 2 8 2 11 3" xfId="32270"/>
    <cellStyle name="Heading 2 2 2 2 8 2 12" xfId="32271"/>
    <cellStyle name="Heading 2 2 2 2 8 2 12 2" xfId="32272"/>
    <cellStyle name="Heading 2 2 2 2 8 2 12 2 2" xfId="32273"/>
    <cellStyle name="Heading 2 2 2 2 8 2 12 3" xfId="32274"/>
    <cellStyle name="Heading 2 2 2 2 8 2 13" xfId="32275"/>
    <cellStyle name="Heading 2 2 2 2 8 2 13 2" xfId="32276"/>
    <cellStyle name="Heading 2 2 2 2 8 2 13 2 2" xfId="32277"/>
    <cellStyle name="Heading 2 2 2 2 8 2 13 3" xfId="32278"/>
    <cellStyle name="Heading 2 2 2 2 8 2 14" xfId="32279"/>
    <cellStyle name="Heading 2 2 2 2 8 2 14 2" xfId="32280"/>
    <cellStyle name="Heading 2 2 2 2 8 2 14 2 2" xfId="32281"/>
    <cellStyle name="Heading 2 2 2 2 8 2 14 3" xfId="32282"/>
    <cellStyle name="Heading 2 2 2 2 8 2 15" xfId="32283"/>
    <cellStyle name="Heading 2 2 2 2 8 2 15 2" xfId="32284"/>
    <cellStyle name="Heading 2 2 2 2 8 2 15 2 2" xfId="32285"/>
    <cellStyle name="Heading 2 2 2 2 8 2 15 3" xfId="32286"/>
    <cellStyle name="Heading 2 2 2 2 8 2 16" xfId="32287"/>
    <cellStyle name="Heading 2 2 2 2 8 2 16 2" xfId="32288"/>
    <cellStyle name="Heading 2 2 2 2 8 2 16 2 2" xfId="32289"/>
    <cellStyle name="Heading 2 2 2 2 8 2 16 3" xfId="32290"/>
    <cellStyle name="Heading 2 2 2 2 8 2 17" xfId="32291"/>
    <cellStyle name="Heading 2 2 2 2 8 2 17 2" xfId="32292"/>
    <cellStyle name="Heading 2 2 2 2 8 2 17 2 2" xfId="32293"/>
    <cellStyle name="Heading 2 2 2 2 8 2 17 3" xfId="32294"/>
    <cellStyle name="Heading 2 2 2 2 8 2 18" xfId="32295"/>
    <cellStyle name="Heading 2 2 2 2 8 2 18 2" xfId="32296"/>
    <cellStyle name="Heading 2 2 2 2 8 2 18 2 2" xfId="32297"/>
    <cellStyle name="Heading 2 2 2 2 8 2 18 3" xfId="32298"/>
    <cellStyle name="Heading 2 2 2 2 8 2 19" xfId="32299"/>
    <cellStyle name="Heading 2 2 2 2 8 2 19 2" xfId="32300"/>
    <cellStyle name="Heading 2 2 2 2 8 2 2" xfId="32301"/>
    <cellStyle name="Heading 2 2 2 2 8 2 2 2" xfId="32302"/>
    <cellStyle name="Heading 2 2 2 2 8 2 2 2 2" xfId="32303"/>
    <cellStyle name="Heading 2 2 2 2 8 2 2 2 2 2" xfId="32304"/>
    <cellStyle name="Heading 2 2 2 2 8 2 2 2 3" xfId="32305"/>
    <cellStyle name="Heading 2 2 2 2 8 2 2 3" xfId="32306"/>
    <cellStyle name="Heading 2 2 2 2 8 2 2 3 2" xfId="32307"/>
    <cellStyle name="Heading 2 2 2 2 8 2 2 3 2 2" xfId="32308"/>
    <cellStyle name="Heading 2 2 2 2 8 2 2 3 3" xfId="32309"/>
    <cellStyle name="Heading 2 2 2 2 8 2 2 4" xfId="32310"/>
    <cellStyle name="Heading 2 2 2 2 8 2 2 4 2" xfId="32311"/>
    <cellStyle name="Heading 2 2 2 2 8 2 2 4 2 2" xfId="32312"/>
    <cellStyle name="Heading 2 2 2 2 8 2 2 4 3" xfId="32313"/>
    <cellStyle name="Heading 2 2 2 2 8 2 2 5" xfId="32314"/>
    <cellStyle name="Heading 2 2 2 2 8 2 2 5 2" xfId="32315"/>
    <cellStyle name="Heading 2 2 2 2 8 2 2 5 2 2" xfId="32316"/>
    <cellStyle name="Heading 2 2 2 2 8 2 2 5 3" xfId="32317"/>
    <cellStyle name="Heading 2 2 2 2 8 2 2 6" xfId="32318"/>
    <cellStyle name="Heading 2 2 2 2 8 2 2 6 2" xfId="32319"/>
    <cellStyle name="Heading 2 2 2 2 8 2 2 6 2 2" xfId="32320"/>
    <cellStyle name="Heading 2 2 2 2 8 2 2 6 3" xfId="32321"/>
    <cellStyle name="Heading 2 2 2 2 8 2 2 7" xfId="32322"/>
    <cellStyle name="Heading 2 2 2 2 8 2 2 7 2" xfId="32323"/>
    <cellStyle name="Heading 2 2 2 2 8 2 2 7 2 2" xfId="32324"/>
    <cellStyle name="Heading 2 2 2 2 8 2 2 7 3" xfId="32325"/>
    <cellStyle name="Heading 2 2 2 2 8 2 2 8" xfId="32326"/>
    <cellStyle name="Heading 2 2 2 2 8 2 2 8 2" xfId="32327"/>
    <cellStyle name="Heading 2 2 2 2 8 2 2 9" xfId="32328"/>
    <cellStyle name="Heading 2 2 2 2 8 2 20" xfId="32329"/>
    <cellStyle name="Heading 2 2 2 2 8 2 20 2" xfId="32330"/>
    <cellStyle name="Heading 2 2 2 2 8 2 21" xfId="32331"/>
    <cellStyle name="Heading 2 2 2 2 8 2 21 2" xfId="32332"/>
    <cellStyle name="Heading 2 2 2 2 8 2 22" xfId="32333"/>
    <cellStyle name="Heading 2 2 2 2 8 2 3" xfId="32334"/>
    <cellStyle name="Heading 2 2 2 2 8 2 3 2" xfId="32335"/>
    <cellStyle name="Heading 2 2 2 2 8 2 3 2 2" xfId="32336"/>
    <cellStyle name="Heading 2 2 2 2 8 2 3 2 2 2" xfId="32337"/>
    <cellStyle name="Heading 2 2 2 2 8 2 3 2 3" xfId="32338"/>
    <cellStyle name="Heading 2 2 2 2 8 2 3 3" xfId="32339"/>
    <cellStyle name="Heading 2 2 2 2 8 2 3 3 2" xfId="32340"/>
    <cellStyle name="Heading 2 2 2 2 8 2 3 3 2 2" xfId="32341"/>
    <cellStyle name="Heading 2 2 2 2 8 2 3 3 3" xfId="32342"/>
    <cellStyle name="Heading 2 2 2 2 8 2 3 4" xfId="32343"/>
    <cellStyle name="Heading 2 2 2 2 8 2 3 4 2" xfId="32344"/>
    <cellStyle name="Heading 2 2 2 2 8 2 3 4 2 2" xfId="32345"/>
    <cellStyle name="Heading 2 2 2 2 8 2 3 4 3" xfId="32346"/>
    <cellStyle name="Heading 2 2 2 2 8 2 3 5" xfId="32347"/>
    <cellStyle name="Heading 2 2 2 2 8 2 3 5 2" xfId="32348"/>
    <cellStyle name="Heading 2 2 2 2 8 2 3 5 2 2" xfId="32349"/>
    <cellStyle name="Heading 2 2 2 2 8 2 3 5 3" xfId="32350"/>
    <cellStyle name="Heading 2 2 2 2 8 2 3 6" xfId="32351"/>
    <cellStyle name="Heading 2 2 2 2 8 2 3 6 2" xfId="32352"/>
    <cellStyle name="Heading 2 2 2 2 8 2 3 6 2 2" xfId="32353"/>
    <cellStyle name="Heading 2 2 2 2 8 2 3 6 3" xfId="32354"/>
    <cellStyle name="Heading 2 2 2 2 8 2 3 7" xfId="32355"/>
    <cellStyle name="Heading 2 2 2 2 8 2 3 7 2" xfId="32356"/>
    <cellStyle name="Heading 2 2 2 2 8 2 3 7 2 2" xfId="32357"/>
    <cellStyle name="Heading 2 2 2 2 8 2 3 7 3" xfId="32358"/>
    <cellStyle name="Heading 2 2 2 2 8 2 3 8" xfId="32359"/>
    <cellStyle name="Heading 2 2 2 2 8 2 3 8 2" xfId="32360"/>
    <cellStyle name="Heading 2 2 2 2 8 2 3 9" xfId="32361"/>
    <cellStyle name="Heading 2 2 2 2 8 2 4" xfId="32362"/>
    <cellStyle name="Heading 2 2 2 2 8 2 4 2" xfId="32363"/>
    <cellStyle name="Heading 2 2 2 2 8 2 4 2 2" xfId="32364"/>
    <cellStyle name="Heading 2 2 2 2 8 2 4 2 2 2" xfId="32365"/>
    <cellStyle name="Heading 2 2 2 2 8 2 4 2 3" xfId="32366"/>
    <cellStyle name="Heading 2 2 2 2 8 2 4 3" xfId="32367"/>
    <cellStyle name="Heading 2 2 2 2 8 2 4 3 2" xfId="32368"/>
    <cellStyle name="Heading 2 2 2 2 8 2 4 3 2 2" xfId="32369"/>
    <cellStyle name="Heading 2 2 2 2 8 2 4 3 3" xfId="32370"/>
    <cellStyle name="Heading 2 2 2 2 8 2 4 4" xfId="32371"/>
    <cellStyle name="Heading 2 2 2 2 8 2 4 4 2" xfId="32372"/>
    <cellStyle name="Heading 2 2 2 2 8 2 4 4 2 2" xfId="32373"/>
    <cellStyle name="Heading 2 2 2 2 8 2 4 4 3" xfId="32374"/>
    <cellStyle name="Heading 2 2 2 2 8 2 4 5" xfId="32375"/>
    <cellStyle name="Heading 2 2 2 2 8 2 4 5 2" xfId="32376"/>
    <cellStyle name="Heading 2 2 2 2 8 2 4 5 2 2" xfId="32377"/>
    <cellStyle name="Heading 2 2 2 2 8 2 4 5 3" xfId="32378"/>
    <cellStyle name="Heading 2 2 2 2 8 2 4 6" xfId="32379"/>
    <cellStyle name="Heading 2 2 2 2 8 2 4 6 2" xfId="32380"/>
    <cellStyle name="Heading 2 2 2 2 8 2 4 6 2 2" xfId="32381"/>
    <cellStyle name="Heading 2 2 2 2 8 2 4 6 3" xfId="32382"/>
    <cellStyle name="Heading 2 2 2 2 8 2 4 7" xfId="32383"/>
    <cellStyle name="Heading 2 2 2 2 8 2 4 7 2" xfId="32384"/>
    <cellStyle name="Heading 2 2 2 2 8 2 4 7 2 2" xfId="32385"/>
    <cellStyle name="Heading 2 2 2 2 8 2 4 7 3" xfId="32386"/>
    <cellStyle name="Heading 2 2 2 2 8 2 4 8" xfId="32387"/>
    <cellStyle name="Heading 2 2 2 2 8 2 4 8 2" xfId="32388"/>
    <cellStyle name="Heading 2 2 2 2 8 2 4 9" xfId="32389"/>
    <cellStyle name="Heading 2 2 2 2 8 2 5" xfId="32390"/>
    <cellStyle name="Heading 2 2 2 2 8 2 5 2" xfId="32391"/>
    <cellStyle name="Heading 2 2 2 2 8 2 5 2 2" xfId="32392"/>
    <cellStyle name="Heading 2 2 2 2 8 2 5 2 2 2" xfId="32393"/>
    <cellStyle name="Heading 2 2 2 2 8 2 5 2 3" xfId="32394"/>
    <cellStyle name="Heading 2 2 2 2 8 2 5 3" xfId="32395"/>
    <cellStyle name="Heading 2 2 2 2 8 2 5 3 2" xfId="32396"/>
    <cellStyle name="Heading 2 2 2 2 8 2 5 3 2 2" xfId="32397"/>
    <cellStyle name="Heading 2 2 2 2 8 2 5 3 3" xfId="32398"/>
    <cellStyle name="Heading 2 2 2 2 8 2 5 4" xfId="32399"/>
    <cellStyle name="Heading 2 2 2 2 8 2 5 4 2" xfId="32400"/>
    <cellStyle name="Heading 2 2 2 2 8 2 5 4 2 2" xfId="32401"/>
    <cellStyle name="Heading 2 2 2 2 8 2 5 4 3" xfId="32402"/>
    <cellStyle name="Heading 2 2 2 2 8 2 5 5" xfId="32403"/>
    <cellStyle name="Heading 2 2 2 2 8 2 5 5 2" xfId="32404"/>
    <cellStyle name="Heading 2 2 2 2 8 2 5 5 2 2" xfId="32405"/>
    <cellStyle name="Heading 2 2 2 2 8 2 5 5 3" xfId="32406"/>
    <cellStyle name="Heading 2 2 2 2 8 2 5 6" xfId="32407"/>
    <cellStyle name="Heading 2 2 2 2 8 2 5 6 2" xfId="32408"/>
    <cellStyle name="Heading 2 2 2 2 8 2 5 6 2 2" xfId="32409"/>
    <cellStyle name="Heading 2 2 2 2 8 2 5 6 3" xfId="32410"/>
    <cellStyle name="Heading 2 2 2 2 8 2 5 7" xfId="32411"/>
    <cellStyle name="Heading 2 2 2 2 8 2 5 7 2" xfId="32412"/>
    <cellStyle name="Heading 2 2 2 2 8 2 5 7 2 2" xfId="32413"/>
    <cellStyle name="Heading 2 2 2 2 8 2 5 7 3" xfId="32414"/>
    <cellStyle name="Heading 2 2 2 2 8 2 5 8" xfId="32415"/>
    <cellStyle name="Heading 2 2 2 2 8 2 5 8 2" xfId="32416"/>
    <cellStyle name="Heading 2 2 2 2 8 2 5 9" xfId="32417"/>
    <cellStyle name="Heading 2 2 2 2 8 2 6" xfId="32418"/>
    <cellStyle name="Heading 2 2 2 2 8 2 6 2" xfId="32419"/>
    <cellStyle name="Heading 2 2 2 2 8 2 6 2 2" xfId="32420"/>
    <cellStyle name="Heading 2 2 2 2 8 2 6 2 2 2" xfId="32421"/>
    <cellStyle name="Heading 2 2 2 2 8 2 6 2 3" xfId="32422"/>
    <cellStyle name="Heading 2 2 2 2 8 2 6 3" xfId="32423"/>
    <cellStyle name="Heading 2 2 2 2 8 2 6 3 2" xfId="32424"/>
    <cellStyle name="Heading 2 2 2 2 8 2 6 3 2 2" xfId="32425"/>
    <cellStyle name="Heading 2 2 2 2 8 2 6 3 3" xfId="32426"/>
    <cellStyle name="Heading 2 2 2 2 8 2 6 4" xfId="32427"/>
    <cellStyle name="Heading 2 2 2 2 8 2 6 4 2" xfId="32428"/>
    <cellStyle name="Heading 2 2 2 2 8 2 6 4 2 2" xfId="32429"/>
    <cellStyle name="Heading 2 2 2 2 8 2 6 4 3" xfId="32430"/>
    <cellStyle name="Heading 2 2 2 2 8 2 6 5" xfId="32431"/>
    <cellStyle name="Heading 2 2 2 2 8 2 6 5 2" xfId="32432"/>
    <cellStyle name="Heading 2 2 2 2 8 2 6 5 2 2" xfId="32433"/>
    <cellStyle name="Heading 2 2 2 2 8 2 6 5 3" xfId="32434"/>
    <cellStyle name="Heading 2 2 2 2 8 2 6 6" xfId="32435"/>
    <cellStyle name="Heading 2 2 2 2 8 2 6 6 2" xfId="32436"/>
    <cellStyle name="Heading 2 2 2 2 8 2 6 6 2 2" xfId="32437"/>
    <cellStyle name="Heading 2 2 2 2 8 2 6 6 3" xfId="32438"/>
    <cellStyle name="Heading 2 2 2 2 8 2 6 7" xfId="32439"/>
    <cellStyle name="Heading 2 2 2 2 8 2 6 7 2" xfId="32440"/>
    <cellStyle name="Heading 2 2 2 2 8 2 6 7 2 2" xfId="32441"/>
    <cellStyle name="Heading 2 2 2 2 8 2 6 7 3" xfId="32442"/>
    <cellStyle name="Heading 2 2 2 2 8 2 6 8" xfId="32443"/>
    <cellStyle name="Heading 2 2 2 2 8 2 6 8 2" xfId="32444"/>
    <cellStyle name="Heading 2 2 2 2 8 2 6 9" xfId="32445"/>
    <cellStyle name="Heading 2 2 2 2 8 2 7" xfId="32446"/>
    <cellStyle name="Heading 2 2 2 2 8 2 7 2" xfId="32447"/>
    <cellStyle name="Heading 2 2 2 2 8 2 7 2 2" xfId="32448"/>
    <cellStyle name="Heading 2 2 2 2 8 2 7 2 2 2" xfId="32449"/>
    <cellStyle name="Heading 2 2 2 2 8 2 7 2 3" xfId="32450"/>
    <cellStyle name="Heading 2 2 2 2 8 2 7 3" xfId="32451"/>
    <cellStyle name="Heading 2 2 2 2 8 2 7 3 2" xfId="32452"/>
    <cellStyle name="Heading 2 2 2 2 8 2 7 3 2 2" xfId="32453"/>
    <cellStyle name="Heading 2 2 2 2 8 2 7 3 3" xfId="32454"/>
    <cellStyle name="Heading 2 2 2 2 8 2 7 4" xfId="32455"/>
    <cellStyle name="Heading 2 2 2 2 8 2 7 4 2" xfId="32456"/>
    <cellStyle name="Heading 2 2 2 2 8 2 7 4 2 2" xfId="32457"/>
    <cellStyle name="Heading 2 2 2 2 8 2 7 4 3" xfId="32458"/>
    <cellStyle name="Heading 2 2 2 2 8 2 7 5" xfId="32459"/>
    <cellStyle name="Heading 2 2 2 2 8 2 7 5 2" xfId="32460"/>
    <cellStyle name="Heading 2 2 2 2 8 2 7 5 2 2" xfId="32461"/>
    <cellStyle name="Heading 2 2 2 2 8 2 7 5 3" xfId="32462"/>
    <cellStyle name="Heading 2 2 2 2 8 2 7 6" xfId="32463"/>
    <cellStyle name="Heading 2 2 2 2 8 2 7 6 2" xfId="32464"/>
    <cellStyle name="Heading 2 2 2 2 8 2 7 6 2 2" xfId="32465"/>
    <cellStyle name="Heading 2 2 2 2 8 2 7 6 3" xfId="32466"/>
    <cellStyle name="Heading 2 2 2 2 8 2 7 7" xfId="32467"/>
    <cellStyle name="Heading 2 2 2 2 8 2 7 7 2" xfId="32468"/>
    <cellStyle name="Heading 2 2 2 2 8 2 7 7 2 2" xfId="32469"/>
    <cellStyle name="Heading 2 2 2 2 8 2 7 7 3" xfId="32470"/>
    <cellStyle name="Heading 2 2 2 2 8 2 7 8" xfId="32471"/>
    <cellStyle name="Heading 2 2 2 2 8 2 7 8 2" xfId="32472"/>
    <cellStyle name="Heading 2 2 2 2 8 2 7 9" xfId="32473"/>
    <cellStyle name="Heading 2 2 2 2 8 2 8" xfId="32474"/>
    <cellStyle name="Heading 2 2 2 2 8 2 8 2" xfId="32475"/>
    <cellStyle name="Heading 2 2 2 2 8 2 8 2 2" xfId="32476"/>
    <cellStyle name="Heading 2 2 2 2 8 2 8 2 2 2" xfId="32477"/>
    <cellStyle name="Heading 2 2 2 2 8 2 8 2 3" xfId="32478"/>
    <cellStyle name="Heading 2 2 2 2 8 2 8 3" xfId="32479"/>
    <cellStyle name="Heading 2 2 2 2 8 2 8 3 2" xfId="32480"/>
    <cellStyle name="Heading 2 2 2 2 8 2 8 3 2 2" xfId="32481"/>
    <cellStyle name="Heading 2 2 2 2 8 2 8 3 3" xfId="32482"/>
    <cellStyle name="Heading 2 2 2 2 8 2 8 4" xfId="32483"/>
    <cellStyle name="Heading 2 2 2 2 8 2 8 4 2" xfId="32484"/>
    <cellStyle name="Heading 2 2 2 2 8 2 8 4 2 2" xfId="32485"/>
    <cellStyle name="Heading 2 2 2 2 8 2 8 4 3" xfId="32486"/>
    <cellStyle name="Heading 2 2 2 2 8 2 8 5" xfId="32487"/>
    <cellStyle name="Heading 2 2 2 2 8 2 8 5 2" xfId="32488"/>
    <cellStyle name="Heading 2 2 2 2 8 2 8 5 2 2" xfId="32489"/>
    <cellStyle name="Heading 2 2 2 2 8 2 8 5 3" xfId="32490"/>
    <cellStyle name="Heading 2 2 2 2 8 2 8 6" xfId="32491"/>
    <cellStyle name="Heading 2 2 2 2 8 2 8 6 2" xfId="32492"/>
    <cellStyle name="Heading 2 2 2 2 8 2 8 6 2 2" xfId="32493"/>
    <cellStyle name="Heading 2 2 2 2 8 2 8 6 3" xfId="32494"/>
    <cellStyle name="Heading 2 2 2 2 8 2 8 7" xfId="32495"/>
    <cellStyle name="Heading 2 2 2 2 8 2 8 7 2" xfId="32496"/>
    <cellStyle name="Heading 2 2 2 2 8 2 8 7 2 2" xfId="32497"/>
    <cellStyle name="Heading 2 2 2 2 8 2 8 7 3" xfId="32498"/>
    <cellStyle name="Heading 2 2 2 2 8 2 8 8" xfId="32499"/>
    <cellStyle name="Heading 2 2 2 2 8 2 8 8 2" xfId="32500"/>
    <cellStyle name="Heading 2 2 2 2 8 2 8 9" xfId="32501"/>
    <cellStyle name="Heading 2 2 2 2 8 2 9" xfId="32502"/>
    <cellStyle name="Heading 2 2 2 2 8 2 9 2" xfId="32503"/>
    <cellStyle name="Heading 2 2 2 2 8 2 9 2 2" xfId="32504"/>
    <cellStyle name="Heading 2 2 2 2 8 2 9 3" xfId="32505"/>
    <cellStyle name="Heading 2 2 2 2 8 20" xfId="32506"/>
    <cellStyle name="Heading 2 2 2 2 8 20 2" xfId="32507"/>
    <cellStyle name="Heading 2 2 2 2 8 21" xfId="32508"/>
    <cellStyle name="Heading 2 2 2 2 8 21 2" xfId="32509"/>
    <cellStyle name="Heading 2 2 2 2 8 22" xfId="32510"/>
    <cellStyle name="Heading 2 2 2 2 8 22 2" xfId="32511"/>
    <cellStyle name="Heading 2 2 2 2 8 23" xfId="32512"/>
    <cellStyle name="Heading 2 2 2 2 8 3" xfId="32513"/>
    <cellStyle name="Heading 2 2 2 2 8 3 2" xfId="32514"/>
    <cellStyle name="Heading 2 2 2 2 8 3 2 2" xfId="32515"/>
    <cellStyle name="Heading 2 2 2 2 8 3 2 2 2" xfId="32516"/>
    <cellStyle name="Heading 2 2 2 2 8 3 2 3" xfId="32517"/>
    <cellStyle name="Heading 2 2 2 2 8 3 3" xfId="32518"/>
    <cellStyle name="Heading 2 2 2 2 8 3 3 2" xfId="32519"/>
    <cellStyle name="Heading 2 2 2 2 8 3 3 2 2" xfId="32520"/>
    <cellStyle name="Heading 2 2 2 2 8 3 3 3" xfId="32521"/>
    <cellStyle name="Heading 2 2 2 2 8 3 4" xfId="32522"/>
    <cellStyle name="Heading 2 2 2 2 8 3 4 2" xfId="32523"/>
    <cellStyle name="Heading 2 2 2 2 8 3 4 2 2" xfId="32524"/>
    <cellStyle name="Heading 2 2 2 2 8 3 4 3" xfId="32525"/>
    <cellStyle name="Heading 2 2 2 2 8 3 5" xfId="32526"/>
    <cellStyle name="Heading 2 2 2 2 8 3 5 2" xfId="32527"/>
    <cellStyle name="Heading 2 2 2 2 8 3 5 2 2" xfId="32528"/>
    <cellStyle name="Heading 2 2 2 2 8 3 5 3" xfId="32529"/>
    <cellStyle name="Heading 2 2 2 2 8 3 6" xfId="32530"/>
    <cellStyle name="Heading 2 2 2 2 8 3 6 2" xfId="32531"/>
    <cellStyle name="Heading 2 2 2 2 8 3 6 2 2" xfId="32532"/>
    <cellStyle name="Heading 2 2 2 2 8 3 6 3" xfId="32533"/>
    <cellStyle name="Heading 2 2 2 2 8 3 7" xfId="32534"/>
    <cellStyle name="Heading 2 2 2 2 8 3 7 2" xfId="32535"/>
    <cellStyle name="Heading 2 2 2 2 8 3 7 2 2" xfId="32536"/>
    <cellStyle name="Heading 2 2 2 2 8 3 7 3" xfId="32537"/>
    <cellStyle name="Heading 2 2 2 2 8 3 8" xfId="32538"/>
    <cellStyle name="Heading 2 2 2 2 8 3 8 2" xfId="32539"/>
    <cellStyle name="Heading 2 2 2 2 8 3 9" xfId="32540"/>
    <cellStyle name="Heading 2 2 2 2 8 4" xfId="32541"/>
    <cellStyle name="Heading 2 2 2 2 8 4 2" xfId="32542"/>
    <cellStyle name="Heading 2 2 2 2 8 4 2 2" xfId="32543"/>
    <cellStyle name="Heading 2 2 2 2 8 4 2 2 2" xfId="32544"/>
    <cellStyle name="Heading 2 2 2 2 8 4 2 3" xfId="32545"/>
    <cellStyle name="Heading 2 2 2 2 8 4 3" xfId="32546"/>
    <cellStyle name="Heading 2 2 2 2 8 4 3 2" xfId="32547"/>
    <cellStyle name="Heading 2 2 2 2 8 4 3 2 2" xfId="32548"/>
    <cellStyle name="Heading 2 2 2 2 8 4 3 3" xfId="32549"/>
    <cellStyle name="Heading 2 2 2 2 8 4 4" xfId="32550"/>
    <cellStyle name="Heading 2 2 2 2 8 4 4 2" xfId="32551"/>
    <cellStyle name="Heading 2 2 2 2 8 4 4 2 2" xfId="32552"/>
    <cellStyle name="Heading 2 2 2 2 8 4 4 3" xfId="32553"/>
    <cellStyle name="Heading 2 2 2 2 8 4 5" xfId="32554"/>
    <cellStyle name="Heading 2 2 2 2 8 4 5 2" xfId="32555"/>
    <cellStyle name="Heading 2 2 2 2 8 4 5 2 2" xfId="32556"/>
    <cellStyle name="Heading 2 2 2 2 8 4 5 3" xfId="32557"/>
    <cellStyle name="Heading 2 2 2 2 8 4 6" xfId="32558"/>
    <cellStyle name="Heading 2 2 2 2 8 4 6 2" xfId="32559"/>
    <cellStyle name="Heading 2 2 2 2 8 4 6 2 2" xfId="32560"/>
    <cellStyle name="Heading 2 2 2 2 8 4 6 3" xfId="32561"/>
    <cellStyle name="Heading 2 2 2 2 8 4 7" xfId="32562"/>
    <cellStyle name="Heading 2 2 2 2 8 4 7 2" xfId="32563"/>
    <cellStyle name="Heading 2 2 2 2 8 4 7 2 2" xfId="32564"/>
    <cellStyle name="Heading 2 2 2 2 8 4 7 3" xfId="32565"/>
    <cellStyle name="Heading 2 2 2 2 8 4 8" xfId="32566"/>
    <cellStyle name="Heading 2 2 2 2 8 4 8 2" xfId="32567"/>
    <cellStyle name="Heading 2 2 2 2 8 4 9" xfId="32568"/>
    <cellStyle name="Heading 2 2 2 2 8 5" xfId="32569"/>
    <cellStyle name="Heading 2 2 2 2 8 5 2" xfId="32570"/>
    <cellStyle name="Heading 2 2 2 2 8 5 2 2" xfId="32571"/>
    <cellStyle name="Heading 2 2 2 2 8 5 2 2 2" xfId="32572"/>
    <cellStyle name="Heading 2 2 2 2 8 5 2 3" xfId="32573"/>
    <cellStyle name="Heading 2 2 2 2 8 5 3" xfId="32574"/>
    <cellStyle name="Heading 2 2 2 2 8 5 3 2" xfId="32575"/>
    <cellStyle name="Heading 2 2 2 2 8 5 3 2 2" xfId="32576"/>
    <cellStyle name="Heading 2 2 2 2 8 5 3 3" xfId="32577"/>
    <cellStyle name="Heading 2 2 2 2 8 5 4" xfId="32578"/>
    <cellStyle name="Heading 2 2 2 2 8 5 4 2" xfId="32579"/>
    <cellStyle name="Heading 2 2 2 2 8 5 4 2 2" xfId="32580"/>
    <cellStyle name="Heading 2 2 2 2 8 5 4 3" xfId="32581"/>
    <cellStyle name="Heading 2 2 2 2 8 5 5" xfId="32582"/>
    <cellStyle name="Heading 2 2 2 2 8 5 5 2" xfId="32583"/>
    <cellStyle name="Heading 2 2 2 2 8 5 5 2 2" xfId="32584"/>
    <cellStyle name="Heading 2 2 2 2 8 5 5 3" xfId="32585"/>
    <cellStyle name="Heading 2 2 2 2 8 5 6" xfId="32586"/>
    <cellStyle name="Heading 2 2 2 2 8 5 6 2" xfId="32587"/>
    <cellStyle name="Heading 2 2 2 2 8 5 6 2 2" xfId="32588"/>
    <cellStyle name="Heading 2 2 2 2 8 5 6 3" xfId="32589"/>
    <cellStyle name="Heading 2 2 2 2 8 5 7" xfId="32590"/>
    <cellStyle name="Heading 2 2 2 2 8 5 7 2" xfId="32591"/>
    <cellStyle name="Heading 2 2 2 2 8 5 7 2 2" xfId="32592"/>
    <cellStyle name="Heading 2 2 2 2 8 5 7 3" xfId="32593"/>
    <cellStyle name="Heading 2 2 2 2 8 5 8" xfId="32594"/>
    <cellStyle name="Heading 2 2 2 2 8 5 8 2" xfId="32595"/>
    <cellStyle name="Heading 2 2 2 2 8 5 9" xfId="32596"/>
    <cellStyle name="Heading 2 2 2 2 8 6" xfId="32597"/>
    <cellStyle name="Heading 2 2 2 2 8 6 2" xfId="32598"/>
    <cellStyle name="Heading 2 2 2 2 8 6 2 2" xfId="32599"/>
    <cellStyle name="Heading 2 2 2 2 8 6 2 2 2" xfId="32600"/>
    <cellStyle name="Heading 2 2 2 2 8 6 2 3" xfId="32601"/>
    <cellStyle name="Heading 2 2 2 2 8 6 3" xfId="32602"/>
    <cellStyle name="Heading 2 2 2 2 8 6 3 2" xfId="32603"/>
    <cellStyle name="Heading 2 2 2 2 8 6 3 2 2" xfId="32604"/>
    <cellStyle name="Heading 2 2 2 2 8 6 3 3" xfId="32605"/>
    <cellStyle name="Heading 2 2 2 2 8 6 4" xfId="32606"/>
    <cellStyle name="Heading 2 2 2 2 8 6 4 2" xfId="32607"/>
    <cellStyle name="Heading 2 2 2 2 8 6 4 2 2" xfId="32608"/>
    <cellStyle name="Heading 2 2 2 2 8 6 4 3" xfId="32609"/>
    <cellStyle name="Heading 2 2 2 2 8 6 5" xfId="32610"/>
    <cellStyle name="Heading 2 2 2 2 8 6 5 2" xfId="32611"/>
    <cellStyle name="Heading 2 2 2 2 8 6 5 2 2" xfId="32612"/>
    <cellStyle name="Heading 2 2 2 2 8 6 5 3" xfId="32613"/>
    <cellStyle name="Heading 2 2 2 2 8 6 6" xfId="32614"/>
    <cellStyle name="Heading 2 2 2 2 8 6 6 2" xfId="32615"/>
    <cellStyle name="Heading 2 2 2 2 8 6 6 2 2" xfId="32616"/>
    <cellStyle name="Heading 2 2 2 2 8 6 6 3" xfId="32617"/>
    <cellStyle name="Heading 2 2 2 2 8 6 7" xfId="32618"/>
    <cellStyle name="Heading 2 2 2 2 8 6 7 2" xfId="32619"/>
    <cellStyle name="Heading 2 2 2 2 8 6 7 2 2" xfId="32620"/>
    <cellStyle name="Heading 2 2 2 2 8 6 7 3" xfId="32621"/>
    <cellStyle name="Heading 2 2 2 2 8 6 8" xfId="32622"/>
    <cellStyle name="Heading 2 2 2 2 8 6 8 2" xfId="32623"/>
    <cellStyle name="Heading 2 2 2 2 8 6 9" xfId="32624"/>
    <cellStyle name="Heading 2 2 2 2 8 7" xfId="32625"/>
    <cellStyle name="Heading 2 2 2 2 8 7 2" xfId="32626"/>
    <cellStyle name="Heading 2 2 2 2 8 7 2 2" xfId="32627"/>
    <cellStyle name="Heading 2 2 2 2 8 7 2 2 2" xfId="32628"/>
    <cellStyle name="Heading 2 2 2 2 8 7 2 3" xfId="32629"/>
    <cellStyle name="Heading 2 2 2 2 8 7 3" xfId="32630"/>
    <cellStyle name="Heading 2 2 2 2 8 7 3 2" xfId="32631"/>
    <cellStyle name="Heading 2 2 2 2 8 7 3 2 2" xfId="32632"/>
    <cellStyle name="Heading 2 2 2 2 8 7 3 3" xfId="32633"/>
    <cellStyle name="Heading 2 2 2 2 8 7 4" xfId="32634"/>
    <cellStyle name="Heading 2 2 2 2 8 7 4 2" xfId="32635"/>
    <cellStyle name="Heading 2 2 2 2 8 7 4 2 2" xfId="32636"/>
    <cellStyle name="Heading 2 2 2 2 8 7 4 3" xfId="32637"/>
    <cellStyle name="Heading 2 2 2 2 8 7 5" xfId="32638"/>
    <cellStyle name="Heading 2 2 2 2 8 7 5 2" xfId="32639"/>
    <cellStyle name="Heading 2 2 2 2 8 7 5 2 2" xfId="32640"/>
    <cellStyle name="Heading 2 2 2 2 8 7 5 3" xfId="32641"/>
    <cellStyle name="Heading 2 2 2 2 8 7 6" xfId="32642"/>
    <cellStyle name="Heading 2 2 2 2 8 7 6 2" xfId="32643"/>
    <cellStyle name="Heading 2 2 2 2 8 7 6 2 2" xfId="32644"/>
    <cellStyle name="Heading 2 2 2 2 8 7 6 3" xfId="32645"/>
    <cellStyle name="Heading 2 2 2 2 8 7 7" xfId="32646"/>
    <cellStyle name="Heading 2 2 2 2 8 7 7 2" xfId="32647"/>
    <cellStyle name="Heading 2 2 2 2 8 7 7 2 2" xfId="32648"/>
    <cellStyle name="Heading 2 2 2 2 8 7 7 3" xfId="32649"/>
    <cellStyle name="Heading 2 2 2 2 8 7 8" xfId="32650"/>
    <cellStyle name="Heading 2 2 2 2 8 7 8 2" xfId="32651"/>
    <cellStyle name="Heading 2 2 2 2 8 7 9" xfId="32652"/>
    <cellStyle name="Heading 2 2 2 2 8 8" xfId="32653"/>
    <cellStyle name="Heading 2 2 2 2 8 8 2" xfId="32654"/>
    <cellStyle name="Heading 2 2 2 2 8 8 2 2" xfId="32655"/>
    <cellStyle name="Heading 2 2 2 2 8 8 2 2 2" xfId="32656"/>
    <cellStyle name="Heading 2 2 2 2 8 8 2 3" xfId="32657"/>
    <cellStyle name="Heading 2 2 2 2 8 8 3" xfId="32658"/>
    <cellStyle name="Heading 2 2 2 2 8 8 3 2" xfId="32659"/>
    <cellStyle name="Heading 2 2 2 2 8 8 3 2 2" xfId="32660"/>
    <cellStyle name="Heading 2 2 2 2 8 8 3 3" xfId="32661"/>
    <cellStyle name="Heading 2 2 2 2 8 8 4" xfId="32662"/>
    <cellStyle name="Heading 2 2 2 2 8 8 4 2" xfId="32663"/>
    <cellStyle name="Heading 2 2 2 2 8 8 4 2 2" xfId="32664"/>
    <cellStyle name="Heading 2 2 2 2 8 8 4 3" xfId="32665"/>
    <cellStyle name="Heading 2 2 2 2 8 8 5" xfId="32666"/>
    <cellStyle name="Heading 2 2 2 2 8 8 5 2" xfId="32667"/>
    <cellStyle name="Heading 2 2 2 2 8 8 5 2 2" xfId="32668"/>
    <cellStyle name="Heading 2 2 2 2 8 8 5 3" xfId="32669"/>
    <cellStyle name="Heading 2 2 2 2 8 8 6" xfId="32670"/>
    <cellStyle name="Heading 2 2 2 2 8 8 6 2" xfId="32671"/>
    <cellStyle name="Heading 2 2 2 2 8 8 6 2 2" xfId="32672"/>
    <cellStyle name="Heading 2 2 2 2 8 8 6 3" xfId="32673"/>
    <cellStyle name="Heading 2 2 2 2 8 8 7" xfId="32674"/>
    <cellStyle name="Heading 2 2 2 2 8 8 7 2" xfId="32675"/>
    <cellStyle name="Heading 2 2 2 2 8 8 7 2 2" xfId="32676"/>
    <cellStyle name="Heading 2 2 2 2 8 8 7 3" xfId="32677"/>
    <cellStyle name="Heading 2 2 2 2 8 8 8" xfId="32678"/>
    <cellStyle name="Heading 2 2 2 2 8 8 8 2" xfId="32679"/>
    <cellStyle name="Heading 2 2 2 2 8 8 9" xfId="32680"/>
    <cellStyle name="Heading 2 2 2 2 8 9" xfId="32681"/>
    <cellStyle name="Heading 2 2 2 2 8 9 2" xfId="32682"/>
    <cellStyle name="Heading 2 2 2 2 8 9 2 2" xfId="32683"/>
    <cellStyle name="Heading 2 2 2 2 8 9 2 2 2" xfId="32684"/>
    <cellStyle name="Heading 2 2 2 2 8 9 2 3" xfId="32685"/>
    <cellStyle name="Heading 2 2 2 2 8 9 3" xfId="32686"/>
    <cellStyle name="Heading 2 2 2 2 8 9 3 2" xfId="32687"/>
    <cellStyle name="Heading 2 2 2 2 8 9 3 2 2" xfId="32688"/>
    <cellStyle name="Heading 2 2 2 2 8 9 3 3" xfId="32689"/>
    <cellStyle name="Heading 2 2 2 2 8 9 4" xfId="32690"/>
    <cellStyle name="Heading 2 2 2 2 8 9 4 2" xfId="32691"/>
    <cellStyle name="Heading 2 2 2 2 8 9 4 2 2" xfId="32692"/>
    <cellStyle name="Heading 2 2 2 2 8 9 4 3" xfId="32693"/>
    <cellStyle name="Heading 2 2 2 2 8 9 5" xfId="32694"/>
    <cellStyle name="Heading 2 2 2 2 8 9 5 2" xfId="32695"/>
    <cellStyle name="Heading 2 2 2 2 8 9 5 2 2" xfId="32696"/>
    <cellStyle name="Heading 2 2 2 2 8 9 5 3" xfId="32697"/>
    <cellStyle name="Heading 2 2 2 2 8 9 6" xfId="32698"/>
    <cellStyle name="Heading 2 2 2 2 8 9 6 2" xfId="32699"/>
    <cellStyle name="Heading 2 2 2 2 8 9 6 2 2" xfId="32700"/>
    <cellStyle name="Heading 2 2 2 2 8 9 6 3" xfId="32701"/>
    <cellStyle name="Heading 2 2 2 2 8 9 7" xfId="32702"/>
    <cellStyle name="Heading 2 2 2 2 8 9 7 2" xfId="32703"/>
    <cellStyle name="Heading 2 2 2 2 8 9 7 2 2" xfId="32704"/>
    <cellStyle name="Heading 2 2 2 2 8 9 7 3" xfId="32705"/>
    <cellStyle name="Heading 2 2 2 2 8 9 8" xfId="32706"/>
    <cellStyle name="Heading 2 2 2 2 8 9 8 2" xfId="32707"/>
    <cellStyle name="Heading 2 2 2 2 8 9 9" xfId="32708"/>
    <cellStyle name="Heading 2 2 2 2 9" xfId="32709"/>
    <cellStyle name="Heading 2 2 2 2 9 2" xfId="32710"/>
    <cellStyle name="Heading 2 2 2 2 9 2 2" xfId="32711"/>
    <cellStyle name="Heading 2 2 2 2 9 3" xfId="32712"/>
    <cellStyle name="Heading 2 2 2 2 9 3 2" xfId="32713"/>
    <cellStyle name="Heading 2 2 2 2 9 4" xfId="32714"/>
    <cellStyle name="Heading 2 2 2 2 9 4 2" xfId="32715"/>
    <cellStyle name="Heading 2 2 2 2 9 5" xfId="32716"/>
    <cellStyle name="Heading 2 2 2 3" xfId="32717"/>
    <cellStyle name="Heading 2 2 2 3 2" xfId="32718"/>
    <cellStyle name="Heading 2 2 2 3 2 10" xfId="32719"/>
    <cellStyle name="Heading 2 2 2 3 2 10 2" xfId="32720"/>
    <cellStyle name="Heading 2 2 2 3 2 10 2 2" xfId="32721"/>
    <cellStyle name="Heading 2 2 2 3 2 10 3" xfId="32722"/>
    <cellStyle name="Heading 2 2 2 3 2 11" xfId="32723"/>
    <cellStyle name="Heading 2 2 2 3 2 11 2" xfId="32724"/>
    <cellStyle name="Heading 2 2 2 3 2 11 2 2" xfId="32725"/>
    <cellStyle name="Heading 2 2 2 3 2 11 3" xfId="32726"/>
    <cellStyle name="Heading 2 2 2 3 2 12" xfId="32727"/>
    <cellStyle name="Heading 2 2 2 3 2 12 2" xfId="32728"/>
    <cellStyle name="Heading 2 2 2 3 2 12 2 2" xfId="32729"/>
    <cellStyle name="Heading 2 2 2 3 2 12 3" xfId="32730"/>
    <cellStyle name="Heading 2 2 2 3 2 13" xfId="32731"/>
    <cellStyle name="Heading 2 2 2 3 2 13 2" xfId="32732"/>
    <cellStyle name="Heading 2 2 2 3 2 13 2 2" xfId="32733"/>
    <cellStyle name="Heading 2 2 2 3 2 13 3" xfId="32734"/>
    <cellStyle name="Heading 2 2 2 3 2 14" xfId="32735"/>
    <cellStyle name="Heading 2 2 2 3 2 14 2" xfId="32736"/>
    <cellStyle name="Heading 2 2 2 3 2 14 2 2" xfId="32737"/>
    <cellStyle name="Heading 2 2 2 3 2 14 3" xfId="32738"/>
    <cellStyle name="Heading 2 2 2 3 2 15" xfId="32739"/>
    <cellStyle name="Heading 2 2 2 3 2 15 2" xfId="32740"/>
    <cellStyle name="Heading 2 2 2 3 2 15 2 2" xfId="32741"/>
    <cellStyle name="Heading 2 2 2 3 2 15 3" xfId="32742"/>
    <cellStyle name="Heading 2 2 2 3 2 16" xfId="32743"/>
    <cellStyle name="Heading 2 2 2 3 2 16 2" xfId="32744"/>
    <cellStyle name="Heading 2 2 2 3 2 16 2 2" xfId="32745"/>
    <cellStyle name="Heading 2 2 2 3 2 16 3" xfId="32746"/>
    <cellStyle name="Heading 2 2 2 3 2 17" xfId="32747"/>
    <cellStyle name="Heading 2 2 2 3 2 17 2" xfId="32748"/>
    <cellStyle name="Heading 2 2 2 3 2 17 2 2" xfId="32749"/>
    <cellStyle name="Heading 2 2 2 3 2 17 3" xfId="32750"/>
    <cellStyle name="Heading 2 2 2 3 2 18" xfId="32751"/>
    <cellStyle name="Heading 2 2 2 3 2 18 2" xfId="32752"/>
    <cellStyle name="Heading 2 2 2 3 2 18 2 2" xfId="32753"/>
    <cellStyle name="Heading 2 2 2 3 2 18 3" xfId="32754"/>
    <cellStyle name="Heading 2 2 2 3 2 19" xfId="32755"/>
    <cellStyle name="Heading 2 2 2 3 2 19 2" xfId="32756"/>
    <cellStyle name="Heading 2 2 2 3 2 19 2 2" xfId="32757"/>
    <cellStyle name="Heading 2 2 2 3 2 19 3" xfId="32758"/>
    <cellStyle name="Heading 2 2 2 3 2 2" xfId="32759"/>
    <cellStyle name="Heading 2 2 2 3 2 2 10" xfId="32760"/>
    <cellStyle name="Heading 2 2 2 3 2 2 10 2" xfId="32761"/>
    <cellStyle name="Heading 2 2 2 3 2 2 10 2 2" xfId="32762"/>
    <cellStyle name="Heading 2 2 2 3 2 2 10 3" xfId="32763"/>
    <cellStyle name="Heading 2 2 2 3 2 2 11" xfId="32764"/>
    <cellStyle name="Heading 2 2 2 3 2 2 11 2" xfId="32765"/>
    <cellStyle name="Heading 2 2 2 3 2 2 11 2 2" xfId="32766"/>
    <cellStyle name="Heading 2 2 2 3 2 2 11 3" xfId="32767"/>
    <cellStyle name="Heading 2 2 2 3 2 2 12" xfId="32768"/>
    <cellStyle name="Heading 2 2 2 3 2 2 12 2" xfId="32769"/>
    <cellStyle name="Heading 2 2 2 3 2 2 12 2 2" xfId="32770"/>
    <cellStyle name="Heading 2 2 2 3 2 2 12 3" xfId="32771"/>
    <cellStyle name="Heading 2 2 2 3 2 2 13" xfId="32772"/>
    <cellStyle name="Heading 2 2 2 3 2 2 13 2" xfId="32773"/>
    <cellStyle name="Heading 2 2 2 3 2 2 13 2 2" xfId="32774"/>
    <cellStyle name="Heading 2 2 2 3 2 2 13 3" xfId="32775"/>
    <cellStyle name="Heading 2 2 2 3 2 2 14" xfId="32776"/>
    <cellStyle name="Heading 2 2 2 3 2 2 14 2" xfId="32777"/>
    <cellStyle name="Heading 2 2 2 3 2 2 14 2 2" xfId="32778"/>
    <cellStyle name="Heading 2 2 2 3 2 2 14 3" xfId="32779"/>
    <cellStyle name="Heading 2 2 2 3 2 2 15" xfId="32780"/>
    <cellStyle name="Heading 2 2 2 3 2 2 15 2" xfId="32781"/>
    <cellStyle name="Heading 2 2 2 3 2 2 15 2 2" xfId="32782"/>
    <cellStyle name="Heading 2 2 2 3 2 2 15 3" xfId="32783"/>
    <cellStyle name="Heading 2 2 2 3 2 2 16" xfId="32784"/>
    <cellStyle name="Heading 2 2 2 3 2 2 16 2" xfId="32785"/>
    <cellStyle name="Heading 2 2 2 3 2 2 16 2 2" xfId="32786"/>
    <cellStyle name="Heading 2 2 2 3 2 2 16 3" xfId="32787"/>
    <cellStyle name="Heading 2 2 2 3 2 2 17" xfId="32788"/>
    <cellStyle name="Heading 2 2 2 3 2 2 17 2" xfId="32789"/>
    <cellStyle name="Heading 2 2 2 3 2 2 17 2 2" xfId="32790"/>
    <cellStyle name="Heading 2 2 2 3 2 2 17 3" xfId="32791"/>
    <cellStyle name="Heading 2 2 2 3 2 2 18" xfId="32792"/>
    <cellStyle name="Heading 2 2 2 3 2 2 18 2" xfId="32793"/>
    <cellStyle name="Heading 2 2 2 3 2 2 18 2 2" xfId="32794"/>
    <cellStyle name="Heading 2 2 2 3 2 2 18 3" xfId="32795"/>
    <cellStyle name="Heading 2 2 2 3 2 2 19" xfId="32796"/>
    <cellStyle name="Heading 2 2 2 3 2 2 19 2" xfId="32797"/>
    <cellStyle name="Heading 2 2 2 3 2 2 2" xfId="32798"/>
    <cellStyle name="Heading 2 2 2 3 2 2 2 2" xfId="32799"/>
    <cellStyle name="Heading 2 2 2 3 2 2 2 2 2" xfId="32800"/>
    <cellStyle name="Heading 2 2 2 3 2 2 2 2 2 2" xfId="32801"/>
    <cellStyle name="Heading 2 2 2 3 2 2 2 2 3" xfId="32802"/>
    <cellStyle name="Heading 2 2 2 3 2 2 2 3" xfId="32803"/>
    <cellStyle name="Heading 2 2 2 3 2 2 2 3 2" xfId="32804"/>
    <cellStyle name="Heading 2 2 2 3 2 2 2 3 2 2" xfId="32805"/>
    <cellStyle name="Heading 2 2 2 3 2 2 2 3 3" xfId="32806"/>
    <cellStyle name="Heading 2 2 2 3 2 2 2 4" xfId="32807"/>
    <cellStyle name="Heading 2 2 2 3 2 2 2 4 2" xfId="32808"/>
    <cellStyle name="Heading 2 2 2 3 2 2 2 4 2 2" xfId="32809"/>
    <cellStyle name="Heading 2 2 2 3 2 2 2 4 3" xfId="32810"/>
    <cellStyle name="Heading 2 2 2 3 2 2 2 5" xfId="32811"/>
    <cellStyle name="Heading 2 2 2 3 2 2 2 5 2" xfId="32812"/>
    <cellStyle name="Heading 2 2 2 3 2 2 2 5 2 2" xfId="32813"/>
    <cellStyle name="Heading 2 2 2 3 2 2 2 5 3" xfId="32814"/>
    <cellStyle name="Heading 2 2 2 3 2 2 2 6" xfId="32815"/>
    <cellStyle name="Heading 2 2 2 3 2 2 2 6 2" xfId="32816"/>
    <cellStyle name="Heading 2 2 2 3 2 2 2 6 2 2" xfId="32817"/>
    <cellStyle name="Heading 2 2 2 3 2 2 2 6 3" xfId="32818"/>
    <cellStyle name="Heading 2 2 2 3 2 2 2 7" xfId="32819"/>
    <cellStyle name="Heading 2 2 2 3 2 2 2 7 2" xfId="32820"/>
    <cellStyle name="Heading 2 2 2 3 2 2 2 7 2 2" xfId="32821"/>
    <cellStyle name="Heading 2 2 2 3 2 2 2 7 3" xfId="32822"/>
    <cellStyle name="Heading 2 2 2 3 2 2 2 8" xfId="32823"/>
    <cellStyle name="Heading 2 2 2 3 2 2 2 8 2" xfId="32824"/>
    <cellStyle name="Heading 2 2 2 3 2 2 2 9" xfId="32825"/>
    <cellStyle name="Heading 2 2 2 3 2 2 20" xfId="32826"/>
    <cellStyle name="Heading 2 2 2 3 2 2 20 2" xfId="32827"/>
    <cellStyle name="Heading 2 2 2 3 2 2 21" xfId="32828"/>
    <cellStyle name="Heading 2 2 2 3 2 2 21 2" xfId="32829"/>
    <cellStyle name="Heading 2 2 2 3 2 2 22" xfId="32830"/>
    <cellStyle name="Heading 2 2 2 3 2 2 3" xfId="32831"/>
    <cellStyle name="Heading 2 2 2 3 2 2 3 2" xfId="32832"/>
    <cellStyle name="Heading 2 2 2 3 2 2 3 2 2" xfId="32833"/>
    <cellStyle name="Heading 2 2 2 3 2 2 3 2 2 2" xfId="32834"/>
    <cellStyle name="Heading 2 2 2 3 2 2 3 2 3" xfId="32835"/>
    <cellStyle name="Heading 2 2 2 3 2 2 3 3" xfId="32836"/>
    <cellStyle name="Heading 2 2 2 3 2 2 3 3 2" xfId="32837"/>
    <cellStyle name="Heading 2 2 2 3 2 2 3 3 2 2" xfId="32838"/>
    <cellStyle name="Heading 2 2 2 3 2 2 3 3 3" xfId="32839"/>
    <cellStyle name="Heading 2 2 2 3 2 2 3 4" xfId="32840"/>
    <cellStyle name="Heading 2 2 2 3 2 2 3 4 2" xfId="32841"/>
    <cellStyle name="Heading 2 2 2 3 2 2 3 4 2 2" xfId="32842"/>
    <cellStyle name="Heading 2 2 2 3 2 2 3 4 3" xfId="32843"/>
    <cellStyle name="Heading 2 2 2 3 2 2 3 5" xfId="32844"/>
    <cellStyle name="Heading 2 2 2 3 2 2 3 5 2" xfId="32845"/>
    <cellStyle name="Heading 2 2 2 3 2 2 3 5 2 2" xfId="32846"/>
    <cellStyle name="Heading 2 2 2 3 2 2 3 5 3" xfId="32847"/>
    <cellStyle name="Heading 2 2 2 3 2 2 3 6" xfId="32848"/>
    <cellStyle name="Heading 2 2 2 3 2 2 3 6 2" xfId="32849"/>
    <cellStyle name="Heading 2 2 2 3 2 2 3 6 2 2" xfId="32850"/>
    <cellStyle name="Heading 2 2 2 3 2 2 3 6 3" xfId="32851"/>
    <cellStyle name="Heading 2 2 2 3 2 2 3 7" xfId="32852"/>
    <cellStyle name="Heading 2 2 2 3 2 2 3 7 2" xfId="32853"/>
    <cellStyle name="Heading 2 2 2 3 2 2 3 7 2 2" xfId="32854"/>
    <cellStyle name="Heading 2 2 2 3 2 2 3 7 3" xfId="32855"/>
    <cellStyle name="Heading 2 2 2 3 2 2 3 8" xfId="32856"/>
    <cellStyle name="Heading 2 2 2 3 2 2 3 8 2" xfId="32857"/>
    <cellStyle name="Heading 2 2 2 3 2 2 3 9" xfId="32858"/>
    <cellStyle name="Heading 2 2 2 3 2 2 4" xfId="32859"/>
    <cellStyle name="Heading 2 2 2 3 2 2 4 2" xfId="32860"/>
    <cellStyle name="Heading 2 2 2 3 2 2 4 2 2" xfId="32861"/>
    <cellStyle name="Heading 2 2 2 3 2 2 4 2 2 2" xfId="32862"/>
    <cellStyle name="Heading 2 2 2 3 2 2 4 2 3" xfId="32863"/>
    <cellStyle name="Heading 2 2 2 3 2 2 4 3" xfId="32864"/>
    <cellStyle name="Heading 2 2 2 3 2 2 4 3 2" xfId="32865"/>
    <cellStyle name="Heading 2 2 2 3 2 2 4 3 2 2" xfId="32866"/>
    <cellStyle name="Heading 2 2 2 3 2 2 4 3 3" xfId="32867"/>
    <cellStyle name="Heading 2 2 2 3 2 2 4 4" xfId="32868"/>
    <cellStyle name="Heading 2 2 2 3 2 2 4 4 2" xfId="32869"/>
    <cellStyle name="Heading 2 2 2 3 2 2 4 4 2 2" xfId="32870"/>
    <cellStyle name="Heading 2 2 2 3 2 2 4 4 3" xfId="32871"/>
    <cellStyle name="Heading 2 2 2 3 2 2 4 5" xfId="32872"/>
    <cellStyle name="Heading 2 2 2 3 2 2 4 5 2" xfId="32873"/>
    <cellStyle name="Heading 2 2 2 3 2 2 4 5 2 2" xfId="32874"/>
    <cellStyle name="Heading 2 2 2 3 2 2 4 5 3" xfId="32875"/>
    <cellStyle name="Heading 2 2 2 3 2 2 4 6" xfId="32876"/>
    <cellStyle name="Heading 2 2 2 3 2 2 4 6 2" xfId="32877"/>
    <cellStyle name="Heading 2 2 2 3 2 2 4 6 2 2" xfId="32878"/>
    <cellStyle name="Heading 2 2 2 3 2 2 4 6 3" xfId="32879"/>
    <cellStyle name="Heading 2 2 2 3 2 2 4 7" xfId="32880"/>
    <cellStyle name="Heading 2 2 2 3 2 2 4 7 2" xfId="32881"/>
    <cellStyle name="Heading 2 2 2 3 2 2 4 7 2 2" xfId="32882"/>
    <cellStyle name="Heading 2 2 2 3 2 2 4 7 3" xfId="32883"/>
    <cellStyle name="Heading 2 2 2 3 2 2 4 8" xfId="32884"/>
    <cellStyle name="Heading 2 2 2 3 2 2 4 8 2" xfId="32885"/>
    <cellStyle name="Heading 2 2 2 3 2 2 4 9" xfId="32886"/>
    <cellStyle name="Heading 2 2 2 3 2 2 5" xfId="32887"/>
    <cellStyle name="Heading 2 2 2 3 2 2 5 2" xfId="32888"/>
    <cellStyle name="Heading 2 2 2 3 2 2 5 2 2" xfId="32889"/>
    <cellStyle name="Heading 2 2 2 3 2 2 5 2 2 2" xfId="32890"/>
    <cellStyle name="Heading 2 2 2 3 2 2 5 2 3" xfId="32891"/>
    <cellStyle name="Heading 2 2 2 3 2 2 5 3" xfId="32892"/>
    <cellStyle name="Heading 2 2 2 3 2 2 5 3 2" xfId="32893"/>
    <cellStyle name="Heading 2 2 2 3 2 2 5 3 2 2" xfId="32894"/>
    <cellStyle name="Heading 2 2 2 3 2 2 5 3 3" xfId="32895"/>
    <cellStyle name="Heading 2 2 2 3 2 2 5 4" xfId="32896"/>
    <cellStyle name="Heading 2 2 2 3 2 2 5 4 2" xfId="32897"/>
    <cellStyle name="Heading 2 2 2 3 2 2 5 4 2 2" xfId="32898"/>
    <cellStyle name="Heading 2 2 2 3 2 2 5 4 3" xfId="32899"/>
    <cellStyle name="Heading 2 2 2 3 2 2 5 5" xfId="32900"/>
    <cellStyle name="Heading 2 2 2 3 2 2 5 5 2" xfId="32901"/>
    <cellStyle name="Heading 2 2 2 3 2 2 5 5 2 2" xfId="32902"/>
    <cellStyle name="Heading 2 2 2 3 2 2 5 5 3" xfId="32903"/>
    <cellStyle name="Heading 2 2 2 3 2 2 5 6" xfId="32904"/>
    <cellStyle name="Heading 2 2 2 3 2 2 5 6 2" xfId="32905"/>
    <cellStyle name="Heading 2 2 2 3 2 2 5 6 2 2" xfId="32906"/>
    <cellStyle name="Heading 2 2 2 3 2 2 5 6 3" xfId="32907"/>
    <cellStyle name="Heading 2 2 2 3 2 2 5 7" xfId="32908"/>
    <cellStyle name="Heading 2 2 2 3 2 2 5 7 2" xfId="32909"/>
    <cellStyle name="Heading 2 2 2 3 2 2 5 7 2 2" xfId="32910"/>
    <cellStyle name="Heading 2 2 2 3 2 2 5 7 3" xfId="32911"/>
    <cellStyle name="Heading 2 2 2 3 2 2 5 8" xfId="32912"/>
    <cellStyle name="Heading 2 2 2 3 2 2 5 8 2" xfId="32913"/>
    <cellStyle name="Heading 2 2 2 3 2 2 5 9" xfId="32914"/>
    <cellStyle name="Heading 2 2 2 3 2 2 6" xfId="32915"/>
    <cellStyle name="Heading 2 2 2 3 2 2 6 2" xfId="32916"/>
    <cellStyle name="Heading 2 2 2 3 2 2 6 2 2" xfId="32917"/>
    <cellStyle name="Heading 2 2 2 3 2 2 6 2 2 2" xfId="32918"/>
    <cellStyle name="Heading 2 2 2 3 2 2 6 2 3" xfId="32919"/>
    <cellStyle name="Heading 2 2 2 3 2 2 6 3" xfId="32920"/>
    <cellStyle name="Heading 2 2 2 3 2 2 6 3 2" xfId="32921"/>
    <cellStyle name="Heading 2 2 2 3 2 2 6 3 2 2" xfId="32922"/>
    <cellStyle name="Heading 2 2 2 3 2 2 6 3 3" xfId="32923"/>
    <cellStyle name="Heading 2 2 2 3 2 2 6 4" xfId="32924"/>
    <cellStyle name="Heading 2 2 2 3 2 2 6 4 2" xfId="32925"/>
    <cellStyle name="Heading 2 2 2 3 2 2 6 4 2 2" xfId="32926"/>
    <cellStyle name="Heading 2 2 2 3 2 2 6 4 3" xfId="32927"/>
    <cellStyle name="Heading 2 2 2 3 2 2 6 5" xfId="32928"/>
    <cellStyle name="Heading 2 2 2 3 2 2 6 5 2" xfId="32929"/>
    <cellStyle name="Heading 2 2 2 3 2 2 6 5 2 2" xfId="32930"/>
    <cellStyle name="Heading 2 2 2 3 2 2 6 5 3" xfId="32931"/>
    <cellStyle name="Heading 2 2 2 3 2 2 6 6" xfId="32932"/>
    <cellStyle name="Heading 2 2 2 3 2 2 6 6 2" xfId="32933"/>
    <cellStyle name="Heading 2 2 2 3 2 2 6 6 2 2" xfId="32934"/>
    <cellStyle name="Heading 2 2 2 3 2 2 6 6 3" xfId="32935"/>
    <cellStyle name="Heading 2 2 2 3 2 2 6 7" xfId="32936"/>
    <cellStyle name="Heading 2 2 2 3 2 2 6 7 2" xfId="32937"/>
    <cellStyle name="Heading 2 2 2 3 2 2 6 7 2 2" xfId="32938"/>
    <cellStyle name="Heading 2 2 2 3 2 2 6 7 3" xfId="32939"/>
    <cellStyle name="Heading 2 2 2 3 2 2 6 8" xfId="32940"/>
    <cellStyle name="Heading 2 2 2 3 2 2 6 8 2" xfId="32941"/>
    <cellStyle name="Heading 2 2 2 3 2 2 6 9" xfId="32942"/>
    <cellStyle name="Heading 2 2 2 3 2 2 7" xfId="32943"/>
    <cellStyle name="Heading 2 2 2 3 2 2 7 2" xfId="32944"/>
    <cellStyle name="Heading 2 2 2 3 2 2 7 2 2" xfId="32945"/>
    <cellStyle name="Heading 2 2 2 3 2 2 7 2 2 2" xfId="32946"/>
    <cellStyle name="Heading 2 2 2 3 2 2 7 2 3" xfId="32947"/>
    <cellStyle name="Heading 2 2 2 3 2 2 7 3" xfId="32948"/>
    <cellStyle name="Heading 2 2 2 3 2 2 7 3 2" xfId="32949"/>
    <cellStyle name="Heading 2 2 2 3 2 2 7 3 2 2" xfId="32950"/>
    <cellStyle name="Heading 2 2 2 3 2 2 7 3 3" xfId="32951"/>
    <cellStyle name="Heading 2 2 2 3 2 2 7 4" xfId="32952"/>
    <cellStyle name="Heading 2 2 2 3 2 2 7 4 2" xfId="32953"/>
    <cellStyle name="Heading 2 2 2 3 2 2 7 4 2 2" xfId="32954"/>
    <cellStyle name="Heading 2 2 2 3 2 2 7 4 3" xfId="32955"/>
    <cellStyle name="Heading 2 2 2 3 2 2 7 5" xfId="32956"/>
    <cellStyle name="Heading 2 2 2 3 2 2 7 5 2" xfId="32957"/>
    <cellStyle name="Heading 2 2 2 3 2 2 7 5 2 2" xfId="32958"/>
    <cellStyle name="Heading 2 2 2 3 2 2 7 5 3" xfId="32959"/>
    <cellStyle name="Heading 2 2 2 3 2 2 7 6" xfId="32960"/>
    <cellStyle name="Heading 2 2 2 3 2 2 7 6 2" xfId="32961"/>
    <cellStyle name="Heading 2 2 2 3 2 2 7 6 2 2" xfId="32962"/>
    <cellStyle name="Heading 2 2 2 3 2 2 7 6 3" xfId="32963"/>
    <cellStyle name="Heading 2 2 2 3 2 2 7 7" xfId="32964"/>
    <cellStyle name="Heading 2 2 2 3 2 2 7 7 2" xfId="32965"/>
    <cellStyle name="Heading 2 2 2 3 2 2 7 7 2 2" xfId="32966"/>
    <cellStyle name="Heading 2 2 2 3 2 2 7 7 3" xfId="32967"/>
    <cellStyle name="Heading 2 2 2 3 2 2 7 8" xfId="32968"/>
    <cellStyle name="Heading 2 2 2 3 2 2 7 8 2" xfId="32969"/>
    <cellStyle name="Heading 2 2 2 3 2 2 7 9" xfId="32970"/>
    <cellStyle name="Heading 2 2 2 3 2 2 8" xfId="32971"/>
    <cellStyle name="Heading 2 2 2 3 2 2 8 2" xfId="32972"/>
    <cellStyle name="Heading 2 2 2 3 2 2 8 2 2" xfId="32973"/>
    <cellStyle name="Heading 2 2 2 3 2 2 8 2 2 2" xfId="32974"/>
    <cellStyle name="Heading 2 2 2 3 2 2 8 2 3" xfId="32975"/>
    <cellStyle name="Heading 2 2 2 3 2 2 8 3" xfId="32976"/>
    <cellStyle name="Heading 2 2 2 3 2 2 8 3 2" xfId="32977"/>
    <cellStyle name="Heading 2 2 2 3 2 2 8 3 2 2" xfId="32978"/>
    <cellStyle name="Heading 2 2 2 3 2 2 8 3 3" xfId="32979"/>
    <cellStyle name="Heading 2 2 2 3 2 2 8 4" xfId="32980"/>
    <cellStyle name="Heading 2 2 2 3 2 2 8 4 2" xfId="32981"/>
    <cellStyle name="Heading 2 2 2 3 2 2 8 4 2 2" xfId="32982"/>
    <cellStyle name="Heading 2 2 2 3 2 2 8 4 3" xfId="32983"/>
    <cellStyle name="Heading 2 2 2 3 2 2 8 5" xfId="32984"/>
    <cellStyle name="Heading 2 2 2 3 2 2 8 5 2" xfId="32985"/>
    <cellStyle name="Heading 2 2 2 3 2 2 8 5 2 2" xfId="32986"/>
    <cellStyle name="Heading 2 2 2 3 2 2 8 5 3" xfId="32987"/>
    <cellStyle name="Heading 2 2 2 3 2 2 8 6" xfId="32988"/>
    <cellStyle name="Heading 2 2 2 3 2 2 8 6 2" xfId="32989"/>
    <cellStyle name="Heading 2 2 2 3 2 2 8 6 2 2" xfId="32990"/>
    <cellStyle name="Heading 2 2 2 3 2 2 8 6 3" xfId="32991"/>
    <cellStyle name="Heading 2 2 2 3 2 2 8 7" xfId="32992"/>
    <cellStyle name="Heading 2 2 2 3 2 2 8 7 2" xfId="32993"/>
    <cellStyle name="Heading 2 2 2 3 2 2 8 7 2 2" xfId="32994"/>
    <cellStyle name="Heading 2 2 2 3 2 2 8 7 3" xfId="32995"/>
    <cellStyle name="Heading 2 2 2 3 2 2 8 8" xfId="32996"/>
    <cellStyle name="Heading 2 2 2 3 2 2 8 8 2" xfId="32997"/>
    <cellStyle name="Heading 2 2 2 3 2 2 8 9" xfId="32998"/>
    <cellStyle name="Heading 2 2 2 3 2 2 9" xfId="32999"/>
    <cellStyle name="Heading 2 2 2 3 2 2 9 2" xfId="33000"/>
    <cellStyle name="Heading 2 2 2 3 2 2 9 2 2" xfId="33001"/>
    <cellStyle name="Heading 2 2 2 3 2 2 9 3" xfId="33002"/>
    <cellStyle name="Heading 2 2 2 3 2 20" xfId="33003"/>
    <cellStyle name="Heading 2 2 2 3 2 20 2" xfId="33004"/>
    <cellStyle name="Heading 2 2 2 3 2 21" xfId="33005"/>
    <cellStyle name="Heading 2 2 2 3 2 21 2" xfId="33006"/>
    <cellStyle name="Heading 2 2 2 3 2 22" xfId="33007"/>
    <cellStyle name="Heading 2 2 2 3 2 22 2" xfId="33008"/>
    <cellStyle name="Heading 2 2 2 3 2 23" xfId="33009"/>
    <cellStyle name="Heading 2 2 2 3 2 3" xfId="33010"/>
    <cellStyle name="Heading 2 2 2 3 2 3 2" xfId="33011"/>
    <cellStyle name="Heading 2 2 2 3 2 3 2 2" xfId="33012"/>
    <cellStyle name="Heading 2 2 2 3 2 3 2 2 2" xfId="33013"/>
    <cellStyle name="Heading 2 2 2 3 2 3 2 3" xfId="33014"/>
    <cellStyle name="Heading 2 2 2 3 2 3 3" xfId="33015"/>
    <cellStyle name="Heading 2 2 2 3 2 3 3 2" xfId="33016"/>
    <cellStyle name="Heading 2 2 2 3 2 3 3 2 2" xfId="33017"/>
    <cellStyle name="Heading 2 2 2 3 2 3 3 3" xfId="33018"/>
    <cellStyle name="Heading 2 2 2 3 2 3 4" xfId="33019"/>
    <cellStyle name="Heading 2 2 2 3 2 3 4 2" xfId="33020"/>
    <cellStyle name="Heading 2 2 2 3 2 3 4 2 2" xfId="33021"/>
    <cellStyle name="Heading 2 2 2 3 2 3 4 3" xfId="33022"/>
    <cellStyle name="Heading 2 2 2 3 2 3 5" xfId="33023"/>
    <cellStyle name="Heading 2 2 2 3 2 3 5 2" xfId="33024"/>
    <cellStyle name="Heading 2 2 2 3 2 3 5 2 2" xfId="33025"/>
    <cellStyle name="Heading 2 2 2 3 2 3 5 3" xfId="33026"/>
    <cellStyle name="Heading 2 2 2 3 2 3 6" xfId="33027"/>
    <cellStyle name="Heading 2 2 2 3 2 3 6 2" xfId="33028"/>
    <cellStyle name="Heading 2 2 2 3 2 3 6 2 2" xfId="33029"/>
    <cellStyle name="Heading 2 2 2 3 2 3 6 3" xfId="33030"/>
    <cellStyle name="Heading 2 2 2 3 2 3 7" xfId="33031"/>
    <cellStyle name="Heading 2 2 2 3 2 3 7 2" xfId="33032"/>
    <cellStyle name="Heading 2 2 2 3 2 3 7 2 2" xfId="33033"/>
    <cellStyle name="Heading 2 2 2 3 2 3 7 3" xfId="33034"/>
    <cellStyle name="Heading 2 2 2 3 2 3 8" xfId="33035"/>
    <cellStyle name="Heading 2 2 2 3 2 3 8 2" xfId="33036"/>
    <cellStyle name="Heading 2 2 2 3 2 3 9" xfId="33037"/>
    <cellStyle name="Heading 2 2 2 3 2 4" xfId="33038"/>
    <cellStyle name="Heading 2 2 2 3 2 4 2" xfId="33039"/>
    <cellStyle name="Heading 2 2 2 3 2 4 2 2" xfId="33040"/>
    <cellStyle name="Heading 2 2 2 3 2 4 2 2 2" xfId="33041"/>
    <cellStyle name="Heading 2 2 2 3 2 4 2 3" xfId="33042"/>
    <cellStyle name="Heading 2 2 2 3 2 4 3" xfId="33043"/>
    <cellStyle name="Heading 2 2 2 3 2 4 3 2" xfId="33044"/>
    <cellStyle name="Heading 2 2 2 3 2 4 3 2 2" xfId="33045"/>
    <cellStyle name="Heading 2 2 2 3 2 4 3 3" xfId="33046"/>
    <cellStyle name="Heading 2 2 2 3 2 4 4" xfId="33047"/>
    <cellStyle name="Heading 2 2 2 3 2 4 4 2" xfId="33048"/>
    <cellStyle name="Heading 2 2 2 3 2 4 4 2 2" xfId="33049"/>
    <cellStyle name="Heading 2 2 2 3 2 4 4 3" xfId="33050"/>
    <cellStyle name="Heading 2 2 2 3 2 4 5" xfId="33051"/>
    <cellStyle name="Heading 2 2 2 3 2 4 5 2" xfId="33052"/>
    <cellStyle name="Heading 2 2 2 3 2 4 5 2 2" xfId="33053"/>
    <cellStyle name="Heading 2 2 2 3 2 4 5 3" xfId="33054"/>
    <cellStyle name="Heading 2 2 2 3 2 4 6" xfId="33055"/>
    <cellStyle name="Heading 2 2 2 3 2 4 6 2" xfId="33056"/>
    <cellStyle name="Heading 2 2 2 3 2 4 6 2 2" xfId="33057"/>
    <cellStyle name="Heading 2 2 2 3 2 4 6 3" xfId="33058"/>
    <cellStyle name="Heading 2 2 2 3 2 4 7" xfId="33059"/>
    <cellStyle name="Heading 2 2 2 3 2 4 7 2" xfId="33060"/>
    <cellStyle name="Heading 2 2 2 3 2 4 7 2 2" xfId="33061"/>
    <cellStyle name="Heading 2 2 2 3 2 4 7 3" xfId="33062"/>
    <cellStyle name="Heading 2 2 2 3 2 4 8" xfId="33063"/>
    <cellStyle name="Heading 2 2 2 3 2 4 8 2" xfId="33064"/>
    <cellStyle name="Heading 2 2 2 3 2 4 9" xfId="33065"/>
    <cellStyle name="Heading 2 2 2 3 2 5" xfId="33066"/>
    <cellStyle name="Heading 2 2 2 3 2 5 2" xfId="33067"/>
    <cellStyle name="Heading 2 2 2 3 2 5 2 2" xfId="33068"/>
    <cellStyle name="Heading 2 2 2 3 2 5 2 2 2" xfId="33069"/>
    <cellStyle name="Heading 2 2 2 3 2 5 2 3" xfId="33070"/>
    <cellStyle name="Heading 2 2 2 3 2 5 3" xfId="33071"/>
    <cellStyle name="Heading 2 2 2 3 2 5 3 2" xfId="33072"/>
    <cellStyle name="Heading 2 2 2 3 2 5 3 2 2" xfId="33073"/>
    <cellStyle name="Heading 2 2 2 3 2 5 3 3" xfId="33074"/>
    <cellStyle name="Heading 2 2 2 3 2 5 4" xfId="33075"/>
    <cellStyle name="Heading 2 2 2 3 2 5 4 2" xfId="33076"/>
    <cellStyle name="Heading 2 2 2 3 2 5 4 2 2" xfId="33077"/>
    <cellStyle name="Heading 2 2 2 3 2 5 4 3" xfId="33078"/>
    <cellStyle name="Heading 2 2 2 3 2 5 5" xfId="33079"/>
    <cellStyle name="Heading 2 2 2 3 2 5 5 2" xfId="33080"/>
    <cellStyle name="Heading 2 2 2 3 2 5 5 2 2" xfId="33081"/>
    <cellStyle name="Heading 2 2 2 3 2 5 5 3" xfId="33082"/>
    <cellStyle name="Heading 2 2 2 3 2 5 6" xfId="33083"/>
    <cellStyle name="Heading 2 2 2 3 2 5 6 2" xfId="33084"/>
    <cellStyle name="Heading 2 2 2 3 2 5 6 2 2" xfId="33085"/>
    <cellStyle name="Heading 2 2 2 3 2 5 6 3" xfId="33086"/>
    <cellStyle name="Heading 2 2 2 3 2 5 7" xfId="33087"/>
    <cellStyle name="Heading 2 2 2 3 2 5 7 2" xfId="33088"/>
    <cellStyle name="Heading 2 2 2 3 2 5 7 2 2" xfId="33089"/>
    <cellStyle name="Heading 2 2 2 3 2 5 7 3" xfId="33090"/>
    <cellStyle name="Heading 2 2 2 3 2 5 8" xfId="33091"/>
    <cellStyle name="Heading 2 2 2 3 2 5 8 2" xfId="33092"/>
    <cellStyle name="Heading 2 2 2 3 2 5 9" xfId="33093"/>
    <cellStyle name="Heading 2 2 2 3 2 6" xfId="33094"/>
    <cellStyle name="Heading 2 2 2 3 2 6 2" xfId="33095"/>
    <cellStyle name="Heading 2 2 2 3 2 6 2 2" xfId="33096"/>
    <cellStyle name="Heading 2 2 2 3 2 6 2 2 2" xfId="33097"/>
    <cellStyle name="Heading 2 2 2 3 2 6 2 3" xfId="33098"/>
    <cellStyle name="Heading 2 2 2 3 2 6 3" xfId="33099"/>
    <cellStyle name="Heading 2 2 2 3 2 6 3 2" xfId="33100"/>
    <cellStyle name="Heading 2 2 2 3 2 6 3 2 2" xfId="33101"/>
    <cellStyle name="Heading 2 2 2 3 2 6 3 3" xfId="33102"/>
    <cellStyle name="Heading 2 2 2 3 2 6 4" xfId="33103"/>
    <cellStyle name="Heading 2 2 2 3 2 6 4 2" xfId="33104"/>
    <cellStyle name="Heading 2 2 2 3 2 6 4 2 2" xfId="33105"/>
    <cellStyle name="Heading 2 2 2 3 2 6 4 3" xfId="33106"/>
    <cellStyle name="Heading 2 2 2 3 2 6 5" xfId="33107"/>
    <cellStyle name="Heading 2 2 2 3 2 6 5 2" xfId="33108"/>
    <cellStyle name="Heading 2 2 2 3 2 6 5 2 2" xfId="33109"/>
    <cellStyle name="Heading 2 2 2 3 2 6 5 3" xfId="33110"/>
    <cellStyle name="Heading 2 2 2 3 2 6 6" xfId="33111"/>
    <cellStyle name="Heading 2 2 2 3 2 6 6 2" xfId="33112"/>
    <cellStyle name="Heading 2 2 2 3 2 6 6 2 2" xfId="33113"/>
    <cellStyle name="Heading 2 2 2 3 2 6 6 3" xfId="33114"/>
    <cellStyle name="Heading 2 2 2 3 2 6 7" xfId="33115"/>
    <cellStyle name="Heading 2 2 2 3 2 6 7 2" xfId="33116"/>
    <cellStyle name="Heading 2 2 2 3 2 6 7 2 2" xfId="33117"/>
    <cellStyle name="Heading 2 2 2 3 2 6 7 3" xfId="33118"/>
    <cellStyle name="Heading 2 2 2 3 2 6 8" xfId="33119"/>
    <cellStyle name="Heading 2 2 2 3 2 6 8 2" xfId="33120"/>
    <cellStyle name="Heading 2 2 2 3 2 6 9" xfId="33121"/>
    <cellStyle name="Heading 2 2 2 3 2 7" xfId="33122"/>
    <cellStyle name="Heading 2 2 2 3 2 7 2" xfId="33123"/>
    <cellStyle name="Heading 2 2 2 3 2 7 2 2" xfId="33124"/>
    <cellStyle name="Heading 2 2 2 3 2 7 2 2 2" xfId="33125"/>
    <cellStyle name="Heading 2 2 2 3 2 7 2 3" xfId="33126"/>
    <cellStyle name="Heading 2 2 2 3 2 7 3" xfId="33127"/>
    <cellStyle name="Heading 2 2 2 3 2 7 3 2" xfId="33128"/>
    <cellStyle name="Heading 2 2 2 3 2 7 3 2 2" xfId="33129"/>
    <cellStyle name="Heading 2 2 2 3 2 7 3 3" xfId="33130"/>
    <cellStyle name="Heading 2 2 2 3 2 7 4" xfId="33131"/>
    <cellStyle name="Heading 2 2 2 3 2 7 4 2" xfId="33132"/>
    <cellStyle name="Heading 2 2 2 3 2 7 4 2 2" xfId="33133"/>
    <cellStyle name="Heading 2 2 2 3 2 7 4 3" xfId="33134"/>
    <cellStyle name="Heading 2 2 2 3 2 7 5" xfId="33135"/>
    <cellStyle name="Heading 2 2 2 3 2 7 5 2" xfId="33136"/>
    <cellStyle name="Heading 2 2 2 3 2 7 5 2 2" xfId="33137"/>
    <cellStyle name="Heading 2 2 2 3 2 7 5 3" xfId="33138"/>
    <cellStyle name="Heading 2 2 2 3 2 7 6" xfId="33139"/>
    <cellStyle name="Heading 2 2 2 3 2 7 6 2" xfId="33140"/>
    <cellStyle name="Heading 2 2 2 3 2 7 6 2 2" xfId="33141"/>
    <cellStyle name="Heading 2 2 2 3 2 7 6 3" xfId="33142"/>
    <cellStyle name="Heading 2 2 2 3 2 7 7" xfId="33143"/>
    <cellStyle name="Heading 2 2 2 3 2 7 7 2" xfId="33144"/>
    <cellStyle name="Heading 2 2 2 3 2 7 7 2 2" xfId="33145"/>
    <cellStyle name="Heading 2 2 2 3 2 7 7 3" xfId="33146"/>
    <cellStyle name="Heading 2 2 2 3 2 7 8" xfId="33147"/>
    <cellStyle name="Heading 2 2 2 3 2 7 8 2" xfId="33148"/>
    <cellStyle name="Heading 2 2 2 3 2 7 9" xfId="33149"/>
    <cellStyle name="Heading 2 2 2 3 2 8" xfId="33150"/>
    <cellStyle name="Heading 2 2 2 3 2 8 2" xfId="33151"/>
    <cellStyle name="Heading 2 2 2 3 2 8 2 2" xfId="33152"/>
    <cellStyle name="Heading 2 2 2 3 2 8 2 2 2" xfId="33153"/>
    <cellStyle name="Heading 2 2 2 3 2 8 2 3" xfId="33154"/>
    <cellStyle name="Heading 2 2 2 3 2 8 3" xfId="33155"/>
    <cellStyle name="Heading 2 2 2 3 2 8 3 2" xfId="33156"/>
    <cellStyle name="Heading 2 2 2 3 2 8 3 2 2" xfId="33157"/>
    <cellStyle name="Heading 2 2 2 3 2 8 3 3" xfId="33158"/>
    <cellStyle name="Heading 2 2 2 3 2 8 4" xfId="33159"/>
    <cellStyle name="Heading 2 2 2 3 2 8 4 2" xfId="33160"/>
    <cellStyle name="Heading 2 2 2 3 2 8 4 2 2" xfId="33161"/>
    <cellStyle name="Heading 2 2 2 3 2 8 4 3" xfId="33162"/>
    <cellStyle name="Heading 2 2 2 3 2 8 5" xfId="33163"/>
    <cellStyle name="Heading 2 2 2 3 2 8 5 2" xfId="33164"/>
    <cellStyle name="Heading 2 2 2 3 2 8 5 2 2" xfId="33165"/>
    <cellStyle name="Heading 2 2 2 3 2 8 5 3" xfId="33166"/>
    <cellStyle name="Heading 2 2 2 3 2 8 6" xfId="33167"/>
    <cellStyle name="Heading 2 2 2 3 2 8 6 2" xfId="33168"/>
    <cellStyle name="Heading 2 2 2 3 2 8 6 2 2" xfId="33169"/>
    <cellStyle name="Heading 2 2 2 3 2 8 6 3" xfId="33170"/>
    <cellStyle name="Heading 2 2 2 3 2 8 7" xfId="33171"/>
    <cellStyle name="Heading 2 2 2 3 2 8 7 2" xfId="33172"/>
    <cellStyle name="Heading 2 2 2 3 2 8 7 2 2" xfId="33173"/>
    <cellStyle name="Heading 2 2 2 3 2 8 7 3" xfId="33174"/>
    <cellStyle name="Heading 2 2 2 3 2 8 8" xfId="33175"/>
    <cellStyle name="Heading 2 2 2 3 2 8 8 2" xfId="33176"/>
    <cellStyle name="Heading 2 2 2 3 2 8 9" xfId="33177"/>
    <cellStyle name="Heading 2 2 2 3 2 9" xfId="33178"/>
    <cellStyle name="Heading 2 2 2 3 2 9 2" xfId="33179"/>
    <cellStyle name="Heading 2 2 2 3 2 9 2 2" xfId="33180"/>
    <cellStyle name="Heading 2 2 2 3 2 9 2 2 2" xfId="33181"/>
    <cellStyle name="Heading 2 2 2 3 2 9 2 3" xfId="33182"/>
    <cellStyle name="Heading 2 2 2 3 2 9 3" xfId="33183"/>
    <cellStyle name="Heading 2 2 2 3 2 9 3 2" xfId="33184"/>
    <cellStyle name="Heading 2 2 2 3 2 9 3 2 2" xfId="33185"/>
    <cellStyle name="Heading 2 2 2 3 2 9 3 3" xfId="33186"/>
    <cellStyle name="Heading 2 2 2 3 2 9 4" xfId="33187"/>
    <cellStyle name="Heading 2 2 2 3 2 9 4 2" xfId="33188"/>
    <cellStyle name="Heading 2 2 2 3 2 9 4 2 2" xfId="33189"/>
    <cellStyle name="Heading 2 2 2 3 2 9 4 3" xfId="33190"/>
    <cellStyle name="Heading 2 2 2 3 2 9 5" xfId="33191"/>
    <cellStyle name="Heading 2 2 2 3 2 9 5 2" xfId="33192"/>
    <cellStyle name="Heading 2 2 2 3 2 9 5 2 2" xfId="33193"/>
    <cellStyle name="Heading 2 2 2 3 2 9 5 3" xfId="33194"/>
    <cellStyle name="Heading 2 2 2 3 2 9 6" xfId="33195"/>
    <cellStyle name="Heading 2 2 2 3 2 9 6 2" xfId="33196"/>
    <cellStyle name="Heading 2 2 2 3 2 9 6 2 2" xfId="33197"/>
    <cellStyle name="Heading 2 2 2 3 2 9 6 3" xfId="33198"/>
    <cellStyle name="Heading 2 2 2 3 2 9 7" xfId="33199"/>
    <cellStyle name="Heading 2 2 2 3 2 9 7 2" xfId="33200"/>
    <cellStyle name="Heading 2 2 2 3 2 9 7 2 2" xfId="33201"/>
    <cellStyle name="Heading 2 2 2 3 2 9 7 3" xfId="33202"/>
    <cellStyle name="Heading 2 2 2 3 2 9 8" xfId="33203"/>
    <cellStyle name="Heading 2 2 2 3 2 9 8 2" xfId="33204"/>
    <cellStyle name="Heading 2 2 2 3 2 9 9" xfId="33205"/>
    <cellStyle name="Heading 2 2 2 3 3" xfId="33206"/>
    <cellStyle name="Heading 2 2 2 3 3 10" xfId="33207"/>
    <cellStyle name="Heading 2 2 2 3 3 10 2" xfId="33208"/>
    <cellStyle name="Heading 2 2 2 3 3 10 2 2" xfId="33209"/>
    <cellStyle name="Heading 2 2 2 3 3 10 3" xfId="33210"/>
    <cellStyle name="Heading 2 2 2 3 3 11" xfId="33211"/>
    <cellStyle name="Heading 2 2 2 3 3 11 2" xfId="33212"/>
    <cellStyle name="Heading 2 2 2 3 3 11 2 2" xfId="33213"/>
    <cellStyle name="Heading 2 2 2 3 3 11 3" xfId="33214"/>
    <cellStyle name="Heading 2 2 2 3 3 12" xfId="33215"/>
    <cellStyle name="Heading 2 2 2 3 3 12 2" xfId="33216"/>
    <cellStyle name="Heading 2 2 2 3 3 12 2 2" xfId="33217"/>
    <cellStyle name="Heading 2 2 2 3 3 12 3" xfId="33218"/>
    <cellStyle name="Heading 2 2 2 3 3 13" xfId="33219"/>
    <cellStyle name="Heading 2 2 2 3 3 13 2" xfId="33220"/>
    <cellStyle name="Heading 2 2 2 3 3 13 2 2" xfId="33221"/>
    <cellStyle name="Heading 2 2 2 3 3 13 3" xfId="33222"/>
    <cellStyle name="Heading 2 2 2 3 3 14" xfId="33223"/>
    <cellStyle name="Heading 2 2 2 3 3 14 2" xfId="33224"/>
    <cellStyle name="Heading 2 2 2 3 3 14 2 2" xfId="33225"/>
    <cellStyle name="Heading 2 2 2 3 3 14 3" xfId="33226"/>
    <cellStyle name="Heading 2 2 2 3 3 15" xfId="33227"/>
    <cellStyle name="Heading 2 2 2 3 3 15 2" xfId="33228"/>
    <cellStyle name="Heading 2 2 2 3 3 15 2 2" xfId="33229"/>
    <cellStyle name="Heading 2 2 2 3 3 15 3" xfId="33230"/>
    <cellStyle name="Heading 2 2 2 3 3 16" xfId="33231"/>
    <cellStyle name="Heading 2 2 2 3 3 16 2" xfId="33232"/>
    <cellStyle name="Heading 2 2 2 3 3 16 2 2" xfId="33233"/>
    <cellStyle name="Heading 2 2 2 3 3 16 3" xfId="33234"/>
    <cellStyle name="Heading 2 2 2 3 3 17" xfId="33235"/>
    <cellStyle name="Heading 2 2 2 3 3 17 2" xfId="33236"/>
    <cellStyle name="Heading 2 2 2 3 3 17 2 2" xfId="33237"/>
    <cellStyle name="Heading 2 2 2 3 3 17 3" xfId="33238"/>
    <cellStyle name="Heading 2 2 2 3 3 18" xfId="33239"/>
    <cellStyle name="Heading 2 2 2 3 3 18 2" xfId="33240"/>
    <cellStyle name="Heading 2 2 2 3 3 18 2 2" xfId="33241"/>
    <cellStyle name="Heading 2 2 2 3 3 18 3" xfId="33242"/>
    <cellStyle name="Heading 2 2 2 3 3 19" xfId="33243"/>
    <cellStyle name="Heading 2 2 2 3 3 19 2" xfId="33244"/>
    <cellStyle name="Heading 2 2 2 3 3 2" xfId="33245"/>
    <cellStyle name="Heading 2 2 2 3 3 2 2" xfId="33246"/>
    <cellStyle name="Heading 2 2 2 3 3 2 2 2" xfId="33247"/>
    <cellStyle name="Heading 2 2 2 3 3 2 2 2 2" xfId="33248"/>
    <cellStyle name="Heading 2 2 2 3 3 2 2 3" xfId="33249"/>
    <cellStyle name="Heading 2 2 2 3 3 2 3" xfId="33250"/>
    <cellStyle name="Heading 2 2 2 3 3 2 3 2" xfId="33251"/>
    <cellStyle name="Heading 2 2 2 3 3 2 3 2 2" xfId="33252"/>
    <cellStyle name="Heading 2 2 2 3 3 2 3 3" xfId="33253"/>
    <cellStyle name="Heading 2 2 2 3 3 2 4" xfId="33254"/>
    <cellStyle name="Heading 2 2 2 3 3 2 4 2" xfId="33255"/>
    <cellStyle name="Heading 2 2 2 3 3 2 4 2 2" xfId="33256"/>
    <cellStyle name="Heading 2 2 2 3 3 2 4 3" xfId="33257"/>
    <cellStyle name="Heading 2 2 2 3 3 2 5" xfId="33258"/>
    <cellStyle name="Heading 2 2 2 3 3 2 5 2" xfId="33259"/>
    <cellStyle name="Heading 2 2 2 3 3 2 5 2 2" xfId="33260"/>
    <cellStyle name="Heading 2 2 2 3 3 2 5 3" xfId="33261"/>
    <cellStyle name="Heading 2 2 2 3 3 2 6" xfId="33262"/>
    <cellStyle name="Heading 2 2 2 3 3 2 6 2" xfId="33263"/>
    <cellStyle name="Heading 2 2 2 3 3 2 6 2 2" xfId="33264"/>
    <cellStyle name="Heading 2 2 2 3 3 2 6 3" xfId="33265"/>
    <cellStyle name="Heading 2 2 2 3 3 2 7" xfId="33266"/>
    <cellStyle name="Heading 2 2 2 3 3 2 7 2" xfId="33267"/>
    <cellStyle name="Heading 2 2 2 3 3 2 7 2 2" xfId="33268"/>
    <cellStyle name="Heading 2 2 2 3 3 2 7 3" xfId="33269"/>
    <cellStyle name="Heading 2 2 2 3 3 2 8" xfId="33270"/>
    <cellStyle name="Heading 2 2 2 3 3 2 8 2" xfId="33271"/>
    <cellStyle name="Heading 2 2 2 3 3 2 9" xfId="33272"/>
    <cellStyle name="Heading 2 2 2 3 3 20" xfId="33273"/>
    <cellStyle name="Heading 2 2 2 3 3 20 2" xfId="33274"/>
    <cellStyle name="Heading 2 2 2 3 3 21" xfId="33275"/>
    <cellStyle name="Heading 2 2 2 3 3 21 2" xfId="33276"/>
    <cellStyle name="Heading 2 2 2 3 3 22" xfId="33277"/>
    <cellStyle name="Heading 2 2 2 3 3 3" xfId="33278"/>
    <cellStyle name="Heading 2 2 2 3 3 3 2" xfId="33279"/>
    <cellStyle name="Heading 2 2 2 3 3 3 2 2" xfId="33280"/>
    <cellStyle name="Heading 2 2 2 3 3 3 2 2 2" xfId="33281"/>
    <cellStyle name="Heading 2 2 2 3 3 3 2 3" xfId="33282"/>
    <cellStyle name="Heading 2 2 2 3 3 3 3" xfId="33283"/>
    <cellStyle name="Heading 2 2 2 3 3 3 3 2" xfId="33284"/>
    <cellStyle name="Heading 2 2 2 3 3 3 3 2 2" xfId="33285"/>
    <cellStyle name="Heading 2 2 2 3 3 3 3 3" xfId="33286"/>
    <cellStyle name="Heading 2 2 2 3 3 3 4" xfId="33287"/>
    <cellStyle name="Heading 2 2 2 3 3 3 4 2" xfId="33288"/>
    <cellStyle name="Heading 2 2 2 3 3 3 4 2 2" xfId="33289"/>
    <cellStyle name="Heading 2 2 2 3 3 3 4 3" xfId="33290"/>
    <cellStyle name="Heading 2 2 2 3 3 3 5" xfId="33291"/>
    <cellStyle name="Heading 2 2 2 3 3 3 5 2" xfId="33292"/>
    <cellStyle name="Heading 2 2 2 3 3 3 5 2 2" xfId="33293"/>
    <cellStyle name="Heading 2 2 2 3 3 3 5 3" xfId="33294"/>
    <cellStyle name="Heading 2 2 2 3 3 3 6" xfId="33295"/>
    <cellStyle name="Heading 2 2 2 3 3 3 6 2" xfId="33296"/>
    <cellStyle name="Heading 2 2 2 3 3 3 6 2 2" xfId="33297"/>
    <cellStyle name="Heading 2 2 2 3 3 3 6 3" xfId="33298"/>
    <cellStyle name="Heading 2 2 2 3 3 3 7" xfId="33299"/>
    <cellStyle name="Heading 2 2 2 3 3 3 7 2" xfId="33300"/>
    <cellStyle name="Heading 2 2 2 3 3 3 7 2 2" xfId="33301"/>
    <cellStyle name="Heading 2 2 2 3 3 3 7 3" xfId="33302"/>
    <cellStyle name="Heading 2 2 2 3 3 3 8" xfId="33303"/>
    <cellStyle name="Heading 2 2 2 3 3 3 8 2" xfId="33304"/>
    <cellStyle name="Heading 2 2 2 3 3 3 9" xfId="33305"/>
    <cellStyle name="Heading 2 2 2 3 3 4" xfId="33306"/>
    <cellStyle name="Heading 2 2 2 3 3 4 2" xfId="33307"/>
    <cellStyle name="Heading 2 2 2 3 3 4 2 2" xfId="33308"/>
    <cellStyle name="Heading 2 2 2 3 3 4 2 2 2" xfId="33309"/>
    <cellStyle name="Heading 2 2 2 3 3 4 2 3" xfId="33310"/>
    <cellStyle name="Heading 2 2 2 3 3 4 3" xfId="33311"/>
    <cellStyle name="Heading 2 2 2 3 3 4 3 2" xfId="33312"/>
    <cellStyle name="Heading 2 2 2 3 3 4 3 2 2" xfId="33313"/>
    <cellStyle name="Heading 2 2 2 3 3 4 3 3" xfId="33314"/>
    <cellStyle name="Heading 2 2 2 3 3 4 4" xfId="33315"/>
    <cellStyle name="Heading 2 2 2 3 3 4 4 2" xfId="33316"/>
    <cellStyle name="Heading 2 2 2 3 3 4 4 2 2" xfId="33317"/>
    <cellStyle name="Heading 2 2 2 3 3 4 4 3" xfId="33318"/>
    <cellStyle name="Heading 2 2 2 3 3 4 5" xfId="33319"/>
    <cellStyle name="Heading 2 2 2 3 3 4 5 2" xfId="33320"/>
    <cellStyle name="Heading 2 2 2 3 3 4 5 2 2" xfId="33321"/>
    <cellStyle name="Heading 2 2 2 3 3 4 5 3" xfId="33322"/>
    <cellStyle name="Heading 2 2 2 3 3 4 6" xfId="33323"/>
    <cellStyle name="Heading 2 2 2 3 3 4 6 2" xfId="33324"/>
    <cellStyle name="Heading 2 2 2 3 3 4 6 2 2" xfId="33325"/>
    <cellStyle name="Heading 2 2 2 3 3 4 6 3" xfId="33326"/>
    <cellStyle name="Heading 2 2 2 3 3 4 7" xfId="33327"/>
    <cellStyle name="Heading 2 2 2 3 3 4 7 2" xfId="33328"/>
    <cellStyle name="Heading 2 2 2 3 3 4 7 2 2" xfId="33329"/>
    <cellStyle name="Heading 2 2 2 3 3 4 7 3" xfId="33330"/>
    <cellStyle name="Heading 2 2 2 3 3 4 8" xfId="33331"/>
    <cellStyle name="Heading 2 2 2 3 3 4 8 2" xfId="33332"/>
    <cellStyle name="Heading 2 2 2 3 3 4 9" xfId="33333"/>
    <cellStyle name="Heading 2 2 2 3 3 5" xfId="33334"/>
    <cellStyle name="Heading 2 2 2 3 3 5 2" xfId="33335"/>
    <cellStyle name="Heading 2 2 2 3 3 5 2 2" xfId="33336"/>
    <cellStyle name="Heading 2 2 2 3 3 5 2 2 2" xfId="33337"/>
    <cellStyle name="Heading 2 2 2 3 3 5 2 3" xfId="33338"/>
    <cellStyle name="Heading 2 2 2 3 3 5 3" xfId="33339"/>
    <cellStyle name="Heading 2 2 2 3 3 5 3 2" xfId="33340"/>
    <cellStyle name="Heading 2 2 2 3 3 5 3 2 2" xfId="33341"/>
    <cellStyle name="Heading 2 2 2 3 3 5 3 3" xfId="33342"/>
    <cellStyle name="Heading 2 2 2 3 3 5 4" xfId="33343"/>
    <cellStyle name="Heading 2 2 2 3 3 5 4 2" xfId="33344"/>
    <cellStyle name="Heading 2 2 2 3 3 5 4 2 2" xfId="33345"/>
    <cellStyle name="Heading 2 2 2 3 3 5 4 3" xfId="33346"/>
    <cellStyle name="Heading 2 2 2 3 3 5 5" xfId="33347"/>
    <cellStyle name="Heading 2 2 2 3 3 5 5 2" xfId="33348"/>
    <cellStyle name="Heading 2 2 2 3 3 5 5 2 2" xfId="33349"/>
    <cellStyle name="Heading 2 2 2 3 3 5 5 3" xfId="33350"/>
    <cellStyle name="Heading 2 2 2 3 3 5 6" xfId="33351"/>
    <cellStyle name="Heading 2 2 2 3 3 5 6 2" xfId="33352"/>
    <cellStyle name="Heading 2 2 2 3 3 5 6 2 2" xfId="33353"/>
    <cellStyle name="Heading 2 2 2 3 3 5 6 3" xfId="33354"/>
    <cellStyle name="Heading 2 2 2 3 3 5 7" xfId="33355"/>
    <cellStyle name="Heading 2 2 2 3 3 5 7 2" xfId="33356"/>
    <cellStyle name="Heading 2 2 2 3 3 5 7 2 2" xfId="33357"/>
    <cellStyle name="Heading 2 2 2 3 3 5 7 3" xfId="33358"/>
    <cellStyle name="Heading 2 2 2 3 3 5 8" xfId="33359"/>
    <cellStyle name="Heading 2 2 2 3 3 5 8 2" xfId="33360"/>
    <cellStyle name="Heading 2 2 2 3 3 5 9" xfId="33361"/>
    <cellStyle name="Heading 2 2 2 3 3 6" xfId="33362"/>
    <cellStyle name="Heading 2 2 2 3 3 6 2" xfId="33363"/>
    <cellStyle name="Heading 2 2 2 3 3 6 2 2" xfId="33364"/>
    <cellStyle name="Heading 2 2 2 3 3 6 2 2 2" xfId="33365"/>
    <cellStyle name="Heading 2 2 2 3 3 6 2 3" xfId="33366"/>
    <cellStyle name="Heading 2 2 2 3 3 6 3" xfId="33367"/>
    <cellStyle name="Heading 2 2 2 3 3 6 3 2" xfId="33368"/>
    <cellStyle name="Heading 2 2 2 3 3 6 3 2 2" xfId="33369"/>
    <cellStyle name="Heading 2 2 2 3 3 6 3 3" xfId="33370"/>
    <cellStyle name="Heading 2 2 2 3 3 6 4" xfId="33371"/>
    <cellStyle name="Heading 2 2 2 3 3 6 4 2" xfId="33372"/>
    <cellStyle name="Heading 2 2 2 3 3 6 4 2 2" xfId="33373"/>
    <cellStyle name="Heading 2 2 2 3 3 6 4 3" xfId="33374"/>
    <cellStyle name="Heading 2 2 2 3 3 6 5" xfId="33375"/>
    <cellStyle name="Heading 2 2 2 3 3 6 5 2" xfId="33376"/>
    <cellStyle name="Heading 2 2 2 3 3 6 5 2 2" xfId="33377"/>
    <cellStyle name="Heading 2 2 2 3 3 6 5 3" xfId="33378"/>
    <cellStyle name="Heading 2 2 2 3 3 6 6" xfId="33379"/>
    <cellStyle name="Heading 2 2 2 3 3 6 6 2" xfId="33380"/>
    <cellStyle name="Heading 2 2 2 3 3 6 6 2 2" xfId="33381"/>
    <cellStyle name="Heading 2 2 2 3 3 6 6 3" xfId="33382"/>
    <cellStyle name="Heading 2 2 2 3 3 6 7" xfId="33383"/>
    <cellStyle name="Heading 2 2 2 3 3 6 7 2" xfId="33384"/>
    <cellStyle name="Heading 2 2 2 3 3 6 7 2 2" xfId="33385"/>
    <cellStyle name="Heading 2 2 2 3 3 6 7 3" xfId="33386"/>
    <cellStyle name="Heading 2 2 2 3 3 6 8" xfId="33387"/>
    <cellStyle name="Heading 2 2 2 3 3 6 8 2" xfId="33388"/>
    <cellStyle name="Heading 2 2 2 3 3 6 9" xfId="33389"/>
    <cellStyle name="Heading 2 2 2 3 3 7" xfId="33390"/>
    <cellStyle name="Heading 2 2 2 3 3 7 2" xfId="33391"/>
    <cellStyle name="Heading 2 2 2 3 3 7 2 2" xfId="33392"/>
    <cellStyle name="Heading 2 2 2 3 3 7 2 2 2" xfId="33393"/>
    <cellStyle name="Heading 2 2 2 3 3 7 2 3" xfId="33394"/>
    <cellStyle name="Heading 2 2 2 3 3 7 3" xfId="33395"/>
    <cellStyle name="Heading 2 2 2 3 3 7 3 2" xfId="33396"/>
    <cellStyle name="Heading 2 2 2 3 3 7 3 2 2" xfId="33397"/>
    <cellStyle name="Heading 2 2 2 3 3 7 3 3" xfId="33398"/>
    <cellStyle name="Heading 2 2 2 3 3 7 4" xfId="33399"/>
    <cellStyle name="Heading 2 2 2 3 3 7 4 2" xfId="33400"/>
    <cellStyle name="Heading 2 2 2 3 3 7 4 2 2" xfId="33401"/>
    <cellStyle name="Heading 2 2 2 3 3 7 4 3" xfId="33402"/>
    <cellStyle name="Heading 2 2 2 3 3 7 5" xfId="33403"/>
    <cellStyle name="Heading 2 2 2 3 3 7 5 2" xfId="33404"/>
    <cellStyle name="Heading 2 2 2 3 3 7 5 2 2" xfId="33405"/>
    <cellStyle name="Heading 2 2 2 3 3 7 5 3" xfId="33406"/>
    <cellStyle name="Heading 2 2 2 3 3 7 6" xfId="33407"/>
    <cellStyle name="Heading 2 2 2 3 3 7 6 2" xfId="33408"/>
    <cellStyle name="Heading 2 2 2 3 3 7 6 2 2" xfId="33409"/>
    <cellStyle name="Heading 2 2 2 3 3 7 6 3" xfId="33410"/>
    <cellStyle name="Heading 2 2 2 3 3 7 7" xfId="33411"/>
    <cellStyle name="Heading 2 2 2 3 3 7 7 2" xfId="33412"/>
    <cellStyle name="Heading 2 2 2 3 3 7 7 2 2" xfId="33413"/>
    <cellStyle name="Heading 2 2 2 3 3 7 7 3" xfId="33414"/>
    <cellStyle name="Heading 2 2 2 3 3 7 8" xfId="33415"/>
    <cellStyle name="Heading 2 2 2 3 3 7 8 2" xfId="33416"/>
    <cellStyle name="Heading 2 2 2 3 3 7 9" xfId="33417"/>
    <cellStyle name="Heading 2 2 2 3 3 8" xfId="33418"/>
    <cellStyle name="Heading 2 2 2 3 3 8 2" xfId="33419"/>
    <cellStyle name="Heading 2 2 2 3 3 8 2 2" xfId="33420"/>
    <cellStyle name="Heading 2 2 2 3 3 8 2 2 2" xfId="33421"/>
    <cellStyle name="Heading 2 2 2 3 3 8 2 3" xfId="33422"/>
    <cellStyle name="Heading 2 2 2 3 3 8 3" xfId="33423"/>
    <cellStyle name="Heading 2 2 2 3 3 8 3 2" xfId="33424"/>
    <cellStyle name="Heading 2 2 2 3 3 8 3 2 2" xfId="33425"/>
    <cellStyle name="Heading 2 2 2 3 3 8 3 3" xfId="33426"/>
    <cellStyle name="Heading 2 2 2 3 3 8 4" xfId="33427"/>
    <cellStyle name="Heading 2 2 2 3 3 8 4 2" xfId="33428"/>
    <cellStyle name="Heading 2 2 2 3 3 8 4 2 2" xfId="33429"/>
    <cellStyle name="Heading 2 2 2 3 3 8 4 3" xfId="33430"/>
    <cellStyle name="Heading 2 2 2 3 3 8 5" xfId="33431"/>
    <cellStyle name="Heading 2 2 2 3 3 8 5 2" xfId="33432"/>
    <cellStyle name="Heading 2 2 2 3 3 8 5 2 2" xfId="33433"/>
    <cellStyle name="Heading 2 2 2 3 3 8 5 3" xfId="33434"/>
    <cellStyle name="Heading 2 2 2 3 3 8 6" xfId="33435"/>
    <cellStyle name="Heading 2 2 2 3 3 8 6 2" xfId="33436"/>
    <cellStyle name="Heading 2 2 2 3 3 8 6 2 2" xfId="33437"/>
    <cellStyle name="Heading 2 2 2 3 3 8 6 3" xfId="33438"/>
    <cellStyle name="Heading 2 2 2 3 3 8 7" xfId="33439"/>
    <cellStyle name="Heading 2 2 2 3 3 8 7 2" xfId="33440"/>
    <cellStyle name="Heading 2 2 2 3 3 8 7 2 2" xfId="33441"/>
    <cellStyle name="Heading 2 2 2 3 3 8 7 3" xfId="33442"/>
    <cellStyle name="Heading 2 2 2 3 3 8 8" xfId="33443"/>
    <cellStyle name="Heading 2 2 2 3 3 8 8 2" xfId="33444"/>
    <cellStyle name="Heading 2 2 2 3 3 8 9" xfId="33445"/>
    <cellStyle name="Heading 2 2 2 3 3 9" xfId="33446"/>
    <cellStyle name="Heading 2 2 2 3 3 9 2" xfId="33447"/>
    <cellStyle name="Heading 2 2 2 3 3 9 2 2" xfId="33448"/>
    <cellStyle name="Heading 2 2 2 3 3 9 3" xfId="33449"/>
    <cellStyle name="Heading 2 2 2 3 4" xfId="33450"/>
    <cellStyle name="Heading 2 2 2 3 4 2" xfId="33451"/>
    <cellStyle name="Heading 2 2 2 3 4 2 2" xfId="33452"/>
    <cellStyle name="Heading 2 2 2 3 4 3" xfId="33453"/>
    <cellStyle name="Heading 2 2 2 3 5" xfId="33454"/>
    <cellStyle name="Heading 2 2 2 3 5 2" xfId="33455"/>
    <cellStyle name="Heading 2 2 2 3 6" xfId="33456"/>
    <cellStyle name="Heading 2 2 2 4" xfId="33457"/>
    <cellStyle name="Heading 2 2 2 4 2" xfId="33458"/>
    <cellStyle name="Heading 2 2 2 4 2 10" xfId="33459"/>
    <cellStyle name="Heading 2 2 2 4 2 10 2" xfId="33460"/>
    <cellStyle name="Heading 2 2 2 4 2 10 2 2" xfId="33461"/>
    <cellStyle name="Heading 2 2 2 4 2 10 3" xfId="33462"/>
    <cellStyle name="Heading 2 2 2 4 2 11" xfId="33463"/>
    <cellStyle name="Heading 2 2 2 4 2 11 2" xfId="33464"/>
    <cellStyle name="Heading 2 2 2 4 2 11 2 2" xfId="33465"/>
    <cellStyle name="Heading 2 2 2 4 2 11 3" xfId="33466"/>
    <cellStyle name="Heading 2 2 2 4 2 12" xfId="33467"/>
    <cellStyle name="Heading 2 2 2 4 2 12 2" xfId="33468"/>
    <cellStyle name="Heading 2 2 2 4 2 12 2 2" xfId="33469"/>
    <cellStyle name="Heading 2 2 2 4 2 12 3" xfId="33470"/>
    <cellStyle name="Heading 2 2 2 4 2 13" xfId="33471"/>
    <cellStyle name="Heading 2 2 2 4 2 13 2" xfId="33472"/>
    <cellStyle name="Heading 2 2 2 4 2 13 2 2" xfId="33473"/>
    <cellStyle name="Heading 2 2 2 4 2 13 3" xfId="33474"/>
    <cellStyle name="Heading 2 2 2 4 2 14" xfId="33475"/>
    <cellStyle name="Heading 2 2 2 4 2 14 2" xfId="33476"/>
    <cellStyle name="Heading 2 2 2 4 2 14 2 2" xfId="33477"/>
    <cellStyle name="Heading 2 2 2 4 2 14 3" xfId="33478"/>
    <cellStyle name="Heading 2 2 2 4 2 15" xfId="33479"/>
    <cellStyle name="Heading 2 2 2 4 2 15 2" xfId="33480"/>
    <cellStyle name="Heading 2 2 2 4 2 15 2 2" xfId="33481"/>
    <cellStyle name="Heading 2 2 2 4 2 15 3" xfId="33482"/>
    <cellStyle name="Heading 2 2 2 4 2 16" xfId="33483"/>
    <cellStyle name="Heading 2 2 2 4 2 16 2" xfId="33484"/>
    <cellStyle name="Heading 2 2 2 4 2 16 2 2" xfId="33485"/>
    <cellStyle name="Heading 2 2 2 4 2 16 3" xfId="33486"/>
    <cellStyle name="Heading 2 2 2 4 2 17" xfId="33487"/>
    <cellStyle name="Heading 2 2 2 4 2 17 2" xfId="33488"/>
    <cellStyle name="Heading 2 2 2 4 2 17 2 2" xfId="33489"/>
    <cellStyle name="Heading 2 2 2 4 2 17 3" xfId="33490"/>
    <cellStyle name="Heading 2 2 2 4 2 18" xfId="33491"/>
    <cellStyle name="Heading 2 2 2 4 2 18 2" xfId="33492"/>
    <cellStyle name="Heading 2 2 2 4 2 18 2 2" xfId="33493"/>
    <cellStyle name="Heading 2 2 2 4 2 18 3" xfId="33494"/>
    <cellStyle name="Heading 2 2 2 4 2 19" xfId="33495"/>
    <cellStyle name="Heading 2 2 2 4 2 19 2" xfId="33496"/>
    <cellStyle name="Heading 2 2 2 4 2 19 2 2" xfId="33497"/>
    <cellStyle name="Heading 2 2 2 4 2 19 3" xfId="33498"/>
    <cellStyle name="Heading 2 2 2 4 2 2" xfId="33499"/>
    <cellStyle name="Heading 2 2 2 4 2 2 10" xfId="33500"/>
    <cellStyle name="Heading 2 2 2 4 2 2 10 2" xfId="33501"/>
    <cellStyle name="Heading 2 2 2 4 2 2 10 2 2" xfId="33502"/>
    <cellStyle name="Heading 2 2 2 4 2 2 10 3" xfId="33503"/>
    <cellStyle name="Heading 2 2 2 4 2 2 11" xfId="33504"/>
    <cellStyle name="Heading 2 2 2 4 2 2 11 2" xfId="33505"/>
    <cellStyle name="Heading 2 2 2 4 2 2 11 2 2" xfId="33506"/>
    <cellStyle name="Heading 2 2 2 4 2 2 11 3" xfId="33507"/>
    <cellStyle name="Heading 2 2 2 4 2 2 12" xfId="33508"/>
    <cellStyle name="Heading 2 2 2 4 2 2 12 2" xfId="33509"/>
    <cellStyle name="Heading 2 2 2 4 2 2 12 2 2" xfId="33510"/>
    <cellStyle name="Heading 2 2 2 4 2 2 12 3" xfId="33511"/>
    <cellStyle name="Heading 2 2 2 4 2 2 13" xfId="33512"/>
    <cellStyle name="Heading 2 2 2 4 2 2 13 2" xfId="33513"/>
    <cellStyle name="Heading 2 2 2 4 2 2 13 2 2" xfId="33514"/>
    <cellStyle name="Heading 2 2 2 4 2 2 13 3" xfId="33515"/>
    <cellStyle name="Heading 2 2 2 4 2 2 14" xfId="33516"/>
    <cellStyle name="Heading 2 2 2 4 2 2 14 2" xfId="33517"/>
    <cellStyle name="Heading 2 2 2 4 2 2 14 2 2" xfId="33518"/>
    <cellStyle name="Heading 2 2 2 4 2 2 14 3" xfId="33519"/>
    <cellStyle name="Heading 2 2 2 4 2 2 15" xfId="33520"/>
    <cellStyle name="Heading 2 2 2 4 2 2 15 2" xfId="33521"/>
    <cellStyle name="Heading 2 2 2 4 2 2 15 2 2" xfId="33522"/>
    <cellStyle name="Heading 2 2 2 4 2 2 15 3" xfId="33523"/>
    <cellStyle name="Heading 2 2 2 4 2 2 16" xfId="33524"/>
    <cellStyle name="Heading 2 2 2 4 2 2 16 2" xfId="33525"/>
    <cellStyle name="Heading 2 2 2 4 2 2 16 2 2" xfId="33526"/>
    <cellStyle name="Heading 2 2 2 4 2 2 16 3" xfId="33527"/>
    <cellStyle name="Heading 2 2 2 4 2 2 17" xfId="33528"/>
    <cellStyle name="Heading 2 2 2 4 2 2 17 2" xfId="33529"/>
    <cellStyle name="Heading 2 2 2 4 2 2 17 2 2" xfId="33530"/>
    <cellStyle name="Heading 2 2 2 4 2 2 17 3" xfId="33531"/>
    <cellStyle name="Heading 2 2 2 4 2 2 18" xfId="33532"/>
    <cellStyle name="Heading 2 2 2 4 2 2 18 2" xfId="33533"/>
    <cellStyle name="Heading 2 2 2 4 2 2 18 2 2" xfId="33534"/>
    <cellStyle name="Heading 2 2 2 4 2 2 18 3" xfId="33535"/>
    <cellStyle name="Heading 2 2 2 4 2 2 19" xfId="33536"/>
    <cellStyle name="Heading 2 2 2 4 2 2 19 2" xfId="33537"/>
    <cellStyle name="Heading 2 2 2 4 2 2 2" xfId="33538"/>
    <cellStyle name="Heading 2 2 2 4 2 2 2 2" xfId="33539"/>
    <cellStyle name="Heading 2 2 2 4 2 2 2 2 2" xfId="33540"/>
    <cellStyle name="Heading 2 2 2 4 2 2 2 2 2 2" xfId="33541"/>
    <cellStyle name="Heading 2 2 2 4 2 2 2 2 3" xfId="33542"/>
    <cellStyle name="Heading 2 2 2 4 2 2 2 3" xfId="33543"/>
    <cellStyle name="Heading 2 2 2 4 2 2 2 3 2" xfId="33544"/>
    <cellStyle name="Heading 2 2 2 4 2 2 2 3 2 2" xfId="33545"/>
    <cellStyle name="Heading 2 2 2 4 2 2 2 3 3" xfId="33546"/>
    <cellStyle name="Heading 2 2 2 4 2 2 2 4" xfId="33547"/>
    <cellStyle name="Heading 2 2 2 4 2 2 2 4 2" xfId="33548"/>
    <cellStyle name="Heading 2 2 2 4 2 2 2 4 2 2" xfId="33549"/>
    <cellStyle name="Heading 2 2 2 4 2 2 2 4 3" xfId="33550"/>
    <cellStyle name="Heading 2 2 2 4 2 2 2 5" xfId="33551"/>
    <cellStyle name="Heading 2 2 2 4 2 2 2 5 2" xfId="33552"/>
    <cellStyle name="Heading 2 2 2 4 2 2 2 5 2 2" xfId="33553"/>
    <cellStyle name="Heading 2 2 2 4 2 2 2 5 3" xfId="33554"/>
    <cellStyle name="Heading 2 2 2 4 2 2 2 6" xfId="33555"/>
    <cellStyle name="Heading 2 2 2 4 2 2 2 6 2" xfId="33556"/>
    <cellStyle name="Heading 2 2 2 4 2 2 2 6 2 2" xfId="33557"/>
    <cellStyle name="Heading 2 2 2 4 2 2 2 6 3" xfId="33558"/>
    <cellStyle name="Heading 2 2 2 4 2 2 2 7" xfId="33559"/>
    <cellStyle name="Heading 2 2 2 4 2 2 2 7 2" xfId="33560"/>
    <cellStyle name="Heading 2 2 2 4 2 2 2 7 2 2" xfId="33561"/>
    <cellStyle name="Heading 2 2 2 4 2 2 2 7 3" xfId="33562"/>
    <cellStyle name="Heading 2 2 2 4 2 2 2 8" xfId="33563"/>
    <cellStyle name="Heading 2 2 2 4 2 2 2 8 2" xfId="33564"/>
    <cellStyle name="Heading 2 2 2 4 2 2 2 9" xfId="33565"/>
    <cellStyle name="Heading 2 2 2 4 2 2 20" xfId="33566"/>
    <cellStyle name="Heading 2 2 2 4 2 2 20 2" xfId="33567"/>
    <cellStyle name="Heading 2 2 2 4 2 2 21" xfId="33568"/>
    <cellStyle name="Heading 2 2 2 4 2 2 21 2" xfId="33569"/>
    <cellStyle name="Heading 2 2 2 4 2 2 22" xfId="33570"/>
    <cellStyle name="Heading 2 2 2 4 2 2 3" xfId="33571"/>
    <cellStyle name="Heading 2 2 2 4 2 2 3 2" xfId="33572"/>
    <cellStyle name="Heading 2 2 2 4 2 2 3 2 2" xfId="33573"/>
    <cellStyle name="Heading 2 2 2 4 2 2 3 2 2 2" xfId="33574"/>
    <cellStyle name="Heading 2 2 2 4 2 2 3 2 3" xfId="33575"/>
    <cellStyle name="Heading 2 2 2 4 2 2 3 3" xfId="33576"/>
    <cellStyle name="Heading 2 2 2 4 2 2 3 3 2" xfId="33577"/>
    <cellStyle name="Heading 2 2 2 4 2 2 3 3 2 2" xfId="33578"/>
    <cellStyle name="Heading 2 2 2 4 2 2 3 3 3" xfId="33579"/>
    <cellStyle name="Heading 2 2 2 4 2 2 3 4" xfId="33580"/>
    <cellStyle name="Heading 2 2 2 4 2 2 3 4 2" xfId="33581"/>
    <cellStyle name="Heading 2 2 2 4 2 2 3 4 2 2" xfId="33582"/>
    <cellStyle name="Heading 2 2 2 4 2 2 3 4 3" xfId="33583"/>
    <cellStyle name="Heading 2 2 2 4 2 2 3 5" xfId="33584"/>
    <cellStyle name="Heading 2 2 2 4 2 2 3 5 2" xfId="33585"/>
    <cellStyle name="Heading 2 2 2 4 2 2 3 5 2 2" xfId="33586"/>
    <cellStyle name="Heading 2 2 2 4 2 2 3 5 3" xfId="33587"/>
    <cellStyle name="Heading 2 2 2 4 2 2 3 6" xfId="33588"/>
    <cellStyle name="Heading 2 2 2 4 2 2 3 6 2" xfId="33589"/>
    <cellStyle name="Heading 2 2 2 4 2 2 3 6 2 2" xfId="33590"/>
    <cellStyle name="Heading 2 2 2 4 2 2 3 6 3" xfId="33591"/>
    <cellStyle name="Heading 2 2 2 4 2 2 3 7" xfId="33592"/>
    <cellStyle name="Heading 2 2 2 4 2 2 3 7 2" xfId="33593"/>
    <cellStyle name="Heading 2 2 2 4 2 2 3 7 2 2" xfId="33594"/>
    <cellStyle name="Heading 2 2 2 4 2 2 3 7 3" xfId="33595"/>
    <cellStyle name="Heading 2 2 2 4 2 2 3 8" xfId="33596"/>
    <cellStyle name="Heading 2 2 2 4 2 2 3 8 2" xfId="33597"/>
    <cellStyle name="Heading 2 2 2 4 2 2 3 9" xfId="33598"/>
    <cellStyle name="Heading 2 2 2 4 2 2 4" xfId="33599"/>
    <cellStyle name="Heading 2 2 2 4 2 2 4 2" xfId="33600"/>
    <cellStyle name="Heading 2 2 2 4 2 2 4 2 2" xfId="33601"/>
    <cellStyle name="Heading 2 2 2 4 2 2 4 2 2 2" xfId="33602"/>
    <cellStyle name="Heading 2 2 2 4 2 2 4 2 3" xfId="33603"/>
    <cellStyle name="Heading 2 2 2 4 2 2 4 3" xfId="33604"/>
    <cellStyle name="Heading 2 2 2 4 2 2 4 3 2" xfId="33605"/>
    <cellStyle name="Heading 2 2 2 4 2 2 4 3 2 2" xfId="33606"/>
    <cellStyle name="Heading 2 2 2 4 2 2 4 3 3" xfId="33607"/>
    <cellStyle name="Heading 2 2 2 4 2 2 4 4" xfId="33608"/>
    <cellStyle name="Heading 2 2 2 4 2 2 4 4 2" xfId="33609"/>
    <cellStyle name="Heading 2 2 2 4 2 2 4 4 2 2" xfId="33610"/>
    <cellStyle name="Heading 2 2 2 4 2 2 4 4 3" xfId="33611"/>
    <cellStyle name="Heading 2 2 2 4 2 2 4 5" xfId="33612"/>
    <cellStyle name="Heading 2 2 2 4 2 2 4 5 2" xfId="33613"/>
    <cellStyle name="Heading 2 2 2 4 2 2 4 5 2 2" xfId="33614"/>
    <cellStyle name="Heading 2 2 2 4 2 2 4 5 3" xfId="33615"/>
    <cellStyle name="Heading 2 2 2 4 2 2 4 6" xfId="33616"/>
    <cellStyle name="Heading 2 2 2 4 2 2 4 6 2" xfId="33617"/>
    <cellStyle name="Heading 2 2 2 4 2 2 4 6 2 2" xfId="33618"/>
    <cellStyle name="Heading 2 2 2 4 2 2 4 6 3" xfId="33619"/>
    <cellStyle name="Heading 2 2 2 4 2 2 4 7" xfId="33620"/>
    <cellStyle name="Heading 2 2 2 4 2 2 4 7 2" xfId="33621"/>
    <cellStyle name="Heading 2 2 2 4 2 2 4 7 2 2" xfId="33622"/>
    <cellStyle name="Heading 2 2 2 4 2 2 4 7 3" xfId="33623"/>
    <cellStyle name="Heading 2 2 2 4 2 2 4 8" xfId="33624"/>
    <cellStyle name="Heading 2 2 2 4 2 2 4 8 2" xfId="33625"/>
    <cellStyle name="Heading 2 2 2 4 2 2 4 9" xfId="33626"/>
    <cellStyle name="Heading 2 2 2 4 2 2 5" xfId="33627"/>
    <cellStyle name="Heading 2 2 2 4 2 2 5 2" xfId="33628"/>
    <cellStyle name="Heading 2 2 2 4 2 2 5 2 2" xfId="33629"/>
    <cellStyle name="Heading 2 2 2 4 2 2 5 2 2 2" xfId="33630"/>
    <cellStyle name="Heading 2 2 2 4 2 2 5 2 3" xfId="33631"/>
    <cellStyle name="Heading 2 2 2 4 2 2 5 3" xfId="33632"/>
    <cellStyle name="Heading 2 2 2 4 2 2 5 3 2" xfId="33633"/>
    <cellStyle name="Heading 2 2 2 4 2 2 5 3 2 2" xfId="33634"/>
    <cellStyle name="Heading 2 2 2 4 2 2 5 3 3" xfId="33635"/>
    <cellStyle name="Heading 2 2 2 4 2 2 5 4" xfId="33636"/>
    <cellStyle name="Heading 2 2 2 4 2 2 5 4 2" xfId="33637"/>
    <cellStyle name="Heading 2 2 2 4 2 2 5 4 2 2" xfId="33638"/>
    <cellStyle name="Heading 2 2 2 4 2 2 5 4 3" xfId="33639"/>
    <cellStyle name="Heading 2 2 2 4 2 2 5 5" xfId="33640"/>
    <cellStyle name="Heading 2 2 2 4 2 2 5 5 2" xfId="33641"/>
    <cellStyle name="Heading 2 2 2 4 2 2 5 5 2 2" xfId="33642"/>
    <cellStyle name="Heading 2 2 2 4 2 2 5 5 3" xfId="33643"/>
    <cellStyle name="Heading 2 2 2 4 2 2 5 6" xfId="33644"/>
    <cellStyle name="Heading 2 2 2 4 2 2 5 6 2" xfId="33645"/>
    <cellStyle name="Heading 2 2 2 4 2 2 5 6 2 2" xfId="33646"/>
    <cellStyle name="Heading 2 2 2 4 2 2 5 6 3" xfId="33647"/>
    <cellStyle name="Heading 2 2 2 4 2 2 5 7" xfId="33648"/>
    <cellStyle name="Heading 2 2 2 4 2 2 5 7 2" xfId="33649"/>
    <cellStyle name="Heading 2 2 2 4 2 2 5 7 2 2" xfId="33650"/>
    <cellStyle name="Heading 2 2 2 4 2 2 5 7 3" xfId="33651"/>
    <cellStyle name="Heading 2 2 2 4 2 2 5 8" xfId="33652"/>
    <cellStyle name="Heading 2 2 2 4 2 2 5 8 2" xfId="33653"/>
    <cellStyle name="Heading 2 2 2 4 2 2 5 9" xfId="33654"/>
    <cellStyle name="Heading 2 2 2 4 2 2 6" xfId="33655"/>
    <cellStyle name="Heading 2 2 2 4 2 2 6 2" xfId="33656"/>
    <cellStyle name="Heading 2 2 2 4 2 2 6 2 2" xfId="33657"/>
    <cellStyle name="Heading 2 2 2 4 2 2 6 2 2 2" xfId="33658"/>
    <cellStyle name="Heading 2 2 2 4 2 2 6 2 3" xfId="33659"/>
    <cellStyle name="Heading 2 2 2 4 2 2 6 3" xfId="33660"/>
    <cellStyle name="Heading 2 2 2 4 2 2 6 3 2" xfId="33661"/>
    <cellStyle name="Heading 2 2 2 4 2 2 6 3 2 2" xfId="33662"/>
    <cellStyle name="Heading 2 2 2 4 2 2 6 3 3" xfId="33663"/>
    <cellStyle name="Heading 2 2 2 4 2 2 6 4" xfId="33664"/>
    <cellStyle name="Heading 2 2 2 4 2 2 6 4 2" xfId="33665"/>
    <cellStyle name="Heading 2 2 2 4 2 2 6 4 2 2" xfId="33666"/>
    <cellStyle name="Heading 2 2 2 4 2 2 6 4 3" xfId="33667"/>
    <cellStyle name="Heading 2 2 2 4 2 2 6 5" xfId="33668"/>
    <cellStyle name="Heading 2 2 2 4 2 2 6 5 2" xfId="33669"/>
    <cellStyle name="Heading 2 2 2 4 2 2 6 5 2 2" xfId="33670"/>
    <cellStyle name="Heading 2 2 2 4 2 2 6 5 3" xfId="33671"/>
    <cellStyle name="Heading 2 2 2 4 2 2 6 6" xfId="33672"/>
    <cellStyle name="Heading 2 2 2 4 2 2 6 6 2" xfId="33673"/>
    <cellStyle name="Heading 2 2 2 4 2 2 6 6 2 2" xfId="33674"/>
    <cellStyle name="Heading 2 2 2 4 2 2 6 6 3" xfId="33675"/>
    <cellStyle name="Heading 2 2 2 4 2 2 6 7" xfId="33676"/>
    <cellStyle name="Heading 2 2 2 4 2 2 6 7 2" xfId="33677"/>
    <cellStyle name="Heading 2 2 2 4 2 2 6 7 2 2" xfId="33678"/>
    <cellStyle name="Heading 2 2 2 4 2 2 6 7 3" xfId="33679"/>
    <cellStyle name="Heading 2 2 2 4 2 2 6 8" xfId="33680"/>
    <cellStyle name="Heading 2 2 2 4 2 2 6 8 2" xfId="33681"/>
    <cellStyle name="Heading 2 2 2 4 2 2 6 9" xfId="33682"/>
    <cellStyle name="Heading 2 2 2 4 2 2 7" xfId="33683"/>
    <cellStyle name="Heading 2 2 2 4 2 2 7 2" xfId="33684"/>
    <cellStyle name="Heading 2 2 2 4 2 2 7 2 2" xfId="33685"/>
    <cellStyle name="Heading 2 2 2 4 2 2 7 2 2 2" xfId="33686"/>
    <cellStyle name="Heading 2 2 2 4 2 2 7 2 3" xfId="33687"/>
    <cellStyle name="Heading 2 2 2 4 2 2 7 3" xfId="33688"/>
    <cellStyle name="Heading 2 2 2 4 2 2 7 3 2" xfId="33689"/>
    <cellStyle name="Heading 2 2 2 4 2 2 7 3 2 2" xfId="33690"/>
    <cellStyle name="Heading 2 2 2 4 2 2 7 3 3" xfId="33691"/>
    <cellStyle name="Heading 2 2 2 4 2 2 7 4" xfId="33692"/>
    <cellStyle name="Heading 2 2 2 4 2 2 7 4 2" xfId="33693"/>
    <cellStyle name="Heading 2 2 2 4 2 2 7 4 2 2" xfId="33694"/>
    <cellStyle name="Heading 2 2 2 4 2 2 7 4 3" xfId="33695"/>
    <cellStyle name="Heading 2 2 2 4 2 2 7 5" xfId="33696"/>
    <cellStyle name="Heading 2 2 2 4 2 2 7 5 2" xfId="33697"/>
    <cellStyle name="Heading 2 2 2 4 2 2 7 5 2 2" xfId="33698"/>
    <cellStyle name="Heading 2 2 2 4 2 2 7 5 3" xfId="33699"/>
    <cellStyle name="Heading 2 2 2 4 2 2 7 6" xfId="33700"/>
    <cellStyle name="Heading 2 2 2 4 2 2 7 6 2" xfId="33701"/>
    <cellStyle name="Heading 2 2 2 4 2 2 7 6 2 2" xfId="33702"/>
    <cellStyle name="Heading 2 2 2 4 2 2 7 6 3" xfId="33703"/>
    <cellStyle name="Heading 2 2 2 4 2 2 7 7" xfId="33704"/>
    <cellStyle name="Heading 2 2 2 4 2 2 7 7 2" xfId="33705"/>
    <cellStyle name="Heading 2 2 2 4 2 2 7 7 2 2" xfId="33706"/>
    <cellStyle name="Heading 2 2 2 4 2 2 7 7 3" xfId="33707"/>
    <cellStyle name="Heading 2 2 2 4 2 2 7 8" xfId="33708"/>
    <cellStyle name="Heading 2 2 2 4 2 2 7 8 2" xfId="33709"/>
    <cellStyle name="Heading 2 2 2 4 2 2 7 9" xfId="33710"/>
    <cellStyle name="Heading 2 2 2 4 2 2 8" xfId="33711"/>
    <cellStyle name="Heading 2 2 2 4 2 2 8 2" xfId="33712"/>
    <cellStyle name="Heading 2 2 2 4 2 2 8 2 2" xfId="33713"/>
    <cellStyle name="Heading 2 2 2 4 2 2 8 2 2 2" xfId="33714"/>
    <cellStyle name="Heading 2 2 2 4 2 2 8 2 3" xfId="33715"/>
    <cellStyle name="Heading 2 2 2 4 2 2 8 3" xfId="33716"/>
    <cellStyle name="Heading 2 2 2 4 2 2 8 3 2" xfId="33717"/>
    <cellStyle name="Heading 2 2 2 4 2 2 8 3 2 2" xfId="33718"/>
    <cellStyle name="Heading 2 2 2 4 2 2 8 3 3" xfId="33719"/>
    <cellStyle name="Heading 2 2 2 4 2 2 8 4" xfId="33720"/>
    <cellStyle name="Heading 2 2 2 4 2 2 8 4 2" xfId="33721"/>
    <cellStyle name="Heading 2 2 2 4 2 2 8 4 2 2" xfId="33722"/>
    <cellStyle name="Heading 2 2 2 4 2 2 8 4 3" xfId="33723"/>
    <cellStyle name="Heading 2 2 2 4 2 2 8 5" xfId="33724"/>
    <cellStyle name="Heading 2 2 2 4 2 2 8 5 2" xfId="33725"/>
    <cellStyle name="Heading 2 2 2 4 2 2 8 5 2 2" xfId="33726"/>
    <cellStyle name="Heading 2 2 2 4 2 2 8 5 3" xfId="33727"/>
    <cellStyle name="Heading 2 2 2 4 2 2 8 6" xfId="33728"/>
    <cellStyle name="Heading 2 2 2 4 2 2 8 6 2" xfId="33729"/>
    <cellStyle name="Heading 2 2 2 4 2 2 8 6 2 2" xfId="33730"/>
    <cellStyle name="Heading 2 2 2 4 2 2 8 6 3" xfId="33731"/>
    <cellStyle name="Heading 2 2 2 4 2 2 8 7" xfId="33732"/>
    <cellStyle name="Heading 2 2 2 4 2 2 8 7 2" xfId="33733"/>
    <cellStyle name="Heading 2 2 2 4 2 2 8 7 2 2" xfId="33734"/>
    <cellStyle name="Heading 2 2 2 4 2 2 8 7 3" xfId="33735"/>
    <cellStyle name="Heading 2 2 2 4 2 2 8 8" xfId="33736"/>
    <cellStyle name="Heading 2 2 2 4 2 2 8 8 2" xfId="33737"/>
    <cellStyle name="Heading 2 2 2 4 2 2 8 9" xfId="33738"/>
    <cellStyle name="Heading 2 2 2 4 2 2 9" xfId="33739"/>
    <cellStyle name="Heading 2 2 2 4 2 2 9 2" xfId="33740"/>
    <cellStyle name="Heading 2 2 2 4 2 2 9 2 2" xfId="33741"/>
    <cellStyle name="Heading 2 2 2 4 2 2 9 3" xfId="33742"/>
    <cellStyle name="Heading 2 2 2 4 2 20" xfId="33743"/>
    <cellStyle name="Heading 2 2 2 4 2 20 2" xfId="33744"/>
    <cellStyle name="Heading 2 2 2 4 2 21" xfId="33745"/>
    <cellStyle name="Heading 2 2 2 4 2 21 2" xfId="33746"/>
    <cellStyle name="Heading 2 2 2 4 2 22" xfId="33747"/>
    <cellStyle name="Heading 2 2 2 4 2 22 2" xfId="33748"/>
    <cellStyle name="Heading 2 2 2 4 2 23" xfId="33749"/>
    <cellStyle name="Heading 2 2 2 4 2 3" xfId="33750"/>
    <cellStyle name="Heading 2 2 2 4 2 3 2" xfId="33751"/>
    <cellStyle name="Heading 2 2 2 4 2 3 2 2" xfId="33752"/>
    <cellStyle name="Heading 2 2 2 4 2 3 2 2 2" xfId="33753"/>
    <cellStyle name="Heading 2 2 2 4 2 3 2 3" xfId="33754"/>
    <cellStyle name="Heading 2 2 2 4 2 3 3" xfId="33755"/>
    <cellStyle name="Heading 2 2 2 4 2 3 3 2" xfId="33756"/>
    <cellStyle name="Heading 2 2 2 4 2 3 3 2 2" xfId="33757"/>
    <cellStyle name="Heading 2 2 2 4 2 3 3 3" xfId="33758"/>
    <cellStyle name="Heading 2 2 2 4 2 3 4" xfId="33759"/>
    <cellStyle name="Heading 2 2 2 4 2 3 4 2" xfId="33760"/>
    <cellStyle name="Heading 2 2 2 4 2 3 4 2 2" xfId="33761"/>
    <cellStyle name="Heading 2 2 2 4 2 3 4 3" xfId="33762"/>
    <cellStyle name="Heading 2 2 2 4 2 3 5" xfId="33763"/>
    <cellStyle name="Heading 2 2 2 4 2 3 5 2" xfId="33764"/>
    <cellStyle name="Heading 2 2 2 4 2 3 5 2 2" xfId="33765"/>
    <cellStyle name="Heading 2 2 2 4 2 3 5 3" xfId="33766"/>
    <cellStyle name="Heading 2 2 2 4 2 3 6" xfId="33767"/>
    <cellStyle name="Heading 2 2 2 4 2 3 6 2" xfId="33768"/>
    <cellStyle name="Heading 2 2 2 4 2 3 6 2 2" xfId="33769"/>
    <cellStyle name="Heading 2 2 2 4 2 3 6 3" xfId="33770"/>
    <cellStyle name="Heading 2 2 2 4 2 3 7" xfId="33771"/>
    <cellStyle name="Heading 2 2 2 4 2 3 7 2" xfId="33772"/>
    <cellStyle name="Heading 2 2 2 4 2 3 7 2 2" xfId="33773"/>
    <cellStyle name="Heading 2 2 2 4 2 3 7 3" xfId="33774"/>
    <cellStyle name="Heading 2 2 2 4 2 3 8" xfId="33775"/>
    <cellStyle name="Heading 2 2 2 4 2 3 8 2" xfId="33776"/>
    <cellStyle name="Heading 2 2 2 4 2 3 9" xfId="33777"/>
    <cellStyle name="Heading 2 2 2 4 2 4" xfId="33778"/>
    <cellStyle name="Heading 2 2 2 4 2 4 2" xfId="33779"/>
    <cellStyle name="Heading 2 2 2 4 2 4 2 2" xfId="33780"/>
    <cellStyle name="Heading 2 2 2 4 2 4 2 2 2" xfId="33781"/>
    <cellStyle name="Heading 2 2 2 4 2 4 2 3" xfId="33782"/>
    <cellStyle name="Heading 2 2 2 4 2 4 3" xfId="33783"/>
    <cellStyle name="Heading 2 2 2 4 2 4 3 2" xfId="33784"/>
    <cellStyle name="Heading 2 2 2 4 2 4 3 2 2" xfId="33785"/>
    <cellStyle name="Heading 2 2 2 4 2 4 3 3" xfId="33786"/>
    <cellStyle name="Heading 2 2 2 4 2 4 4" xfId="33787"/>
    <cellStyle name="Heading 2 2 2 4 2 4 4 2" xfId="33788"/>
    <cellStyle name="Heading 2 2 2 4 2 4 4 2 2" xfId="33789"/>
    <cellStyle name="Heading 2 2 2 4 2 4 4 3" xfId="33790"/>
    <cellStyle name="Heading 2 2 2 4 2 4 5" xfId="33791"/>
    <cellStyle name="Heading 2 2 2 4 2 4 5 2" xfId="33792"/>
    <cellStyle name="Heading 2 2 2 4 2 4 5 2 2" xfId="33793"/>
    <cellStyle name="Heading 2 2 2 4 2 4 5 3" xfId="33794"/>
    <cellStyle name="Heading 2 2 2 4 2 4 6" xfId="33795"/>
    <cellStyle name="Heading 2 2 2 4 2 4 6 2" xfId="33796"/>
    <cellStyle name="Heading 2 2 2 4 2 4 6 2 2" xfId="33797"/>
    <cellStyle name="Heading 2 2 2 4 2 4 6 3" xfId="33798"/>
    <cellStyle name="Heading 2 2 2 4 2 4 7" xfId="33799"/>
    <cellStyle name="Heading 2 2 2 4 2 4 7 2" xfId="33800"/>
    <cellStyle name="Heading 2 2 2 4 2 4 7 2 2" xfId="33801"/>
    <cellStyle name="Heading 2 2 2 4 2 4 7 3" xfId="33802"/>
    <cellStyle name="Heading 2 2 2 4 2 4 8" xfId="33803"/>
    <cellStyle name="Heading 2 2 2 4 2 4 8 2" xfId="33804"/>
    <cellStyle name="Heading 2 2 2 4 2 4 9" xfId="33805"/>
    <cellStyle name="Heading 2 2 2 4 2 5" xfId="33806"/>
    <cellStyle name="Heading 2 2 2 4 2 5 2" xfId="33807"/>
    <cellStyle name="Heading 2 2 2 4 2 5 2 2" xfId="33808"/>
    <cellStyle name="Heading 2 2 2 4 2 5 2 2 2" xfId="33809"/>
    <cellStyle name="Heading 2 2 2 4 2 5 2 3" xfId="33810"/>
    <cellStyle name="Heading 2 2 2 4 2 5 3" xfId="33811"/>
    <cellStyle name="Heading 2 2 2 4 2 5 3 2" xfId="33812"/>
    <cellStyle name="Heading 2 2 2 4 2 5 3 2 2" xfId="33813"/>
    <cellStyle name="Heading 2 2 2 4 2 5 3 3" xfId="33814"/>
    <cellStyle name="Heading 2 2 2 4 2 5 4" xfId="33815"/>
    <cellStyle name="Heading 2 2 2 4 2 5 4 2" xfId="33816"/>
    <cellStyle name="Heading 2 2 2 4 2 5 4 2 2" xfId="33817"/>
    <cellStyle name="Heading 2 2 2 4 2 5 4 3" xfId="33818"/>
    <cellStyle name="Heading 2 2 2 4 2 5 5" xfId="33819"/>
    <cellStyle name="Heading 2 2 2 4 2 5 5 2" xfId="33820"/>
    <cellStyle name="Heading 2 2 2 4 2 5 5 2 2" xfId="33821"/>
    <cellStyle name="Heading 2 2 2 4 2 5 5 3" xfId="33822"/>
    <cellStyle name="Heading 2 2 2 4 2 5 6" xfId="33823"/>
    <cellStyle name="Heading 2 2 2 4 2 5 6 2" xfId="33824"/>
    <cellStyle name="Heading 2 2 2 4 2 5 6 2 2" xfId="33825"/>
    <cellStyle name="Heading 2 2 2 4 2 5 6 3" xfId="33826"/>
    <cellStyle name="Heading 2 2 2 4 2 5 7" xfId="33827"/>
    <cellStyle name="Heading 2 2 2 4 2 5 7 2" xfId="33828"/>
    <cellStyle name="Heading 2 2 2 4 2 5 7 2 2" xfId="33829"/>
    <cellStyle name="Heading 2 2 2 4 2 5 7 3" xfId="33830"/>
    <cellStyle name="Heading 2 2 2 4 2 5 8" xfId="33831"/>
    <cellStyle name="Heading 2 2 2 4 2 5 8 2" xfId="33832"/>
    <cellStyle name="Heading 2 2 2 4 2 5 9" xfId="33833"/>
    <cellStyle name="Heading 2 2 2 4 2 6" xfId="33834"/>
    <cellStyle name="Heading 2 2 2 4 2 6 2" xfId="33835"/>
    <cellStyle name="Heading 2 2 2 4 2 6 2 2" xfId="33836"/>
    <cellStyle name="Heading 2 2 2 4 2 6 2 2 2" xfId="33837"/>
    <cellStyle name="Heading 2 2 2 4 2 6 2 3" xfId="33838"/>
    <cellStyle name="Heading 2 2 2 4 2 6 3" xfId="33839"/>
    <cellStyle name="Heading 2 2 2 4 2 6 3 2" xfId="33840"/>
    <cellStyle name="Heading 2 2 2 4 2 6 3 2 2" xfId="33841"/>
    <cellStyle name="Heading 2 2 2 4 2 6 3 3" xfId="33842"/>
    <cellStyle name="Heading 2 2 2 4 2 6 4" xfId="33843"/>
    <cellStyle name="Heading 2 2 2 4 2 6 4 2" xfId="33844"/>
    <cellStyle name="Heading 2 2 2 4 2 6 4 2 2" xfId="33845"/>
    <cellStyle name="Heading 2 2 2 4 2 6 4 3" xfId="33846"/>
    <cellStyle name="Heading 2 2 2 4 2 6 5" xfId="33847"/>
    <cellStyle name="Heading 2 2 2 4 2 6 5 2" xfId="33848"/>
    <cellStyle name="Heading 2 2 2 4 2 6 5 2 2" xfId="33849"/>
    <cellStyle name="Heading 2 2 2 4 2 6 5 3" xfId="33850"/>
    <cellStyle name="Heading 2 2 2 4 2 6 6" xfId="33851"/>
    <cellStyle name="Heading 2 2 2 4 2 6 6 2" xfId="33852"/>
    <cellStyle name="Heading 2 2 2 4 2 6 6 2 2" xfId="33853"/>
    <cellStyle name="Heading 2 2 2 4 2 6 6 3" xfId="33854"/>
    <cellStyle name="Heading 2 2 2 4 2 6 7" xfId="33855"/>
    <cellStyle name="Heading 2 2 2 4 2 6 7 2" xfId="33856"/>
    <cellStyle name="Heading 2 2 2 4 2 6 7 2 2" xfId="33857"/>
    <cellStyle name="Heading 2 2 2 4 2 6 7 3" xfId="33858"/>
    <cellStyle name="Heading 2 2 2 4 2 6 8" xfId="33859"/>
    <cellStyle name="Heading 2 2 2 4 2 6 8 2" xfId="33860"/>
    <cellStyle name="Heading 2 2 2 4 2 6 9" xfId="33861"/>
    <cellStyle name="Heading 2 2 2 4 2 7" xfId="33862"/>
    <cellStyle name="Heading 2 2 2 4 2 7 2" xfId="33863"/>
    <cellStyle name="Heading 2 2 2 4 2 7 2 2" xfId="33864"/>
    <cellStyle name="Heading 2 2 2 4 2 7 2 2 2" xfId="33865"/>
    <cellStyle name="Heading 2 2 2 4 2 7 2 3" xfId="33866"/>
    <cellStyle name="Heading 2 2 2 4 2 7 3" xfId="33867"/>
    <cellStyle name="Heading 2 2 2 4 2 7 3 2" xfId="33868"/>
    <cellStyle name="Heading 2 2 2 4 2 7 3 2 2" xfId="33869"/>
    <cellStyle name="Heading 2 2 2 4 2 7 3 3" xfId="33870"/>
    <cellStyle name="Heading 2 2 2 4 2 7 4" xfId="33871"/>
    <cellStyle name="Heading 2 2 2 4 2 7 4 2" xfId="33872"/>
    <cellStyle name="Heading 2 2 2 4 2 7 4 2 2" xfId="33873"/>
    <cellStyle name="Heading 2 2 2 4 2 7 4 3" xfId="33874"/>
    <cellStyle name="Heading 2 2 2 4 2 7 5" xfId="33875"/>
    <cellStyle name="Heading 2 2 2 4 2 7 5 2" xfId="33876"/>
    <cellStyle name="Heading 2 2 2 4 2 7 5 2 2" xfId="33877"/>
    <cellStyle name="Heading 2 2 2 4 2 7 5 3" xfId="33878"/>
    <cellStyle name="Heading 2 2 2 4 2 7 6" xfId="33879"/>
    <cellStyle name="Heading 2 2 2 4 2 7 6 2" xfId="33880"/>
    <cellStyle name="Heading 2 2 2 4 2 7 6 2 2" xfId="33881"/>
    <cellStyle name="Heading 2 2 2 4 2 7 6 3" xfId="33882"/>
    <cellStyle name="Heading 2 2 2 4 2 7 7" xfId="33883"/>
    <cellStyle name="Heading 2 2 2 4 2 7 7 2" xfId="33884"/>
    <cellStyle name="Heading 2 2 2 4 2 7 7 2 2" xfId="33885"/>
    <cellStyle name="Heading 2 2 2 4 2 7 7 3" xfId="33886"/>
    <cellStyle name="Heading 2 2 2 4 2 7 8" xfId="33887"/>
    <cellStyle name="Heading 2 2 2 4 2 7 8 2" xfId="33888"/>
    <cellStyle name="Heading 2 2 2 4 2 7 9" xfId="33889"/>
    <cellStyle name="Heading 2 2 2 4 2 8" xfId="33890"/>
    <cellStyle name="Heading 2 2 2 4 2 8 2" xfId="33891"/>
    <cellStyle name="Heading 2 2 2 4 2 8 2 2" xfId="33892"/>
    <cellStyle name="Heading 2 2 2 4 2 8 2 2 2" xfId="33893"/>
    <cellStyle name="Heading 2 2 2 4 2 8 2 3" xfId="33894"/>
    <cellStyle name="Heading 2 2 2 4 2 8 3" xfId="33895"/>
    <cellStyle name="Heading 2 2 2 4 2 8 3 2" xfId="33896"/>
    <cellStyle name="Heading 2 2 2 4 2 8 3 2 2" xfId="33897"/>
    <cellStyle name="Heading 2 2 2 4 2 8 3 3" xfId="33898"/>
    <cellStyle name="Heading 2 2 2 4 2 8 4" xfId="33899"/>
    <cellStyle name="Heading 2 2 2 4 2 8 4 2" xfId="33900"/>
    <cellStyle name="Heading 2 2 2 4 2 8 4 2 2" xfId="33901"/>
    <cellStyle name="Heading 2 2 2 4 2 8 4 3" xfId="33902"/>
    <cellStyle name="Heading 2 2 2 4 2 8 5" xfId="33903"/>
    <cellStyle name="Heading 2 2 2 4 2 8 5 2" xfId="33904"/>
    <cellStyle name="Heading 2 2 2 4 2 8 5 2 2" xfId="33905"/>
    <cellStyle name="Heading 2 2 2 4 2 8 5 3" xfId="33906"/>
    <cellStyle name="Heading 2 2 2 4 2 8 6" xfId="33907"/>
    <cellStyle name="Heading 2 2 2 4 2 8 6 2" xfId="33908"/>
    <cellStyle name="Heading 2 2 2 4 2 8 6 2 2" xfId="33909"/>
    <cellStyle name="Heading 2 2 2 4 2 8 6 3" xfId="33910"/>
    <cellStyle name="Heading 2 2 2 4 2 8 7" xfId="33911"/>
    <cellStyle name="Heading 2 2 2 4 2 8 7 2" xfId="33912"/>
    <cellStyle name="Heading 2 2 2 4 2 8 7 2 2" xfId="33913"/>
    <cellStyle name="Heading 2 2 2 4 2 8 7 3" xfId="33914"/>
    <cellStyle name="Heading 2 2 2 4 2 8 8" xfId="33915"/>
    <cellStyle name="Heading 2 2 2 4 2 8 8 2" xfId="33916"/>
    <cellStyle name="Heading 2 2 2 4 2 8 9" xfId="33917"/>
    <cellStyle name="Heading 2 2 2 4 2 9" xfId="33918"/>
    <cellStyle name="Heading 2 2 2 4 2 9 2" xfId="33919"/>
    <cellStyle name="Heading 2 2 2 4 2 9 2 2" xfId="33920"/>
    <cellStyle name="Heading 2 2 2 4 2 9 2 2 2" xfId="33921"/>
    <cellStyle name="Heading 2 2 2 4 2 9 2 3" xfId="33922"/>
    <cellStyle name="Heading 2 2 2 4 2 9 3" xfId="33923"/>
    <cellStyle name="Heading 2 2 2 4 2 9 3 2" xfId="33924"/>
    <cellStyle name="Heading 2 2 2 4 2 9 3 2 2" xfId="33925"/>
    <cellStyle name="Heading 2 2 2 4 2 9 3 3" xfId="33926"/>
    <cellStyle name="Heading 2 2 2 4 2 9 4" xfId="33927"/>
    <cellStyle name="Heading 2 2 2 4 2 9 4 2" xfId="33928"/>
    <cellStyle name="Heading 2 2 2 4 2 9 4 2 2" xfId="33929"/>
    <cellStyle name="Heading 2 2 2 4 2 9 4 3" xfId="33930"/>
    <cellStyle name="Heading 2 2 2 4 2 9 5" xfId="33931"/>
    <cellStyle name="Heading 2 2 2 4 2 9 5 2" xfId="33932"/>
    <cellStyle name="Heading 2 2 2 4 2 9 5 2 2" xfId="33933"/>
    <cellStyle name="Heading 2 2 2 4 2 9 5 3" xfId="33934"/>
    <cellStyle name="Heading 2 2 2 4 2 9 6" xfId="33935"/>
    <cellStyle name="Heading 2 2 2 4 2 9 6 2" xfId="33936"/>
    <cellStyle name="Heading 2 2 2 4 2 9 6 2 2" xfId="33937"/>
    <cellStyle name="Heading 2 2 2 4 2 9 6 3" xfId="33938"/>
    <cellStyle name="Heading 2 2 2 4 2 9 7" xfId="33939"/>
    <cellStyle name="Heading 2 2 2 4 2 9 7 2" xfId="33940"/>
    <cellStyle name="Heading 2 2 2 4 2 9 7 2 2" xfId="33941"/>
    <cellStyle name="Heading 2 2 2 4 2 9 7 3" xfId="33942"/>
    <cellStyle name="Heading 2 2 2 4 2 9 8" xfId="33943"/>
    <cellStyle name="Heading 2 2 2 4 2 9 8 2" xfId="33944"/>
    <cellStyle name="Heading 2 2 2 4 2 9 9" xfId="33945"/>
    <cellStyle name="Heading 2 2 2 4 3" xfId="33946"/>
    <cellStyle name="Heading 2 2 2 4 3 10" xfId="33947"/>
    <cellStyle name="Heading 2 2 2 4 3 10 2" xfId="33948"/>
    <cellStyle name="Heading 2 2 2 4 3 10 2 2" xfId="33949"/>
    <cellStyle name="Heading 2 2 2 4 3 10 3" xfId="33950"/>
    <cellStyle name="Heading 2 2 2 4 3 11" xfId="33951"/>
    <cellStyle name="Heading 2 2 2 4 3 11 2" xfId="33952"/>
    <cellStyle name="Heading 2 2 2 4 3 11 2 2" xfId="33953"/>
    <cellStyle name="Heading 2 2 2 4 3 11 3" xfId="33954"/>
    <cellStyle name="Heading 2 2 2 4 3 12" xfId="33955"/>
    <cellStyle name="Heading 2 2 2 4 3 12 2" xfId="33956"/>
    <cellStyle name="Heading 2 2 2 4 3 12 2 2" xfId="33957"/>
    <cellStyle name="Heading 2 2 2 4 3 12 3" xfId="33958"/>
    <cellStyle name="Heading 2 2 2 4 3 13" xfId="33959"/>
    <cellStyle name="Heading 2 2 2 4 3 13 2" xfId="33960"/>
    <cellStyle name="Heading 2 2 2 4 3 13 2 2" xfId="33961"/>
    <cellStyle name="Heading 2 2 2 4 3 13 3" xfId="33962"/>
    <cellStyle name="Heading 2 2 2 4 3 14" xfId="33963"/>
    <cellStyle name="Heading 2 2 2 4 3 14 2" xfId="33964"/>
    <cellStyle name="Heading 2 2 2 4 3 14 2 2" xfId="33965"/>
    <cellStyle name="Heading 2 2 2 4 3 14 3" xfId="33966"/>
    <cellStyle name="Heading 2 2 2 4 3 15" xfId="33967"/>
    <cellStyle name="Heading 2 2 2 4 3 15 2" xfId="33968"/>
    <cellStyle name="Heading 2 2 2 4 3 15 2 2" xfId="33969"/>
    <cellStyle name="Heading 2 2 2 4 3 15 3" xfId="33970"/>
    <cellStyle name="Heading 2 2 2 4 3 16" xfId="33971"/>
    <cellStyle name="Heading 2 2 2 4 3 16 2" xfId="33972"/>
    <cellStyle name="Heading 2 2 2 4 3 16 2 2" xfId="33973"/>
    <cellStyle name="Heading 2 2 2 4 3 16 3" xfId="33974"/>
    <cellStyle name="Heading 2 2 2 4 3 17" xfId="33975"/>
    <cellStyle name="Heading 2 2 2 4 3 17 2" xfId="33976"/>
    <cellStyle name="Heading 2 2 2 4 3 17 2 2" xfId="33977"/>
    <cellStyle name="Heading 2 2 2 4 3 17 3" xfId="33978"/>
    <cellStyle name="Heading 2 2 2 4 3 18" xfId="33979"/>
    <cellStyle name="Heading 2 2 2 4 3 18 2" xfId="33980"/>
    <cellStyle name="Heading 2 2 2 4 3 18 2 2" xfId="33981"/>
    <cellStyle name="Heading 2 2 2 4 3 18 3" xfId="33982"/>
    <cellStyle name="Heading 2 2 2 4 3 19" xfId="33983"/>
    <cellStyle name="Heading 2 2 2 4 3 19 2" xfId="33984"/>
    <cellStyle name="Heading 2 2 2 4 3 2" xfId="33985"/>
    <cellStyle name="Heading 2 2 2 4 3 2 2" xfId="33986"/>
    <cellStyle name="Heading 2 2 2 4 3 2 2 2" xfId="33987"/>
    <cellStyle name="Heading 2 2 2 4 3 2 2 2 2" xfId="33988"/>
    <cellStyle name="Heading 2 2 2 4 3 2 2 3" xfId="33989"/>
    <cellStyle name="Heading 2 2 2 4 3 2 3" xfId="33990"/>
    <cellStyle name="Heading 2 2 2 4 3 2 3 2" xfId="33991"/>
    <cellStyle name="Heading 2 2 2 4 3 2 3 2 2" xfId="33992"/>
    <cellStyle name="Heading 2 2 2 4 3 2 3 3" xfId="33993"/>
    <cellStyle name="Heading 2 2 2 4 3 2 4" xfId="33994"/>
    <cellStyle name="Heading 2 2 2 4 3 2 4 2" xfId="33995"/>
    <cellStyle name="Heading 2 2 2 4 3 2 4 2 2" xfId="33996"/>
    <cellStyle name="Heading 2 2 2 4 3 2 4 3" xfId="33997"/>
    <cellStyle name="Heading 2 2 2 4 3 2 5" xfId="33998"/>
    <cellStyle name="Heading 2 2 2 4 3 2 5 2" xfId="33999"/>
    <cellStyle name="Heading 2 2 2 4 3 2 5 2 2" xfId="34000"/>
    <cellStyle name="Heading 2 2 2 4 3 2 5 3" xfId="34001"/>
    <cellStyle name="Heading 2 2 2 4 3 2 6" xfId="34002"/>
    <cellStyle name="Heading 2 2 2 4 3 2 6 2" xfId="34003"/>
    <cellStyle name="Heading 2 2 2 4 3 2 6 2 2" xfId="34004"/>
    <cellStyle name="Heading 2 2 2 4 3 2 6 3" xfId="34005"/>
    <cellStyle name="Heading 2 2 2 4 3 2 7" xfId="34006"/>
    <cellStyle name="Heading 2 2 2 4 3 2 7 2" xfId="34007"/>
    <cellStyle name="Heading 2 2 2 4 3 2 7 2 2" xfId="34008"/>
    <cellStyle name="Heading 2 2 2 4 3 2 7 3" xfId="34009"/>
    <cellStyle name="Heading 2 2 2 4 3 2 8" xfId="34010"/>
    <cellStyle name="Heading 2 2 2 4 3 2 8 2" xfId="34011"/>
    <cellStyle name="Heading 2 2 2 4 3 2 9" xfId="34012"/>
    <cellStyle name="Heading 2 2 2 4 3 20" xfId="34013"/>
    <cellStyle name="Heading 2 2 2 4 3 20 2" xfId="34014"/>
    <cellStyle name="Heading 2 2 2 4 3 21" xfId="34015"/>
    <cellStyle name="Heading 2 2 2 4 3 21 2" xfId="34016"/>
    <cellStyle name="Heading 2 2 2 4 3 22" xfId="34017"/>
    <cellStyle name="Heading 2 2 2 4 3 3" xfId="34018"/>
    <cellStyle name="Heading 2 2 2 4 3 3 2" xfId="34019"/>
    <cellStyle name="Heading 2 2 2 4 3 3 2 2" xfId="34020"/>
    <cellStyle name="Heading 2 2 2 4 3 3 2 2 2" xfId="34021"/>
    <cellStyle name="Heading 2 2 2 4 3 3 2 3" xfId="34022"/>
    <cellStyle name="Heading 2 2 2 4 3 3 3" xfId="34023"/>
    <cellStyle name="Heading 2 2 2 4 3 3 3 2" xfId="34024"/>
    <cellStyle name="Heading 2 2 2 4 3 3 3 2 2" xfId="34025"/>
    <cellStyle name="Heading 2 2 2 4 3 3 3 3" xfId="34026"/>
    <cellStyle name="Heading 2 2 2 4 3 3 4" xfId="34027"/>
    <cellStyle name="Heading 2 2 2 4 3 3 4 2" xfId="34028"/>
    <cellStyle name="Heading 2 2 2 4 3 3 4 2 2" xfId="34029"/>
    <cellStyle name="Heading 2 2 2 4 3 3 4 3" xfId="34030"/>
    <cellStyle name="Heading 2 2 2 4 3 3 5" xfId="34031"/>
    <cellStyle name="Heading 2 2 2 4 3 3 5 2" xfId="34032"/>
    <cellStyle name="Heading 2 2 2 4 3 3 5 2 2" xfId="34033"/>
    <cellStyle name="Heading 2 2 2 4 3 3 5 3" xfId="34034"/>
    <cellStyle name="Heading 2 2 2 4 3 3 6" xfId="34035"/>
    <cellStyle name="Heading 2 2 2 4 3 3 6 2" xfId="34036"/>
    <cellStyle name="Heading 2 2 2 4 3 3 6 2 2" xfId="34037"/>
    <cellStyle name="Heading 2 2 2 4 3 3 6 3" xfId="34038"/>
    <cellStyle name="Heading 2 2 2 4 3 3 7" xfId="34039"/>
    <cellStyle name="Heading 2 2 2 4 3 3 7 2" xfId="34040"/>
    <cellStyle name="Heading 2 2 2 4 3 3 7 2 2" xfId="34041"/>
    <cellStyle name="Heading 2 2 2 4 3 3 7 3" xfId="34042"/>
    <cellStyle name="Heading 2 2 2 4 3 3 8" xfId="34043"/>
    <cellStyle name="Heading 2 2 2 4 3 3 8 2" xfId="34044"/>
    <cellStyle name="Heading 2 2 2 4 3 3 9" xfId="34045"/>
    <cellStyle name="Heading 2 2 2 4 3 4" xfId="34046"/>
    <cellStyle name="Heading 2 2 2 4 3 4 2" xfId="34047"/>
    <cellStyle name="Heading 2 2 2 4 3 4 2 2" xfId="34048"/>
    <cellStyle name="Heading 2 2 2 4 3 4 2 2 2" xfId="34049"/>
    <cellStyle name="Heading 2 2 2 4 3 4 2 3" xfId="34050"/>
    <cellStyle name="Heading 2 2 2 4 3 4 3" xfId="34051"/>
    <cellStyle name="Heading 2 2 2 4 3 4 3 2" xfId="34052"/>
    <cellStyle name="Heading 2 2 2 4 3 4 3 2 2" xfId="34053"/>
    <cellStyle name="Heading 2 2 2 4 3 4 3 3" xfId="34054"/>
    <cellStyle name="Heading 2 2 2 4 3 4 4" xfId="34055"/>
    <cellStyle name="Heading 2 2 2 4 3 4 4 2" xfId="34056"/>
    <cellStyle name="Heading 2 2 2 4 3 4 4 2 2" xfId="34057"/>
    <cellStyle name="Heading 2 2 2 4 3 4 4 3" xfId="34058"/>
    <cellStyle name="Heading 2 2 2 4 3 4 5" xfId="34059"/>
    <cellStyle name="Heading 2 2 2 4 3 4 5 2" xfId="34060"/>
    <cellStyle name="Heading 2 2 2 4 3 4 5 2 2" xfId="34061"/>
    <cellStyle name="Heading 2 2 2 4 3 4 5 3" xfId="34062"/>
    <cellStyle name="Heading 2 2 2 4 3 4 6" xfId="34063"/>
    <cellStyle name="Heading 2 2 2 4 3 4 6 2" xfId="34064"/>
    <cellStyle name="Heading 2 2 2 4 3 4 6 2 2" xfId="34065"/>
    <cellStyle name="Heading 2 2 2 4 3 4 6 3" xfId="34066"/>
    <cellStyle name="Heading 2 2 2 4 3 4 7" xfId="34067"/>
    <cellStyle name="Heading 2 2 2 4 3 4 7 2" xfId="34068"/>
    <cellStyle name="Heading 2 2 2 4 3 4 7 2 2" xfId="34069"/>
    <cellStyle name="Heading 2 2 2 4 3 4 7 3" xfId="34070"/>
    <cellStyle name="Heading 2 2 2 4 3 4 8" xfId="34071"/>
    <cellStyle name="Heading 2 2 2 4 3 4 8 2" xfId="34072"/>
    <cellStyle name="Heading 2 2 2 4 3 4 9" xfId="34073"/>
    <cellStyle name="Heading 2 2 2 4 3 5" xfId="34074"/>
    <cellStyle name="Heading 2 2 2 4 3 5 2" xfId="34075"/>
    <cellStyle name="Heading 2 2 2 4 3 5 2 2" xfId="34076"/>
    <cellStyle name="Heading 2 2 2 4 3 5 2 2 2" xfId="34077"/>
    <cellStyle name="Heading 2 2 2 4 3 5 2 3" xfId="34078"/>
    <cellStyle name="Heading 2 2 2 4 3 5 3" xfId="34079"/>
    <cellStyle name="Heading 2 2 2 4 3 5 3 2" xfId="34080"/>
    <cellStyle name="Heading 2 2 2 4 3 5 3 2 2" xfId="34081"/>
    <cellStyle name="Heading 2 2 2 4 3 5 3 3" xfId="34082"/>
    <cellStyle name="Heading 2 2 2 4 3 5 4" xfId="34083"/>
    <cellStyle name="Heading 2 2 2 4 3 5 4 2" xfId="34084"/>
    <cellStyle name="Heading 2 2 2 4 3 5 4 2 2" xfId="34085"/>
    <cellStyle name="Heading 2 2 2 4 3 5 4 3" xfId="34086"/>
    <cellStyle name="Heading 2 2 2 4 3 5 5" xfId="34087"/>
    <cellStyle name="Heading 2 2 2 4 3 5 5 2" xfId="34088"/>
    <cellStyle name="Heading 2 2 2 4 3 5 5 2 2" xfId="34089"/>
    <cellStyle name="Heading 2 2 2 4 3 5 5 3" xfId="34090"/>
    <cellStyle name="Heading 2 2 2 4 3 5 6" xfId="34091"/>
    <cellStyle name="Heading 2 2 2 4 3 5 6 2" xfId="34092"/>
    <cellStyle name="Heading 2 2 2 4 3 5 6 2 2" xfId="34093"/>
    <cellStyle name="Heading 2 2 2 4 3 5 6 3" xfId="34094"/>
    <cellStyle name="Heading 2 2 2 4 3 5 7" xfId="34095"/>
    <cellStyle name="Heading 2 2 2 4 3 5 7 2" xfId="34096"/>
    <cellStyle name="Heading 2 2 2 4 3 5 7 2 2" xfId="34097"/>
    <cellStyle name="Heading 2 2 2 4 3 5 7 3" xfId="34098"/>
    <cellStyle name="Heading 2 2 2 4 3 5 8" xfId="34099"/>
    <cellStyle name="Heading 2 2 2 4 3 5 8 2" xfId="34100"/>
    <cellStyle name="Heading 2 2 2 4 3 5 9" xfId="34101"/>
    <cellStyle name="Heading 2 2 2 4 3 6" xfId="34102"/>
    <cellStyle name="Heading 2 2 2 4 3 6 2" xfId="34103"/>
    <cellStyle name="Heading 2 2 2 4 3 6 2 2" xfId="34104"/>
    <cellStyle name="Heading 2 2 2 4 3 6 2 2 2" xfId="34105"/>
    <cellStyle name="Heading 2 2 2 4 3 6 2 3" xfId="34106"/>
    <cellStyle name="Heading 2 2 2 4 3 6 3" xfId="34107"/>
    <cellStyle name="Heading 2 2 2 4 3 6 3 2" xfId="34108"/>
    <cellStyle name="Heading 2 2 2 4 3 6 3 2 2" xfId="34109"/>
    <cellStyle name="Heading 2 2 2 4 3 6 3 3" xfId="34110"/>
    <cellStyle name="Heading 2 2 2 4 3 6 4" xfId="34111"/>
    <cellStyle name="Heading 2 2 2 4 3 6 4 2" xfId="34112"/>
    <cellStyle name="Heading 2 2 2 4 3 6 4 2 2" xfId="34113"/>
    <cellStyle name="Heading 2 2 2 4 3 6 4 3" xfId="34114"/>
    <cellStyle name="Heading 2 2 2 4 3 6 5" xfId="34115"/>
    <cellStyle name="Heading 2 2 2 4 3 6 5 2" xfId="34116"/>
    <cellStyle name="Heading 2 2 2 4 3 6 5 2 2" xfId="34117"/>
    <cellStyle name="Heading 2 2 2 4 3 6 5 3" xfId="34118"/>
    <cellStyle name="Heading 2 2 2 4 3 6 6" xfId="34119"/>
    <cellStyle name="Heading 2 2 2 4 3 6 6 2" xfId="34120"/>
    <cellStyle name="Heading 2 2 2 4 3 6 6 2 2" xfId="34121"/>
    <cellStyle name="Heading 2 2 2 4 3 6 6 3" xfId="34122"/>
    <cellStyle name="Heading 2 2 2 4 3 6 7" xfId="34123"/>
    <cellStyle name="Heading 2 2 2 4 3 6 7 2" xfId="34124"/>
    <cellStyle name="Heading 2 2 2 4 3 6 7 2 2" xfId="34125"/>
    <cellStyle name="Heading 2 2 2 4 3 6 7 3" xfId="34126"/>
    <cellStyle name="Heading 2 2 2 4 3 6 8" xfId="34127"/>
    <cellStyle name="Heading 2 2 2 4 3 6 8 2" xfId="34128"/>
    <cellStyle name="Heading 2 2 2 4 3 6 9" xfId="34129"/>
    <cellStyle name="Heading 2 2 2 4 3 7" xfId="34130"/>
    <cellStyle name="Heading 2 2 2 4 3 7 2" xfId="34131"/>
    <cellStyle name="Heading 2 2 2 4 3 7 2 2" xfId="34132"/>
    <cellStyle name="Heading 2 2 2 4 3 7 2 2 2" xfId="34133"/>
    <cellStyle name="Heading 2 2 2 4 3 7 2 3" xfId="34134"/>
    <cellStyle name="Heading 2 2 2 4 3 7 3" xfId="34135"/>
    <cellStyle name="Heading 2 2 2 4 3 7 3 2" xfId="34136"/>
    <cellStyle name="Heading 2 2 2 4 3 7 3 2 2" xfId="34137"/>
    <cellStyle name="Heading 2 2 2 4 3 7 3 3" xfId="34138"/>
    <cellStyle name="Heading 2 2 2 4 3 7 4" xfId="34139"/>
    <cellStyle name="Heading 2 2 2 4 3 7 4 2" xfId="34140"/>
    <cellStyle name="Heading 2 2 2 4 3 7 4 2 2" xfId="34141"/>
    <cellStyle name="Heading 2 2 2 4 3 7 4 3" xfId="34142"/>
    <cellStyle name="Heading 2 2 2 4 3 7 5" xfId="34143"/>
    <cellStyle name="Heading 2 2 2 4 3 7 5 2" xfId="34144"/>
    <cellStyle name="Heading 2 2 2 4 3 7 5 2 2" xfId="34145"/>
    <cellStyle name="Heading 2 2 2 4 3 7 5 3" xfId="34146"/>
    <cellStyle name="Heading 2 2 2 4 3 7 6" xfId="34147"/>
    <cellStyle name="Heading 2 2 2 4 3 7 6 2" xfId="34148"/>
    <cellStyle name="Heading 2 2 2 4 3 7 6 2 2" xfId="34149"/>
    <cellStyle name="Heading 2 2 2 4 3 7 6 3" xfId="34150"/>
    <cellStyle name="Heading 2 2 2 4 3 7 7" xfId="34151"/>
    <cellStyle name="Heading 2 2 2 4 3 7 7 2" xfId="34152"/>
    <cellStyle name="Heading 2 2 2 4 3 7 7 2 2" xfId="34153"/>
    <cellStyle name="Heading 2 2 2 4 3 7 7 3" xfId="34154"/>
    <cellStyle name="Heading 2 2 2 4 3 7 8" xfId="34155"/>
    <cellStyle name="Heading 2 2 2 4 3 7 8 2" xfId="34156"/>
    <cellStyle name="Heading 2 2 2 4 3 7 9" xfId="34157"/>
    <cellStyle name="Heading 2 2 2 4 3 8" xfId="34158"/>
    <cellStyle name="Heading 2 2 2 4 3 8 2" xfId="34159"/>
    <cellStyle name="Heading 2 2 2 4 3 8 2 2" xfId="34160"/>
    <cellStyle name="Heading 2 2 2 4 3 8 2 2 2" xfId="34161"/>
    <cellStyle name="Heading 2 2 2 4 3 8 2 3" xfId="34162"/>
    <cellStyle name="Heading 2 2 2 4 3 8 3" xfId="34163"/>
    <cellStyle name="Heading 2 2 2 4 3 8 3 2" xfId="34164"/>
    <cellStyle name="Heading 2 2 2 4 3 8 3 2 2" xfId="34165"/>
    <cellStyle name="Heading 2 2 2 4 3 8 3 3" xfId="34166"/>
    <cellStyle name="Heading 2 2 2 4 3 8 4" xfId="34167"/>
    <cellStyle name="Heading 2 2 2 4 3 8 4 2" xfId="34168"/>
    <cellStyle name="Heading 2 2 2 4 3 8 4 2 2" xfId="34169"/>
    <cellStyle name="Heading 2 2 2 4 3 8 4 3" xfId="34170"/>
    <cellStyle name="Heading 2 2 2 4 3 8 5" xfId="34171"/>
    <cellStyle name="Heading 2 2 2 4 3 8 5 2" xfId="34172"/>
    <cellStyle name="Heading 2 2 2 4 3 8 5 2 2" xfId="34173"/>
    <cellStyle name="Heading 2 2 2 4 3 8 5 3" xfId="34174"/>
    <cellStyle name="Heading 2 2 2 4 3 8 6" xfId="34175"/>
    <cellStyle name="Heading 2 2 2 4 3 8 6 2" xfId="34176"/>
    <cellStyle name="Heading 2 2 2 4 3 8 6 2 2" xfId="34177"/>
    <cellStyle name="Heading 2 2 2 4 3 8 6 3" xfId="34178"/>
    <cellStyle name="Heading 2 2 2 4 3 8 7" xfId="34179"/>
    <cellStyle name="Heading 2 2 2 4 3 8 7 2" xfId="34180"/>
    <cellStyle name="Heading 2 2 2 4 3 8 7 2 2" xfId="34181"/>
    <cellStyle name="Heading 2 2 2 4 3 8 7 3" xfId="34182"/>
    <cellStyle name="Heading 2 2 2 4 3 8 8" xfId="34183"/>
    <cellStyle name="Heading 2 2 2 4 3 8 8 2" xfId="34184"/>
    <cellStyle name="Heading 2 2 2 4 3 8 9" xfId="34185"/>
    <cellStyle name="Heading 2 2 2 4 3 9" xfId="34186"/>
    <cellStyle name="Heading 2 2 2 4 3 9 2" xfId="34187"/>
    <cellStyle name="Heading 2 2 2 4 3 9 2 2" xfId="34188"/>
    <cellStyle name="Heading 2 2 2 4 3 9 3" xfId="34189"/>
    <cellStyle name="Heading 2 2 2 4 4" xfId="34190"/>
    <cellStyle name="Heading 2 2 2 4 4 2" xfId="34191"/>
    <cellStyle name="Heading 2 2 2 4 4 2 2" xfId="34192"/>
    <cellStyle name="Heading 2 2 2 4 4 3" xfId="34193"/>
    <cellStyle name="Heading 2 2 2 4 5" xfId="34194"/>
    <cellStyle name="Heading 2 2 2 4 5 2" xfId="34195"/>
    <cellStyle name="Heading 2 2 2 4 6" xfId="34196"/>
    <cellStyle name="Heading 2 2 2 5" xfId="34197"/>
    <cellStyle name="Heading 2 2 2 5 2" xfId="34198"/>
    <cellStyle name="Heading 2 2 2 5 2 10" xfId="34199"/>
    <cellStyle name="Heading 2 2 2 5 2 10 2" xfId="34200"/>
    <cellStyle name="Heading 2 2 2 5 2 10 2 2" xfId="34201"/>
    <cellStyle name="Heading 2 2 2 5 2 10 3" xfId="34202"/>
    <cellStyle name="Heading 2 2 2 5 2 11" xfId="34203"/>
    <cellStyle name="Heading 2 2 2 5 2 11 2" xfId="34204"/>
    <cellStyle name="Heading 2 2 2 5 2 11 2 2" xfId="34205"/>
    <cellStyle name="Heading 2 2 2 5 2 11 3" xfId="34206"/>
    <cellStyle name="Heading 2 2 2 5 2 12" xfId="34207"/>
    <cellStyle name="Heading 2 2 2 5 2 12 2" xfId="34208"/>
    <cellStyle name="Heading 2 2 2 5 2 12 2 2" xfId="34209"/>
    <cellStyle name="Heading 2 2 2 5 2 12 3" xfId="34210"/>
    <cellStyle name="Heading 2 2 2 5 2 13" xfId="34211"/>
    <cellStyle name="Heading 2 2 2 5 2 13 2" xfId="34212"/>
    <cellStyle name="Heading 2 2 2 5 2 13 2 2" xfId="34213"/>
    <cellStyle name="Heading 2 2 2 5 2 13 3" xfId="34214"/>
    <cellStyle name="Heading 2 2 2 5 2 14" xfId="34215"/>
    <cellStyle name="Heading 2 2 2 5 2 14 2" xfId="34216"/>
    <cellStyle name="Heading 2 2 2 5 2 14 2 2" xfId="34217"/>
    <cellStyle name="Heading 2 2 2 5 2 14 3" xfId="34218"/>
    <cellStyle name="Heading 2 2 2 5 2 15" xfId="34219"/>
    <cellStyle name="Heading 2 2 2 5 2 15 2" xfId="34220"/>
    <cellStyle name="Heading 2 2 2 5 2 15 2 2" xfId="34221"/>
    <cellStyle name="Heading 2 2 2 5 2 15 3" xfId="34222"/>
    <cellStyle name="Heading 2 2 2 5 2 16" xfId="34223"/>
    <cellStyle name="Heading 2 2 2 5 2 16 2" xfId="34224"/>
    <cellStyle name="Heading 2 2 2 5 2 16 2 2" xfId="34225"/>
    <cellStyle name="Heading 2 2 2 5 2 16 3" xfId="34226"/>
    <cellStyle name="Heading 2 2 2 5 2 17" xfId="34227"/>
    <cellStyle name="Heading 2 2 2 5 2 17 2" xfId="34228"/>
    <cellStyle name="Heading 2 2 2 5 2 17 2 2" xfId="34229"/>
    <cellStyle name="Heading 2 2 2 5 2 17 3" xfId="34230"/>
    <cellStyle name="Heading 2 2 2 5 2 18" xfId="34231"/>
    <cellStyle name="Heading 2 2 2 5 2 18 2" xfId="34232"/>
    <cellStyle name="Heading 2 2 2 5 2 18 2 2" xfId="34233"/>
    <cellStyle name="Heading 2 2 2 5 2 18 3" xfId="34234"/>
    <cellStyle name="Heading 2 2 2 5 2 19" xfId="34235"/>
    <cellStyle name="Heading 2 2 2 5 2 19 2" xfId="34236"/>
    <cellStyle name="Heading 2 2 2 5 2 19 2 2" xfId="34237"/>
    <cellStyle name="Heading 2 2 2 5 2 19 3" xfId="34238"/>
    <cellStyle name="Heading 2 2 2 5 2 2" xfId="34239"/>
    <cellStyle name="Heading 2 2 2 5 2 2 10" xfId="34240"/>
    <cellStyle name="Heading 2 2 2 5 2 2 10 2" xfId="34241"/>
    <cellStyle name="Heading 2 2 2 5 2 2 10 2 2" xfId="34242"/>
    <cellStyle name="Heading 2 2 2 5 2 2 10 3" xfId="34243"/>
    <cellStyle name="Heading 2 2 2 5 2 2 11" xfId="34244"/>
    <cellStyle name="Heading 2 2 2 5 2 2 11 2" xfId="34245"/>
    <cellStyle name="Heading 2 2 2 5 2 2 11 2 2" xfId="34246"/>
    <cellStyle name="Heading 2 2 2 5 2 2 11 3" xfId="34247"/>
    <cellStyle name="Heading 2 2 2 5 2 2 12" xfId="34248"/>
    <cellStyle name="Heading 2 2 2 5 2 2 12 2" xfId="34249"/>
    <cellStyle name="Heading 2 2 2 5 2 2 12 2 2" xfId="34250"/>
    <cellStyle name="Heading 2 2 2 5 2 2 12 3" xfId="34251"/>
    <cellStyle name="Heading 2 2 2 5 2 2 13" xfId="34252"/>
    <cellStyle name="Heading 2 2 2 5 2 2 13 2" xfId="34253"/>
    <cellStyle name="Heading 2 2 2 5 2 2 13 2 2" xfId="34254"/>
    <cellStyle name="Heading 2 2 2 5 2 2 13 3" xfId="34255"/>
    <cellStyle name="Heading 2 2 2 5 2 2 14" xfId="34256"/>
    <cellStyle name="Heading 2 2 2 5 2 2 14 2" xfId="34257"/>
    <cellStyle name="Heading 2 2 2 5 2 2 14 2 2" xfId="34258"/>
    <cellStyle name="Heading 2 2 2 5 2 2 14 3" xfId="34259"/>
    <cellStyle name="Heading 2 2 2 5 2 2 15" xfId="34260"/>
    <cellStyle name="Heading 2 2 2 5 2 2 15 2" xfId="34261"/>
    <cellStyle name="Heading 2 2 2 5 2 2 15 2 2" xfId="34262"/>
    <cellStyle name="Heading 2 2 2 5 2 2 15 3" xfId="34263"/>
    <cellStyle name="Heading 2 2 2 5 2 2 16" xfId="34264"/>
    <cellStyle name="Heading 2 2 2 5 2 2 16 2" xfId="34265"/>
    <cellStyle name="Heading 2 2 2 5 2 2 16 2 2" xfId="34266"/>
    <cellStyle name="Heading 2 2 2 5 2 2 16 3" xfId="34267"/>
    <cellStyle name="Heading 2 2 2 5 2 2 17" xfId="34268"/>
    <cellStyle name="Heading 2 2 2 5 2 2 17 2" xfId="34269"/>
    <cellStyle name="Heading 2 2 2 5 2 2 17 2 2" xfId="34270"/>
    <cellStyle name="Heading 2 2 2 5 2 2 17 3" xfId="34271"/>
    <cellStyle name="Heading 2 2 2 5 2 2 18" xfId="34272"/>
    <cellStyle name="Heading 2 2 2 5 2 2 18 2" xfId="34273"/>
    <cellStyle name="Heading 2 2 2 5 2 2 18 2 2" xfId="34274"/>
    <cellStyle name="Heading 2 2 2 5 2 2 18 3" xfId="34275"/>
    <cellStyle name="Heading 2 2 2 5 2 2 19" xfId="34276"/>
    <cellStyle name="Heading 2 2 2 5 2 2 19 2" xfId="34277"/>
    <cellStyle name="Heading 2 2 2 5 2 2 2" xfId="34278"/>
    <cellStyle name="Heading 2 2 2 5 2 2 2 2" xfId="34279"/>
    <cellStyle name="Heading 2 2 2 5 2 2 2 2 2" xfId="34280"/>
    <cellStyle name="Heading 2 2 2 5 2 2 2 2 2 2" xfId="34281"/>
    <cellStyle name="Heading 2 2 2 5 2 2 2 2 3" xfId="34282"/>
    <cellStyle name="Heading 2 2 2 5 2 2 2 3" xfId="34283"/>
    <cellStyle name="Heading 2 2 2 5 2 2 2 3 2" xfId="34284"/>
    <cellStyle name="Heading 2 2 2 5 2 2 2 3 2 2" xfId="34285"/>
    <cellStyle name="Heading 2 2 2 5 2 2 2 3 3" xfId="34286"/>
    <cellStyle name="Heading 2 2 2 5 2 2 2 4" xfId="34287"/>
    <cellStyle name="Heading 2 2 2 5 2 2 2 4 2" xfId="34288"/>
    <cellStyle name="Heading 2 2 2 5 2 2 2 4 2 2" xfId="34289"/>
    <cellStyle name="Heading 2 2 2 5 2 2 2 4 3" xfId="34290"/>
    <cellStyle name="Heading 2 2 2 5 2 2 2 5" xfId="34291"/>
    <cellStyle name="Heading 2 2 2 5 2 2 2 5 2" xfId="34292"/>
    <cellStyle name="Heading 2 2 2 5 2 2 2 5 2 2" xfId="34293"/>
    <cellStyle name="Heading 2 2 2 5 2 2 2 5 3" xfId="34294"/>
    <cellStyle name="Heading 2 2 2 5 2 2 2 6" xfId="34295"/>
    <cellStyle name="Heading 2 2 2 5 2 2 2 6 2" xfId="34296"/>
    <cellStyle name="Heading 2 2 2 5 2 2 2 6 2 2" xfId="34297"/>
    <cellStyle name="Heading 2 2 2 5 2 2 2 6 3" xfId="34298"/>
    <cellStyle name="Heading 2 2 2 5 2 2 2 7" xfId="34299"/>
    <cellStyle name="Heading 2 2 2 5 2 2 2 7 2" xfId="34300"/>
    <cellStyle name="Heading 2 2 2 5 2 2 2 7 2 2" xfId="34301"/>
    <cellStyle name="Heading 2 2 2 5 2 2 2 7 3" xfId="34302"/>
    <cellStyle name="Heading 2 2 2 5 2 2 2 8" xfId="34303"/>
    <cellStyle name="Heading 2 2 2 5 2 2 2 8 2" xfId="34304"/>
    <cellStyle name="Heading 2 2 2 5 2 2 2 9" xfId="34305"/>
    <cellStyle name="Heading 2 2 2 5 2 2 20" xfId="34306"/>
    <cellStyle name="Heading 2 2 2 5 2 2 20 2" xfId="34307"/>
    <cellStyle name="Heading 2 2 2 5 2 2 21" xfId="34308"/>
    <cellStyle name="Heading 2 2 2 5 2 2 21 2" xfId="34309"/>
    <cellStyle name="Heading 2 2 2 5 2 2 22" xfId="34310"/>
    <cellStyle name="Heading 2 2 2 5 2 2 3" xfId="34311"/>
    <cellStyle name="Heading 2 2 2 5 2 2 3 2" xfId="34312"/>
    <cellStyle name="Heading 2 2 2 5 2 2 3 2 2" xfId="34313"/>
    <cellStyle name="Heading 2 2 2 5 2 2 3 2 2 2" xfId="34314"/>
    <cellStyle name="Heading 2 2 2 5 2 2 3 2 3" xfId="34315"/>
    <cellStyle name="Heading 2 2 2 5 2 2 3 3" xfId="34316"/>
    <cellStyle name="Heading 2 2 2 5 2 2 3 3 2" xfId="34317"/>
    <cellStyle name="Heading 2 2 2 5 2 2 3 3 2 2" xfId="34318"/>
    <cellStyle name="Heading 2 2 2 5 2 2 3 3 3" xfId="34319"/>
    <cellStyle name="Heading 2 2 2 5 2 2 3 4" xfId="34320"/>
    <cellStyle name="Heading 2 2 2 5 2 2 3 4 2" xfId="34321"/>
    <cellStyle name="Heading 2 2 2 5 2 2 3 4 2 2" xfId="34322"/>
    <cellStyle name="Heading 2 2 2 5 2 2 3 4 3" xfId="34323"/>
    <cellStyle name="Heading 2 2 2 5 2 2 3 5" xfId="34324"/>
    <cellStyle name="Heading 2 2 2 5 2 2 3 5 2" xfId="34325"/>
    <cellStyle name="Heading 2 2 2 5 2 2 3 5 2 2" xfId="34326"/>
    <cellStyle name="Heading 2 2 2 5 2 2 3 5 3" xfId="34327"/>
    <cellStyle name="Heading 2 2 2 5 2 2 3 6" xfId="34328"/>
    <cellStyle name="Heading 2 2 2 5 2 2 3 6 2" xfId="34329"/>
    <cellStyle name="Heading 2 2 2 5 2 2 3 6 2 2" xfId="34330"/>
    <cellStyle name="Heading 2 2 2 5 2 2 3 6 3" xfId="34331"/>
    <cellStyle name="Heading 2 2 2 5 2 2 3 7" xfId="34332"/>
    <cellStyle name="Heading 2 2 2 5 2 2 3 7 2" xfId="34333"/>
    <cellStyle name="Heading 2 2 2 5 2 2 3 7 2 2" xfId="34334"/>
    <cellStyle name="Heading 2 2 2 5 2 2 3 7 3" xfId="34335"/>
    <cellStyle name="Heading 2 2 2 5 2 2 3 8" xfId="34336"/>
    <cellStyle name="Heading 2 2 2 5 2 2 3 8 2" xfId="34337"/>
    <cellStyle name="Heading 2 2 2 5 2 2 3 9" xfId="34338"/>
    <cellStyle name="Heading 2 2 2 5 2 2 4" xfId="34339"/>
    <cellStyle name="Heading 2 2 2 5 2 2 4 2" xfId="34340"/>
    <cellStyle name="Heading 2 2 2 5 2 2 4 2 2" xfId="34341"/>
    <cellStyle name="Heading 2 2 2 5 2 2 4 2 2 2" xfId="34342"/>
    <cellStyle name="Heading 2 2 2 5 2 2 4 2 3" xfId="34343"/>
    <cellStyle name="Heading 2 2 2 5 2 2 4 3" xfId="34344"/>
    <cellStyle name="Heading 2 2 2 5 2 2 4 3 2" xfId="34345"/>
    <cellStyle name="Heading 2 2 2 5 2 2 4 3 2 2" xfId="34346"/>
    <cellStyle name="Heading 2 2 2 5 2 2 4 3 3" xfId="34347"/>
    <cellStyle name="Heading 2 2 2 5 2 2 4 4" xfId="34348"/>
    <cellStyle name="Heading 2 2 2 5 2 2 4 4 2" xfId="34349"/>
    <cellStyle name="Heading 2 2 2 5 2 2 4 4 2 2" xfId="34350"/>
    <cellStyle name="Heading 2 2 2 5 2 2 4 4 3" xfId="34351"/>
    <cellStyle name="Heading 2 2 2 5 2 2 4 5" xfId="34352"/>
    <cellStyle name="Heading 2 2 2 5 2 2 4 5 2" xfId="34353"/>
    <cellStyle name="Heading 2 2 2 5 2 2 4 5 2 2" xfId="34354"/>
    <cellStyle name="Heading 2 2 2 5 2 2 4 5 3" xfId="34355"/>
    <cellStyle name="Heading 2 2 2 5 2 2 4 6" xfId="34356"/>
    <cellStyle name="Heading 2 2 2 5 2 2 4 6 2" xfId="34357"/>
    <cellStyle name="Heading 2 2 2 5 2 2 4 6 2 2" xfId="34358"/>
    <cellStyle name="Heading 2 2 2 5 2 2 4 6 3" xfId="34359"/>
    <cellStyle name="Heading 2 2 2 5 2 2 4 7" xfId="34360"/>
    <cellStyle name="Heading 2 2 2 5 2 2 4 7 2" xfId="34361"/>
    <cellStyle name="Heading 2 2 2 5 2 2 4 7 2 2" xfId="34362"/>
    <cellStyle name="Heading 2 2 2 5 2 2 4 7 3" xfId="34363"/>
    <cellStyle name="Heading 2 2 2 5 2 2 4 8" xfId="34364"/>
    <cellStyle name="Heading 2 2 2 5 2 2 4 8 2" xfId="34365"/>
    <cellStyle name="Heading 2 2 2 5 2 2 4 9" xfId="34366"/>
    <cellStyle name="Heading 2 2 2 5 2 2 5" xfId="34367"/>
    <cellStyle name="Heading 2 2 2 5 2 2 5 2" xfId="34368"/>
    <cellStyle name="Heading 2 2 2 5 2 2 5 2 2" xfId="34369"/>
    <cellStyle name="Heading 2 2 2 5 2 2 5 2 2 2" xfId="34370"/>
    <cellStyle name="Heading 2 2 2 5 2 2 5 2 3" xfId="34371"/>
    <cellStyle name="Heading 2 2 2 5 2 2 5 3" xfId="34372"/>
    <cellStyle name="Heading 2 2 2 5 2 2 5 3 2" xfId="34373"/>
    <cellStyle name="Heading 2 2 2 5 2 2 5 3 2 2" xfId="34374"/>
    <cellStyle name="Heading 2 2 2 5 2 2 5 3 3" xfId="34375"/>
    <cellStyle name="Heading 2 2 2 5 2 2 5 4" xfId="34376"/>
    <cellStyle name="Heading 2 2 2 5 2 2 5 4 2" xfId="34377"/>
    <cellStyle name="Heading 2 2 2 5 2 2 5 4 2 2" xfId="34378"/>
    <cellStyle name="Heading 2 2 2 5 2 2 5 4 3" xfId="34379"/>
    <cellStyle name="Heading 2 2 2 5 2 2 5 5" xfId="34380"/>
    <cellStyle name="Heading 2 2 2 5 2 2 5 5 2" xfId="34381"/>
    <cellStyle name="Heading 2 2 2 5 2 2 5 5 2 2" xfId="34382"/>
    <cellStyle name="Heading 2 2 2 5 2 2 5 5 3" xfId="34383"/>
    <cellStyle name="Heading 2 2 2 5 2 2 5 6" xfId="34384"/>
    <cellStyle name="Heading 2 2 2 5 2 2 5 6 2" xfId="34385"/>
    <cellStyle name="Heading 2 2 2 5 2 2 5 6 2 2" xfId="34386"/>
    <cellStyle name="Heading 2 2 2 5 2 2 5 6 3" xfId="34387"/>
    <cellStyle name="Heading 2 2 2 5 2 2 5 7" xfId="34388"/>
    <cellStyle name="Heading 2 2 2 5 2 2 5 7 2" xfId="34389"/>
    <cellStyle name="Heading 2 2 2 5 2 2 5 7 2 2" xfId="34390"/>
    <cellStyle name="Heading 2 2 2 5 2 2 5 7 3" xfId="34391"/>
    <cellStyle name="Heading 2 2 2 5 2 2 5 8" xfId="34392"/>
    <cellStyle name="Heading 2 2 2 5 2 2 5 8 2" xfId="34393"/>
    <cellStyle name="Heading 2 2 2 5 2 2 5 9" xfId="34394"/>
    <cellStyle name="Heading 2 2 2 5 2 2 6" xfId="34395"/>
    <cellStyle name="Heading 2 2 2 5 2 2 6 2" xfId="34396"/>
    <cellStyle name="Heading 2 2 2 5 2 2 6 2 2" xfId="34397"/>
    <cellStyle name="Heading 2 2 2 5 2 2 6 2 2 2" xfId="34398"/>
    <cellStyle name="Heading 2 2 2 5 2 2 6 2 3" xfId="34399"/>
    <cellStyle name="Heading 2 2 2 5 2 2 6 3" xfId="34400"/>
    <cellStyle name="Heading 2 2 2 5 2 2 6 3 2" xfId="34401"/>
    <cellStyle name="Heading 2 2 2 5 2 2 6 3 2 2" xfId="34402"/>
    <cellStyle name="Heading 2 2 2 5 2 2 6 3 3" xfId="34403"/>
    <cellStyle name="Heading 2 2 2 5 2 2 6 4" xfId="34404"/>
    <cellStyle name="Heading 2 2 2 5 2 2 6 4 2" xfId="34405"/>
    <cellStyle name="Heading 2 2 2 5 2 2 6 4 2 2" xfId="34406"/>
    <cellStyle name="Heading 2 2 2 5 2 2 6 4 3" xfId="34407"/>
    <cellStyle name="Heading 2 2 2 5 2 2 6 5" xfId="34408"/>
    <cellStyle name="Heading 2 2 2 5 2 2 6 5 2" xfId="34409"/>
    <cellStyle name="Heading 2 2 2 5 2 2 6 5 2 2" xfId="34410"/>
    <cellStyle name="Heading 2 2 2 5 2 2 6 5 3" xfId="34411"/>
    <cellStyle name="Heading 2 2 2 5 2 2 6 6" xfId="34412"/>
    <cellStyle name="Heading 2 2 2 5 2 2 6 6 2" xfId="34413"/>
    <cellStyle name="Heading 2 2 2 5 2 2 6 6 2 2" xfId="34414"/>
    <cellStyle name="Heading 2 2 2 5 2 2 6 6 3" xfId="34415"/>
    <cellStyle name="Heading 2 2 2 5 2 2 6 7" xfId="34416"/>
    <cellStyle name="Heading 2 2 2 5 2 2 6 7 2" xfId="34417"/>
    <cellStyle name="Heading 2 2 2 5 2 2 6 7 2 2" xfId="34418"/>
    <cellStyle name="Heading 2 2 2 5 2 2 6 7 3" xfId="34419"/>
    <cellStyle name="Heading 2 2 2 5 2 2 6 8" xfId="34420"/>
    <cellStyle name="Heading 2 2 2 5 2 2 6 8 2" xfId="34421"/>
    <cellStyle name="Heading 2 2 2 5 2 2 6 9" xfId="34422"/>
    <cellStyle name="Heading 2 2 2 5 2 2 7" xfId="34423"/>
    <cellStyle name="Heading 2 2 2 5 2 2 7 2" xfId="34424"/>
    <cellStyle name="Heading 2 2 2 5 2 2 7 2 2" xfId="34425"/>
    <cellStyle name="Heading 2 2 2 5 2 2 7 2 2 2" xfId="34426"/>
    <cellStyle name="Heading 2 2 2 5 2 2 7 2 3" xfId="34427"/>
    <cellStyle name="Heading 2 2 2 5 2 2 7 3" xfId="34428"/>
    <cellStyle name="Heading 2 2 2 5 2 2 7 3 2" xfId="34429"/>
    <cellStyle name="Heading 2 2 2 5 2 2 7 3 2 2" xfId="34430"/>
    <cellStyle name="Heading 2 2 2 5 2 2 7 3 3" xfId="34431"/>
    <cellStyle name="Heading 2 2 2 5 2 2 7 4" xfId="34432"/>
    <cellStyle name="Heading 2 2 2 5 2 2 7 4 2" xfId="34433"/>
    <cellStyle name="Heading 2 2 2 5 2 2 7 4 2 2" xfId="34434"/>
    <cellStyle name="Heading 2 2 2 5 2 2 7 4 3" xfId="34435"/>
    <cellStyle name="Heading 2 2 2 5 2 2 7 5" xfId="34436"/>
    <cellStyle name="Heading 2 2 2 5 2 2 7 5 2" xfId="34437"/>
    <cellStyle name="Heading 2 2 2 5 2 2 7 5 2 2" xfId="34438"/>
    <cellStyle name="Heading 2 2 2 5 2 2 7 5 3" xfId="34439"/>
    <cellStyle name="Heading 2 2 2 5 2 2 7 6" xfId="34440"/>
    <cellStyle name="Heading 2 2 2 5 2 2 7 6 2" xfId="34441"/>
    <cellStyle name="Heading 2 2 2 5 2 2 7 6 2 2" xfId="34442"/>
    <cellStyle name="Heading 2 2 2 5 2 2 7 6 3" xfId="34443"/>
    <cellStyle name="Heading 2 2 2 5 2 2 7 7" xfId="34444"/>
    <cellStyle name="Heading 2 2 2 5 2 2 7 7 2" xfId="34445"/>
    <cellStyle name="Heading 2 2 2 5 2 2 7 7 2 2" xfId="34446"/>
    <cellStyle name="Heading 2 2 2 5 2 2 7 7 3" xfId="34447"/>
    <cellStyle name="Heading 2 2 2 5 2 2 7 8" xfId="34448"/>
    <cellStyle name="Heading 2 2 2 5 2 2 7 8 2" xfId="34449"/>
    <cellStyle name="Heading 2 2 2 5 2 2 7 9" xfId="34450"/>
    <cellStyle name="Heading 2 2 2 5 2 2 8" xfId="34451"/>
    <cellStyle name="Heading 2 2 2 5 2 2 8 2" xfId="34452"/>
    <cellStyle name="Heading 2 2 2 5 2 2 8 2 2" xfId="34453"/>
    <cellStyle name="Heading 2 2 2 5 2 2 8 2 2 2" xfId="34454"/>
    <cellStyle name="Heading 2 2 2 5 2 2 8 2 3" xfId="34455"/>
    <cellStyle name="Heading 2 2 2 5 2 2 8 3" xfId="34456"/>
    <cellStyle name="Heading 2 2 2 5 2 2 8 3 2" xfId="34457"/>
    <cellStyle name="Heading 2 2 2 5 2 2 8 3 2 2" xfId="34458"/>
    <cellStyle name="Heading 2 2 2 5 2 2 8 3 3" xfId="34459"/>
    <cellStyle name="Heading 2 2 2 5 2 2 8 4" xfId="34460"/>
    <cellStyle name="Heading 2 2 2 5 2 2 8 4 2" xfId="34461"/>
    <cellStyle name="Heading 2 2 2 5 2 2 8 4 2 2" xfId="34462"/>
    <cellStyle name="Heading 2 2 2 5 2 2 8 4 3" xfId="34463"/>
    <cellStyle name="Heading 2 2 2 5 2 2 8 5" xfId="34464"/>
    <cellStyle name="Heading 2 2 2 5 2 2 8 5 2" xfId="34465"/>
    <cellStyle name="Heading 2 2 2 5 2 2 8 5 2 2" xfId="34466"/>
    <cellStyle name="Heading 2 2 2 5 2 2 8 5 3" xfId="34467"/>
    <cellStyle name="Heading 2 2 2 5 2 2 8 6" xfId="34468"/>
    <cellStyle name="Heading 2 2 2 5 2 2 8 6 2" xfId="34469"/>
    <cellStyle name="Heading 2 2 2 5 2 2 8 6 2 2" xfId="34470"/>
    <cellStyle name="Heading 2 2 2 5 2 2 8 6 3" xfId="34471"/>
    <cellStyle name="Heading 2 2 2 5 2 2 8 7" xfId="34472"/>
    <cellStyle name="Heading 2 2 2 5 2 2 8 7 2" xfId="34473"/>
    <cellStyle name="Heading 2 2 2 5 2 2 8 7 2 2" xfId="34474"/>
    <cellStyle name="Heading 2 2 2 5 2 2 8 7 3" xfId="34475"/>
    <cellStyle name="Heading 2 2 2 5 2 2 8 8" xfId="34476"/>
    <cellStyle name="Heading 2 2 2 5 2 2 8 8 2" xfId="34477"/>
    <cellStyle name="Heading 2 2 2 5 2 2 8 9" xfId="34478"/>
    <cellStyle name="Heading 2 2 2 5 2 2 9" xfId="34479"/>
    <cellStyle name="Heading 2 2 2 5 2 2 9 2" xfId="34480"/>
    <cellStyle name="Heading 2 2 2 5 2 2 9 2 2" xfId="34481"/>
    <cellStyle name="Heading 2 2 2 5 2 2 9 3" xfId="34482"/>
    <cellStyle name="Heading 2 2 2 5 2 20" xfId="34483"/>
    <cellStyle name="Heading 2 2 2 5 2 20 2" xfId="34484"/>
    <cellStyle name="Heading 2 2 2 5 2 21" xfId="34485"/>
    <cellStyle name="Heading 2 2 2 5 2 21 2" xfId="34486"/>
    <cellStyle name="Heading 2 2 2 5 2 22" xfId="34487"/>
    <cellStyle name="Heading 2 2 2 5 2 22 2" xfId="34488"/>
    <cellStyle name="Heading 2 2 2 5 2 23" xfId="34489"/>
    <cellStyle name="Heading 2 2 2 5 2 3" xfId="34490"/>
    <cellStyle name="Heading 2 2 2 5 2 3 2" xfId="34491"/>
    <cellStyle name="Heading 2 2 2 5 2 3 2 2" xfId="34492"/>
    <cellStyle name="Heading 2 2 2 5 2 3 2 2 2" xfId="34493"/>
    <cellStyle name="Heading 2 2 2 5 2 3 2 3" xfId="34494"/>
    <cellStyle name="Heading 2 2 2 5 2 3 3" xfId="34495"/>
    <cellStyle name="Heading 2 2 2 5 2 3 3 2" xfId="34496"/>
    <cellStyle name="Heading 2 2 2 5 2 3 3 2 2" xfId="34497"/>
    <cellStyle name="Heading 2 2 2 5 2 3 3 3" xfId="34498"/>
    <cellStyle name="Heading 2 2 2 5 2 3 4" xfId="34499"/>
    <cellStyle name="Heading 2 2 2 5 2 3 4 2" xfId="34500"/>
    <cellStyle name="Heading 2 2 2 5 2 3 4 2 2" xfId="34501"/>
    <cellStyle name="Heading 2 2 2 5 2 3 4 3" xfId="34502"/>
    <cellStyle name="Heading 2 2 2 5 2 3 5" xfId="34503"/>
    <cellStyle name="Heading 2 2 2 5 2 3 5 2" xfId="34504"/>
    <cellStyle name="Heading 2 2 2 5 2 3 5 2 2" xfId="34505"/>
    <cellStyle name="Heading 2 2 2 5 2 3 5 3" xfId="34506"/>
    <cellStyle name="Heading 2 2 2 5 2 3 6" xfId="34507"/>
    <cellStyle name="Heading 2 2 2 5 2 3 6 2" xfId="34508"/>
    <cellStyle name="Heading 2 2 2 5 2 3 6 2 2" xfId="34509"/>
    <cellStyle name="Heading 2 2 2 5 2 3 6 3" xfId="34510"/>
    <cellStyle name="Heading 2 2 2 5 2 3 7" xfId="34511"/>
    <cellStyle name="Heading 2 2 2 5 2 3 7 2" xfId="34512"/>
    <cellStyle name="Heading 2 2 2 5 2 3 7 2 2" xfId="34513"/>
    <cellStyle name="Heading 2 2 2 5 2 3 7 3" xfId="34514"/>
    <cellStyle name="Heading 2 2 2 5 2 3 8" xfId="34515"/>
    <cellStyle name="Heading 2 2 2 5 2 3 8 2" xfId="34516"/>
    <cellStyle name="Heading 2 2 2 5 2 3 9" xfId="34517"/>
    <cellStyle name="Heading 2 2 2 5 2 4" xfId="34518"/>
    <cellStyle name="Heading 2 2 2 5 2 4 2" xfId="34519"/>
    <cellStyle name="Heading 2 2 2 5 2 4 2 2" xfId="34520"/>
    <cellStyle name="Heading 2 2 2 5 2 4 2 2 2" xfId="34521"/>
    <cellStyle name="Heading 2 2 2 5 2 4 2 3" xfId="34522"/>
    <cellStyle name="Heading 2 2 2 5 2 4 3" xfId="34523"/>
    <cellStyle name="Heading 2 2 2 5 2 4 3 2" xfId="34524"/>
    <cellStyle name="Heading 2 2 2 5 2 4 3 2 2" xfId="34525"/>
    <cellStyle name="Heading 2 2 2 5 2 4 3 3" xfId="34526"/>
    <cellStyle name="Heading 2 2 2 5 2 4 4" xfId="34527"/>
    <cellStyle name="Heading 2 2 2 5 2 4 4 2" xfId="34528"/>
    <cellStyle name="Heading 2 2 2 5 2 4 4 2 2" xfId="34529"/>
    <cellStyle name="Heading 2 2 2 5 2 4 4 3" xfId="34530"/>
    <cellStyle name="Heading 2 2 2 5 2 4 5" xfId="34531"/>
    <cellStyle name="Heading 2 2 2 5 2 4 5 2" xfId="34532"/>
    <cellStyle name="Heading 2 2 2 5 2 4 5 2 2" xfId="34533"/>
    <cellStyle name="Heading 2 2 2 5 2 4 5 3" xfId="34534"/>
    <cellStyle name="Heading 2 2 2 5 2 4 6" xfId="34535"/>
    <cellStyle name="Heading 2 2 2 5 2 4 6 2" xfId="34536"/>
    <cellStyle name="Heading 2 2 2 5 2 4 6 2 2" xfId="34537"/>
    <cellStyle name="Heading 2 2 2 5 2 4 6 3" xfId="34538"/>
    <cellStyle name="Heading 2 2 2 5 2 4 7" xfId="34539"/>
    <cellStyle name="Heading 2 2 2 5 2 4 7 2" xfId="34540"/>
    <cellStyle name="Heading 2 2 2 5 2 4 7 2 2" xfId="34541"/>
    <cellStyle name="Heading 2 2 2 5 2 4 7 3" xfId="34542"/>
    <cellStyle name="Heading 2 2 2 5 2 4 8" xfId="34543"/>
    <cellStyle name="Heading 2 2 2 5 2 4 8 2" xfId="34544"/>
    <cellStyle name="Heading 2 2 2 5 2 4 9" xfId="34545"/>
    <cellStyle name="Heading 2 2 2 5 2 5" xfId="34546"/>
    <cellStyle name="Heading 2 2 2 5 2 5 2" xfId="34547"/>
    <cellStyle name="Heading 2 2 2 5 2 5 2 2" xfId="34548"/>
    <cellStyle name="Heading 2 2 2 5 2 5 2 2 2" xfId="34549"/>
    <cellStyle name="Heading 2 2 2 5 2 5 2 3" xfId="34550"/>
    <cellStyle name="Heading 2 2 2 5 2 5 3" xfId="34551"/>
    <cellStyle name="Heading 2 2 2 5 2 5 3 2" xfId="34552"/>
    <cellStyle name="Heading 2 2 2 5 2 5 3 2 2" xfId="34553"/>
    <cellStyle name="Heading 2 2 2 5 2 5 3 3" xfId="34554"/>
    <cellStyle name="Heading 2 2 2 5 2 5 4" xfId="34555"/>
    <cellStyle name="Heading 2 2 2 5 2 5 4 2" xfId="34556"/>
    <cellStyle name="Heading 2 2 2 5 2 5 4 2 2" xfId="34557"/>
    <cellStyle name="Heading 2 2 2 5 2 5 4 3" xfId="34558"/>
    <cellStyle name="Heading 2 2 2 5 2 5 5" xfId="34559"/>
    <cellStyle name="Heading 2 2 2 5 2 5 5 2" xfId="34560"/>
    <cellStyle name="Heading 2 2 2 5 2 5 5 2 2" xfId="34561"/>
    <cellStyle name="Heading 2 2 2 5 2 5 5 3" xfId="34562"/>
    <cellStyle name="Heading 2 2 2 5 2 5 6" xfId="34563"/>
    <cellStyle name="Heading 2 2 2 5 2 5 6 2" xfId="34564"/>
    <cellStyle name="Heading 2 2 2 5 2 5 6 2 2" xfId="34565"/>
    <cellStyle name="Heading 2 2 2 5 2 5 6 3" xfId="34566"/>
    <cellStyle name="Heading 2 2 2 5 2 5 7" xfId="34567"/>
    <cellStyle name="Heading 2 2 2 5 2 5 7 2" xfId="34568"/>
    <cellStyle name="Heading 2 2 2 5 2 5 7 2 2" xfId="34569"/>
    <cellStyle name="Heading 2 2 2 5 2 5 7 3" xfId="34570"/>
    <cellStyle name="Heading 2 2 2 5 2 5 8" xfId="34571"/>
    <cellStyle name="Heading 2 2 2 5 2 5 8 2" xfId="34572"/>
    <cellStyle name="Heading 2 2 2 5 2 5 9" xfId="34573"/>
    <cellStyle name="Heading 2 2 2 5 2 6" xfId="34574"/>
    <cellStyle name="Heading 2 2 2 5 2 6 2" xfId="34575"/>
    <cellStyle name="Heading 2 2 2 5 2 6 2 2" xfId="34576"/>
    <cellStyle name="Heading 2 2 2 5 2 6 2 2 2" xfId="34577"/>
    <cellStyle name="Heading 2 2 2 5 2 6 2 3" xfId="34578"/>
    <cellStyle name="Heading 2 2 2 5 2 6 3" xfId="34579"/>
    <cellStyle name="Heading 2 2 2 5 2 6 3 2" xfId="34580"/>
    <cellStyle name="Heading 2 2 2 5 2 6 3 2 2" xfId="34581"/>
    <cellStyle name="Heading 2 2 2 5 2 6 3 3" xfId="34582"/>
    <cellStyle name="Heading 2 2 2 5 2 6 4" xfId="34583"/>
    <cellStyle name="Heading 2 2 2 5 2 6 4 2" xfId="34584"/>
    <cellStyle name="Heading 2 2 2 5 2 6 4 2 2" xfId="34585"/>
    <cellStyle name="Heading 2 2 2 5 2 6 4 3" xfId="34586"/>
    <cellStyle name="Heading 2 2 2 5 2 6 5" xfId="34587"/>
    <cellStyle name="Heading 2 2 2 5 2 6 5 2" xfId="34588"/>
    <cellStyle name="Heading 2 2 2 5 2 6 5 2 2" xfId="34589"/>
    <cellStyle name="Heading 2 2 2 5 2 6 5 3" xfId="34590"/>
    <cellStyle name="Heading 2 2 2 5 2 6 6" xfId="34591"/>
    <cellStyle name="Heading 2 2 2 5 2 6 6 2" xfId="34592"/>
    <cellStyle name="Heading 2 2 2 5 2 6 6 2 2" xfId="34593"/>
    <cellStyle name="Heading 2 2 2 5 2 6 6 3" xfId="34594"/>
    <cellStyle name="Heading 2 2 2 5 2 6 7" xfId="34595"/>
    <cellStyle name="Heading 2 2 2 5 2 6 7 2" xfId="34596"/>
    <cellStyle name="Heading 2 2 2 5 2 6 7 2 2" xfId="34597"/>
    <cellStyle name="Heading 2 2 2 5 2 6 7 3" xfId="34598"/>
    <cellStyle name="Heading 2 2 2 5 2 6 8" xfId="34599"/>
    <cellStyle name="Heading 2 2 2 5 2 6 8 2" xfId="34600"/>
    <cellStyle name="Heading 2 2 2 5 2 6 9" xfId="34601"/>
    <cellStyle name="Heading 2 2 2 5 2 7" xfId="34602"/>
    <cellStyle name="Heading 2 2 2 5 2 7 2" xfId="34603"/>
    <cellStyle name="Heading 2 2 2 5 2 7 2 2" xfId="34604"/>
    <cellStyle name="Heading 2 2 2 5 2 7 2 2 2" xfId="34605"/>
    <cellStyle name="Heading 2 2 2 5 2 7 2 3" xfId="34606"/>
    <cellStyle name="Heading 2 2 2 5 2 7 3" xfId="34607"/>
    <cellStyle name="Heading 2 2 2 5 2 7 3 2" xfId="34608"/>
    <cellStyle name="Heading 2 2 2 5 2 7 3 2 2" xfId="34609"/>
    <cellStyle name="Heading 2 2 2 5 2 7 3 3" xfId="34610"/>
    <cellStyle name="Heading 2 2 2 5 2 7 4" xfId="34611"/>
    <cellStyle name="Heading 2 2 2 5 2 7 4 2" xfId="34612"/>
    <cellStyle name="Heading 2 2 2 5 2 7 4 2 2" xfId="34613"/>
    <cellStyle name="Heading 2 2 2 5 2 7 4 3" xfId="34614"/>
    <cellStyle name="Heading 2 2 2 5 2 7 5" xfId="34615"/>
    <cellStyle name="Heading 2 2 2 5 2 7 5 2" xfId="34616"/>
    <cellStyle name="Heading 2 2 2 5 2 7 5 2 2" xfId="34617"/>
    <cellStyle name="Heading 2 2 2 5 2 7 5 3" xfId="34618"/>
    <cellStyle name="Heading 2 2 2 5 2 7 6" xfId="34619"/>
    <cellStyle name="Heading 2 2 2 5 2 7 6 2" xfId="34620"/>
    <cellStyle name="Heading 2 2 2 5 2 7 6 2 2" xfId="34621"/>
    <cellStyle name="Heading 2 2 2 5 2 7 6 3" xfId="34622"/>
    <cellStyle name="Heading 2 2 2 5 2 7 7" xfId="34623"/>
    <cellStyle name="Heading 2 2 2 5 2 7 7 2" xfId="34624"/>
    <cellStyle name="Heading 2 2 2 5 2 7 7 2 2" xfId="34625"/>
    <cellStyle name="Heading 2 2 2 5 2 7 7 3" xfId="34626"/>
    <cellStyle name="Heading 2 2 2 5 2 7 8" xfId="34627"/>
    <cellStyle name="Heading 2 2 2 5 2 7 8 2" xfId="34628"/>
    <cellStyle name="Heading 2 2 2 5 2 7 9" xfId="34629"/>
    <cellStyle name="Heading 2 2 2 5 2 8" xfId="34630"/>
    <cellStyle name="Heading 2 2 2 5 2 8 2" xfId="34631"/>
    <cellStyle name="Heading 2 2 2 5 2 8 2 2" xfId="34632"/>
    <cellStyle name="Heading 2 2 2 5 2 8 2 2 2" xfId="34633"/>
    <cellStyle name="Heading 2 2 2 5 2 8 2 3" xfId="34634"/>
    <cellStyle name="Heading 2 2 2 5 2 8 3" xfId="34635"/>
    <cellStyle name="Heading 2 2 2 5 2 8 3 2" xfId="34636"/>
    <cellStyle name="Heading 2 2 2 5 2 8 3 2 2" xfId="34637"/>
    <cellStyle name="Heading 2 2 2 5 2 8 3 3" xfId="34638"/>
    <cellStyle name="Heading 2 2 2 5 2 8 4" xfId="34639"/>
    <cellStyle name="Heading 2 2 2 5 2 8 4 2" xfId="34640"/>
    <cellStyle name="Heading 2 2 2 5 2 8 4 2 2" xfId="34641"/>
    <cellStyle name="Heading 2 2 2 5 2 8 4 3" xfId="34642"/>
    <cellStyle name="Heading 2 2 2 5 2 8 5" xfId="34643"/>
    <cellStyle name="Heading 2 2 2 5 2 8 5 2" xfId="34644"/>
    <cellStyle name="Heading 2 2 2 5 2 8 5 2 2" xfId="34645"/>
    <cellStyle name="Heading 2 2 2 5 2 8 5 3" xfId="34646"/>
    <cellStyle name="Heading 2 2 2 5 2 8 6" xfId="34647"/>
    <cellStyle name="Heading 2 2 2 5 2 8 6 2" xfId="34648"/>
    <cellStyle name="Heading 2 2 2 5 2 8 6 2 2" xfId="34649"/>
    <cellStyle name="Heading 2 2 2 5 2 8 6 3" xfId="34650"/>
    <cellStyle name="Heading 2 2 2 5 2 8 7" xfId="34651"/>
    <cellStyle name="Heading 2 2 2 5 2 8 7 2" xfId="34652"/>
    <cellStyle name="Heading 2 2 2 5 2 8 7 2 2" xfId="34653"/>
    <cellStyle name="Heading 2 2 2 5 2 8 7 3" xfId="34654"/>
    <cellStyle name="Heading 2 2 2 5 2 8 8" xfId="34655"/>
    <cellStyle name="Heading 2 2 2 5 2 8 8 2" xfId="34656"/>
    <cellStyle name="Heading 2 2 2 5 2 8 9" xfId="34657"/>
    <cellStyle name="Heading 2 2 2 5 2 9" xfId="34658"/>
    <cellStyle name="Heading 2 2 2 5 2 9 2" xfId="34659"/>
    <cellStyle name="Heading 2 2 2 5 2 9 2 2" xfId="34660"/>
    <cellStyle name="Heading 2 2 2 5 2 9 2 2 2" xfId="34661"/>
    <cellStyle name="Heading 2 2 2 5 2 9 2 3" xfId="34662"/>
    <cellStyle name="Heading 2 2 2 5 2 9 3" xfId="34663"/>
    <cellStyle name="Heading 2 2 2 5 2 9 3 2" xfId="34664"/>
    <cellStyle name="Heading 2 2 2 5 2 9 3 2 2" xfId="34665"/>
    <cellStyle name="Heading 2 2 2 5 2 9 3 3" xfId="34666"/>
    <cellStyle name="Heading 2 2 2 5 2 9 4" xfId="34667"/>
    <cellStyle name="Heading 2 2 2 5 2 9 4 2" xfId="34668"/>
    <cellStyle name="Heading 2 2 2 5 2 9 4 2 2" xfId="34669"/>
    <cellStyle name="Heading 2 2 2 5 2 9 4 3" xfId="34670"/>
    <cellStyle name="Heading 2 2 2 5 2 9 5" xfId="34671"/>
    <cellStyle name="Heading 2 2 2 5 2 9 5 2" xfId="34672"/>
    <cellStyle name="Heading 2 2 2 5 2 9 5 2 2" xfId="34673"/>
    <cellStyle name="Heading 2 2 2 5 2 9 5 3" xfId="34674"/>
    <cellStyle name="Heading 2 2 2 5 2 9 6" xfId="34675"/>
    <cellStyle name="Heading 2 2 2 5 2 9 6 2" xfId="34676"/>
    <cellStyle name="Heading 2 2 2 5 2 9 6 2 2" xfId="34677"/>
    <cellStyle name="Heading 2 2 2 5 2 9 6 3" xfId="34678"/>
    <cellStyle name="Heading 2 2 2 5 2 9 7" xfId="34679"/>
    <cellStyle name="Heading 2 2 2 5 2 9 7 2" xfId="34680"/>
    <cellStyle name="Heading 2 2 2 5 2 9 7 2 2" xfId="34681"/>
    <cellStyle name="Heading 2 2 2 5 2 9 7 3" xfId="34682"/>
    <cellStyle name="Heading 2 2 2 5 2 9 8" xfId="34683"/>
    <cellStyle name="Heading 2 2 2 5 2 9 8 2" xfId="34684"/>
    <cellStyle name="Heading 2 2 2 5 2 9 9" xfId="34685"/>
    <cellStyle name="Heading 2 2 2 5 3" xfId="34686"/>
    <cellStyle name="Heading 2 2 2 5 3 10" xfId="34687"/>
    <cellStyle name="Heading 2 2 2 5 3 10 2" xfId="34688"/>
    <cellStyle name="Heading 2 2 2 5 3 10 2 2" xfId="34689"/>
    <cellStyle name="Heading 2 2 2 5 3 10 3" xfId="34690"/>
    <cellStyle name="Heading 2 2 2 5 3 11" xfId="34691"/>
    <cellStyle name="Heading 2 2 2 5 3 11 2" xfId="34692"/>
    <cellStyle name="Heading 2 2 2 5 3 11 2 2" xfId="34693"/>
    <cellStyle name="Heading 2 2 2 5 3 11 3" xfId="34694"/>
    <cellStyle name="Heading 2 2 2 5 3 12" xfId="34695"/>
    <cellStyle name="Heading 2 2 2 5 3 12 2" xfId="34696"/>
    <cellStyle name="Heading 2 2 2 5 3 12 2 2" xfId="34697"/>
    <cellStyle name="Heading 2 2 2 5 3 12 3" xfId="34698"/>
    <cellStyle name="Heading 2 2 2 5 3 13" xfId="34699"/>
    <cellStyle name="Heading 2 2 2 5 3 13 2" xfId="34700"/>
    <cellStyle name="Heading 2 2 2 5 3 13 2 2" xfId="34701"/>
    <cellStyle name="Heading 2 2 2 5 3 13 3" xfId="34702"/>
    <cellStyle name="Heading 2 2 2 5 3 14" xfId="34703"/>
    <cellStyle name="Heading 2 2 2 5 3 14 2" xfId="34704"/>
    <cellStyle name="Heading 2 2 2 5 3 14 2 2" xfId="34705"/>
    <cellStyle name="Heading 2 2 2 5 3 14 3" xfId="34706"/>
    <cellStyle name="Heading 2 2 2 5 3 15" xfId="34707"/>
    <cellStyle name="Heading 2 2 2 5 3 15 2" xfId="34708"/>
    <cellStyle name="Heading 2 2 2 5 3 15 2 2" xfId="34709"/>
    <cellStyle name="Heading 2 2 2 5 3 15 3" xfId="34710"/>
    <cellStyle name="Heading 2 2 2 5 3 16" xfId="34711"/>
    <cellStyle name="Heading 2 2 2 5 3 16 2" xfId="34712"/>
    <cellStyle name="Heading 2 2 2 5 3 16 2 2" xfId="34713"/>
    <cellStyle name="Heading 2 2 2 5 3 16 3" xfId="34714"/>
    <cellStyle name="Heading 2 2 2 5 3 17" xfId="34715"/>
    <cellStyle name="Heading 2 2 2 5 3 17 2" xfId="34716"/>
    <cellStyle name="Heading 2 2 2 5 3 17 2 2" xfId="34717"/>
    <cellStyle name="Heading 2 2 2 5 3 17 3" xfId="34718"/>
    <cellStyle name="Heading 2 2 2 5 3 18" xfId="34719"/>
    <cellStyle name="Heading 2 2 2 5 3 18 2" xfId="34720"/>
    <cellStyle name="Heading 2 2 2 5 3 18 2 2" xfId="34721"/>
    <cellStyle name="Heading 2 2 2 5 3 18 3" xfId="34722"/>
    <cellStyle name="Heading 2 2 2 5 3 19" xfId="34723"/>
    <cellStyle name="Heading 2 2 2 5 3 19 2" xfId="34724"/>
    <cellStyle name="Heading 2 2 2 5 3 2" xfId="34725"/>
    <cellStyle name="Heading 2 2 2 5 3 2 2" xfId="34726"/>
    <cellStyle name="Heading 2 2 2 5 3 2 2 2" xfId="34727"/>
    <cellStyle name="Heading 2 2 2 5 3 2 2 2 2" xfId="34728"/>
    <cellStyle name="Heading 2 2 2 5 3 2 2 3" xfId="34729"/>
    <cellStyle name="Heading 2 2 2 5 3 2 3" xfId="34730"/>
    <cellStyle name="Heading 2 2 2 5 3 2 3 2" xfId="34731"/>
    <cellStyle name="Heading 2 2 2 5 3 2 3 2 2" xfId="34732"/>
    <cellStyle name="Heading 2 2 2 5 3 2 3 3" xfId="34733"/>
    <cellStyle name="Heading 2 2 2 5 3 2 4" xfId="34734"/>
    <cellStyle name="Heading 2 2 2 5 3 2 4 2" xfId="34735"/>
    <cellStyle name="Heading 2 2 2 5 3 2 4 2 2" xfId="34736"/>
    <cellStyle name="Heading 2 2 2 5 3 2 4 3" xfId="34737"/>
    <cellStyle name="Heading 2 2 2 5 3 2 5" xfId="34738"/>
    <cellStyle name="Heading 2 2 2 5 3 2 5 2" xfId="34739"/>
    <cellStyle name="Heading 2 2 2 5 3 2 5 2 2" xfId="34740"/>
    <cellStyle name="Heading 2 2 2 5 3 2 5 3" xfId="34741"/>
    <cellStyle name="Heading 2 2 2 5 3 2 6" xfId="34742"/>
    <cellStyle name="Heading 2 2 2 5 3 2 6 2" xfId="34743"/>
    <cellStyle name="Heading 2 2 2 5 3 2 6 2 2" xfId="34744"/>
    <cellStyle name="Heading 2 2 2 5 3 2 6 3" xfId="34745"/>
    <cellStyle name="Heading 2 2 2 5 3 2 7" xfId="34746"/>
    <cellStyle name="Heading 2 2 2 5 3 2 7 2" xfId="34747"/>
    <cellStyle name="Heading 2 2 2 5 3 2 7 2 2" xfId="34748"/>
    <cellStyle name="Heading 2 2 2 5 3 2 7 3" xfId="34749"/>
    <cellStyle name="Heading 2 2 2 5 3 2 8" xfId="34750"/>
    <cellStyle name="Heading 2 2 2 5 3 2 8 2" xfId="34751"/>
    <cellStyle name="Heading 2 2 2 5 3 2 9" xfId="34752"/>
    <cellStyle name="Heading 2 2 2 5 3 20" xfId="34753"/>
    <cellStyle name="Heading 2 2 2 5 3 20 2" xfId="34754"/>
    <cellStyle name="Heading 2 2 2 5 3 21" xfId="34755"/>
    <cellStyle name="Heading 2 2 2 5 3 21 2" xfId="34756"/>
    <cellStyle name="Heading 2 2 2 5 3 22" xfId="34757"/>
    <cellStyle name="Heading 2 2 2 5 3 3" xfId="34758"/>
    <cellStyle name="Heading 2 2 2 5 3 3 2" xfId="34759"/>
    <cellStyle name="Heading 2 2 2 5 3 3 2 2" xfId="34760"/>
    <cellStyle name="Heading 2 2 2 5 3 3 2 2 2" xfId="34761"/>
    <cellStyle name="Heading 2 2 2 5 3 3 2 3" xfId="34762"/>
    <cellStyle name="Heading 2 2 2 5 3 3 3" xfId="34763"/>
    <cellStyle name="Heading 2 2 2 5 3 3 3 2" xfId="34764"/>
    <cellStyle name="Heading 2 2 2 5 3 3 3 2 2" xfId="34765"/>
    <cellStyle name="Heading 2 2 2 5 3 3 3 3" xfId="34766"/>
    <cellStyle name="Heading 2 2 2 5 3 3 4" xfId="34767"/>
    <cellStyle name="Heading 2 2 2 5 3 3 4 2" xfId="34768"/>
    <cellStyle name="Heading 2 2 2 5 3 3 4 2 2" xfId="34769"/>
    <cellStyle name="Heading 2 2 2 5 3 3 4 3" xfId="34770"/>
    <cellStyle name="Heading 2 2 2 5 3 3 5" xfId="34771"/>
    <cellStyle name="Heading 2 2 2 5 3 3 5 2" xfId="34772"/>
    <cellStyle name="Heading 2 2 2 5 3 3 5 2 2" xfId="34773"/>
    <cellStyle name="Heading 2 2 2 5 3 3 5 3" xfId="34774"/>
    <cellStyle name="Heading 2 2 2 5 3 3 6" xfId="34775"/>
    <cellStyle name="Heading 2 2 2 5 3 3 6 2" xfId="34776"/>
    <cellStyle name="Heading 2 2 2 5 3 3 6 2 2" xfId="34777"/>
    <cellStyle name="Heading 2 2 2 5 3 3 6 3" xfId="34778"/>
    <cellStyle name="Heading 2 2 2 5 3 3 7" xfId="34779"/>
    <cellStyle name="Heading 2 2 2 5 3 3 7 2" xfId="34780"/>
    <cellStyle name="Heading 2 2 2 5 3 3 7 2 2" xfId="34781"/>
    <cellStyle name="Heading 2 2 2 5 3 3 7 3" xfId="34782"/>
    <cellStyle name="Heading 2 2 2 5 3 3 8" xfId="34783"/>
    <cellStyle name="Heading 2 2 2 5 3 3 8 2" xfId="34784"/>
    <cellStyle name="Heading 2 2 2 5 3 3 9" xfId="34785"/>
    <cellStyle name="Heading 2 2 2 5 3 4" xfId="34786"/>
    <cellStyle name="Heading 2 2 2 5 3 4 2" xfId="34787"/>
    <cellStyle name="Heading 2 2 2 5 3 4 2 2" xfId="34788"/>
    <cellStyle name="Heading 2 2 2 5 3 4 2 2 2" xfId="34789"/>
    <cellStyle name="Heading 2 2 2 5 3 4 2 3" xfId="34790"/>
    <cellStyle name="Heading 2 2 2 5 3 4 3" xfId="34791"/>
    <cellStyle name="Heading 2 2 2 5 3 4 3 2" xfId="34792"/>
    <cellStyle name="Heading 2 2 2 5 3 4 3 2 2" xfId="34793"/>
    <cellStyle name="Heading 2 2 2 5 3 4 3 3" xfId="34794"/>
    <cellStyle name="Heading 2 2 2 5 3 4 4" xfId="34795"/>
    <cellStyle name="Heading 2 2 2 5 3 4 4 2" xfId="34796"/>
    <cellStyle name="Heading 2 2 2 5 3 4 4 2 2" xfId="34797"/>
    <cellStyle name="Heading 2 2 2 5 3 4 4 3" xfId="34798"/>
    <cellStyle name="Heading 2 2 2 5 3 4 5" xfId="34799"/>
    <cellStyle name="Heading 2 2 2 5 3 4 5 2" xfId="34800"/>
    <cellStyle name="Heading 2 2 2 5 3 4 5 2 2" xfId="34801"/>
    <cellStyle name="Heading 2 2 2 5 3 4 5 3" xfId="34802"/>
    <cellStyle name="Heading 2 2 2 5 3 4 6" xfId="34803"/>
    <cellStyle name="Heading 2 2 2 5 3 4 6 2" xfId="34804"/>
    <cellStyle name="Heading 2 2 2 5 3 4 6 2 2" xfId="34805"/>
    <cellStyle name="Heading 2 2 2 5 3 4 6 3" xfId="34806"/>
    <cellStyle name="Heading 2 2 2 5 3 4 7" xfId="34807"/>
    <cellStyle name="Heading 2 2 2 5 3 4 7 2" xfId="34808"/>
    <cellStyle name="Heading 2 2 2 5 3 4 7 2 2" xfId="34809"/>
    <cellStyle name="Heading 2 2 2 5 3 4 7 3" xfId="34810"/>
    <cellStyle name="Heading 2 2 2 5 3 4 8" xfId="34811"/>
    <cellStyle name="Heading 2 2 2 5 3 4 8 2" xfId="34812"/>
    <cellStyle name="Heading 2 2 2 5 3 4 9" xfId="34813"/>
    <cellStyle name="Heading 2 2 2 5 3 5" xfId="34814"/>
    <cellStyle name="Heading 2 2 2 5 3 5 2" xfId="34815"/>
    <cellStyle name="Heading 2 2 2 5 3 5 2 2" xfId="34816"/>
    <cellStyle name="Heading 2 2 2 5 3 5 2 2 2" xfId="34817"/>
    <cellStyle name="Heading 2 2 2 5 3 5 2 3" xfId="34818"/>
    <cellStyle name="Heading 2 2 2 5 3 5 3" xfId="34819"/>
    <cellStyle name="Heading 2 2 2 5 3 5 3 2" xfId="34820"/>
    <cellStyle name="Heading 2 2 2 5 3 5 3 2 2" xfId="34821"/>
    <cellStyle name="Heading 2 2 2 5 3 5 3 3" xfId="34822"/>
    <cellStyle name="Heading 2 2 2 5 3 5 4" xfId="34823"/>
    <cellStyle name="Heading 2 2 2 5 3 5 4 2" xfId="34824"/>
    <cellStyle name="Heading 2 2 2 5 3 5 4 2 2" xfId="34825"/>
    <cellStyle name="Heading 2 2 2 5 3 5 4 3" xfId="34826"/>
    <cellStyle name="Heading 2 2 2 5 3 5 5" xfId="34827"/>
    <cellStyle name="Heading 2 2 2 5 3 5 5 2" xfId="34828"/>
    <cellStyle name="Heading 2 2 2 5 3 5 5 2 2" xfId="34829"/>
    <cellStyle name="Heading 2 2 2 5 3 5 5 3" xfId="34830"/>
    <cellStyle name="Heading 2 2 2 5 3 5 6" xfId="34831"/>
    <cellStyle name="Heading 2 2 2 5 3 5 6 2" xfId="34832"/>
    <cellStyle name="Heading 2 2 2 5 3 5 6 2 2" xfId="34833"/>
    <cellStyle name="Heading 2 2 2 5 3 5 6 3" xfId="34834"/>
    <cellStyle name="Heading 2 2 2 5 3 5 7" xfId="34835"/>
    <cellStyle name="Heading 2 2 2 5 3 5 7 2" xfId="34836"/>
    <cellStyle name="Heading 2 2 2 5 3 5 7 2 2" xfId="34837"/>
    <cellStyle name="Heading 2 2 2 5 3 5 7 3" xfId="34838"/>
    <cellStyle name="Heading 2 2 2 5 3 5 8" xfId="34839"/>
    <cellStyle name="Heading 2 2 2 5 3 5 8 2" xfId="34840"/>
    <cellStyle name="Heading 2 2 2 5 3 5 9" xfId="34841"/>
    <cellStyle name="Heading 2 2 2 5 3 6" xfId="34842"/>
    <cellStyle name="Heading 2 2 2 5 3 6 2" xfId="34843"/>
    <cellStyle name="Heading 2 2 2 5 3 6 2 2" xfId="34844"/>
    <cellStyle name="Heading 2 2 2 5 3 6 2 2 2" xfId="34845"/>
    <cellStyle name="Heading 2 2 2 5 3 6 2 3" xfId="34846"/>
    <cellStyle name="Heading 2 2 2 5 3 6 3" xfId="34847"/>
    <cellStyle name="Heading 2 2 2 5 3 6 3 2" xfId="34848"/>
    <cellStyle name="Heading 2 2 2 5 3 6 3 2 2" xfId="34849"/>
    <cellStyle name="Heading 2 2 2 5 3 6 3 3" xfId="34850"/>
    <cellStyle name="Heading 2 2 2 5 3 6 4" xfId="34851"/>
    <cellStyle name="Heading 2 2 2 5 3 6 4 2" xfId="34852"/>
    <cellStyle name="Heading 2 2 2 5 3 6 4 2 2" xfId="34853"/>
    <cellStyle name="Heading 2 2 2 5 3 6 4 3" xfId="34854"/>
    <cellStyle name="Heading 2 2 2 5 3 6 5" xfId="34855"/>
    <cellStyle name="Heading 2 2 2 5 3 6 5 2" xfId="34856"/>
    <cellStyle name="Heading 2 2 2 5 3 6 5 2 2" xfId="34857"/>
    <cellStyle name="Heading 2 2 2 5 3 6 5 3" xfId="34858"/>
    <cellStyle name="Heading 2 2 2 5 3 6 6" xfId="34859"/>
    <cellStyle name="Heading 2 2 2 5 3 6 6 2" xfId="34860"/>
    <cellStyle name="Heading 2 2 2 5 3 6 6 2 2" xfId="34861"/>
    <cellStyle name="Heading 2 2 2 5 3 6 6 3" xfId="34862"/>
    <cellStyle name="Heading 2 2 2 5 3 6 7" xfId="34863"/>
    <cellStyle name="Heading 2 2 2 5 3 6 7 2" xfId="34864"/>
    <cellStyle name="Heading 2 2 2 5 3 6 7 2 2" xfId="34865"/>
    <cellStyle name="Heading 2 2 2 5 3 6 7 3" xfId="34866"/>
    <cellStyle name="Heading 2 2 2 5 3 6 8" xfId="34867"/>
    <cellStyle name="Heading 2 2 2 5 3 6 8 2" xfId="34868"/>
    <cellStyle name="Heading 2 2 2 5 3 6 9" xfId="34869"/>
    <cellStyle name="Heading 2 2 2 5 3 7" xfId="34870"/>
    <cellStyle name="Heading 2 2 2 5 3 7 2" xfId="34871"/>
    <cellStyle name="Heading 2 2 2 5 3 7 2 2" xfId="34872"/>
    <cellStyle name="Heading 2 2 2 5 3 7 2 2 2" xfId="34873"/>
    <cellStyle name="Heading 2 2 2 5 3 7 2 3" xfId="34874"/>
    <cellStyle name="Heading 2 2 2 5 3 7 3" xfId="34875"/>
    <cellStyle name="Heading 2 2 2 5 3 7 3 2" xfId="34876"/>
    <cellStyle name="Heading 2 2 2 5 3 7 3 2 2" xfId="34877"/>
    <cellStyle name="Heading 2 2 2 5 3 7 3 3" xfId="34878"/>
    <cellStyle name="Heading 2 2 2 5 3 7 4" xfId="34879"/>
    <cellStyle name="Heading 2 2 2 5 3 7 4 2" xfId="34880"/>
    <cellStyle name="Heading 2 2 2 5 3 7 4 2 2" xfId="34881"/>
    <cellStyle name="Heading 2 2 2 5 3 7 4 3" xfId="34882"/>
    <cellStyle name="Heading 2 2 2 5 3 7 5" xfId="34883"/>
    <cellStyle name="Heading 2 2 2 5 3 7 5 2" xfId="34884"/>
    <cellStyle name="Heading 2 2 2 5 3 7 5 2 2" xfId="34885"/>
    <cellStyle name="Heading 2 2 2 5 3 7 5 3" xfId="34886"/>
    <cellStyle name="Heading 2 2 2 5 3 7 6" xfId="34887"/>
    <cellStyle name="Heading 2 2 2 5 3 7 6 2" xfId="34888"/>
    <cellStyle name="Heading 2 2 2 5 3 7 6 2 2" xfId="34889"/>
    <cellStyle name="Heading 2 2 2 5 3 7 6 3" xfId="34890"/>
    <cellStyle name="Heading 2 2 2 5 3 7 7" xfId="34891"/>
    <cellStyle name="Heading 2 2 2 5 3 7 7 2" xfId="34892"/>
    <cellStyle name="Heading 2 2 2 5 3 7 7 2 2" xfId="34893"/>
    <cellStyle name="Heading 2 2 2 5 3 7 7 3" xfId="34894"/>
    <cellStyle name="Heading 2 2 2 5 3 7 8" xfId="34895"/>
    <cellStyle name="Heading 2 2 2 5 3 7 8 2" xfId="34896"/>
    <cellStyle name="Heading 2 2 2 5 3 7 9" xfId="34897"/>
    <cellStyle name="Heading 2 2 2 5 3 8" xfId="34898"/>
    <cellStyle name="Heading 2 2 2 5 3 8 2" xfId="34899"/>
    <cellStyle name="Heading 2 2 2 5 3 8 2 2" xfId="34900"/>
    <cellStyle name="Heading 2 2 2 5 3 8 2 2 2" xfId="34901"/>
    <cellStyle name="Heading 2 2 2 5 3 8 2 3" xfId="34902"/>
    <cellStyle name="Heading 2 2 2 5 3 8 3" xfId="34903"/>
    <cellStyle name="Heading 2 2 2 5 3 8 3 2" xfId="34904"/>
    <cellStyle name="Heading 2 2 2 5 3 8 3 2 2" xfId="34905"/>
    <cellStyle name="Heading 2 2 2 5 3 8 3 3" xfId="34906"/>
    <cellStyle name="Heading 2 2 2 5 3 8 4" xfId="34907"/>
    <cellStyle name="Heading 2 2 2 5 3 8 4 2" xfId="34908"/>
    <cellStyle name="Heading 2 2 2 5 3 8 4 2 2" xfId="34909"/>
    <cellStyle name="Heading 2 2 2 5 3 8 4 3" xfId="34910"/>
    <cellStyle name="Heading 2 2 2 5 3 8 5" xfId="34911"/>
    <cellStyle name="Heading 2 2 2 5 3 8 5 2" xfId="34912"/>
    <cellStyle name="Heading 2 2 2 5 3 8 5 2 2" xfId="34913"/>
    <cellStyle name="Heading 2 2 2 5 3 8 5 3" xfId="34914"/>
    <cellStyle name="Heading 2 2 2 5 3 8 6" xfId="34915"/>
    <cellStyle name="Heading 2 2 2 5 3 8 6 2" xfId="34916"/>
    <cellStyle name="Heading 2 2 2 5 3 8 6 2 2" xfId="34917"/>
    <cellStyle name="Heading 2 2 2 5 3 8 6 3" xfId="34918"/>
    <cellStyle name="Heading 2 2 2 5 3 8 7" xfId="34919"/>
    <cellStyle name="Heading 2 2 2 5 3 8 7 2" xfId="34920"/>
    <cellStyle name="Heading 2 2 2 5 3 8 7 2 2" xfId="34921"/>
    <cellStyle name="Heading 2 2 2 5 3 8 7 3" xfId="34922"/>
    <cellStyle name="Heading 2 2 2 5 3 8 8" xfId="34923"/>
    <cellStyle name="Heading 2 2 2 5 3 8 8 2" xfId="34924"/>
    <cellStyle name="Heading 2 2 2 5 3 8 9" xfId="34925"/>
    <cellStyle name="Heading 2 2 2 5 3 9" xfId="34926"/>
    <cellStyle name="Heading 2 2 2 5 3 9 2" xfId="34927"/>
    <cellStyle name="Heading 2 2 2 5 3 9 2 2" xfId="34928"/>
    <cellStyle name="Heading 2 2 2 5 3 9 3" xfId="34929"/>
    <cellStyle name="Heading 2 2 2 5 4" xfId="34930"/>
    <cellStyle name="Heading 2 2 2 5 4 2" xfId="34931"/>
    <cellStyle name="Heading 2 2 2 5 4 2 2" xfId="34932"/>
    <cellStyle name="Heading 2 2 2 5 4 3" xfId="34933"/>
    <cellStyle name="Heading 2 2 2 5 5" xfId="34934"/>
    <cellStyle name="Heading 2 2 2 5 5 2" xfId="34935"/>
    <cellStyle name="Heading 2 2 2 5 6" xfId="34936"/>
    <cellStyle name="Heading 2 2 2 6" xfId="34937"/>
    <cellStyle name="Heading 2 2 2 6 2" xfId="34938"/>
    <cellStyle name="Heading 2 2 2 6 2 10" xfId="34939"/>
    <cellStyle name="Heading 2 2 2 6 2 10 2" xfId="34940"/>
    <cellStyle name="Heading 2 2 2 6 2 10 2 2" xfId="34941"/>
    <cellStyle name="Heading 2 2 2 6 2 10 3" xfId="34942"/>
    <cellStyle name="Heading 2 2 2 6 2 11" xfId="34943"/>
    <cellStyle name="Heading 2 2 2 6 2 11 2" xfId="34944"/>
    <cellStyle name="Heading 2 2 2 6 2 11 2 2" xfId="34945"/>
    <cellStyle name="Heading 2 2 2 6 2 11 3" xfId="34946"/>
    <cellStyle name="Heading 2 2 2 6 2 12" xfId="34947"/>
    <cellStyle name="Heading 2 2 2 6 2 12 2" xfId="34948"/>
    <cellStyle name="Heading 2 2 2 6 2 12 2 2" xfId="34949"/>
    <cellStyle name="Heading 2 2 2 6 2 12 3" xfId="34950"/>
    <cellStyle name="Heading 2 2 2 6 2 13" xfId="34951"/>
    <cellStyle name="Heading 2 2 2 6 2 13 2" xfId="34952"/>
    <cellStyle name="Heading 2 2 2 6 2 13 2 2" xfId="34953"/>
    <cellStyle name="Heading 2 2 2 6 2 13 3" xfId="34954"/>
    <cellStyle name="Heading 2 2 2 6 2 14" xfId="34955"/>
    <cellStyle name="Heading 2 2 2 6 2 14 2" xfId="34956"/>
    <cellStyle name="Heading 2 2 2 6 2 14 2 2" xfId="34957"/>
    <cellStyle name="Heading 2 2 2 6 2 14 3" xfId="34958"/>
    <cellStyle name="Heading 2 2 2 6 2 15" xfId="34959"/>
    <cellStyle name="Heading 2 2 2 6 2 15 2" xfId="34960"/>
    <cellStyle name="Heading 2 2 2 6 2 15 2 2" xfId="34961"/>
    <cellStyle name="Heading 2 2 2 6 2 15 3" xfId="34962"/>
    <cellStyle name="Heading 2 2 2 6 2 16" xfId="34963"/>
    <cellStyle name="Heading 2 2 2 6 2 16 2" xfId="34964"/>
    <cellStyle name="Heading 2 2 2 6 2 16 2 2" xfId="34965"/>
    <cellStyle name="Heading 2 2 2 6 2 16 3" xfId="34966"/>
    <cellStyle name="Heading 2 2 2 6 2 17" xfId="34967"/>
    <cellStyle name="Heading 2 2 2 6 2 17 2" xfId="34968"/>
    <cellStyle name="Heading 2 2 2 6 2 17 2 2" xfId="34969"/>
    <cellStyle name="Heading 2 2 2 6 2 17 3" xfId="34970"/>
    <cellStyle name="Heading 2 2 2 6 2 18" xfId="34971"/>
    <cellStyle name="Heading 2 2 2 6 2 18 2" xfId="34972"/>
    <cellStyle name="Heading 2 2 2 6 2 18 2 2" xfId="34973"/>
    <cellStyle name="Heading 2 2 2 6 2 18 3" xfId="34974"/>
    <cellStyle name="Heading 2 2 2 6 2 19" xfId="34975"/>
    <cellStyle name="Heading 2 2 2 6 2 19 2" xfId="34976"/>
    <cellStyle name="Heading 2 2 2 6 2 19 2 2" xfId="34977"/>
    <cellStyle name="Heading 2 2 2 6 2 19 3" xfId="34978"/>
    <cellStyle name="Heading 2 2 2 6 2 2" xfId="34979"/>
    <cellStyle name="Heading 2 2 2 6 2 2 10" xfId="34980"/>
    <cellStyle name="Heading 2 2 2 6 2 2 10 2" xfId="34981"/>
    <cellStyle name="Heading 2 2 2 6 2 2 10 2 2" xfId="34982"/>
    <cellStyle name="Heading 2 2 2 6 2 2 10 3" xfId="34983"/>
    <cellStyle name="Heading 2 2 2 6 2 2 11" xfId="34984"/>
    <cellStyle name="Heading 2 2 2 6 2 2 11 2" xfId="34985"/>
    <cellStyle name="Heading 2 2 2 6 2 2 11 2 2" xfId="34986"/>
    <cellStyle name="Heading 2 2 2 6 2 2 11 3" xfId="34987"/>
    <cellStyle name="Heading 2 2 2 6 2 2 12" xfId="34988"/>
    <cellStyle name="Heading 2 2 2 6 2 2 12 2" xfId="34989"/>
    <cellStyle name="Heading 2 2 2 6 2 2 12 2 2" xfId="34990"/>
    <cellStyle name="Heading 2 2 2 6 2 2 12 3" xfId="34991"/>
    <cellStyle name="Heading 2 2 2 6 2 2 13" xfId="34992"/>
    <cellStyle name="Heading 2 2 2 6 2 2 13 2" xfId="34993"/>
    <cellStyle name="Heading 2 2 2 6 2 2 13 2 2" xfId="34994"/>
    <cellStyle name="Heading 2 2 2 6 2 2 13 3" xfId="34995"/>
    <cellStyle name="Heading 2 2 2 6 2 2 14" xfId="34996"/>
    <cellStyle name="Heading 2 2 2 6 2 2 14 2" xfId="34997"/>
    <cellStyle name="Heading 2 2 2 6 2 2 14 2 2" xfId="34998"/>
    <cellStyle name="Heading 2 2 2 6 2 2 14 3" xfId="34999"/>
    <cellStyle name="Heading 2 2 2 6 2 2 15" xfId="35000"/>
    <cellStyle name="Heading 2 2 2 6 2 2 15 2" xfId="35001"/>
    <cellStyle name="Heading 2 2 2 6 2 2 15 2 2" xfId="35002"/>
    <cellStyle name="Heading 2 2 2 6 2 2 15 3" xfId="35003"/>
    <cellStyle name="Heading 2 2 2 6 2 2 16" xfId="35004"/>
    <cellStyle name="Heading 2 2 2 6 2 2 16 2" xfId="35005"/>
    <cellStyle name="Heading 2 2 2 6 2 2 16 2 2" xfId="35006"/>
    <cellStyle name="Heading 2 2 2 6 2 2 16 3" xfId="35007"/>
    <cellStyle name="Heading 2 2 2 6 2 2 17" xfId="35008"/>
    <cellStyle name="Heading 2 2 2 6 2 2 17 2" xfId="35009"/>
    <cellStyle name="Heading 2 2 2 6 2 2 17 2 2" xfId="35010"/>
    <cellStyle name="Heading 2 2 2 6 2 2 17 3" xfId="35011"/>
    <cellStyle name="Heading 2 2 2 6 2 2 18" xfId="35012"/>
    <cellStyle name="Heading 2 2 2 6 2 2 18 2" xfId="35013"/>
    <cellStyle name="Heading 2 2 2 6 2 2 18 2 2" xfId="35014"/>
    <cellStyle name="Heading 2 2 2 6 2 2 18 3" xfId="35015"/>
    <cellStyle name="Heading 2 2 2 6 2 2 19" xfId="35016"/>
    <cellStyle name="Heading 2 2 2 6 2 2 19 2" xfId="35017"/>
    <cellStyle name="Heading 2 2 2 6 2 2 2" xfId="35018"/>
    <cellStyle name="Heading 2 2 2 6 2 2 2 2" xfId="35019"/>
    <cellStyle name="Heading 2 2 2 6 2 2 2 2 2" xfId="35020"/>
    <cellStyle name="Heading 2 2 2 6 2 2 2 2 2 2" xfId="35021"/>
    <cellStyle name="Heading 2 2 2 6 2 2 2 2 3" xfId="35022"/>
    <cellStyle name="Heading 2 2 2 6 2 2 2 3" xfId="35023"/>
    <cellStyle name="Heading 2 2 2 6 2 2 2 3 2" xfId="35024"/>
    <cellStyle name="Heading 2 2 2 6 2 2 2 3 2 2" xfId="35025"/>
    <cellStyle name="Heading 2 2 2 6 2 2 2 3 3" xfId="35026"/>
    <cellStyle name="Heading 2 2 2 6 2 2 2 4" xfId="35027"/>
    <cellStyle name="Heading 2 2 2 6 2 2 2 4 2" xfId="35028"/>
    <cellStyle name="Heading 2 2 2 6 2 2 2 4 2 2" xfId="35029"/>
    <cellStyle name="Heading 2 2 2 6 2 2 2 4 3" xfId="35030"/>
    <cellStyle name="Heading 2 2 2 6 2 2 2 5" xfId="35031"/>
    <cellStyle name="Heading 2 2 2 6 2 2 2 5 2" xfId="35032"/>
    <cellStyle name="Heading 2 2 2 6 2 2 2 5 2 2" xfId="35033"/>
    <cellStyle name="Heading 2 2 2 6 2 2 2 5 3" xfId="35034"/>
    <cellStyle name="Heading 2 2 2 6 2 2 2 6" xfId="35035"/>
    <cellStyle name="Heading 2 2 2 6 2 2 2 6 2" xfId="35036"/>
    <cellStyle name="Heading 2 2 2 6 2 2 2 6 2 2" xfId="35037"/>
    <cellStyle name="Heading 2 2 2 6 2 2 2 6 3" xfId="35038"/>
    <cellStyle name="Heading 2 2 2 6 2 2 2 7" xfId="35039"/>
    <cellStyle name="Heading 2 2 2 6 2 2 2 7 2" xfId="35040"/>
    <cellStyle name="Heading 2 2 2 6 2 2 2 7 2 2" xfId="35041"/>
    <cellStyle name="Heading 2 2 2 6 2 2 2 7 3" xfId="35042"/>
    <cellStyle name="Heading 2 2 2 6 2 2 2 8" xfId="35043"/>
    <cellStyle name="Heading 2 2 2 6 2 2 2 8 2" xfId="35044"/>
    <cellStyle name="Heading 2 2 2 6 2 2 2 9" xfId="35045"/>
    <cellStyle name="Heading 2 2 2 6 2 2 20" xfId="35046"/>
    <cellStyle name="Heading 2 2 2 6 2 2 20 2" xfId="35047"/>
    <cellStyle name="Heading 2 2 2 6 2 2 21" xfId="35048"/>
    <cellStyle name="Heading 2 2 2 6 2 2 21 2" xfId="35049"/>
    <cellStyle name="Heading 2 2 2 6 2 2 22" xfId="35050"/>
    <cellStyle name="Heading 2 2 2 6 2 2 3" xfId="35051"/>
    <cellStyle name="Heading 2 2 2 6 2 2 3 2" xfId="35052"/>
    <cellStyle name="Heading 2 2 2 6 2 2 3 2 2" xfId="35053"/>
    <cellStyle name="Heading 2 2 2 6 2 2 3 2 2 2" xfId="35054"/>
    <cellStyle name="Heading 2 2 2 6 2 2 3 2 3" xfId="35055"/>
    <cellStyle name="Heading 2 2 2 6 2 2 3 3" xfId="35056"/>
    <cellStyle name="Heading 2 2 2 6 2 2 3 3 2" xfId="35057"/>
    <cellStyle name="Heading 2 2 2 6 2 2 3 3 2 2" xfId="35058"/>
    <cellStyle name="Heading 2 2 2 6 2 2 3 3 3" xfId="35059"/>
    <cellStyle name="Heading 2 2 2 6 2 2 3 4" xfId="35060"/>
    <cellStyle name="Heading 2 2 2 6 2 2 3 4 2" xfId="35061"/>
    <cellStyle name="Heading 2 2 2 6 2 2 3 4 2 2" xfId="35062"/>
    <cellStyle name="Heading 2 2 2 6 2 2 3 4 3" xfId="35063"/>
    <cellStyle name="Heading 2 2 2 6 2 2 3 5" xfId="35064"/>
    <cellStyle name="Heading 2 2 2 6 2 2 3 5 2" xfId="35065"/>
    <cellStyle name="Heading 2 2 2 6 2 2 3 5 2 2" xfId="35066"/>
    <cellStyle name="Heading 2 2 2 6 2 2 3 5 3" xfId="35067"/>
    <cellStyle name="Heading 2 2 2 6 2 2 3 6" xfId="35068"/>
    <cellStyle name="Heading 2 2 2 6 2 2 3 6 2" xfId="35069"/>
    <cellStyle name="Heading 2 2 2 6 2 2 3 6 2 2" xfId="35070"/>
    <cellStyle name="Heading 2 2 2 6 2 2 3 6 3" xfId="35071"/>
    <cellStyle name="Heading 2 2 2 6 2 2 3 7" xfId="35072"/>
    <cellStyle name="Heading 2 2 2 6 2 2 3 7 2" xfId="35073"/>
    <cellStyle name="Heading 2 2 2 6 2 2 3 7 2 2" xfId="35074"/>
    <cellStyle name="Heading 2 2 2 6 2 2 3 7 3" xfId="35075"/>
    <cellStyle name="Heading 2 2 2 6 2 2 3 8" xfId="35076"/>
    <cellStyle name="Heading 2 2 2 6 2 2 3 8 2" xfId="35077"/>
    <cellStyle name="Heading 2 2 2 6 2 2 3 9" xfId="35078"/>
    <cellStyle name="Heading 2 2 2 6 2 2 4" xfId="35079"/>
    <cellStyle name="Heading 2 2 2 6 2 2 4 2" xfId="35080"/>
    <cellStyle name="Heading 2 2 2 6 2 2 4 2 2" xfId="35081"/>
    <cellStyle name="Heading 2 2 2 6 2 2 4 2 2 2" xfId="35082"/>
    <cellStyle name="Heading 2 2 2 6 2 2 4 2 3" xfId="35083"/>
    <cellStyle name="Heading 2 2 2 6 2 2 4 3" xfId="35084"/>
    <cellStyle name="Heading 2 2 2 6 2 2 4 3 2" xfId="35085"/>
    <cellStyle name="Heading 2 2 2 6 2 2 4 3 2 2" xfId="35086"/>
    <cellStyle name="Heading 2 2 2 6 2 2 4 3 3" xfId="35087"/>
    <cellStyle name="Heading 2 2 2 6 2 2 4 4" xfId="35088"/>
    <cellStyle name="Heading 2 2 2 6 2 2 4 4 2" xfId="35089"/>
    <cellStyle name="Heading 2 2 2 6 2 2 4 4 2 2" xfId="35090"/>
    <cellStyle name="Heading 2 2 2 6 2 2 4 4 3" xfId="35091"/>
    <cellStyle name="Heading 2 2 2 6 2 2 4 5" xfId="35092"/>
    <cellStyle name="Heading 2 2 2 6 2 2 4 5 2" xfId="35093"/>
    <cellStyle name="Heading 2 2 2 6 2 2 4 5 2 2" xfId="35094"/>
    <cellStyle name="Heading 2 2 2 6 2 2 4 5 3" xfId="35095"/>
    <cellStyle name="Heading 2 2 2 6 2 2 4 6" xfId="35096"/>
    <cellStyle name="Heading 2 2 2 6 2 2 4 6 2" xfId="35097"/>
    <cellStyle name="Heading 2 2 2 6 2 2 4 6 2 2" xfId="35098"/>
    <cellStyle name="Heading 2 2 2 6 2 2 4 6 3" xfId="35099"/>
    <cellStyle name="Heading 2 2 2 6 2 2 4 7" xfId="35100"/>
    <cellStyle name="Heading 2 2 2 6 2 2 4 7 2" xfId="35101"/>
    <cellStyle name="Heading 2 2 2 6 2 2 4 7 2 2" xfId="35102"/>
    <cellStyle name="Heading 2 2 2 6 2 2 4 7 3" xfId="35103"/>
    <cellStyle name="Heading 2 2 2 6 2 2 4 8" xfId="35104"/>
    <cellStyle name="Heading 2 2 2 6 2 2 4 8 2" xfId="35105"/>
    <cellStyle name="Heading 2 2 2 6 2 2 4 9" xfId="35106"/>
    <cellStyle name="Heading 2 2 2 6 2 2 5" xfId="35107"/>
    <cellStyle name="Heading 2 2 2 6 2 2 5 2" xfId="35108"/>
    <cellStyle name="Heading 2 2 2 6 2 2 5 2 2" xfId="35109"/>
    <cellStyle name="Heading 2 2 2 6 2 2 5 2 2 2" xfId="35110"/>
    <cellStyle name="Heading 2 2 2 6 2 2 5 2 3" xfId="35111"/>
    <cellStyle name="Heading 2 2 2 6 2 2 5 3" xfId="35112"/>
    <cellStyle name="Heading 2 2 2 6 2 2 5 3 2" xfId="35113"/>
    <cellStyle name="Heading 2 2 2 6 2 2 5 3 2 2" xfId="35114"/>
    <cellStyle name="Heading 2 2 2 6 2 2 5 3 3" xfId="35115"/>
    <cellStyle name="Heading 2 2 2 6 2 2 5 4" xfId="35116"/>
    <cellStyle name="Heading 2 2 2 6 2 2 5 4 2" xfId="35117"/>
    <cellStyle name="Heading 2 2 2 6 2 2 5 4 2 2" xfId="35118"/>
    <cellStyle name="Heading 2 2 2 6 2 2 5 4 3" xfId="35119"/>
    <cellStyle name="Heading 2 2 2 6 2 2 5 5" xfId="35120"/>
    <cellStyle name="Heading 2 2 2 6 2 2 5 5 2" xfId="35121"/>
    <cellStyle name="Heading 2 2 2 6 2 2 5 5 2 2" xfId="35122"/>
    <cellStyle name="Heading 2 2 2 6 2 2 5 5 3" xfId="35123"/>
    <cellStyle name="Heading 2 2 2 6 2 2 5 6" xfId="35124"/>
    <cellStyle name="Heading 2 2 2 6 2 2 5 6 2" xfId="35125"/>
    <cellStyle name="Heading 2 2 2 6 2 2 5 6 2 2" xfId="35126"/>
    <cellStyle name="Heading 2 2 2 6 2 2 5 6 3" xfId="35127"/>
    <cellStyle name="Heading 2 2 2 6 2 2 5 7" xfId="35128"/>
    <cellStyle name="Heading 2 2 2 6 2 2 5 7 2" xfId="35129"/>
    <cellStyle name="Heading 2 2 2 6 2 2 5 7 2 2" xfId="35130"/>
    <cellStyle name="Heading 2 2 2 6 2 2 5 7 3" xfId="35131"/>
    <cellStyle name="Heading 2 2 2 6 2 2 5 8" xfId="35132"/>
    <cellStyle name="Heading 2 2 2 6 2 2 5 8 2" xfId="35133"/>
    <cellStyle name="Heading 2 2 2 6 2 2 5 9" xfId="35134"/>
    <cellStyle name="Heading 2 2 2 6 2 2 6" xfId="35135"/>
    <cellStyle name="Heading 2 2 2 6 2 2 6 2" xfId="35136"/>
    <cellStyle name="Heading 2 2 2 6 2 2 6 2 2" xfId="35137"/>
    <cellStyle name="Heading 2 2 2 6 2 2 6 2 2 2" xfId="35138"/>
    <cellStyle name="Heading 2 2 2 6 2 2 6 2 3" xfId="35139"/>
    <cellStyle name="Heading 2 2 2 6 2 2 6 3" xfId="35140"/>
    <cellStyle name="Heading 2 2 2 6 2 2 6 3 2" xfId="35141"/>
    <cellStyle name="Heading 2 2 2 6 2 2 6 3 2 2" xfId="35142"/>
    <cellStyle name="Heading 2 2 2 6 2 2 6 3 3" xfId="35143"/>
    <cellStyle name="Heading 2 2 2 6 2 2 6 4" xfId="35144"/>
    <cellStyle name="Heading 2 2 2 6 2 2 6 4 2" xfId="35145"/>
    <cellStyle name="Heading 2 2 2 6 2 2 6 4 2 2" xfId="35146"/>
    <cellStyle name="Heading 2 2 2 6 2 2 6 4 3" xfId="35147"/>
    <cellStyle name="Heading 2 2 2 6 2 2 6 5" xfId="35148"/>
    <cellStyle name="Heading 2 2 2 6 2 2 6 5 2" xfId="35149"/>
    <cellStyle name="Heading 2 2 2 6 2 2 6 5 2 2" xfId="35150"/>
    <cellStyle name="Heading 2 2 2 6 2 2 6 5 3" xfId="35151"/>
    <cellStyle name="Heading 2 2 2 6 2 2 6 6" xfId="35152"/>
    <cellStyle name="Heading 2 2 2 6 2 2 6 6 2" xfId="35153"/>
    <cellStyle name="Heading 2 2 2 6 2 2 6 6 2 2" xfId="35154"/>
    <cellStyle name="Heading 2 2 2 6 2 2 6 6 3" xfId="35155"/>
    <cellStyle name="Heading 2 2 2 6 2 2 6 7" xfId="35156"/>
    <cellStyle name="Heading 2 2 2 6 2 2 6 7 2" xfId="35157"/>
    <cellStyle name="Heading 2 2 2 6 2 2 6 7 2 2" xfId="35158"/>
    <cellStyle name="Heading 2 2 2 6 2 2 6 7 3" xfId="35159"/>
    <cellStyle name="Heading 2 2 2 6 2 2 6 8" xfId="35160"/>
    <cellStyle name="Heading 2 2 2 6 2 2 6 8 2" xfId="35161"/>
    <cellStyle name="Heading 2 2 2 6 2 2 6 9" xfId="35162"/>
    <cellStyle name="Heading 2 2 2 6 2 2 7" xfId="35163"/>
    <cellStyle name="Heading 2 2 2 6 2 2 7 2" xfId="35164"/>
    <cellStyle name="Heading 2 2 2 6 2 2 7 2 2" xfId="35165"/>
    <cellStyle name="Heading 2 2 2 6 2 2 7 2 2 2" xfId="35166"/>
    <cellStyle name="Heading 2 2 2 6 2 2 7 2 3" xfId="35167"/>
    <cellStyle name="Heading 2 2 2 6 2 2 7 3" xfId="35168"/>
    <cellStyle name="Heading 2 2 2 6 2 2 7 3 2" xfId="35169"/>
    <cellStyle name="Heading 2 2 2 6 2 2 7 3 2 2" xfId="35170"/>
    <cellStyle name="Heading 2 2 2 6 2 2 7 3 3" xfId="35171"/>
    <cellStyle name="Heading 2 2 2 6 2 2 7 4" xfId="35172"/>
    <cellStyle name="Heading 2 2 2 6 2 2 7 4 2" xfId="35173"/>
    <cellStyle name="Heading 2 2 2 6 2 2 7 4 2 2" xfId="35174"/>
    <cellStyle name="Heading 2 2 2 6 2 2 7 4 3" xfId="35175"/>
    <cellStyle name="Heading 2 2 2 6 2 2 7 5" xfId="35176"/>
    <cellStyle name="Heading 2 2 2 6 2 2 7 5 2" xfId="35177"/>
    <cellStyle name="Heading 2 2 2 6 2 2 7 5 2 2" xfId="35178"/>
    <cellStyle name="Heading 2 2 2 6 2 2 7 5 3" xfId="35179"/>
    <cellStyle name="Heading 2 2 2 6 2 2 7 6" xfId="35180"/>
    <cellStyle name="Heading 2 2 2 6 2 2 7 6 2" xfId="35181"/>
    <cellStyle name="Heading 2 2 2 6 2 2 7 6 2 2" xfId="35182"/>
    <cellStyle name="Heading 2 2 2 6 2 2 7 6 3" xfId="35183"/>
    <cellStyle name="Heading 2 2 2 6 2 2 7 7" xfId="35184"/>
    <cellStyle name="Heading 2 2 2 6 2 2 7 7 2" xfId="35185"/>
    <cellStyle name="Heading 2 2 2 6 2 2 7 7 2 2" xfId="35186"/>
    <cellStyle name="Heading 2 2 2 6 2 2 7 7 3" xfId="35187"/>
    <cellStyle name="Heading 2 2 2 6 2 2 7 8" xfId="35188"/>
    <cellStyle name="Heading 2 2 2 6 2 2 7 8 2" xfId="35189"/>
    <cellStyle name="Heading 2 2 2 6 2 2 7 9" xfId="35190"/>
    <cellStyle name="Heading 2 2 2 6 2 2 8" xfId="35191"/>
    <cellStyle name="Heading 2 2 2 6 2 2 8 2" xfId="35192"/>
    <cellStyle name="Heading 2 2 2 6 2 2 8 2 2" xfId="35193"/>
    <cellStyle name="Heading 2 2 2 6 2 2 8 2 2 2" xfId="35194"/>
    <cellStyle name="Heading 2 2 2 6 2 2 8 2 3" xfId="35195"/>
    <cellStyle name="Heading 2 2 2 6 2 2 8 3" xfId="35196"/>
    <cellStyle name="Heading 2 2 2 6 2 2 8 3 2" xfId="35197"/>
    <cellStyle name="Heading 2 2 2 6 2 2 8 3 2 2" xfId="35198"/>
    <cellStyle name="Heading 2 2 2 6 2 2 8 3 3" xfId="35199"/>
    <cellStyle name="Heading 2 2 2 6 2 2 8 4" xfId="35200"/>
    <cellStyle name="Heading 2 2 2 6 2 2 8 4 2" xfId="35201"/>
    <cellStyle name="Heading 2 2 2 6 2 2 8 4 2 2" xfId="35202"/>
    <cellStyle name="Heading 2 2 2 6 2 2 8 4 3" xfId="35203"/>
    <cellStyle name="Heading 2 2 2 6 2 2 8 5" xfId="35204"/>
    <cellStyle name="Heading 2 2 2 6 2 2 8 5 2" xfId="35205"/>
    <cellStyle name="Heading 2 2 2 6 2 2 8 5 2 2" xfId="35206"/>
    <cellStyle name="Heading 2 2 2 6 2 2 8 5 3" xfId="35207"/>
    <cellStyle name="Heading 2 2 2 6 2 2 8 6" xfId="35208"/>
    <cellStyle name="Heading 2 2 2 6 2 2 8 6 2" xfId="35209"/>
    <cellStyle name="Heading 2 2 2 6 2 2 8 6 2 2" xfId="35210"/>
    <cellStyle name="Heading 2 2 2 6 2 2 8 6 3" xfId="35211"/>
    <cellStyle name="Heading 2 2 2 6 2 2 8 7" xfId="35212"/>
    <cellStyle name="Heading 2 2 2 6 2 2 8 7 2" xfId="35213"/>
    <cellStyle name="Heading 2 2 2 6 2 2 8 7 2 2" xfId="35214"/>
    <cellStyle name="Heading 2 2 2 6 2 2 8 7 3" xfId="35215"/>
    <cellStyle name="Heading 2 2 2 6 2 2 8 8" xfId="35216"/>
    <cellStyle name="Heading 2 2 2 6 2 2 8 8 2" xfId="35217"/>
    <cellStyle name="Heading 2 2 2 6 2 2 8 9" xfId="35218"/>
    <cellStyle name="Heading 2 2 2 6 2 2 9" xfId="35219"/>
    <cellStyle name="Heading 2 2 2 6 2 2 9 2" xfId="35220"/>
    <cellStyle name="Heading 2 2 2 6 2 2 9 2 2" xfId="35221"/>
    <cellStyle name="Heading 2 2 2 6 2 2 9 3" xfId="35222"/>
    <cellStyle name="Heading 2 2 2 6 2 20" xfId="35223"/>
    <cellStyle name="Heading 2 2 2 6 2 20 2" xfId="35224"/>
    <cellStyle name="Heading 2 2 2 6 2 21" xfId="35225"/>
    <cellStyle name="Heading 2 2 2 6 2 21 2" xfId="35226"/>
    <cellStyle name="Heading 2 2 2 6 2 22" xfId="35227"/>
    <cellStyle name="Heading 2 2 2 6 2 22 2" xfId="35228"/>
    <cellStyle name="Heading 2 2 2 6 2 23" xfId="35229"/>
    <cellStyle name="Heading 2 2 2 6 2 3" xfId="35230"/>
    <cellStyle name="Heading 2 2 2 6 2 3 2" xfId="35231"/>
    <cellStyle name="Heading 2 2 2 6 2 3 2 2" xfId="35232"/>
    <cellStyle name="Heading 2 2 2 6 2 3 2 2 2" xfId="35233"/>
    <cellStyle name="Heading 2 2 2 6 2 3 2 3" xfId="35234"/>
    <cellStyle name="Heading 2 2 2 6 2 3 3" xfId="35235"/>
    <cellStyle name="Heading 2 2 2 6 2 3 3 2" xfId="35236"/>
    <cellStyle name="Heading 2 2 2 6 2 3 3 2 2" xfId="35237"/>
    <cellStyle name="Heading 2 2 2 6 2 3 3 3" xfId="35238"/>
    <cellStyle name="Heading 2 2 2 6 2 3 4" xfId="35239"/>
    <cellStyle name="Heading 2 2 2 6 2 3 4 2" xfId="35240"/>
    <cellStyle name="Heading 2 2 2 6 2 3 4 2 2" xfId="35241"/>
    <cellStyle name="Heading 2 2 2 6 2 3 4 3" xfId="35242"/>
    <cellStyle name="Heading 2 2 2 6 2 3 5" xfId="35243"/>
    <cellStyle name="Heading 2 2 2 6 2 3 5 2" xfId="35244"/>
    <cellStyle name="Heading 2 2 2 6 2 3 5 2 2" xfId="35245"/>
    <cellStyle name="Heading 2 2 2 6 2 3 5 3" xfId="35246"/>
    <cellStyle name="Heading 2 2 2 6 2 3 6" xfId="35247"/>
    <cellStyle name="Heading 2 2 2 6 2 3 6 2" xfId="35248"/>
    <cellStyle name="Heading 2 2 2 6 2 3 6 2 2" xfId="35249"/>
    <cellStyle name="Heading 2 2 2 6 2 3 6 3" xfId="35250"/>
    <cellStyle name="Heading 2 2 2 6 2 3 7" xfId="35251"/>
    <cellStyle name="Heading 2 2 2 6 2 3 7 2" xfId="35252"/>
    <cellStyle name="Heading 2 2 2 6 2 3 7 2 2" xfId="35253"/>
    <cellStyle name="Heading 2 2 2 6 2 3 7 3" xfId="35254"/>
    <cellStyle name="Heading 2 2 2 6 2 3 8" xfId="35255"/>
    <cellStyle name="Heading 2 2 2 6 2 3 8 2" xfId="35256"/>
    <cellStyle name="Heading 2 2 2 6 2 3 9" xfId="35257"/>
    <cellStyle name="Heading 2 2 2 6 2 4" xfId="35258"/>
    <cellStyle name="Heading 2 2 2 6 2 4 2" xfId="35259"/>
    <cellStyle name="Heading 2 2 2 6 2 4 2 2" xfId="35260"/>
    <cellStyle name="Heading 2 2 2 6 2 4 2 2 2" xfId="35261"/>
    <cellStyle name="Heading 2 2 2 6 2 4 2 3" xfId="35262"/>
    <cellStyle name="Heading 2 2 2 6 2 4 3" xfId="35263"/>
    <cellStyle name="Heading 2 2 2 6 2 4 3 2" xfId="35264"/>
    <cellStyle name="Heading 2 2 2 6 2 4 3 2 2" xfId="35265"/>
    <cellStyle name="Heading 2 2 2 6 2 4 3 3" xfId="35266"/>
    <cellStyle name="Heading 2 2 2 6 2 4 4" xfId="35267"/>
    <cellStyle name="Heading 2 2 2 6 2 4 4 2" xfId="35268"/>
    <cellStyle name="Heading 2 2 2 6 2 4 4 2 2" xfId="35269"/>
    <cellStyle name="Heading 2 2 2 6 2 4 4 3" xfId="35270"/>
    <cellStyle name="Heading 2 2 2 6 2 4 5" xfId="35271"/>
    <cellStyle name="Heading 2 2 2 6 2 4 5 2" xfId="35272"/>
    <cellStyle name="Heading 2 2 2 6 2 4 5 2 2" xfId="35273"/>
    <cellStyle name="Heading 2 2 2 6 2 4 5 3" xfId="35274"/>
    <cellStyle name="Heading 2 2 2 6 2 4 6" xfId="35275"/>
    <cellStyle name="Heading 2 2 2 6 2 4 6 2" xfId="35276"/>
    <cellStyle name="Heading 2 2 2 6 2 4 6 2 2" xfId="35277"/>
    <cellStyle name="Heading 2 2 2 6 2 4 6 3" xfId="35278"/>
    <cellStyle name="Heading 2 2 2 6 2 4 7" xfId="35279"/>
    <cellStyle name="Heading 2 2 2 6 2 4 7 2" xfId="35280"/>
    <cellStyle name="Heading 2 2 2 6 2 4 7 2 2" xfId="35281"/>
    <cellStyle name="Heading 2 2 2 6 2 4 7 3" xfId="35282"/>
    <cellStyle name="Heading 2 2 2 6 2 4 8" xfId="35283"/>
    <cellStyle name="Heading 2 2 2 6 2 4 8 2" xfId="35284"/>
    <cellStyle name="Heading 2 2 2 6 2 4 9" xfId="35285"/>
    <cellStyle name="Heading 2 2 2 6 2 5" xfId="35286"/>
    <cellStyle name="Heading 2 2 2 6 2 5 2" xfId="35287"/>
    <cellStyle name="Heading 2 2 2 6 2 5 2 2" xfId="35288"/>
    <cellStyle name="Heading 2 2 2 6 2 5 2 2 2" xfId="35289"/>
    <cellStyle name="Heading 2 2 2 6 2 5 2 3" xfId="35290"/>
    <cellStyle name="Heading 2 2 2 6 2 5 3" xfId="35291"/>
    <cellStyle name="Heading 2 2 2 6 2 5 3 2" xfId="35292"/>
    <cellStyle name="Heading 2 2 2 6 2 5 3 2 2" xfId="35293"/>
    <cellStyle name="Heading 2 2 2 6 2 5 3 3" xfId="35294"/>
    <cellStyle name="Heading 2 2 2 6 2 5 4" xfId="35295"/>
    <cellStyle name="Heading 2 2 2 6 2 5 4 2" xfId="35296"/>
    <cellStyle name="Heading 2 2 2 6 2 5 4 2 2" xfId="35297"/>
    <cellStyle name="Heading 2 2 2 6 2 5 4 3" xfId="35298"/>
    <cellStyle name="Heading 2 2 2 6 2 5 5" xfId="35299"/>
    <cellStyle name="Heading 2 2 2 6 2 5 5 2" xfId="35300"/>
    <cellStyle name="Heading 2 2 2 6 2 5 5 2 2" xfId="35301"/>
    <cellStyle name="Heading 2 2 2 6 2 5 5 3" xfId="35302"/>
    <cellStyle name="Heading 2 2 2 6 2 5 6" xfId="35303"/>
    <cellStyle name="Heading 2 2 2 6 2 5 6 2" xfId="35304"/>
    <cellStyle name="Heading 2 2 2 6 2 5 6 2 2" xfId="35305"/>
    <cellStyle name="Heading 2 2 2 6 2 5 6 3" xfId="35306"/>
    <cellStyle name="Heading 2 2 2 6 2 5 7" xfId="35307"/>
    <cellStyle name="Heading 2 2 2 6 2 5 7 2" xfId="35308"/>
    <cellStyle name="Heading 2 2 2 6 2 5 7 2 2" xfId="35309"/>
    <cellStyle name="Heading 2 2 2 6 2 5 7 3" xfId="35310"/>
    <cellStyle name="Heading 2 2 2 6 2 5 8" xfId="35311"/>
    <cellStyle name="Heading 2 2 2 6 2 5 8 2" xfId="35312"/>
    <cellStyle name="Heading 2 2 2 6 2 5 9" xfId="35313"/>
    <cellStyle name="Heading 2 2 2 6 2 6" xfId="35314"/>
    <cellStyle name="Heading 2 2 2 6 2 6 2" xfId="35315"/>
    <cellStyle name="Heading 2 2 2 6 2 6 2 2" xfId="35316"/>
    <cellStyle name="Heading 2 2 2 6 2 6 2 2 2" xfId="35317"/>
    <cellStyle name="Heading 2 2 2 6 2 6 2 3" xfId="35318"/>
    <cellStyle name="Heading 2 2 2 6 2 6 3" xfId="35319"/>
    <cellStyle name="Heading 2 2 2 6 2 6 3 2" xfId="35320"/>
    <cellStyle name="Heading 2 2 2 6 2 6 3 2 2" xfId="35321"/>
    <cellStyle name="Heading 2 2 2 6 2 6 3 3" xfId="35322"/>
    <cellStyle name="Heading 2 2 2 6 2 6 4" xfId="35323"/>
    <cellStyle name="Heading 2 2 2 6 2 6 4 2" xfId="35324"/>
    <cellStyle name="Heading 2 2 2 6 2 6 4 2 2" xfId="35325"/>
    <cellStyle name="Heading 2 2 2 6 2 6 4 3" xfId="35326"/>
    <cellStyle name="Heading 2 2 2 6 2 6 5" xfId="35327"/>
    <cellStyle name="Heading 2 2 2 6 2 6 5 2" xfId="35328"/>
    <cellStyle name="Heading 2 2 2 6 2 6 5 2 2" xfId="35329"/>
    <cellStyle name="Heading 2 2 2 6 2 6 5 3" xfId="35330"/>
    <cellStyle name="Heading 2 2 2 6 2 6 6" xfId="35331"/>
    <cellStyle name="Heading 2 2 2 6 2 6 6 2" xfId="35332"/>
    <cellStyle name="Heading 2 2 2 6 2 6 6 2 2" xfId="35333"/>
    <cellStyle name="Heading 2 2 2 6 2 6 6 3" xfId="35334"/>
    <cellStyle name="Heading 2 2 2 6 2 6 7" xfId="35335"/>
    <cellStyle name="Heading 2 2 2 6 2 6 7 2" xfId="35336"/>
    <cellStyle name="Heading 2 2 2 6 2 6 7 2 2" xfId="35337"/>
    <cellStyle name="Heading 2 2 2 6 2 6 7 3" xfId="35338"/>
    <cellStyle name="Heading 2 2 2 6 2 6 8" xfId="35339"/>
    <cellStyle name="Heading 2 2 2 6 2 6 8 2" xfId="35340"/>
    <cellStyle name="Heading 2 2 2 6 2 6 9" xfId="35341"/>
    <cellStyle name="Heading 2 2 2 6 2 7" xfId="35342"/>
    <cellStyle name="Heading 2 2 2 6 2 7 2" xfId="35343"/>
    <cellStyle name="Heading 2 2 2 6 2 7 2 2" xfId="35344"/>
    <cellStyle name="Heading 2 2 2 6 2 7 2 2 2" xfId="35345"/>
    <cellStyle name="Heading 2 2 2 6 2 7 2 3" xfId="35346"/>
    <cellStyle name="Heading 2 2 2 6 2 7 3" xfId="35347"/>
    <cellStyle name="Heading 2 2 2 6 2 7 3 2" xfId="35348"/>
    <cellStyle name="Heading 2 2 2 6 2 7 3 2 2" xfId="35349"/>
    <cellStyle name="Heading 2 2 2 6 2 7 3 3" xfId="35350"/>
    <cellStyle name="Heading 2 2 2 6 2 7 4" xfId="35351"/>
    <cellStyle name="Heading 2 2 2 6 2 7 4 2" xfId="35352"/>
    <cellStyle name="Heading 2 2 2 6 2 7 4 2 2" xfId="35353"/>
    <cellStyle name="Heading 2 2 2 6 2 7 4 3" xfId="35354"/>
    <cellStyle name="Heading 2 2 2 6 2 7 5" xfId="35355"/>
    <cellStyle name="Heading 2 2 2 6 2 7 5 2" xfId="35356"/>
    <cellStyle name="Heading 2 2 2 6 2 7 5 2 2" xfId="35357"/>
    <cellStyle name="Heading 2 2 2 6 2 7 5 3" xfId="35358"/>
    <cellStyle name="Heading 2 2 2 6 2 7 6" xfId="35359"/>
    <cellStyle name="Heading 2 2 2 6 2 7 6 2" xfId="35360"/>
    <cellStyle name="Heading 2 2 2 6 2 7 6 2 2" xfId="35361"/>
    <cellStyle name="Heading 2 2 2 6 2 7 6 3" xfId="35362"/>
    <cellStyle name="Heading 2 2 2 6 2 7 7" xfId="35363"/>
    <cellStyle name="Heading 2 2 2 6 2 7 7 2" xfId="35364"/>
    <cellStyle name="Heading 2 2 2 6 2 7 7 2 2" xfId="35365"/>
    <cellStyle name="Heading 2 2 2 6 2 7 7 3" xfId="35366"/>
    <cellStyle name="Heading 2 2 2 6 2 7 8" xfId="35367"/>
    <cellStyle name="Heading 2 2 2 6 2 7 8 2" xfId="35368"/>
    <cellStyle name="Heading 2 2 2 6 2 7 9" xfId="35369"/>
    <cellStyle name="Heading 2 2 2 6 2 8" xfId="35370"/>
    <cellStyle name="Heading 2 2 2 6 2 8 2" xfId="35371"/>
    <cellStyle name="Heading 2 2 2 6 2 8 2 2" xfId="35372"/>
    <cellStyle name="Heading 2 2 2 6 2 8 2 2 2" xfId="35373"/>
    <cellStyle name="Heading 2 2 2 6 2 8 2 3" xfId="35374"/>
    <cellStyle name="Heading 2 2 2 6 2 8 3" xfId="35375"/>
    <cellStyle name="Heading 2 2 2 6 2 8 3 2" xfId="35376"/>
    <cellStyle name="Heading 2 2 2 6 2 8 3 2 2" xfId="35377"/>
    <cellStyle name="Heading 2 2 2 6 2 8 3 3" xfId="35378"/>
    <cellStyle name="Heading 2 2 2 6 2 8 4" xfId="35379"/>
    <cellStyle name="Heading 2 2 2 6 2 8 4 2" xfId="35380"/>
    <cellStyle name="Heading 2 2 2 6 2 8 4 2 2" xfId="35381"/>
    <cellStyle name="Heading 2 2 2 6 2 8 4 3" xfId="35382"/>
    <cellStyle name="Heading 2 2 2 6 2 8 5" xfId="35383"/>
    <cellStyle name="Heading 2 2 2 6 2 8 5 2" xfId="35384"/>
    <cellStyle name="Heading 2 2 2 6 2 8 5 2 2" xfId="35385"/>
    <cellStyle name="Heading 2 2 2 6 2 8 5 3" xfId="35386"/>
    <cellStyle name="Heading 2 2 2 6 2 8 6" xfId="35387"/>
    <cellStyle name="Heading 2 2 2 6 2 8 6 2" xfId="35388"/>
    <cellStyle name="Heading 2 2 2 6 2 8 6 2 2" xfId="35389"/>
    <cellStyle name="Heading 2 2 2 6 2 8 6 3" xfId="35390"/>
    <cellStyle name="Heading 2 2 2 6 2 8 7" xfId="35391"/>
    <cellStyle name="Heading 2 2 2 6 2 8 7 2" xfId="35392"/>
    <cellStyle name="Heading 2 2 2 6 2 8 7 2 2" xfId="35393"/>
    <cellStyle name="Heading 2 2 2 6 2 8 7 3" xfId="35394"/>
    <cellStyle name="Heading 2 2 2 6 2 8 8" xfId="35395"/>
    <cellStyle name="Heading 2 2 2 6 2 8 8 2" xfId="35396"/>
    <cellStyle name="Heading 2 2 2 6 2 8 9" xfId="35397"/>
    <cellStyle name="Heading 2 2 2 6 2 9" xfId="35398"/>
    <cellStyle name="Heading 2 2 2 6 2 9 2" xfId="35399"/>
    <cellStyle name="Heading 2 2 2 6 2 9 2 2" xfId="35400"/>
    <cellStyle name="Heading 2 2 2 6 2 9 2 2 2" xfId="35401"/>
    <cellStyle name="Heading 2 2 2 6 2 9 2 3" xfId="35402"/>
    <cellStyle name="Heading 2 2 2 6 2 9 3" xfId="35403"/>
    <cellStyle name="Heading 2 2 2 6 2 9 3 2" xfId="35404"/>
    <cellStyle name="Heading 2 2 2 6 2 9 3 2 2" xfId="35405"/>
    <cellStyle name="Heading 2 2 2 6 2 9 3 3" xfId="35406"/>
    <cellStyle name="Heading 2 2 2 6 2 9 4" xfId="35407"/>
    <cellStyle name="Heading 2 2 2 6 2 9 4 2" xfId="35408"/>
    <cellStyle name="Heading 2 2 2 6 2 9 4 2 2" xfId="35409"/>
    <cellStyle name="Heading 2 2 2 6 2 9 4 3" xfId="35410"/>
    <cellStyle name="Heading 2 2 2 6 2 9 5" xfId="35411"/>
    <cellStyle name="Heading 2 2 2 6 2 9 5 2" xfId="35412"/>
    <cellStyle name="Heading 2 2 2 6 2 9 5 2 2" xfId="35413"/>
    <cellStyle name="Heading 2 2 2 6 2 9 5 3" xfId="35414"/>
    <cellStyle name="Heading 2 2 2 6 2 9 6" xfId="35415"/>
    <cellStyle name="Heading 2 2 2 6 2 9 6 2" xfId="35416"/>
    <cellStyle name="Heading 2 2 2 6 2 9 6 2 2" xfId="35417"/>
    <cellStyle name="Heading 2 2 2 6 2 9 6 3" xfId="35418"/>
    <cellStyle name="Heading 2 2 2 6 2 9 7" xfId="35419"/>
    <cellStyle name="Heading 2 2 2 6 2 9 7 2" xfId="35420"/>
    <cellStyle name="Heading 2 2 2 6 2 9 7 2 2" xfId="35421"/>
    <cellStyle name="Heading 2 2 2 6 2 9 7 3" xfId="35422"/>
    <cellStyle name="Heading 2 2 2 6 2 9 8" xfId="35423"/>
    <cellStyle name="Heading 2 2 2 6 2 9 8 2" xfId="35424"/>
    <cellStyle name="Heading 2 2 2 6 2 9 9" xfId="35425"/>
    <cellStyle name="Heading 2 2 2 6 3" xfId="35426"/>
    <cellStyle name="Heading 2 2 2 6 3 10" xfId="35427"/>
    <cellStyle name="Heading 2 2 2 6 3 10 2" xfId="35428"/>
    <cellStyle name="Heading 2 2 2 6 3 10 2 2" xfId="35429"/>
    <cellStyle name="Heading 2 2 2 6 3 10 3" xfId="35430"/>
    <cellStyle name="Heading 2 2 2 6 3 11" xfId="35431"/>
    <cellStyle name="Heading 2 2 2 6 3 11 2" xfId="35432"/>
    <cellStyle name="Heading 2 2 2 6 3 11 2 2" xfId="35433"/>
    <cellStyle name="Heading 2 2 2 6 3 11 3" xfId="35434"/>
    <cellStyle name="Heading 2 2 2 6 3 12" xfId="35435"/>
    <cellStyle name="Heading 2 2 2 6 3 12 2" xfId="35436"/>
    <cellStyle name="Heading 2 2 2 6 3 12 2 2" xfId="35437"/>
    <cellStyle name="Heading 2 2 2 6 3 12 3" xfId="35438"/>
    <cellStyle name="Heading 2 2 2 6 3 13" xfId="35439"/>
    <cellStyle name="Heading 2 2 2 6 3 13 2" xfId="35440"/>
    <cellStyle name="Heading 2 2 2 6 3 13 2 2" xfId="35441"/>
    <cellStyle name="Heading 2 2 2 6 3 13 3" xfId="35442"/>
    <cellStyle name="Heading 2 2 2 6 3 14" xfId="35443"/>
    <cellStyle name="Heading 2 2 2 6 3 14 2" xfId="35444"/>
    <cellStyle name="Heading 2 2 2 6 3 14 2 2" xfId="35445"/>
    <cellStyle name="Heading 2 2 2 6 3 14 3" xfId="35446"/>
    <cellStyle name="Heading 2 2 2 6 3 15" xfId="35447"/>
    <cellStyle name="Heading 2 2 2 6 3 15 2" xfId="35448"/>
    <cellStyle name="Heading 2 2 2 6 3 15 2 2" xfId="35449"/>
    <cellStyle name="Heading 2 2 2 6 3 15 3" xfId="35450"/>
    <cellStyle name="Heading 2 2 2 6 3 16" xfId="35451"/>
    <cellStyle name="Heading 2 2 2 6 3 16 2" xfId="35452"/>
    <cellStyle name="Heading 2 2 2 6 3 16 2 2" xfId="35453"/>
    <cellStyle name="Heading 2 2 2 6 3 16 3" xfId="35454"/>
    <cellStyle name="Heading 2 2 2 6 3 17" xfId="35455"/>
    <cellStyle name="Heading 2 2 2 6 3 17 2" xfId="35456"/>
    <cellStyle name="Heading 2 2 2 6 3 17 2 2" xfId="35457"/>
    <cellStyle name="Heading 2 2 2 6 3 17 3" xfId="35458"/>
    <cellStyle name="Heading 2 2 2 6 3 18" xfId="35459"/>
    <cellStyle name="Heading 2 2 2 6 3 18 2" xfId="35460"/>
    <cellStyle name="Heading 2 2 2 6 3 18 2 2" xfId="35461"/>
    <cellStyle name="Heading 2 2 2 6 3 18 3" xfId="35462"/>
    <cellStyle name="Heading 2 2 2 6 3 19" xfId="35463"/>
    <cellStyle name="Heading 2 2 2 6 3 19 2" xfId="35464"/>
    <cellStyle name="Heading 2 2 2 6 3 2" xfId="35465"/>
    <cellStyle name="Heading 2 2 2 6 3 2 2" xfId="35466"/>
    <cellStyle name="Heading 2 2 2 6 3 2 2 2" xfId="35467"/>
    <cellStyle name="Heading 2 2 2 6 3 2 2 2 2" xfId="35468"/>
    <cellStyle name="Heading 2 2 2 6 3 2 2 3" xfId="35469"/>
    <cellStyle name="Heading 2 2 2 6 3 2 3" xfId="35470"/>
    <cellStyle name="Heading 2 2 2 6 3 2 3 2" xfId="35471"/>
    <cellStyle name="Heading 2 2 2 6 3 2 3 2 2" xfId="35472"/>
    <cellStyle name="Heading 2 2 2 6 3 2 3 3" xfId="35473"/>
    <cellStyle name="Heading 2 2 2 6 3 2 4" xfId="35474"/>
    <cellStyle name="Heading 2 2 2 6 3 2 4 2" xfId="35475"/>
    <cellStyle name="Heading 2 2 2 6 3 2 4 2 2" xfId="35476"/>
    <cellStyle name="Heading 2 2 2 6 3 2 4 3" xfId="35477"/>
    <cellStyle name="Heading 2 2 2 6 3 2 5" xfId="35478"/>
    <cellStyle name="Heading 2 2 2 6 3 2 5 2" xfId="35479"/>
    <cellStyle name="Heading 2 2 2 6 3 2 5 2 2" xfId="35480"/>
    <cellStyle name="Heading 2 2 2 6 3 2 5 3" xfId="35481"/>
    <cellStyle name="Heading 2 2 2 6 3 2 6" xfId="35482"/>
    <cellStyle name="Heading 2 2 2 6 3 2 6 2" xfId="35483"/>
    <cellStyle name="Heading 2 2 2 6 3 2 6 2 2" xfId="35484"/>
    <cellStyle name="Heading 2 2 2 6 3 2 6 3" xfId="35485"/>
    <cellStyle name="Heading 2 2 2 6 3 2 7" xfId="35486"/>
    <cellStyle name="Heading 2 2 2 6 3 2 7 2" xfId="35487"/>
    <cellStyle name="Heading 2 2 2 6 3 2 7 2 2" xfId="35488"/>
    <cellStyle name="Heading 2 2 2 6 3 2 7 3" xfId="35489"/>
    <cellStyle name="Heading 2 2 2 6 3 2 8" xfId="35490"/>
    <cellStyle name="Heading 2 2 2 6 3 2 8 2" xfId="35491"/>
    <cellStyle name="Heading 2 2 2 6 3 2 9" xfId="35492"/>
    <cellStyle name="Heading 2 2 2 6 3 20" xfId="35493"/>
    <cellStyle name="Heading 2 2 2 6 3 20 2" xfId="35494"/>
    <cellStyle name="Heading 2 2 2 6 3 21" xfId="35495"/>
    <cellStyle name="Heading 2 2 2 6 3 21 2" xfId="35496"/>
    <cellStyle name="Heading 2 2 2 6 3 22" xfId="35497"/>
    <cellStyle name="Heading 2 2 2 6 3 3" xfId="35498"/>
    <cellStyle name="Heading 2 2 2 6 3 3 2" xfId="35499"/>
    <cellStyle name="Heading 2 2 2 6 3 3 2 2" xfId="35500"/>
    <cellStyle name="Heading 2 2 2 6 3 3 2 2 2" xfId="35501"/>
    <cellStyle name="Heading 2 2 2 6 3 3 2 3" xfId="35502"/>
    <cellStyle name="Heading 2 2 2 6 3 3 3" xfId="35503"/>
    <cellStyle name="Heading 2 2 2 6 3 3 3 2" xfId="35504"/>
    <cellStyle name="Heading 2 2 2 6 3 3 3 2 2" xfId="35505"/>
    <cellStyle name="Heading 2 2 2 6 3 3 3 3" xfId="35506"/>
    <cellStyle name="Heading 2 2 2 6 3 3 4" xfId="35507"/>
    <cellStyle name="Heading 2 2 2 6 3 3 4 2" xfId="35508"/>
    <cellStyle name="Heading 2 2 2 6 3 3 4 2 2" xfId="35509"/>
    <cellStyle name="Heading 2 2 2 6 3 3 4 3" xfId="35510"/>
    <cellStyle name="Heading 2 2 2 6 3 3 5" xfId="35511"/>
    <cellStyle name="Heading 2 2 2 6 3 3 5 2" xfId="35512"/>
    <cellStyle name="Heading 2 2 2 6 3 3 5 2 2" xfId="35513"/>
    <cellStyle name="Heading 2 2 2 6 3 3 5 3" xfId="35514"/>
    <cellStyle name="Heading 2 2 2 6 3 3 6" xfId="35515"/>
    <cellStyle name="Heading 2 2 2 6 3 3 6 2" xfId="35516"/>
    <cellStyle name="Heading 2 2 2 6 3 3 6 2 2" xfId="35517"/>
    <cellStyle name="Heading 2 2 2 6 3 3 6 3" xfId="35518"/>
    <cellStyle name="Heading 2 2 2 6 3 3 7" xfId="35519"/>
    <cellStyle name="Heading 2 2 2 6 3 3 7 2" xfId="35520"/>
    <cellStyle name="Heading 2 2 2 6 3 3 7 2 2" xfId="35521"/>
    <cellStyle name="Heading 2 2 2 6 3 3 7 3" xfId="35522"/>
    <cellStyle name="Heading 2 2 2 6 3 3 8" xfId="35523"/>
    <cellStyle name="Heading 2 2 2 6 3 3 8 2" xfId="35524"/>
    <cellStyle name="Heading 2 2 2 6 3 3 9" xfId="35525"/>
    <cellStyle name="Heading 2 2 2 6 3 4" xfId="35526"/>
    <cellStyle name="Heading 2 2 2 6 3 4 2" xfId="35527"/>
    <cellStyle name="Heading 2 2 2 6 3 4 2 2" xfId="35528"/>
    <cellStyle name="Heading 2 2 2 6 3 4 2 2 2" xfId="35529"/>
    <cellStyle name="Heading 2 2 2 6 3 4 2 3" xfId="35530"/>
    <cellStyle name="Heading 2 2 2 6 3 4 3" xfId="35531"/>
    <cellStyle name="Heading 2 2 2 6 3 4 3 2" xfId="35532"/>
    <cellStyle name="Heading 2 2 2 6 3 4 3 2 2" xfId="35533"/>
    <cellStyle name="Heading 2 2 2 6 3 4 3 3" xfId="35534"/>
    <cellStyle name="Heading 2 2 2 6 3 4 4" xfId="35535"/>
    <cellStyle name="Heading 2 2 2 6 3 4 4 2" xfId="35536"/>
    <cellStyle name="Heading 2 2 2 6 3 4 4 2 2" xfId="35537"/>
    <cellStyle name="Heading 2 2 2 6 3 4 4 3" xfId="35538"/>
    <cellStyle name="Heading 2 2 2 6 3 4 5" xfId="35539"/>
    <cellStyle name="Heading 2 2 2 6 3 4 5 2" xfId="35540"/>
    <cellStyle name="Heading 2 2 2 6 3 4 5 2 2" xfId="35541"/>
    <cellStyle name="Heading 2 2 2 6 3 4 5 3" xfId="35542"/>
    <cellStyle name="Heading 2 2 2 6 3 4 6" xfId="35543"/>
    <cellStyle name="Heading 2 2 2 6 3 4 6 2" xfId="35544"/>
    <cellStyle name="Heading 2 2 2 6 3 4 6 2 2" xfId="35545"/>
    <cellStyle name="Heading 2 2 2 6 3 4 6 3" xfId="35546"/>
    <cellStyle name="Heading 2 2 2 6 3 4 7" xfId="35547"/>
    <cellStyle name="Heading 2 2 2 6 3 4 7 2" xfId="35548"/>
    <cellStyle name="Heading 2 2 2 6 3 4 7 2 2" xfId="35549"/>
    <cellStyle name="Heading 2 2 2 6 3 4 7 3" xfId="35550"/>
    <cellStyle name="Heading 2 2 2 6 3 4 8" xfId="35551"/>
    <cellStyle name="Heading 2 2 2 6 3 4 8 2" xfId="35552"/>
    <cellStyle name="Heading 2 2 2 6 3 4 9" xfId="35553"/>
    <cellStyle name="Heading 2 2 2 6 3 5" xfId="35554"/>
    <cellStyle name="Heading 2 2 2 6 3 5 2" xfId="35555"/>
    <cellStyle name="Heading 2 2 2 6 3 5 2 2" xfId="35556"/>
    <cellStyle name="Heading 2 2 2 6 3 5 2 2 2" xfId="35557"/>
    <cellStyle name="Heading 2 2 2 6 3 5 2 3" xfId="35558"/>
    <cellStyle name="Heading 2 2 2 6 3 5 3" xfId="35559"/>
    <cellStyle name="Heading 2 2 2 6 3 5 3 2" xfId="35560"/>
    <cellStyle name="Heading 2 2 2 6 3 5 3 2 2" xfId="35561"/>
    <cellStyle name="Heading 2 2 2 6 3 5 3 3" xfId="35562"/>
    <cellStyle name="Heading 2 2 2 6 3 5 4" xfId="35563"/>
    <cellStyle name="Heading 2 2 2 6 3 5 4 2" xfId="35564"/>
    <cellStyle name="Heading 2 2 2 6 3 5 4 2 2" xfId="35565"/>
    <cellStyle name="Heading 2 2 2 6 3 5 4 3" xfId="35566"/>
    <cellStyle name="Heading 2 2 2 6 3 5 5" xfId="35567"/>
    <cellStyle name="Heading 2 2 2 6 3 5 5 2" xfId="35568"/>
    <cellStyle name="Heading 2 2 2 6 3 5 5 2 2" xfId="35569"/>
    <cellStyle name="Heading 2 2 2 6 3 5 5 3" xfId="35570"/>
    <cellStyle name="Heading 2 2 2 6 3 5 6" xfId="35571"/>
    <cellStyle name="Heading 2 2 2 6 3 5 6 2" xfId="35572"/>
    <cellStyle name="Heading 2 2 2 6 3 5 6 2 2" xfId="35573"/>
    <cellStyle name="Heading 2 2 2 6 3 5 6 3" xfId="35574"/>
    <cellStyle name="Heading 2 2 2 6 3 5 7" xfId="35575"/>
    <cellStyle name="Heading 2 2 2 6 3 5 7 2" xfId="35576"/>
    <cellStyle name="Heading 2 2 2 6 3 5 7 2 2" xfId="35577"/>
    <cellStyle name="Heading 2 2 2 6 3 5 7 3" xfId="35578"/>
    <cellStyle name="Heading 2 2 2 6 3 5 8" xfId="35579"/>
    <cellStyle name="Heading 2 2 2 6 3 5 8 2" xfId="35580"/>
    <cellStyle name="Heading 2 2 2 6 3 5 9" xfId="35581"/>
    <cellStyle name="Heading 2 2 2 6 3 6" xfId="35582"/>
    <cellStyle name="Heading 2 2 2 6 3 6 2" xfId="35583"/>
    <cellStyle name="Heading 2 2 2 6 3 6 2 2" xfId="35584"/>
    <cellStyle name="Heading 2 2 2 6 3 6 2 2 2" xfId="35585"/>
    <cellStyle name="Heading 2 2 2 6 3 6 2 3" xfId="35586"/>
    <cellStyle name="Heading 2 2 2 6 3 6 3" xfId="35587"/>
    <cellStyle name="Heading 2 2 2 6 3 6 3 2" xfId="35588"/>
    <cellStyle name="Heading 2 2 2 6 3 6 3 2 2" xfId="35589"/>
    <cellStyle name="Heading 2 2 2 6 3 6 3 3" xfId="35590"/>
    <cellStyle name="Heading 2 2 2 6 3 6 4" xfId="35591"/>
    <cellStyle name="Heading 2 2 2 6 3 6 4 2" xfId="35592"/>
    <cellStyle name="Heading 2 2 2 6 3 6 4 2 2" xfId="35593"/>
    <cellStyle name="Heading 2 2 2 6 3 6 4 3" xfId="35594"/>
    <cellStyle name="Heading 2 2 2 6 3 6 5" xfId="35595"/>
    <cellStyle name="Heading 2 2 2 6 3 6 5 2" xfId="35596"/>
    <cellStyle name="Heading 2 2 2 6 3 6 5 2 2" xfId="35597"/>
    <cellStyle name="Heading 2 2 2 6 3 6 5 3" xfId="35598"/>
    <cellStyle name="Heading 2 2 2 6 3 6 6" xfId="35599"/>
    <cellStyle name="Heading 2 2 2 6 3 6 6 2" xfId="35600"/>
    <cellStyle name="Heading 2 2 2 6 3 6 6 2 2" xfId="35601"/>
    <cellStyle name="Heading 2 2 2 6 3 6 6 3" xfId="35602"/>
    <cellStyle name="Heading 2 2 2 6 3 6 7" xfId="35603"/>
    <cellStyle name="Heading 2 2 2 6 3 6 7 2" xfId="35604"/>
    <cellStyle name="Heading 2 2 2 6 3 6 7 2 2" xfId="35605"/>
    <cellStyle name="Heading 2 2 2 6 3 6 7 3" xfId="35606"/>
    <cellStyle name="Heading 2 2 2 6 3 6 8" xfId="35607"/>
    <cellStyle name="Heading 2 2 2 6 3 6 8 2" xfId="35608"/>
    <cellStyle name="Heading 2 2 2 6 3 6 9" xfId="35609"/>
    <cellStyle name="Heading 2 2 2 6 3 7" xfId="35610"/>
    <cellStyle name="Heading 2 2 2 6 3 7 2" xfId="35611"/>
    <cellStyle name="Heading 2 2 2 6 3 7 2 2" xfId="35612"/>
    <cellStyle name="Heading 2 2 2 6 3 7 2 2 2" xfId="35613"/>
    <cellStyle name="Heading 2 2 2 6 3 7 2 3" xfId="35614"/>
    <cellStyle name="Heading 2 2 2 6 3 7 3" xfId="35615"/>
    <cellStyle name="Heading 2 2 2 6 3 7 3 2" xfId="35616"/>
    <cellStyle name="Heading 2 2 2 6 3 7 3 2 2" xfId="35617"/>
    <cellStyle name="Heading 2 2 2 6 3 7 3 3" xfId="35618"/>
    <cellStyle name="Heading 2 2 2 6 3 7 4" xfId="35619"/>
    <cellStyle name="Heading 2 2 2 6 3 7 4 2" xfId="35620"/>
    <cellStyle name="Heading 2 2 2 6 3 7 4 2 2" xfId="35621"/>
    <cellStyle name="Heading 2 2 2 6 3 7 4 3" xfId="35622"/>
    <cellStyle name="Heading 2 2 2 6 3 7 5" xfId="35623"/>
    <cellStyle name="Heading 2 2 2 6 3 7 5 2" xfId="35624"/>
    <cellStyle name="Heading 2 2 2 6 3 7 5 2 2" xfId="35625"/>
    <cellStyle name="Heading 2 2 2 6 3 7 5 3" xfId="35626"/>
    <cellStyle name="Heading 2 2 2 6 3 7 6" xfId="35627"/>
    <cellStyle name="Heading 2 2 2 6 3 7 6 2" xfId="35628"/>
    <cellStyle name="Heading 2 2 2 6 3 7 6 2 2" xfId="35629"/>
    <cellStyle name="Heading 2 2 2 6 3 7 6 3" xfId="35630"/>
    <cellStyle name="Heading 2 2 2 6 3 7 7" xfId="35631"/>
    <cellStyle name="Heading 2 2 2 6 3 7 7 2" xfId="35632"/>
    <cellStyle name="Heading 2 2 2 6 3 7 7 2 2" xfId="35633"/>
    <cellStyle name="Heading 2 2 2 6 3 7 7 3" xfId="35634"/>
    <cellStyle name="Heading 2 2 2 6 3 7 8" xfId="35635"/>
    <cellStyle name="Heading 2 2 2 6 3 7 8 2" xfId="35636"/>
    <cellStyle name="Heading 2 2 2 6 3 7 9" xfId="35637"/>
    <cellStyle name="Heading 2 2 2 6 3 8" xfId="35638"/>
    <cellStyle name="Heading 2 2 2 6 3 8 2" xfId="35639"/>
    <cellStyle name="Heading 2 2 2 6 3 8 2 2" xfId="35640"/>
    <cellStyle name="Heading 2 2 2 6 3 8 2 2 2" xfId="35641"/>
    <cellStyle name="Heading 2 2 2 6 3 8 2 3" xfId="35642"/>
    <cellStyle name="Heading 2 2 2 6 3 8 3" xfId="35643"/>
    <cellStyle name="Heading 2 2 2 6 3 8 3 2" xfId="35644"/>
    <cellStyle name="Heading 2 2 2 6 3 8 3 2 2" xfId="35645"/>
    <cellStyle name="Heading 2 2 2 6 3 8 3 3" xfId="35646"/>
    <cellStyle name="Heading 2 2 2 6 3 8 4" xfId="35647"/>
    <cellStyle name="Heading 2 2 2 6 3 8 4 2" xfId="35648"/>
    <cellStyle name="Heading 2 2 2 6 3 8 4 2 2" xfId="35649"/>
    <cellStyle name="Heading 2 2 2 6 3 8 4 3" xfId="35650"/>
    <cellStyle name="Heading 2 2 2 6 3 8 5" xfId="35651"/>
    <cellStyle name="Heading 2 2 2 6 3 8 5 2" xfId="35652"/>
    <cellStyle name="Heading 2 2 2 6 3 8 5 2 2" xfId="35653"/>
    <cellStyle name="Heading 2 2 2 6 3 8 5 3" xfId="35654"/>
    <cellStyle name="Heading 2 2 2 6 3 8 6" xfId="35655"/>
    <cellStyle name="Heading 2 2 2 6 3 8 6 2" xfId="35656"/>
    <cellStyle name="Heading 2 2 2 6 3 8 6 2 2" xfId="35657"/>
    <cellStyle name="Heading 2 2 2 6 3 8 6 3" xfId="35658"/>
    <cellStyle name="Heading 2 2 2 6 3 8 7" xfId="35659"/>
    <cellStyle name="Heading 2 2 2 6 3 8 7 2" xfId="35660"/>
    <cellStyle name="Heading 2 2 2 6 3 8 7 2 2" xfId="35661"/>
    <cellStyle name="Heading 2 2 2 6 3 8 7 3" xfId="35662"/>
    <cellStyle name="Heading 2 2 2 6 3 8 8" xfId="35663"/>
    <cellStyle name="Heading 2 2 2 6 3 8 8 2" xfId="35664"/>
    <cellStyle name="Heading 2 2 2 6 3 8 9" xfId="35665"/>
    <cellStyle name="Heading 2 2 2 6 3 9" xfId="35666"/>
    <cellStyle name="Heading 2 2 2 6 3 9 2" xfId="35667"/>
    <cellStyle name="Heading 2 2 2 6 3 9 2 2" xfId="35668"/>
    <cellStyle name="Heading 2 2 2 6 3 9 3" xfId="35669"/>
    <cellStyle name="Heading 2 2 2 6 4" xfId="35670"/>
    <cellStyle name="Heading 2 2 2 6 4 2" xfId="35671"/>
    <cellStyle name="Heading 2 2 2 6 4 2 2" xfId="35672"/>
    <cellStyle name="Heading 2 2 2 6 4 3" xfId="35673"/>
    <cellStyle name="Heading 2 2 2 6 5" xfId="35674"/>
    <cellStyle name="Heading 2 2 2 6 5 2" xfId="35675"/>
    <cellStyle name="Heading 2 2 2 6 6" xfId="35676"/>
    <cellStyle name="Heading 2 2 2 7" xfId="35677"/>
    <cellStyle name="Heading 2 2 2 7 2" xfId="35678"/>
    <cellStyle name="Heading 2 2 2 7 2 10" xfId="35679"/>
    <cellStyle name="Heading 2 2 2 7 2 10 2" xfId="35680"/>
    <cellStyle name="Heading 2 2 2 7 2 10 2 2" xfId="35681"/>
    <cellStyle name="Heading 2 2 2 7 2 10 3" xfId="35682"/>
    <cellStyle name="Heading 2 2 2 7 2 11" xfId="35683"/>
    <cellStyle name="Heading 2 2 2 7 2 11 2" xfId="35684"/>
    <cellStyle name="Heading 2 2 2 7 2 11 2 2" xfId="35685"/>
    <cellStyle name="Heading 2 2 2 7 2 11 3" xfId="35686"/>
    <cellStyle name="Heading 2 2 2 7 2 12" xfId="35687"/>
    <cellStyle name="Heading 2 2 2 7 2 12 2" xfId="35688"/>
    <cellStyle name="Heading 2 2 2 7 2 12 2 2" xfId="35689"/>
    <cellStyle name="Heading 2 2 2 7 2 12 3" xfId="35690"/>
    <cellStyle name="Heading 2 2 2 7 2 13" xfId="35691"/>
    <cellStyle name="Heading 2 2 2 7 2 13 2" xfId="35692"/>
    <cellStyle name="Heading 2 2 2 7 2 13 2 2" xfId="35693"/>
    <cellStyle name="Heading 2 2 2 7 2 13 3" xfId="35694"/>
    <cellStyle name="Heading 2 2 2 7 2 14" xfId="35695"/>
    <cellStyle name="Heading 2 2 2 7 2 14 2" xfId="35696"/>
    <cellStyle name="Heading 2 2 2 7 2 14 2 2" xfId="35697"/>
    <cellStyle name="Heading 2 2 2 7 2 14 3" xfId="35698"/>
    <cellStyle name="Heading 2 2 2 7 2 15" xfId="35699"/>
    <cellStyle name="Heading 2 2 2 7 2 15 2" xfId="35700"/>
    <cellStyle name="Heading 2 2 2 7 2 15 2 2" xfId="35701"/>
    <cellStyle name="Heading 2 2 2 7 2 15 3" xfId="35702"/>
    <cellStyle name="Heading 2 2 2 7 2 16" xfId="35703"/>
    <cellStyle name="Heading 2 2 2 7 2 16 2" xfId="35704"/>
    <cellStyle name="Heading 2 2 2 7 2 16 2 2" xfId="35705"/>
    <cellStyle name="Heading 2 2 2 7 2 16 3" xfId="35706"/>
    <cellStyle name="Heading 2 2 2 7 2 17" xfId="35707"/>
    <cellStyle name="Heading 2 2 2 7 2 17 2" xfId="35708"/>
    <cellStyle name="Heading 2 2 2 7 2 17 2 2" xfId="35709"/>
    <cellStyle name="Heading 2 2 2 7 2 17 3" xfId="35710"/>
    <cellStyle name="Heading 2 2 2 7 2 18" xfId="35711"/>
    <cellStyle name="Heading 2 2 2 7 2 18 2" xfId="35712"/>
    <cellStyle name="Heading 2 2 2 7 2 18 2 2" xfId="35713"/>
    <cellStyle name="Heading 2 2 2 7 2 18 3" xfId="35714"/>
    <cellStyle name="Heading 2 2 2 7 2 19" xfId="35715"/>
    <cellStyle name="Heading 2 2 2 7 2 19 2" xfId="35716"/>
    <cellStyle name="Heading 2 2 2 7 2 19 2 2" xfId="35717"/>
    <cellStyle name="Heading 2 2 2 7 2 19 3" xfId="35718"/>
    <cellStyle name="Heading 2 2 2 7 2 2" xfId="35719"/>
    <cellStyle name="Heading 2 2 2 7 2 2 10" xfId="35720"/>
    <cellStyle name="Heading 2 2 2 7 2 2 10 2" xfId="35721"/>
    <cellStyle name="Heading 2 2 2 7 2 2 10 2 2" xfId="35722"/>
    <cellStyle name="Heading 2 2 2 7 2 2 10 3" xfId="35723"/>
    <cellStyle name="Heading 2 2 2 7 2 2 11" xfId="35724"/>
    <cellStyle name="Heading 2 2 2 7 2 2 11 2" xfId="35725"/>
    <cellStyle name="Heading 2 2 2 7 2 2 11 2 2" xfId="35726"/>
    <cellStyle name="Heading 2 2 2 7 2 2 11 3" xfId="35727"/>
    <cellStyle name="Heading 2 2 2 7 2 2 12" xfId="35728"/>
    <cellStyle name="Heading 2 2 2 7 2 2 12 2" xfId="35729"/>
    <cellStyle name="Heading 2 2 2 7 2 2 12 2 2" xfId="35730"/>
    <cellStyle name="Heading 2 2 2 7 2 2 12 3" xfId="35731"/>
    <cellStyle name="Heading 2 2 2 7 2 2 13" xfId="35732"/>
    <cellStyle name="Heading 2 2 2 7 2 2 13 2" xfId="35733"/>
    <cellStyle name="Heading 2 2 2 7 2 2 13 2 2" xfId="35734"/>
    <cellStyle name="Heading 2 2 2 7 2 2 13 3" xfId="35735"/>
    <cellStyle name="Heading 2 2 2 7 2 2 14" xfId="35736"/>
    <cellStyle name="Heading 2 2 2 7 2 2 14 2" xfId="35737"/>
    <cellStyle name="Heading 2 2 2 7 2 2 14 2 2" xfId="35738"/>
    <cellStyle name="Heading 2 2 2 7 2 2 14 3" xfId="35739"/>
    <cellStyle name="Heading 2 2 2 7 2 2 15" xfId="35740"/>
    <cellStyle name="Heading 2 2 2 7 2 2 15 2" xfId="35741"/>
    <cellStyle name="Heading 2 2 2 7 2 2 15 2 2" xfId="35742"/>
    <cellStyle name="Heading 2 2 2 7 2 2 15 3" xfId="35743"/>
    <cellStyle name="Heading 2 2 2 7 2 2 16" xfId="35744"/>
    <cellStyle name="Heading 2 2 2 7 2 2 16 2" xfId="35745"/>
    <cellStyle name="Heading 2 2 2 7 2 2 16 2 2" xfId="35746"/>
    <cellStyle name="Heading 2 2 2 7 2 2 16 3" xfId="35747"/>
    <cellStyle name="Heading 2 2 2 7 2 2 17" xfId="35748"/>
    <cellStyle name="Heading 2 2 2 7 2 2 17 2" xfId="35749"/>
    <cellStyle name="Heading 2 2 2 7 2 2 17 2 2" xfId="35750"/>
    <cellStyle name="Heading 2 2 2 7 2 2 17 3" xfId="35751"/>
    <cellStyle name="Heading 2 2 2 7 2 2 18" xfId="35752"/>
    <cellStyle name="Heading 2 2 2 7 2 2 18 2" xfId="35753"/>
    <cellStyle name="Heading 2 2 2 7 2 2 18 2 2" xfId="35754"/>
    <cellStyle name="Heading 2 2 2 7 2 2 18 3" xfId="35755"/>
    <cellStyle name="Heading 2 2 2 7 2 2 19" xfId="35756"/>
    <cellStyle name="Heading 2 2 2 7 2 2 19 2" xfId="35757"/>
    <cellStyle name="Heading 2 2 2 7 2 2 2" xfId="35758"/>
    <cellStyle name="Heading 2 2 2 7 2 2 2 2" xfId="35759"/>
    <cellStyle name="Heading 2 2 2 7 2 2 2 2 2" xfId="35760"/>
    <cellStyle name="Heading 2 2 2 7 2 2 2 2 2 2" xfId="35761"/>
    <cellStyle name="Heading 2 2 2 7 2 2 2 2 3" xfId="35762"/>
    <cellStyle name="Heading 2 2 2 7 2 2 2 3" xfId="35763"/>
    <cellStyle name="Heading 2 2 2 7 2 2 2 3 2" xfId="35764"/>
    <cellStyle name="Heading 2 2 2 7 2 2 2 3 2 2" xfId="35765"/>
    <cellStyle name="Heading 2 2 2 7 2 2 2 3 3" xfId="35766"/>
    <cellStyle name="Heading 2 2 2 7 2 2 2 4" xfId="35767"/>
    <cellStyle name="Heading 2 2 2 7 2 2 2 4 2" xfId="35768"/>
    <cellStyle name="Heading 2 2 2 7 2 2 2 4 2 2" xfId="35769"/>
    <cellStyle name="Heading 2 2 2 7 2 2 2 4 3" xfId="35770"/>
    <cellStyle name="Heading 2 2 2 7 2 2 2 5" xfId="35771"/>
    <cellStyle name="Heading 2 2 2 7 2 2 2 5 2" xfId="35772"/>
    <cellStyle name="Heading 2 2 2 7 2 2 2 5 2 2" xfId="35773"/>
    <cellStyle name="Heading 2 2 2 7 2 2 2 5 3" xfId="35774"/>
    <cellStyle name="Heading 2 2 2 7 2 2 2 6" xfId="35775"/>
    <cellStyle name="Heading 2 2 2 7 2 2 2 6 2" xfId="35776"/>
    <cellStyle name="Heading 2 2 2 7 2 2 2 6 2 2" xfId="35777"/>
    <cellStyle name="Heading 2 2 2 7 2 2 2 6 3" xfId="35778"/>
    <cellStyle name="Heading 2 2 2 7 2 2 2 7" xfId="35779"/>
    <cellStyle name="Heading 2 2 2 7 2 2 2 7 2" xfId="35780"/>
    <cellStyle name="Heading 2 2 2 7 2 2 2 7 2 2" xfId="35781"/>
    <cellStyle name="Heading 2 2 2 7 2 2 2 7 3" xfId="35782"/>
    <cellStyle name="Heading 2 2 2 7 2 2 2 8" xfId="35783"/>
    <cellStyle name="Heading 2 2 2 7 2 2 2 8 2" xfId="35784"/>
    <cellStyle name="Heading 2 2 2 7 2 2 2 9" xfId="35785"/>
    <cellStyle name="Heading 2 2 2 7 2 2 20" xfId="35786"/>
    <cellStyle name="Heading 2 2 2 7 2 2 20 2" xfId="35787"/>
    <cellStyle name="Heading 2 2 2 7 2 2 21" xfId="35788"/>
    <cellStyle name="Heading 2 2 2 7 2 2 21 2" xfId="35789"/>
    <cellStyle name="Heading 2 2 2 7 2 2 22" xfId="35790"/>
    <cellStyle name="Heading 2 2 2 7 2 2 3" xfId="35791"/>
    <cellStyle name="Heading 2 2 2 7 2 2 3 2" xfId="35792"/>
    <cellStyle name="Heading 2 2 2 7 2 2 3 2 2" xfId="35793"/>
    <cellStyle name="Heading 2 2 2 7 2 2 3 2 2 2" xfId="35794"/>
    <cellStyle name="Heading 2 2 2 7 2 2 3 2 3" xfId="35795"/>
    <cellStyle name="Heading 2 2 2 7 2 2 3 3" xfId="35796"/>
    <cellStyle name="Heading 2 2 2 7 2 2 3 3 2" xfId="35797"/>
    <cellStyle name="Heading 2 2 2 7 2 2 3 3 2 2" xfId="35798"/>
    <cellStyle name="Heading 2 2 2 7 2 2 3 3 3" xfId="35799"/>
    <cellStyle name="Heading 2 2 2 7 2 2 3 4" xfId="35800"/>
    <cellStyle name="Heading 2 2 2 7 2 2 3 4 2" xfId="35801"/>
    <cellStyle name="Heading 2 2 2 7 2 2 3 4 2 2" xfId="35802"/>
    <cellStyle name="Heading 2 2 2 7 2 2 3 4 3" xfId="35803"/>
    <cellStyle name="Heading 2 2 2 7 2 2 3 5" xfId="35804"/>
    <cellStyle name="Heading 2 2 2 7 2 2 3 5 2" xfId="35805"/>
    <cellStyle name="Heading 2 2 2 7 2 2 3 5 2 2" xfId="35806"/>
    <cellStyle name="Heading 2 2 2 7 2 2 3 5 3" xfId="35807"/>
    <cellStyle name="Heading 2 2 2 7 2 2 3 6" xfId="35808"/>
    <cellStyle name="Heading 2 2 2 7 2 2 3 6 2" xfId="35809"/>
    <cellStyle name="Heading 2 2 2 7 2 2 3 6 2 2" xfId="35810"/>
    <cellStyle name="Heading 2 2 2 7 2 2 3 6 3" xfId="35811"/>
    <cellStyle name="Heading 2 2 2 7 2 2 3 7" xfId="35812"/>
    <cellStyle name="Heading 2 2 2 7 2 2 3 7 2" xfId="35813"/>
    <cellStyle name="Heading 2 2 2 7 2 2 3 7 2 2" xfId="35814"/>
    <cellStyle name="Heading 2 2 2 7 2 2 3 7 3" xfId="35815"/>
    <cellStyle name="Heading 2 2 2 7 2 2 3 8" xfId="35816"/>
    <cellStyle name="Heading 2 2 2 7 2 2 3 8 2" xfId="35817"/>
    <cellStyle name="Heading 2 2 2 7 2 2 3 9" xfId="35818"/>
    <cellStyle name="Heading 2 2 2 7 2 2 4" xfId="35819"/>
    <cellStyle name="Heading 2 2 2 7 2 2 4 2" xfId="35820"/>
    <cellStyle name="Heading 2 2 2 7 2 2 4 2 2" xfId="35821"/>
    <cellStyle name="Heading 2 2 2 7 2 2 4 2 2 2" xfId="35822"/>
    <cellStyle name="Heading 2 2 2 7 2 2 4 2 3" xfId="35823"/>
    <cellStyle name="Heading 2 2 2 7 2 2 4 3" xfId="35824"/>
    <cellStyle name="Heading 2 2 2 7 2 2 4 3 2" xfId="35825"/>
    <cellStyle name="Heading 2 2 2 7 2 2 4 3 2 2" xfId="35826"/>
    <cellStyle name="Heading 2 2 2 7 2 2 4 3 3" xfId="35827"/>
    <cellStyle name="Heading 2 2 2 7 2 2 4 4" xfId="35828"/>
    <cellStyle name="Heading 2 2 2 7 2 2 4 4 2" xfId="35829"/>
    <cellStyle name="Heading 2 2 2 7 2 2 4 4 2 2" xfId="35830"/>
    <cellStyle name="Heading 2 2 2 7 2 2 4 4 3" xfId="35831"/>
    <cellStyle name="Heading 2 2 2 7 2 2 4 5" xfId="35832"/>
    <cellStyle name="Heading 2 2 2 7 2 2 4 5 2" xfId="35833"/>
    <cellStyle name="Heading 2 2 2 7 2 2 4 5 2 2" xfId="35834"/>
    <cellStyle name="Heading 2 2 2 7 2 2 4 5 3" xfId="35835"/>
    <cellStyle name="Heading 2 2 2 7 2 2 4 6" xfId="35836"/>
    <cellStyle name="Heading 2 2 2 7 2 2 4 6 2" xfId="35837"/>
    <cellStyle name="Heading 2 2 2 7 2 2 4 6 2 2" xfId="35838"/>
    <cellStyle name="Heading 2 2 2 7 2 2 4 6 3" xfId="35839"/>
    <cellStyle name="Heading 2 2 2 7 2 2 4 7" xfId="35840"/>
    <cellStyle name="Heading 2 2 2 7 2 2 4 7 2" xfId="35841"/>
    <cellStyle name="Heading 2 2 2 7 2 2 4 7 2 2" xfId="35842"/>
    <cellStyle name="Heading 2 2 2 7 2 2 4 7 3" xfId="35843"/>
    <cellStyle name="Heading 2 2 2 7 2 2 4 8" xfId="35844"/>
    <cellStyle name="Heading 2 2 2 7 2 2 4 8 2" xfId="35845"/>
    <cellStyle name="Heading 2 2 2 7 2 2 4 9" xfId="35846"/>
    <cellStyle name="Heading 2 2 2 7 2 2 5" xfId="35847"/>
    <cellStyle name="Heading 2 2 2 7 2 2 5 2" xfId="35848"/>
    <cellStyle name="Heading 2 2 2 7 2 2 5 2 2" xfId="35849"/>
    <cellStyle name="Heading 2 2 2 7 2 2 5 2 2 2" xfId="35850"/>
    <cellStyle name="Heading 2 2 2 7 2 2 5 2 3" xfId="35851"/>
    <cellStyle name="Heading 2 2 2 7 2 2 5 3" xfId="35852"/>
    <cellStyle name="Heading 2 2 2 7 2 2 5 3 2" xfId="35853"/>
    <cellStyle name="Heading 2 2 2 7 2 2 5 3 2 2" xfId="35854"/>
    <cellStyle name="Heading 2 2 2 7 2 2 5 3 3" xfId="35855"/>
    <cellStyle name="Heading 2 2 2 7 2 2 5 4" xfId="35856"/>
    <cellStyle name="Heading 2 2 2 7 2 2 5 4 2" xfId="35857"/>
    <cellStyle name="Heading 2 2 2 7 2 2 5 4 2 2" xfId="35858"/>
    <cellStyle name="Heading 2 2 2 7 2 2 5 4 3" xfId="35859"/>
    <cellStyle name="Heading 2 2 2 7 2 2 5 5" xfId="35860"/>
    <cellStyle name="Heading 2 2 2 7 2 2 5 5 2" xfId="35861"/>
    <cellStyle name="Heading 2 2 2 7 2 2 5 5 2 2" xfId="35862"/>
    <cellStyle name="Heading 2 2 2 7 2 2 5 5 3" xfId="35863"/>
    <cellStyle name="Heading 2 2 2 7 2 2 5 6" xfId="35864"/>
    <cellStyle name="Heading 2 2 2 7 2 2 5 6 2" xfId="35865"/>
    <cellStyle name="Heading 2 2 2 7 2 2 5 6 2 2" xfId="35866"/>
    <cellStyle name="Heading 2 2 2 7 2 2 5 6 3" xfId="35867"/>
    <cellStyle name="Heading 2 2 2 7 2 2 5 7" xfId="35868"/>
    <cellStyle name="Heading 2 2 2 7 2 2 5 7 2" xfId="35869"/>
    <cellStyle name="Heading 2 2 2 7 2 2 5 7 2 2" xfId="35870"/>
    <cellStyle name="Heading 2 2 2 7 2 2 5 7 3" xfId="35871"/>
    <cellStyle name="Heading 2 2 2 7 2 2 5 8" xfId="35872"/>
    <cellStyle name="Heading 2 2 2 7 2 2 5 8 2" xfId="35873"/>
    <cellStyle name="Heading 2 2 2 7 2 2 5 9" xfId="35874"/>
    <cellStyle name="Heading 2 2 2 7 2 2 6" xfId="35875"/>
    <cellStyle name="Heading 2 2 2 7 2 2 6 2" xfId="35876"/>
    <cellStyle name="Heading 2 2 2 7 2 2 6 2 2" xfId="35877"/>
    <cellStyle name="Heading 2 2 2 7 2 2 6 2 2 2" xfId="35878"/>
    <cellStyle name="Heading 2 2 2 7 2 2 6 2 3" xfId="35879"/>
    <cellStyle name="Heading 2 2 2 7 2 2 6 3" xfId="35880"/>
    <cellStyle name="Heading 2 2 2 7 2 2 6 3 2" xfId="35881"/>
    <cellStyle name="Heading 2 2 2 7 2 2 6 3 2 2" xfId="35882"/>
    <cellStyle name="Heading 2 2 2 7 2 2 6 3 3" xfId="35883"/>
    <cellStyle name="Heading 2 2 2 7 2 2 6 4" xfId="35884"/>
    <cellStyle name="Heading 2 2 2 7 2 2 6 4 2" xfId="35885"/>
    <cellStyle name="Heading 2 2 2 7 2 2 6 4 2 2" xfId="35886"/>
    <cellStyle name="Heading 2 2 2 7 2 2 6 4 3" xfId="35887"/>
    <cellStyle name="Heading 2 2 2 7 2 2 6 5" xfId="35888"/>
    <cellStyle name="Heading 2 2 2 7 2 2 6 5 2" xfId="35889"/>
    <cellStyle name="Heading 2 2 2 7 2 2 6 5 2 2" xfId="35890"/>
    <cellStyle name="Heading 2 2 2 7 2 2 6 5 3" xfId="35891"/>
    <cellStyle name="Heading 2 2 2 7 2 2 6 6" xfId="35892"/>
    <cellStyle name="Heading 2 2 2 7 2 2 6 6 2" xfId="35893"/>
    <cellStyle name="Heading 2 2 2 7 2 2 6 6 2 2" xfId="35894"/>
    <cellStyle name="Heading 2 2 2 7 2 2 6 6 3" xfId="35895"/>
    <cellStyle name="Heading 2 2 2 7 2 2 6 7" xfId="35896"/>
    <cellStyle name="Heading 2 2 2 7 2 2 6 7 2" xfId="35897"/>
    <cellStyle name="Heading 2 2 2 7 2 2 6 7 2 2" xfId="35898"/>
    <cellStyle name="Heading 2 2 2 7 2 2 6 7 3" xfId="35899"/>
    <cellStyle name="Heading 2 2 2 7 2 2 6 8" xfId="35900"/>
    <cellStyle name="Heading 2 2 2 7 2 2 6 8 2" xfId="35901"/>
    <cellStyle name="Heading 2 2 2 7 2 2 6 9" xfId="35902"/>
    <cellStyle name="Heading 2 2 2 7 2 2 7" xfId="35903"/>
    <cellStyle name="Heading 2 2 2 7 2 2 7 2" xfId="35904"/>
    <cellStyle name="Heading 2 2 2 7 2 2 7 2 2" xfId="35905"/>
    <cellStyle name="Heading 2 2 2 7 2 2 7 2 2 2" xfId="35906"/>
    <cellStyle name="Heading 2 2 2 7 2 2 7 2 3" xfId="35907"/>
    <cellStyle name="Heading 2 2 2 7 2 2 7 3" xfId="35908"/>
    <cellStyle name="Heading 2 2 2 7 2 2 7 3 2" xfId="35909"/>
    <cellStyle name="Heading 2 2 2 7 2 2 7 3 2 2" xfId="35910"/>
    <cellStyle name="Heading 2 2 2 7 2 2 7 3 3" xfId="35911"/>
    <cellStyle name="Heading 2 2 2 7 2 2 7 4" xfId="35912"/>
    <cellStyle name="Heading 2 2 2 7 2 2 7 4 2" xfId="35913"/>
    <cellStyle name="Heading 2 2 2 7 2 2 7 4 2 2" xfId="35914"/>
    <cellStyle name="Heading 2 2 2 7 2 2 7 4 3" xfId="35915"/>
    <cellStyle name="Heading 2 2 2 7 2 2 7 5" xfId="35916"/>
    <cellStyle name="Heading 2 2 2 7 2 2 7 5 2" xfId="35917"/>
    <cellStyle name="Heading 2 2 2 7 2 2 7 5 2 2" xfId="35918"/>
    <cellStyle name="Heading 2 2 2 7 2 2 7 5 3" xfId="35919"/>
    <cellStyle name="Heading 2 2 2 7 2 2 7 6" xfId="35920"/>
    <cellStyle name="Heading 2 2 2 7 2 2 7 6 2" xfId="35921"/>
    <cellStyle name="Heading 2 2 2 7 2 2 7 6 2 2" xfId="35922"/>
    <cellStyle name="Heading 2 2 2 7 2 2 7 6 3" xfId="35923"/>
    <cellStyle name="Heading 2 2 2 7 2 2 7 7" xfId="35924"/>
    <cellStyle name="Heading 2 2 2 7 2 2 7 7 2" xfId="35925"/>
    <cellStyle name="Heading 2 2 2 7 2 2 7 7 2 2" xfId="35926"/>
    <cellStyle name="Heading 2 2 2 7 2 2 7 7 3" xfId="35927"/>
    <cellStyle name="Heading 2 2 2 7 2 2 7 8" xfId="35928"/>
    <cellStyle name="Heading 2 2 2 7 2 2 7 8 2" xfId="35929"/>
    <cellStyle name="Heading 2 2 2 7 2 2 7 9" xfId="35930"/>
    <cellStyle name="Heading 2 2 2 7 2 2 8" xfId="35931"/>
    <cellStyle name="Heading 2 2 2 7 2 2 8 2" xfId="35932"/>
    <cellStyle name="Heading 2 2 2 7 2 2 8 2 2" xfId="35933"/>
    <cellStyle name="Heading 2 2 2 7 2 2 8 2 2 2" xfId="35934"/>
    <cellStyle name="Heading 2 2 2 7 2 2 8 2 3" xfId="35935"/>
    <cellStyle name="Heading 2 2 2 7 2 2 8 3" xfId="35936"/>
    <cellStyle name="Heading 2 2 2 7 2 2 8 3 2" xfId="35937"/>
    <cellStyle name="Heading 2 2 2 7 2 2 8 3 2 2" xfId="35938"/>
    <cellStyle name="Heading 2 2 2 7 2 2 8 3 3" xfId="35939"/>
    <cellStyle name="Heading 2 2 2 7 2 2 8 4" xfId="35940"/>
    <cellStyle name="Heading 2 2 2 7 2 2 8 4 2" xfId="35941"/>
    <cellStyle name="Heading 2 2 2 7 2 2 8 4 2 2" xfId="35942"/>
    <cellStyle name="Heading 2 2 2 7 2 2 8 4 3" xfId="35943"/>
    <cellStyle name="Heading 2 2 2 7 2 2 8 5" xfId="35944"/>
    <cellStyle name="Heading 2 2 2 7 2 2 8 5 2" xfId="35945"/>
    <cellStyle name="Heading 2 2 2 7 2 2 8 5 2 2" xfId="35946"/>
    <cellStyle name="Heading 2 2 2 7 2 2 8 5 3" xfId="35947"/>
    <cellStyle name="Heading 2 2 2 7 2 2 8 6" xfId="35948"/>
    <cellStyle name="Heading 2 2 2 7 2 2 8 6 2" xfId="35949"/>
    <cellStyle name="Heading 2 2 2 7 2 2 8 6 2 2" xfId="35950"/>
    <cellStyle name="Heading 2 2 2 7 2 2 8 6 3" xfId="35951"/>
    <cellStyle name="Heading 2 2 2 7 2 2 8 7" xfId="35952"/>
    <cellStyle name="Heading 2 2 2 7 2 2 8 7 2" xfId="35953"/>
    <cellStyle name="Heading 2 2 2 7 2 2 8 7 2 2" xfId="35954"/>
    <cellStyle name="Heading 2 2 2 7 2 2 8 7 3" xfId="35955"/>
    <cellStyle name="Heading 2 2 2 7 2 2 8 8" xfId="35956"/>
    <cellStyle name="Heading 2 2 2 7 2 2 8 8 2" xfId="35957"/>
    <cellStyle name="Heading 2 2 2 7 2 2 8 9" xfId="35958"/>
    <cellStyle name="Heading 2 2 2 7 2 2 9" xfId="35959"/>
    <cellStyle name="Heading 2 2 2 7 2 2 9 2" xfId="35960"/>
    <cellStyle name="Heading 2 2 2 7 2 2 9 2 2" xfId="35961"/>
    <cellStyle name="Heading 2 2 2 7 2 2 9 3" xfId="35962"/>
    <cellStyle name="Heading 2 2 2 7 2 20" xfId="35963"/>
    <cellStyle name="Heading 2 2 2 7 2 20 2" xfId="35964"/>
    <cellStyle name="Heading 2 2 2 7 2 21" xfId="35965"/>
    <cellStyle name="Heading 2 2 2 7 2 21 2" xfId="35966"/>
    <cellStyle name="Heading 2 2 2 7 2 22" xfId="35967"/>
    <cellStyle name="Heading 2 2 2 7 2 22 2" xfId="35968"/>
    <cellStyle name="Heading 2 2 2 7 2 23" xfId="35969"/>
    <cellStyle name="Heading 2 2 2 7 2 3" xfId="35970"/>
    <cellStyle name="Heading 2 2 2 7 2 3 2" xfId="35971"/>
    <cellStyle name="Heading 2 2 2 7 2 3 2 2" xfId="35972"/>
    <cellStyle name="Heading 2 2 2 7 2 3 2 2 2" xfId="35973"/>
    <cellStyle name="Heading 2 2 2 7 2 3 2 3" xfId="35974"/>
    <cellStyle name="Heading 2 2 2 7 2 3 3" xfId="35975"/>
    <cellStyle name="Heading 2 2 2 7 2 3 3 2" xfId="35976"/>
    <cellStyle name="Heading 2 2 2 7 2 3 3 2 2" xfId="35977"/>
    <cellStyle name="Heading 2 2 2 7 2 3 3 3" xfId="35978"/>
    <cellStyle name="Heading 2 2 2 7 2 3 4" xfId="35979"/>
    <cellStyle name="Heading 2 2 2 7 2 3 4 2" xfId="35980"/>
    <cellStyle name="Heading 2 2 2 7 2 3 4 2 2" xfId="35981"/>
    <cellStyle name="Heading 2 2 2 7 2 3 4 3" xfId="35982"/>
    <cellStyle name="Heading 2 2 2 7 2 3 5" xfId="35983"/>
    <cellStyle name="Heading 2 2 2 7 2 3 5 2" xfId="35984"/>
    <cellStyle name="Heading 2 2 2 7 2 3 5 2 2" xfId="35985"/>
    <cellStyle name="Heading 2 2 2 7 2 3 5 3" xfId="35986"/>
    <cellStyle name="Heading 2 2 2 7 2 3 6" xfId="35987"/>
    <cellStyle name="Heading 2 2 2 7 2 3 6 2" xfId="35988"/>
    <cellStyle name="Heading 2 2 2 7 2 3 6 2 2" xfId="35989"/>
    <cellStyle name="Heading 2 2 2 7 2 3 6 3" xfId="35990"/>
    <cellStyle name="Heading 2 2 2 7 2 3 7" xfId="35991"/>
    <cellStyle name="Heading 2 2 2 7 2 3 7 2" xfId="35992"/>
    <cellStyle name="Heading 2 2 2 7 2 3 7 2 2" xfId="35993"/>
    <cellStyle name="Heading 2 2 2 7 2 3 7 3" xfId="35994"/>
    <cellStyle name="Heading 2 2 2 7 2 3 8" xfId="35995"/>
    <cellStyle name="Heading 2 2 2 7 2 3 8 2" xfId="35996"/>
    <cellStyle name="Heading 2 2 2 7 2 3 9" xfId="35997"/>
    <cellStyle name="Heading 2 2 2 7 2 4" xfId="35998"/>
    <cellStyle name="Heading 2 2 2 7 2 4 2" xfId="35999"/>
    <cellStyle name="Heading 2 2 2 7 2 4 2 2" xfId="36000"/>
    <cellStyle name="Heading 2 2 2 7 2 4 2 2 2" xfId="36001"/>
    <cellStyle name="Heading 2 2 2 7 2 4 2 3" xfId="36002"/>
    <cellStyle name="Heading 2 2 2 7 2 4 3" xfId="36003"/>
    <cellStyle name="Heading 2 2 2 7 2 4 3 2" xfId="36004"/>
    <cellStyle name="Heading 2 2 2 7 2 4 3 2 2" xfId="36005"/>
    <cellStyle name="Heading 2 2 2 7 2 4 3 3" xfId="36006"/>
    <cellStyle name="Heading 2 2 2 7 2 4 4" xfId="36007"/>
    <cellStyle name="Heading 2 2 2 7 2 4 4 2" xfId="36008"/>
    <cellStyle name="Heading 2 2 2 7 2 4 4 2 2" xfId="36009"/>
    <cellStyle name="Heading 2 2 2 7 2 4 4 3" xfId="36010"/>
    <cellStyle name="Heading 2 2 2 7 2 4 5" xfId="36011"/>
    <cellStyle name="Heading 2 2 2 7 2 4 5 2" xfId="36012"/>
    <cellStyle name="Heading 2 2 2 7 2 4 5 2 2" xfId="36013"/>
    <cellStyle name="Heading 2 2 2 7 2 4 5 3" xfId="36014"/>
    <cellStyle name="Heading 2 2 2 7 2 4 6" xfId="36015"/>
    <cellStyle name="Heading 2 2 2 7 2 4 6 2" xfId="36016"/>
    <cellStyle name="Heading 2 2 2 7 2 4 6 2 2" xfId="36017"/>
    <cellStyle name="Heading 2 2 2 7 2 4 6 3" xfId="36018"/>
    <cellStyle name="Heading 2 2 2 7 2 4 7" xfId="36019"/>
    <cellStyle name="Heading 2 2 2 7 2 4 7 2" xfId="36020"/>
    <cellStyle name="Heading 2 2 2 7 2 4 7 2 2" xfId="36021"/>
    <cellStyle name="Heading 2 2 2 7 2 4 7 3" xfId="36022"/>
    <cellStyle name="Heading 2 2 2 7 2 4 8" xfId="36023"/>
    <cellStyle name="Heading 2 2 2 7 2 4 8 2" xfId="36024"/>
    <cellStyle name="Heading 2 2 2 7 2 4 9" xfId="36025"/>
    <cellStyle name="Heading 2 2 2 7 2 5" xfId="36026"/>
    <cellStyle name="Heading 2 2 2 7 2 5 2" xfId="36027"/>
    <cellStyle name="Heading 2 2 2 7 2 5 2 2" xfId="36028"/>
    <cellStyle name="Heading 2 2 2 7 2 5 2 2 2" xfId="36029"/>
    <cellStyle name="Heading 2 2 2 7 2 5 2 3" xfId="36030"/>
    <cellStyle name="Heading 2 2 2 7 2 5 3" xfId="36031"/>
    <cellStyle name="Heading 2 2 2 7 2 5 3 2" xfId="36032"/>
    <cellStyle name="Heading 2 2 2 7 2 5 3 2 2" xfId="36033"/>
    <cellStyle name="Heading 2 2 2 7 2 5 3 3" xfId="36034"/>
    <cellStyle name="Heading 2 2 2 7 2 5 4" xfId="36035"/>
    <cellStyle name="Heading 2 2 2 7 2 5 4 2" xfId="36036"/>
    <cellStyle name="Heading 2 2 2 7 2 5 4 2 2" xfId="36037"/>
    <cellStyle name="Heading 2 2 2 7 2 5 4 3" xfId="36038"/>
    <cellStyle name="Heading 2 2 2 7 2 5 5" xfId="36039"/>
    <cellStyle name="Heading 2 2 2 7 2 5 5 2" xfId="36040"/>
    <cellStyle name="Heading 2 2 2 7 2 5 5 2 2" xfId="36041"/>
    <cellStyle name="Heading 2 2 2 7 2 5 5 3" xfId="36042"/>
    <cellStyle name="Heading 2 2 2 7 2 5 6" xfId="36043"/>
    <cellStyle name="Heading 2 2 2 7 2 5 6 2" xfId="36044"/>
    <cellStyle name="Heading 2 2 2 7 2 5 6 2 2" xfId="36045"/>
    <cellStyle name="Heading 2 2 2 7 2 5 6 3" xfId="36046"/>
    <cellStyle name="Heading 2 2 2 7 2 5 7" xfId="36047"/>
    <cellStyle name="Heading 2 2 2 7 2 5 7 2" xfId="36048"/>
    <cellStyle name="Heading 2 2 2 7 2 5 7 2 2" xfId="36049"/>
    <cellStyle name="Heading 2 2 2 7 2 5 7 3" xfId="36050"/>
    <cellStyle name="Heading 2 2 2 7 2 5 8" xfId="36051"/>
    <cellStyle name="Heading 2 2 2 7 2 5 8 2" xfId="36052"/>
    <cellStyle name="Heading 2 2 2 7 2 5 9" xfId="36053"/>
    <cellStyle name="Heading 2 2 2 7 2 6" xfId="36054"/>
    <cellStyle name="Heading 2 2 2 7 2 6 2" xfId="36055"/>
    <cellStyle name="Heading 2 2 2 7 2 6 2 2" xfId="36056"/>
    <cellStyle name="Heading 2 2 2 7 2 6 2 2 2" xfId="36057"/>
    <cellStyle name="Heading 2 2 2 7 2 6 2 3" xfId="36058"/>
    <cellStyle name="Heading 2 2 2 7 2 6 3" xfId="36059"/>
    <cellStyle name="Heading 2 2 2 7 2 6 3 2" xfId="36060"/>
    <cellStyle name="Heading 2 2 2 7 2 6 3 2 2" xfId="36061"/>
    <cellStyle name="Heading 2 2 2 7 2 6 3 3" xfId="36062"/>
    <cellStyle name="Heading 2 2 2 7 2 6 4" xfId="36063"/>
    <cellStyle name="Heading 2 2 2 7 2 6 4 2" xfId="36064"/>
    <cellStyle name="Heading 2 2 2 7 2 6 4 2 2" xfId="36065"/>
    <cellStyle name="Heading 2 2 2 7 2 6 4 3" xfId="36066"/>
    <cellStyle name="Heading 2 2 2 7 2 6 5" xfId="36067"/>
    <cellStyle name="Heading 2 2 2 7 2 6 5 2" xfId="36068"/>
    <cellStyle name="Heading 2 2 2 7 2 6 5 2 2" xfId="36069"/>
    <cellStyle name="Heading 2 2 2 7 2 6 5 3" xfId="36070"/>
    <cellStyle name="Heading 2 2 2 7 2 6 6" xfId="36071"/>
    <cellStyle name="Heading 2 2 2 7 2 6 6 2" xfId="36072"/>
    <cellStyle name="Heading 2 2 2 7 2 6 6 2 2" xfId="36073"/>
    <cellStyle name="Heading 2 2 2 7 2 6 6 3" xfId="36074"/>
    <cellStyle name="Heading 2 2 2 7 2 6 7" xfId="36075"/>
    <cellStyle name="Heading 2 2 2 7 2 6 7 2" xfId="36076"/>
    <cellStyle name="Heading 2 2 2 7 2 6 7 2 2" xfId="36077"/>
    <cellStyle name="Heading 2 2 2 7 2 6 7 3" xfId="36078"/>
    <cellStyle name="Heading 2 2 2 7 2 6 8" xfId="36079"/>
    <cellStyle name="Heading 2 2 2 7 2 6 8 2" xfId="36080"/>
    <cellStyle name="Heading 2 2 2 7 2 6 9" xfId="36081"/>
    <cellStyle name="Heading 2 2 2 7 2 7" xfId="36082"/>
    <cellStyle name="Heading 2 2 2 7 2 7 2" xfId="36083"/>
    <cellStyle name="Heading 2 2 2 7 2 7 2 2" xfId="36084"/>
    <cellStyle name="Heading 2 2 2 7 2 7 2 2 2" xfId="36085"/>
    <cellStyle name="Heading 2 2 2 7 2 7 2 3" xfId="36086"/>
    <cellStyle name="Heading 2 2 2 7 2 7 3" xfId="36087"/>
    <cellStyle name="Heading 2 2 2 7 2 7 3 2" xfId="36088"/>
    <cellStyle name="Heading 2 2 2 7 2 7 3 2 2" xfId="36089"/>
    <cellStyle name="Heading 2 2 2 7 2 7 3 3" xfId="36090"/>
    <cellStyle name="Heading 2 2 2 7 2 7 4" xfId="36091"/>
    <cellStyle name="Heading 2 2 2 7 2 7 4 2" xfId="36092"/>
    <cellStyle name="Heading 2 2 2 7 2 7 4 2 2" xfId="36093"/>
    <cellStyle name="Heading 2 2 2 7 2 7 4 3" xfId="36094"/>
    <cellStyle name="Heading 2 2 2 7 2 7 5" xfId="36095"/>
    <cellStyle name="Heading 2 2 2 7 2 7 5 2" xfId="36096"/>
    <cellStyle name="Heading 2 2 2 7 2 7 5 2 2" xfId="36097"/>
    <cellStyle name="Heading 2 2 2 7 2 7 5 3" xfId="36098"/>
    <cellStyle name="Heading 2 2 2 7 2 7 6" xfId="36099"/>
    <cellStyle name="Heading 2 2 2 7 2 7 6 2" xfId="36100"/>
    <cellStyle name="Heading 2 2 2 7 2 7 6 2 2" xfId="36101"/>
    <cellStyle name="Heading 2 2 2 7 2 7 6 3" xfId="36102"/>
    <cellStyle name="Heading 2 2 2 7 2 7 7" xfId="36103"/>
    <cellStyle name="Heading 2 2 2 7 2 7 7 2" xfId="36104"/>
    <cellStyle name="Heading 2 2 2 7 2 7 7 2 2" xfId="36105"/>
    <cellStyle name="Heading 2 2 2 7 2 7 7 3" xfId="36106"/>
    <cellStyle name="Heading 2 2 2 7 2 7 8" xfId="36107"/>
    <cellStyle name="Heading 2 2 2 7 2 7 8 2" xfId="36108"/>
    <cellStyle name="Heading 2 2 2 7 2 7 9" xfId="36109"/>
    <cellStyle name="Heading 2 2 2 7 2 8" xfId="36110"/>
    <cellStyle name="Heading 2 2 2 7 2 8 2" xfId="36111"/>
    <cellStyle name="Heading 2 2 2 7 2 8 2 2" xfId="36112"/>
    <cellStyle name="Heading 2 2 2 7 2 8 2 2 2" xfId="36113"/>
    <cellStyle name="Heading 2 2 2 7 2 8 2 3" xfId="36114"/>
    <cellStyle name="Heading 2 2 2 7 2 8 3" xfId="36115"/>
    <cellStyle name="Heading 2 2 2 7 2 8 3 2" xfId="36116"/>
    <cellStyle name="Heading 2 2 2 7 2 8 3 2 2" xfId="36117"/>
    <cellStyle name="Heading 2 2 2 7 2 8 3 3" xfId="36118"/>
    <cellStyle name="Heading 2 2 2 7 2 8 4" xfId="36119"/>
    <cellStyle name="Heading 2 2 2 7 2 8 4 2" xfId="36120"/>
    <cellStyle name="Heading 2 2 2 7 2 8 4 2 2" xfId="36121"/>
    <cellStyle name="Heading 2 2 2 7 2 8 4 3" xfId="36122"/>
    <cellStyle name="Heading 2 2 2 7 2 8 5" xfId="36123"/>
    <cellStyle name="Heading 2 2 2 7 2 8 5 2" xfId="36124"/>
    <cellStyle name="Heading 2 2 2 7 2 8 5 2 2" xfId="36125"/>
    <cellStyle name="Heading 2 2 2 7 2 8 5 3" xfId="36126"/>
    <cellStyle name="Heading 2 2 2 7 2 8 6" xfId="36127"/>
    <cellStyle name="Heading 2 2 2 7 2 8 6 2" xfId="36128"/>
    <cellStyle name="Heading 2 2 2 7 2 8 6 2 2" xfId="36129"/>
    <cellStyle name="Heading 2 2 2 7 2 8 6 3" xfId="36130"/>
    <cellStyle name="Heading 2 2 2 7 2 8 7" xfId="36131"/>
    <cellStyle name="Heading 2 2 2 7 2 8 7 2" xfId="36132"/>
    <cellStyle name="Heading 2 2 2 7 2 8 7 2 2" xfId="36133"/>
    <cellStyle name="Heading 2 2 2 7 2 8 7 3" xfId="36134"/>
    <cellStyle name="Heading 2 2 2 7 2 8 8" xfId="36135"/>
    <cellStyle name="Heading 2 2 2 7 2 8 8 2" xfId="36136"/>
    <cellStyle name="Heading 2 2 2 7 2 8 9" xfId="36137"/>
    <cellStyle name="Heading 2 2 2 7 2 9" xfId="36138"/>
    <cellStyle name="Heading 2 2 2 7 2 9 2" xfId="36139"/>
    <cellStyle name="Heading 2 2 2 7 2 9 2 2" xfId="36140"/>
    <cellStyle name="Heading 2 2 2 7 2 9 2 2 2" xfId="36141"/>
    <cellStyle name="Heading 2 2 2 7 2 9 2 3" xfId="36142"/>
    <cellStyle name="Heading 2 2 2 7 2 9 3" xfId="36143"/>
    <cellStyle name="Heading 2 2 2 7 2 9 3 2" xfId="36144"/>
    <cellStyle name="Heading 2 2 2 7 2 9 3 2 2" xfId="36145"/>
    <cellStyle name="Heading 2 2 2 7 2 9 3 3" xfId="36146"/>
    <cellStyle name="Heading 2 2 2 7 2 9 4" xfId="36147"/>
    <cellStyle name="Heading 2 2 2 7 2 9 4 2" xfId="36148"/>
    <cellStyle name="Heading 2 2 2 7 2 9 4 2 2" xfId="36149"/>
    <cellStyle name="Heading 2 2 2 7 2 9 4 3" xfId="36150"/>
    <cellStyle name="Heading 2 2 2 7 2 9 5" xfId="36151"/>
    <cellStyle name="Heading 2 2 2 7 2 9 5 2" xfId="36152"/>
    <cellStyle name="Heading 2 2 2 7 2 9 5 2 2" xfId="36153"/>
    <cellStyle name="Heading 2 2 2 7 2 9 5 3" xfId="36154"/>
    <cellStyle name="Heading 2 2 2 7 2 9 6" xfId="36155"/>
    <cellStyle name="Heading 2 2 2 7 2 9 6 2" xfId="36156"/>
    <cellStyle name="Heading 2 2 2 7 2 9 6 2 2" xfId="36157"/>
    <cellStyle name="Heading 2 2 2 7 2 9 6 3" xfId="36158"/>
    <cellStyle name="Heading 2 2 2 7 2 9 7" xfId="36159"/>
    <cellStyle name="Heading 2 2 2 7 2 9 7 2" xfId="36160"/>
    <cellStyle name="Heading 2 2 2 7 2 9 7 2 2" xfId="36161"/>
    <cellStyle name="Heading 2 2 2 7 2 9 7 3" xfId="36162"/>
    <cellStyle name="Heading 2 2 2 7 2 9 8" xfId="36163"/>
    <cellStyle name="Heading 2 2 2 7 2 9 8 2" xfId="36164"/>
    <cellStyle name="Heading 2 2 2 7 2 9 9" xfId="36165"/>
    <cellStyle name="Heading 2 2 2 7 3" xfId="36166"/>
    <cellStyle name="Heading 2 2 2 7 3 10" xfId="36167"/>
    <cellStyle name="Heading 2 2 2 7 3 10 2" xfId="36168"/>
    <cellStyle name="Heading 2 2 2 7 3 10 2 2" xfId="36169"/>
    <cellStyle name="Heading 2 2 2 7 3 10 3" xfId="36170"/>
    <cellStyle name="Heading 2 2 2 7 3 11" xfId="36171"/>
    <cellStyle name="Heading 2 2 2 7 3 11 2" xfId="36172"/>
    <cellStyle name="Heading 2 2 2 7 3 11 2 2" xfId="36173"/>
    <cellStyle name="Heading 2 2 2 7 3 11 3" xfId="36174"/>
    <cellStyle name="Heading 2 2 2 7 3 12" xfId="36175"/>
    <cellStyle name="Heading 2 2 2 7 3 12 2" xfId="36176"/>
    <cellStyle name="Heading 2 2 2 7 3 12 2 2" xfId="36177"/>
    <cellStyle name="Heading 2 2 2 7 3 12 3" xfId="36178"/>
    <cellStyle name="Heading 2 2 2 7 3 13" xfId="36179"/>
    <cellStyle name="Heading 2 2 2 7 3 13 2" xfId="36180"/>
    <cellStyle name="Heading 2 2 2 7 3 13 2 2" xfId="36181"/>
    <cellStyle name="Heading 2 2 2 7 3 13 3" xfId="36182"/>
    <cellStyle name="Heading 2 2 2 7 3 14" xfId="36183"/>
    <cellStyle name="Heading 2 2 2 7 3 14 2" xfId="36184"/>
    <cellStyle name="Heading 2 2 2 7 3 14 2 2" xfId="36185"/>
    <cellStyle name="Heading 2 2 2 7 3 14 3" xfId="36186"/>
    <cellStyle name="Heading 2 2 2 7 3 15" xfId="36187"/>
    <cellStyle name="Heading 2 2 2 7 3 15 2" xfId="36188"/>
    <cellStyle name="Heading 2 2 2 7 3 15 2 2" xfId="36189"/>
    <cellStyle name="Heading 2 2 2 7 3 15 3" xfId="36190"/>
    <cellStyle name="Heading 2 2 2 7 3 16" xfId="36191"/>
    <cellStyle name="Heading 2 2 2 7 3 16 2" xfId="36192"/>
    <cellStyle name="Heading 2 2 2 7 3 16 2 2" xfId="36193"/>
    <cellStyle name="Heading 2 2 2 7 3 16 3" xfId="36194"/>
    <cellStyle name="Heading 2 2 2 7 3 17" xfId="36195"/>
    <cellStyle name="Heading 2 2 2 7 3 17 2" xfId="36196"/>
    <cellStyle name="Heading 2 2 2 7 3 17 2 2" xfId="36197"/>
    <cellStyle name="Heading 2 2 2 7 3 17 3" xfId="36198"/>
    <cellStyle name="Heading 2 2 2 7 3 18" xfId="36199"/>
    <cellStyle name="Heading 2 2 2 7 3 18 2" xfId="36200"/>
    <cellStyle name="Heading 2 2 2 7 3 18 2 2" xfId="36201"/>
    <cellStyle name="Heading 2 2 2 7 3 18 3" xfId="36202"/>
    <cellStyle name="Heading 2 2 2 7 3 19" xfId="36203"/>
    <cellStyle name="Heading 2 2 2 7 3 19 2" xfId="36204"/>
    <cellStyle name="Heading 2 2 2 7 3 2" xfId="36205"/>
    <cellStyle name="Heading 2 2 2 7 3 2 2" xfId="36206"/>
    <cellStyle name="Heading 2 2 2 7 3 2 2 2" xfId="36207"/>
    <cellStyle name="Heading 2 2 2 7 3 2 2 2 2" xfId="36208"/>
    <cellStyle name="Heading 2 2 2 7 3 2 2 3" xfId="36209"/>
    <cellStyle name="Heading 2 2 2 7 3 2 3" xfId="36210"/>
    <cellStyle name="Heading 2 2 2 7 3 2 3 2" xfId="36211"/>
    <cellStyle name="Heading 2 2 2 7 3 2 3 2 2" xfId="36212"/>
    <cellStyle name="Heading 2 2 2 7 3 2 3 3" xfId="36213"/>
    <cellStyle name="Heading 2 2 2 7 3 2 4" xfId="36214"/>
    <cellStyle name="Heading 2 2 2 7 3 2 4 2" xfId="36215"/>
    <cellStyle name="Heading 2 2 2 7 3 2 4 2 2" xfId="36216"/>
    <cellStyle name="Heading 2 2 2 7 3 2 4 3" xfId="36217"/>
    <cellStyle name="Heading 2 2 2 7 3 2 5" xfId="36218"/>
    <cellStyle name="Heading 2 2 2 7 3 2 5 2" xfId="36219"/>
    <cellStyle name="Heading 2 2 2 7 3 2 5 2 2" xfId="36220"/>
    <cellStyle name="Heading 2 2 2 7 3 2 5 3" xfId="36221"/>
    <cellStyle name="Heading 2 2 2 7 3 2 6" xfId="36222"/>
    <cellStyle name="Heading 2 2 2 7 3 2 6 2" xfId="36223"/>
    <cellStyle name="Heading 2 2 2 7 3 2 6 2 2" xfId="36224"/>
    <cellStyle name="Heading 2 2 2 7 3 2 6 3" xfId="36225"/>
    <cellStyle name="Heading 2 2 2 7 3 2 7" xfId="36226"/>
    <cellStyle name="Heading 2 2 2 7 3 2 7 2" xfId="36227"/>
    <cellStyle name="Heading 2 2 2 7 3 2 7 2 2" xfId="36228"/>
    <cellStyle name="Heading 2 2 2 7 3 2 7 3" xfId="36229"/>
    <cellStyle name="Heading 2 2 2 7 3 2 8" xfId="36230"/>
    <cellStyle name="Heading 2 2 2 7 3 2 8 2" xfId="36231"/>
    <cellStyle name="Heading 2 2 2 7 3 2 9" xfId="36232"/>
    <cellStyle name="Heading 2 2 2 7 3 20" xfId="36233"/>
    <cellStyle name="Heading 2 2 2 7 3 20 2" xfId="36234"/>
    <cellStyle name="Heading 2 2 2 7 3 21" xfId="36235"/>
    <cellStyle name="Heading 2 2 2 7 3 21 2" xfId="36236"/>
    <cellStyle name="Heading 2 2 2 7 3 22" xfId="36237"/>
    <cellStyle name="Heading 2 2 2 7 3 3" xfId="36238"/>
    <cellStyle name="Heading 2 2 2 7 3 3 2" xfId="36239"/>
    <cellStyle name="Heading 2 2 2 7 3 3 2 2" xfId="36240"/>
    <cellStyle name="Heading 2 2 2 7 3 3 2 2 2" xfId="36241"/>
    <cellStyle name="Heading 2 2 2 7 3 3 2 3" xfId="36242"/>
    <cellStyle name="Heading 2 2 2 7 3 3 3" xfId="36243"/>
    <cellStyle name="Heading 2 2 2 7 3 3 3 2" xfId="36244"/>
    <cellStyle name="Heading 2 2 2 7 3 3 3 2 2" xfId="36245"/>
    <cellStyle name="Heading 2 2 2 7 3 3 3 3" xfId="36246"/>
    <cellStyle name="Heading 2 2 2 7 3 3 4" xfId="36247"/>
    <cellStyle name="Heading 2 2 2 7 3 3 4 2" xfId="36248"/>
    <cellStyle name="Heading 2 2 2 7 3 3 4 2 2" xfId="36249"/>
    <cellStyle name="Heading 2 2 2 7 3 3 4 3" xfId="36250"/>
    <cellStyle name="Heading 2 2 2 7 3 3 5" xfId="36251"/>
    <cellStyle name="Heading 2 2 2 7 3 3 5 2" xfId="36252"/>
    <cellStyle name="Heading 2 2 2 7 3 3 5 2 2" xfId="36253"/>
    <cellStyle name="Heading 2 2 2 7 3 3 5 3" xfId="36254"/>
    <cellStyle name="Heading 2 2 2 7 3 3 6" xfId="36255"/>
    <cellStyle name="Heading 2 2 2 7 3 3 6 2" xfId="36256"/>
    <cellStyle name="Heading 2 2 2 7 3 3 6 2 2" xfId="36257"/>
    <cellStyle name="Heading 2 2 2 7 3 3 6 3" xfId="36258"/>
    <cellStyle name="Heading 2 2 2 7 3 3 7" xfId="36259"/>
    <cellStyle name="Heading 2 2 2 7 3 3 7 2" xfId="36260"/>
    <cellStyle name="Heading 2 2 2 7 3 3 7 2 2" xfId="36261"/>
    <cellStyle name="Heading 2 2 2 7 3 3 7 3" xfId="36262"/>
    <cellStyle name="Heading 2 2 2 7 3 3 8" xfId="36263"/>
    <cellStyle name="Heading 2 2 2 7 3 3 8 2" xfId="36264"/>
    <cellStyle name="Heading 2 2 2 7 3 3 9" xfId="36265"/>
    <cellStyle name="Heading 2 2 2 7 3 4" xfId="36266"/>
    <cellStyle name="Heading 2 2 2 7 3 4 2" xfId="36267"/>
    <cellStyle name="Heading 2 2 2 7 3 4 2 2" xfId="36268"/>
    <cellStyle name="Heading 2 2 2 7 3 4 2 2 2" xfId="36269"/>
    <cellStyle name="Heading 2 2 2 7 3 4 2 3" xfId="36270"/>
    <cellStyle name="Heading 2 2 2 7 3 4 3" xfId="36271"/>
    <cellStyle name="Heading 2 2 2 7 3 4 3 2" xfId="36272"/>
    <cellStyle name="Heading 2 2 2 7 3 4 3 2 2" xfId="36273"/>
    <cellStyle name="Heading 2 2 2 7 3 4 3 3" xfId="36274"/>
    <cellStyle name="Heading 2 2 2 7 3 4 4" xfId="36275"/>
    <cellStyle name="Heading 2 2 2 7 3 4 4 2" xfId="36276"/>
    <cellStyle name="Heading 2 2 2 7 3 4 4 2 2" xfId="36277"/>
    <cellStyle name="Heading 2 2 2 7 3 4 4 3" xfId="36278"/>
    <cellStyle name="Heading 2 2 2 7 3 4 5" xfId="36279"/>
    <cellStyle name="Heading 2 2 2 7 3 4 5 2" xfId="36280"/>
    <cellStyle name="Heading 2 2 2 7 3 4 5 2 2" xfId="36281"/>
    <cellStyle name="Heading 2 2 2 7 3 4 5 3" xfId="36282"/>
    <cellStyle name="Heading 2 2 2 7 3 4 6" xfId="36283"/>
    <cellStyle name="Heading 2 2 2 7 3 4 6 2" xfId="36284"/>
    <cellStyle name="Heading 2 2 2 7 3 4 6 2 2" xfId="36285"/>
    <cellStyle name="Heading 2 2 2 7 3 4 6 3" xfId="36286"/>
    <cellStyle name="Heading 2 2 2 7 3 4 7" xfId="36287"/>
    <cellStyle name="Heading 2 2 2 7 3 4 7 2" xfId="36288"/>
    <cellStyle name="Heading 2 2 2 7 3 4 7 2 2" xfId="36289"/>
    <cellStyle name="Heading 2 2 2 7 3 4 7 3" xfId="36290"/>
    <cellStyle name="Heading 2 2 2 7 3 4 8" xfId="36291"/>
    <cellStyle name="Heading 2 2 2 7 3 4 8 2" xfId="36292"/>
    <cellStyle name="Heading 2 2 2 7 3 4 9" xfId="36293"/>
    <cellStyle name="Heading 2 2 2 7 3 5" xfId="36294"/>
    <cellStyle name="Heading 2 2 2 7 3 5 2" xfId="36295"/>
    <cellStyle name="Heading 2 2 2 7 3 5 2 2" xfId="36296"/>
    <cellStyle name="Heading 2 2 2 7 3 5 2 2 2" xfId="36297"/>
    <cellStyle name="Heading 2 2 2 7 3 5 2 3" xfId="36298"/>
    <cellStyle name="Heading 2 2 2 7 3 5 3" xfId="36299"/>
    <cellStyle name="Heading 2 2 2 7 3 5 3 2" xfId="36300"/>
    <cellStyle name="Heading 2 2 2 7 3 5 3 2 2" xfId="36301"/>
    <cellStyle name="Heading 2 2 2 7 3 5 3 3" xfId="36302"/>
    <cellStyle name="Heading 2 2 2 7 3 5 4" xfId="36303"/>
    <cellStyle name="Heading 2 2 2 7 3 5 4 2" xfId="36304"/>
    <cellStyle name="Heading 2 2 2 7 3 5 4 2 2" xfId="36305"/>
    <cellStyle name="Heading 2 2 2 7 3 5 4 3" xfId="36306"/>
    <cellStyle name="Heading 2 2 2 7 3 5 5" xfId="36307"/>
    <cellStyle name="Heading 2 2 2 7 3 5 5 2" xfId="36308"/>
    <cellStyle name="Heading 2 2 2 7 3 5 5 2 2" xfId="36309"/>
    <cellStyle name="Heading 2 2 2 7 3 5 5 3" xfId="36310"/>
    <cellStyle name="Heading 2 2 2 7 3 5 6" xfId="36311"/>
    <cellStyle name="Heading 2 2 2 7 3 5 6 2" xfId="36312"/>
    <cellStyle name="Heading 2 2 2 7 3 5 6 2 2" xfId="36313"/>
    <cellStyle name="Heading 2 2 2 7 3 5 6 3" xfId="36314"/>
    <cellStyle name="Heading 2 2 2 7 3 5 7" xfId="36315"/>
    <cellStyle name="Heading 2 2 2 7 3 5 7 2" xfId="36316"/>
    <cellStyle name="Heading 2 2 2 7 3 5 7 2 2" xfId="36317"/>
    <cellStyle name="Heading 2 2 2 7 3 5 7 3" xfId="36318"/>
    <cellStyle name="Heading 2 2 2 7 3 5 8" xfId="36319"/>
    <cellStyle name="Heading 2 2 2 7 3 5 8 2" xfId="36320"/>
    <cellStyle name="Heading 2 2 2 7 3 5 9" xfId="36321"/>
    <cellStyle name="Heading 2 2 2 7 3 6" xfId="36322"/>
    <cellStyle name="Heading 2 2 2 7 3 6 2" xfId="36323"/>
    <cellStyle name="Heading 2 2 2 7 3 6 2 2" xfId="36324"/>
    <cellStyle name="Heading 2 2 2 7 3 6 2 2 2" xfId="36325"/>
    <cellStyle name="Heading 2 2 2 7 3 6 2 3" xfId="36326"/>
    <cellStyle name="Heading 2 2 2 7 3 6 3" xfId="36327"/>
    <cellStyle name="Heading 2 2 2 7 3 6 3 2" xfId="36328"/>
    <cellStyle name="Heading 2 2 2 7 3 6 3 2 2" xfId="36329"/>
    <cellStyle name="Heading 2 2 2 7 3 6 3 3" xfId="36330"/>
    <cellStyle name="Heading 2 2 2 7 3 6 4" xfId="36331"/>
    <cellStyle name="Heading 2 2 2 7 3 6 4 2" xfId="36332"/>
    <cellStyle name="Heading 2 2 2 7 3 6 4 2 2" xfId="36333"/>
    <cellStyle name="Heading 2 2 2 7 3 6 4 3" xfId="36334"/>
    <cellStyle name="Heading 2 2 2 7 3 6 5" xfId="36335"/>
    <cellStyle name="Heading 2 2 2 7 3 6 5 2" xfId="36336"/>
    <cellStyle name="Heading 2 2 2 7 3 6 5 2 2" xfId="36337"/>
    <cellStyle name="Heading 2 2 2 7 3 6 5 3" xfId="36338"/>
    <cellStyle name="Heading 2 2 2 7 3 6 6" xfId="36339"/>
    <cellStyle name="Heading 2 2 2 7 3 6 6 2" xfId="36340"/>
    <cellStyle name="Heading 2 2 2 7 3 6 6 2 2" xfId="36341"/>
    <cellStyle name="Heading 2 2 2 7 3 6 6 3" xfId="36342"/>
    <cellStyle name="Heading 2 2 2 7 3 6 7" xfId="36343"/>
    <cellStyle name="Heading 2 2 2 7 3 6 7 2" xfId="36344"/>
    <cellStyle name="Heading 2 2 2 7 3 6 7 2 2" xfId="36345"/>
    <cellStyle name="Heading 2 2 2 7 3 6 7 3" xfId="36346"/>
    <cellStyle name="Heading 2 2 2 7 3 6 8" xfId="36347"/>
    <cellStyle name="Heading 2 2 2 7 3 6 8 2" xfId="36348"/>
    <cellStyle name="Heading 2 2 2 7 3 6 9" xfId="36349"/>
    <cellStyle name="Heading 2 2 2 7 3 7" xfId="36350"/>
    <cellStyle name="Heading 2 2 2 7 3 7 2" xfId="36351"/>
    <cellStyle name="Heading 2 2 2 7 3 7 2 2" xfId="36352"/>
    <cellStyle name="Heading 2 2 2 7 3 7 2 2 2" xfId="36353"/>
    <cellStyle name="Heading 2 2 2 7 3 7 2 3" xfId="36354"/>
    <cellStyle name="Heading 2 2 2 7 3 7 3" xfId="36355"/>
    <cellStyle name="Heading 2 2 2 7 3 7 3 2" xfId="36356"/>
    <cellStyle name="Heading 2 2 2 7 3 7 3 2 2" xfId="36357"/>
    <cellStyle name="Heading 2 2 2 7 3 7 3 3" xfId="36358"/>
    <cellStyle name="Heading 2 2 2 7 3 7 4" xfId="36359"/>
    <cellStyle name="Heading 2 2 2 7 3 7 4 2" xfId="36360"/>
    <cellStyle name="Heading 2 2 2 7 3 7 4 2 2" xfId="36361"/>
    <cellStyle name="Heading 2 2 2 7 3 7 4 3" xfId="36362"/>
    <cellStyle name="Heading 2 2 2 7 3 7 5" xfId="36363"/>
    <cellStyle name="Heading 2 2 2 7 3 7 5 2" xfId="36364"/>
    <cellStyle name="Heading 2 2 2 7 3 7 5 2 2" xfId="36365"/>
    <cellStyle name="Heading 2 2 2 7 3 7 5 3" xfId="36366"/>
    <cellStyle name="Heading 2 2 2 7 3 7 6" xfId="36367"/>
    <cellStyle name="Heading 2 2 2 7 3 7 6 2" xfId="36368"/>
    <cellStyle name="Heading 2 2 2 7 3 7 6 2 2" xfId="36369"/>
    <cellStyle name="Heading 2 2 2 7 3 7 6 3" xfId="36370"/>
    <cellStyle name="Heading 2 2 2 7 3 7 7" xfId="36371"/>
    <cellStyle name="Heading 2 2 2 7 3 7 7 2" xfId="36372"/>
    <cellStyle name="Heading 2 2 2 7 3 7 7 2 2" xfId="36373"/>
    <cellStyle name="Heading 2 2 2 7 3 7 7 3" xfId="36374"/>
    <cellStyle name="Heading 2 2 2 7 3 7 8" xfId="36375"/>
    <cellStyle name="Heading 2 2 2 7 3 7 8 2" xfId="36376"/>
    <cellStyle name="Heading 2 2 2 7 3 7 9" xfId="36377"/>
    <cellStyle name="Heading 2 2 2 7 3 8" xfId="36378"/>
    <cellStyle name="Heading 2 2 2 7 3 8 2" xfId="36379"/>
    <cellStyle name="Heading 2 2 2 7 3 8 2 2" xfId="36380"/>
    <cellStyle name="Heading 2 2 2 7 3 8 2 2 2" xfId="36381"/>
    <cellStyle name="Heading 2 2 2 7 3 8 2 3" xfId="36382"/>
    <cellStyle name="Heading 2 2 2 7 3 8 3" xfId="36383"/>
    <cellStyle name="Heading 2 2 2 7 3 8 3 2" xfId="36384"/>
    <cellStyle name="Heading 2 2 2 7 3 8 3 2 2" xfId="36385"/>
    <cellStyle name="Heading 2 2 2 7 3 8 3 3" xfId="36386"/>
    <cellStyle name="Heading 2 2 2 7 3 8 4" xfId="36387"/>
    <cellStyle name="Heading 2 2 2 7 3 8 4 2" xfId="36388"/>
    <cellStyle name="Heading 2 2 2 7 3 8 4 2 2" xfId="36389"/>
    <cellStyle name="Heading 2 2 2 7 3 8 4 3" xfId="36390"/>
    <cellStyle name="Heading 2 2 2 7 3 8 5" xfId="36391"/>
    <cellStyle name="Heading 2 2 2 7 3 8 5 2" xfId="36392"/>
    <cellStyle name="Heading 2 2 2 7 3 8 5 2 2" xfId="36393"/>
    <cellStyle name="Heading 2 2 2 7 3 8 5 3" xfId="36394"/>
    <cellStyle name="Heading 2 2 2 7 3 8 6" xfId="36395"/>
    <cellStyle name="Heading 2 2 2 7 3 8 6 2" xfId="36396"/>
    <cellStyle name="Heading 2 2 2 7 3 8 6 2 2" xfId="36397"/>
    <cellStyle name="Heading 2 2 2 7 3 8 6 3" xfId="36398"/>
    <cellStyle name="Heading 2 2 2 7 3 8 7" xfId="36399"/>
    <cellStyle name="Heading 2 2 2 7 3 8 7 2" xfId="36400"/>
    <cellStyle name="Heading 2 2 2 7 3 8 7 2 2" xfId="36401"/>
    <cellStyle name="Heading 2 2 2 7 3 8 7 3" xfId="36402"/>
    <cellStyle name="Heading 2 2 2 7 3 8 8" xfId="36403"/>
    <cellStyle name="Heading 2 2 2 7 3 8 8 2" xfId="36404"/>
    <cellStyle name="Heading 2 2 2 7 3 8 9" xfId="36405"/>
    <cellStyle name="Heading 2 2 2 7 3 9" xfId="36406"/>
    <cellStyle name="Heading 2 2 2 7 3 9 2" xfId="36407"/>
    <cellStyle name="Heading 2 2 2 7 3 9 2 2" xfId="36408"/>
    <cellStyle name="Heading 2 2 2 7 3 9 3" xfId="36409"/>
    <cellStyle name="Heading 2 2 2 7 4" xfId="36410"/>
    <cellStyle name="Heading 2 2 2 7 4 2" xfId="36411"/>
    <cellStyle name="Heading 2 2 2 7 4 2 2" xfId="36412"/>
    <cellStyle name="Heading 2 2 2 7 4 3" xfId="36413"/>
    <cellStyle name="Heading 2 2 2 7 5" xfId="36414"/>
    <cellStyle name="Heading 2 2 2 7 5 2" xfId="36415"/>
    <cellStyle name="Heading 2 2 2 7 6" xfId="36416"/>
    <cellStyle name="Heading 2 2 2 8" xfId="36417"/>
    <cellStyle name="Heading 2 2 2 8 2" xfId="36418"/>
    <cellStyle name="Heading 2 2 2 8 2 10" xfId="36419"/>
    <cellStyle name="Heading 2 2 2 8 2 10 2" xfId="36420"/>
    <cellStyle name="Heading 2 2 2 8 2 10 2 2" xfId="36421"/>
    <cellStyle name="Heading 2 2 2 8 2 10 3" xfId="36422"/>
    <cellStyle name="Heading 2 2 2 8 2 11" xfId="36423"/>
    <cellStyle name="Heading 2 2 2 8 2 11 2" xfId="36424"/>
    <cellStyle name="Heading 2 2 2 8 2 11 2 2" xfId="36425"/>
    <cellStyle name="Heading 2 2 2 8 2 11 3" xfId="36426"/>
    <cellStyle name="Heading 2 2 2 8 2 12" xfId="36427"/>
    <cellStyle name="Heading 2 2 2 8 2 12 2" xfId="36428"/>
    <cellStyle name="Heading 2 2 2 8 2 12 2 2" xfId="36429"/>
    <cellStyle name="Heading 2 2 2 8 2 12 3" xfId="36430"/>
    <cellStyle name="Heading 2 2 2 8 2 13" xfId="36431"/>
    <cellStyle name="Heading 2 2 2 8 2 13 2" xfId="36432"/>
    <cellStyle name="Heading 2 2 2 8 2 13 2 2" xfId="36433"/>
    <cellStyle name="Heading 2 2 2 8 2 13 3" xfId="36434"/>
    <cellStyle name="Heading 2 2 2 8 2 14" xfId="36435"/>
    <cellStyle name="Heading 2 2 2 8 2 14 2" xfId="36436"/>
    <cellStyle name="Heading 2 2 2 8 2 14 2 2" xfId="36437"/>
    <cellStyle name="Heading 2 2 2 8 2 14 3" xfId="36438"/>
    <cellStyle name="Heading 2 2 2 8 2 15" xfId="36439"/>
    <cellStyle name="Heading 2 2 2 8 2 15 2" xfId="36440"/>
    <cellStyle name="Heading 2 2 2 8 2 15 2 2" xfId="36441"/>
    <cellStyle name="Heading 2 2 2 8 2 15 3" xfId="36442"/>
    <cellStyle name="Heading 2 2 2 8 2 16" xfId="36443"/>
    <cellStyle name="Heading 2 2 2 8 2 16 2" xfId="36444"/>
    <cellStyle name="Heading 2 2 2 8 2 16 2 2" xfId="36445"/>
    <cellStyle name="Heading 2 2 2 8 2 16 3" xfId="36446"/>
    <cellStyle name="Heading 2 2 2 8 2 17" xfId="36447"/>
    <cellStyle name="Heading 2 2 2 8 2 17 2" xfId="36448"/>
    <cellStyle name="Heading 2 2 2 8 2 17 2 2" xfId="36449"/>
    <cellStyle name="Heading 2 2 2 8 2 17 3" xfId="36450"/>
    <cellStyle name="Heading 2 2 2 8 2 18" xfId="36451"/>
    <cellStyle name="Heading 2 2 2 8 2 18 2" xfId="36452"/>
    <cellStyle name="Heading 2 2 2 8 2 18 2 2" xfId="36453"/>
    <cellStyle name="Heading 2 2 2 8 2 18 3" xfId="36454"/>
    <cellStyle name="Heading 2 2 2 8 2 19" xfId="36455"/>
    <cellStyle name="Heading 2 2 2 8 2 19 2" xfId="36456"/>
    <cellStyle name="Heading 2 2 2 8 2 19 2 2" xfId="36457"/>
    <cellStyle name="Heading 2 2 2 8 2 19 3" xfId="36458"/>
    <cellStyle name="Heading 2 2 2 8 2 2" xfId="36459"/>
    <cellStyle name="Heading 2 2 2 8 2 2 10" xfId="36460"/>
    <cellStyle name="Heading 2 2 2 8 2 2 10 2" xfId="36461"/>
    <cellStyle name="Heading 2 2 2 8 2 2 10 2 2" xfId="36462"/>
    <cellStyle name="Heading 2 2 2 8 2 2 10 3" xfId="36463"/>
    <cellStyle name="Heading 2 2 2 8 2 2 11" xfId="36464"/>
    <cellStyle name="Heading 2 2 2 8 2 2 11 2" xfId="36465"/>
    <cellStyle name="Heading 2 2 2 8 2 2 11 2 2" xfId="36466"/>
    <cellStyle name="Heading 2 2 2 8 2 2 11 3" xfId="36467"/>
    <cellStyle name="Heading 2 2 2 8 2 2 12" xfId="36468"/>
    <cellStyle name="Heading 2 2 2 8 2 2 12 2" xfId="36469"/>
    <cellStyle name="Heading 2 2 2 8 2 2 12 2 2" xfId="36470"/>
    <cellStyle name="Heading 2 2 2 8 2 2 12 3" xfId="36471"/>
    <cellStyle name="Heading 2 2 2 8 2 2 13" xfId="36472"/>
    <cellStyle name="Heading 2 2 2 8 2 2 13 2" xfId="36473"/>
    <cellStyle name="Heading 2 2 2 8 2 2 13 2 2" xfId="36474"/>
    <cellStyle name="Heading 2 2 2 8 2 2 13 3" xfId="36475"/>
    <cellStyle name="Heading 2 2 2 8 2 2 14" xfId="36476"/>
    <cellStyle name="Heading 2 2 2 8 2 2 14 2" xfId="36477"/>
    <cellStyle name="Heading 2 2 2 8 2 2 14 2 2" xfId="36478"/>
    <cellStyle name="Heading 2 2 2 8 2 2 14 3" xfId="36479"/>
    <cellStyle name="Heading 2 2 2 8 2 2 15" xfId="36480"/>
    <cellStyle name="Heading 2 2 2 8 2 2 15 2" xfId="36481"/>
    <cellStyle name="Heading 2 2 2 8 2 2 15 2 2" xfId="36482"/>
    <cellStyle name="Heading 2 2 2 8 2 2 15 3" xfId="36483"/>
    <cellStyle name="Heading 2 2 2 8 2 2 16" xfId="36484"/>
    <cellStyle name="Heading 2 2 2 8 2 2 16 2" xfId="36485"/>
    <cellStyle name="Heading 2 2 2 8 2 2 16 2 2" xfId="36486"/>
    <cellStyle name="Heading 2 2 2 8 2 2 16 3" xfId="36487"/>
    <cellStyle name="Heading 2 2 2 8 2 2 17" xfId="36488"/>
    <cellStyle name="Heading 2 2 2 8 2 2 17 2" xfId="36489"/>
    <cellStyle name="Heading 2 2 2 8 2 2 17 2 2" xfId="36490"/>
    <cellStyle name="Heading 2 2 2 8 2 2 17 3" xfId="36491"/>
    <cellStyle name="Heading 2 2 2 8 2 2 18" xfId="36492"/>
    <cellStyle name="Heading 2 2 2 8 2 2 18 2" xfId="36493"/>
    <cellStyle name="Heading 2 2 2 8 2 2 18 2 2" xfId="36494"/>
    <cellStyle name="Heading 2 2 2 8 2 2 18 3" xfId="36495"/>
    <cellStyle name="Heading 2 2 2 8 2 2 19" xfId="36496"/>
    <cellStyle name="Heading 2 2 2 8 2 2 19 2" xfId="36497"/>
    <cellStyle name="Heading 2 2 2 8 2 2 2" xfId="36498"/>
    <cellStyle name="Heading 2 2 2 8 2 2 2 2" xfId="36499"/>
    <cellStyle name="Heading 2 2 2 8 2 2 2 2 2" xfId="36500"/>
    <cellStyle name="Heading 2 2 2 8 2 2 2 2 2 2" xfId="36501"/>
    <cellStyle name="Heading 2 2 2 8 2 2 2 2 3" xfId="36502"/>
    <cellStyle name="Heading 2 2 2 8 2 2 2 3" xfId="36503"/>
    <cellStyle name="Heading 2 2 2 8 2 2 2 3 2" xfId="36504"/>
    <cellStyle name="Heading 2 2 2 8 2 2 2 3 2 2" xfId="36505"/>
    <cellStyle name="Heading 2 2 2 8 2 2 2 3 3" xfId="36506"/>
    <cellStyle name="Heading 2 2 2 8 2 2 2 4" xfId="36507"/>
    <cellStyle name="Heading 2 2 2 8 2 2 2 4 2" xfId="36508"/>
    <cellStyle name="Heading 2 2 2 8 2 2 2 4 2 2" xfId="36509"/>
    <cellStyle name="Heading 2 2 2 8 2 2 2 4 3" xfId="36510"/>
    <cellStyle name="Heading 2 2 2 8 2 2 2 5" xfId="36511"/>
    <cellStyle name="Heading 2 2 2 8 2 2 2 5 2" xfId="36512"/>
    <cellStyle name="Heading 2 2 2 8 2 2 2 5 2 2" xfId="36513"/>
    <cellStyle name="Heading 2 2 2 8 2 2 2 5 3" xfId="36514"/>
    <cellStyle name="Heading 2 2 2 8 2 2 2 6" xfId="36515"/>
    <cellStyle name="Heading 2 2 2 8 2 2 2 6 2" xfId="36516"/>
    <cellStyle name="Heading 2 2 2 8 2 2 2 6 2 2" xfId="36517"/>
    <cellStyle name="Heading 2 2 2 8 2 2 2 6 3" xfId="36518"/>
    <cellStyle name="Heading 2 2 2 8 2 2 2 7" xfId="36519"/>
    <cellStyle name="Heading 2 2 2 8 2 2 2 7 2" xfId="36520"/>
    <cellStyle name="Heading 2 2 2 8 2 2 2 7 2 2" xfId="36521"/>
    <cellStyle name="Heading 2 2 2 8 2 2 2 7 3" xfId="36522"/>
    <cellStyle name="Heading 2 2 2 8 2 2 2 8" xfId="36523"/>
    <cellStyle name="Heading 2 2 2 8 2 2 2 8 2" xfId="36524"/>
    <cellStyle name="Heading 2 2 2 8 2 2 2 9" xfId="36525"/>
    <cellStyle name="Heading 2 2 2 8 2 2 20" xfId="36526"/>
    <cellStyle name="Heading 2 2 2 8 2 2 20 2" xfId="36527"/>
    <cellStyle name="Heading 2 2 2 8 2 2 21" xfId="36528"/>
    <cellStyle name="Heading 2 2 2 8 2 2 21 2" xfId="36529"/>
    <cellStyle name="Heading 2 2 2 8 2 2 22" xfId="36530"/>
    <cellStyle name="Heading 2 2 2 8 2 2 3" xfId="36531"/>
    <cellStyle name="Heading 2 2 2 8 2 2 3 2" xfId="36532"/>
    <cellStyle name="Heading 2 2 2 8 2 2 3 2 2" xfId="36533"/>
    <cellStyle name="Heading 2 2 2 8 2 2 3 2 2 2" xfId="36534"/>
    <cellStyle name="Heading 2 2 2 8 2 2 3 2 3" xfId="36535"/>
    <cellStyle name="Heading 2 2 2 8 2 2 3 3" xfId="36536"/>
    <cellStyle name="Heading 2 2 2 8 2 2 3 3 2" xfId="36537"/>
    <cellStyle name="Heading 2 2 2 8 2 2 3 3 2 2" xfId="36538"/>
    <cellStyle name="Heading 2 2 2 8 2 2 3 3 3" xfId="36539"/>
    <cellStyle name="Heading 2 2 2 8 2 2 3 4" xfId="36540"/>
    <cellStyle name="Heading 2 2 2 8 2 2 3 4 2" xfId="36541"/>
    <cellStyle name="Heading 2 2 2 8 2 2 3 4 2 2" xfId="36542"/>
    <cellStyle name="Heading 2 2 2 8 2 2 3 4 3" xfId="36543"/>
    <cellStyle name="Heading 2 2 2 8 2 2 3 5" xfId="36544"/>
    <cellStyle name="Heading 2 2 2 8 2 2 3 5 2" xfId="36545"/>
    <cellStyle name="Heading 2 2 2 8 2 2 3 5 2 2" xfId="36546"/>
    <cellStyle name="Heading 2 2 2 8 2 2 3 5 3" xfId="36547"/>
    <cellStyle name="Heading 2 2 2 8 2 2 3 6" xfId="36548"/>
    <cellStyle name="Heading 2 2 2 8 2 2 3 6 2" xfId="36549"/>
    <cellStyle name="Heading 2 2 2 8 2 2 3 6 2 2" xfId="36550"/>
    <cellStyle name="Heading 2 2 2 8 2 2 3 6 3" xfId="36551"/>
    <cellStyle name="Heading 2 2 2 8 2 2 3 7" xfId="36552"/>
    <cellStyle name="Heading 2 2 2 8 2 2 3 7 2" xfId="36553"/>
    <cellStyle name="Heading 2 2 2 8 2 2 3 7 2 2" xfId="36554"/>
    <cellStyle name="Heading 2 2 2 8 2 2 3 7 3" xfId="36555"/>
    <cellStyle name="Heading 2 2 2 8 2 2 3 8" xfId="36556"/>
    <cellStyle name="Heading 2 2 2 8 2 2 3 8 2" xfId="36557"/>
    <cellStyle name="Heading 2 2 2 8 2 2 3 9" xfId="36558"/>
    <cellStyle name="Heading 2 2 2 8 2 2 4" xfId="36559"/>
    <cellStyle name="Heading 2 2 2 8 2 2 4 2" xfId="36560"/>
    <cellStyle name="Heading 2 2 2 8 2 2 4 2 2" xfId="36561"/>
    <cellStyle name="Heading 2 2 2 8 2 2 4 2 2 2" xfId="36562"/>
    <cellStyle name="Heading 2 2 2 8 2 2 4 2 3" xfId="36563"/>
    <cellStyle name="Heading 2 2 2 8 2 2 4 3" xfId="36564"/>
    <cellStyle name="Heading 2 2 2 8 2 2 4 3 2" xfId="36565"/>
    <cellStyle name="Heading 2 2 2 8 2 2 4 3 2 2" xfId="36566"/>
    <cellStyle name="Heading 2 2 2 8 2 2 4 3 3" xfId="36567"/>
    <cellStyle name="Heading 2 2 2 8 2 2 4 4" xfId="36568"/>
    <cellStyle name="Heading 2 2 2 8 2 2 4 4 2" xfId="36569"/>
    <cellStyle name="Heading 2 2 2 8 2 2 4 4 2 2" xfId="36570"/>
    <cellStyle name="Heading 2 2 2 8 2 2 4 4 3" xfId="36571"/>
    <cellStyle name="Heading 2 2 2 8 2 2 4 5" xfId="36572"/>
    <cellStyle name="Heading 2 2 2 8 2 2 4 5 2" xfId="36573"/>
    <cellStyle name="Heading 2 2 2 8 2 2 4 5 2 2" xfId="36574"/>
    <cellStyle name="Heading 2 2 2 8 2 2 4 5 3" xfId="36575"/>
    <cellStyle name="Heading 2 2 2 8 2 2 4 6" xfId="36576"/>
    <cellStyle name="Heading 2 2 2 8 2 2 4 6 2" xfId="36577"/>
    <cellStyle name="Heading 2 2 2 8 2 2 4 6 2 2" xfId="36578"/>
    <cellStyle name="Heading 2 2 2 8 2 2 4 6 3" xfId="36579"/>
    <cellStyle name="Heading 2 2 2 8 2 2 4 7" xfId="36580"/>
    <cellStyle name="Heading 2 2 2 8 2 2 4 7 2" xfId="36581"/>
    <cellStyle name="Heading 2 2 2 8 2 2 4 7 2 2" xfId="36582"/>
    <cellStyle name="Heading 2 2 2 8 2 2 4 7 3" xfId="36583"/>
    <cellStyle name="Heading 2 2 2 8 2 2 4 8" xfId="36584"/>
    <cellStyle name="Heading 2 2 2 8 2 2 4 8 2" xfId="36585"/>
    <cellStyle name="Heading 2 2 2 8 2 2 4 9" xfId="36586"/>
    <cellStyle name="Heading 2 2 2 8 2 2 5" xfId="36587"/>
    <cellStyle name="Heading 2 2 2 8 2 2 5 2" xfId="36588"/>
    <cellStyle name="Heading 2 2 2 8 2 2 5 2 2" xfId="36589"/>
    <cellStyle name="Heading 2 2 2 8 2 2 5 2 2 2" xfId="36590"/>
    <cellStyle name="Heading 2 2 2 8 2 2 5 2 3" xfId="36591"/>
    <cellStyle name="Heading 2 2 2 8 2 2 5 3" xfId="36592"/>
    <cellStyle name="Heading 2 2 2 8 2 2 5 3 2" xfId="36593"/>
    <cellStyle name="Heading 2 2 2 8 2 2 5 3 2 2" xfId="36594"/>
    <cellStyle name="Heading 2 2 2 8 2 2 5 3 3" xfId="36595"/>
    <cellStyle name="Heading 2 2 2 8 2 2 5 4" xfId="36596"/>
    <cellStyle name="Heading 2 2 2 8 2 2 5 4 2" xfId="36597"/>
    <cellStyle name="Heading 2 2 2 8 2 2 5 4 2 2" xfId="36598"/>
    <cellStyle name="Heading 2 2 2 8 2 2 5 4 3" xfId="36599"/>
    <cellStyle name="Heading 2 2 2 8 2 2 5 5" xfId="36600"/>
    <cellStyle name="Heading 2 2 2 8 2 2 5 5 2" xfId="36601"/>
    <cellStyle name="Heading 2 2 2 8 2 2 5 5 2 2" xfId="36602"/>
    <cellStyle name="Heading 2 2 2 8 2 2 5 5 3" xfId="36603"/>
    <cellStyle name="Heading 2 2 2 8 2 2 5 6" xfId="36604"/>
    <cellStyle name="Heading 2 2 2 8 2 2 5 6 2" xfId="36605"/>
    <cellStyle name="Heading 2 2 2 8 2 2 5 6 2 2" xfId="36606"/>
    <cellStyle name="Heading 2 2 2 8 2 2 5 6 3" xfId="36607"/>
    <cellStyle name="Heading 2 2 2 8 2 2 5 7" xfId="36608"/>
    <cellStyle name="Heading 2 2 2 8 2 2 5 7 2" xfId="36609"/>
    <cellStyle name="Heading 2 2 2 8 2 2 5 7 2 2" xfId="36610"/>
    <cellStyle name="Heading 2 2 2 8 2 2 5 7 3" xfId="36611"/>
    <cellStyle name="Heading 2 2 2 8 2 2 5 8" xfId="36612"/>
    <cellStyle name="Heading 2 2 2 8 2 2 5 8 2" xfId="36613"/>
    <cellStyle name="Heading 2 2 2 8 2 2 5 9" xfId="36614"/>
    <cellStyle name="Heading 2 2 2 8 2 2 6" xfId="36615"/>
    <cellStyle name="Heading 2 2 2 8 2 2 6 2" xfId="36616"/>
    <cellStyle name="Heading 2 2 2 8 2 2 6 2 2" xfId="36617"/>
    <cellStyle name="Heading 2 2 2 8 2 2 6 2 2 2" xfId="36618"/>
    <cellStyle name="Heading 2 2 2 8 2 2 6 2 3" xfId="36619"/>
    <cellStyle name="Heading 2 2 2 8 2 2 6 3" xfId="36620"/>
    <cellStyle name="Heading 2 2 2 8 2 2 6 3 2" xfId="36621"/>
    <cellStyle name="Heading 2 2 2 8 2 2 6 3 2 2" xfId="36622"/>
    <cellStyle name="Heading 2 2 2 8 2 2 6 3 3" xfId="36623"/>
    <cellStyle name="Heading 2 2 2 8 2 2 6 4" xfId="36624"/>
    <cellStyle name="Heading 2 2 2 8 2 2 6 4 2" xfId="36625"/>
    <cellStyle name="Heading 2 2 2 8 2 2 6 4 2 2" xfId="36626"/>
    <cellStyle name="Heading 2 2 2 8 2 2 6 4 3" xfId="36627"/>
    <cellStyle name="Heading 2 2 2 8 2 2 6 5" xfId="36628"/>
    <cellStyle name="Heading 2 2 2 8 2 2 6 5 2" xfId="36629"/>
    <cellStyle name="Heading 2 2 2 8 2 2 6 5 2 2" xfId="36630"/>
    <cellStyle name="Heading 2 2 2 8 2 2 6 5 3" xfId="36631"/>
    <cellStyle name="Heading 2 2 2 8 2 2 6 6" xfId="36632"/>
    <cellStyle name="Heading 2 2 2 8 2 2 6 6 2" xfId="36633"/>
    <cellStyle name="Heading 2 2 2 8 2 2 6 6 2 2" xfId="36634"/>
    <cellStyle name="Heading 2 2 2 8 2 2 6 6 3" xfId="36635"/>
    <cellStyle name="Heading 2 2 2 8 2 2 6 7" xfId="36636"/>
    <cellStyle name="Heading 2 2 2 8 2 2 6 7 2" xfId="36637"/>
    <cellStyle name="Heading 2 2 2 8 2 2 6 7 2 2" xfId="36638"/>
    <cellStyle name="Heading 2 2 2 8 2 2 6 7 3" xfId="36639"/>
    <cellStyle name="Heading 2 2 2 8 2 2 6 8" xfId="36640"/>
    <cellStyle name="Heading 2 2 2 8 2 2 6 8 2" xfId="36641"/>
    <cellStyle name="Heading 2 2 2 8 2 2 6 9" xfId="36642"/>
    <cellStyle name="Heading 2 2 2 8 2 2 7" xfId="36643"/>
    <cellStyle name="Heading 2 2 2 8 2 2 7 2" xfId="36644"/>
    <cellStyle name="Heading 2 2 2 8 2 2 7 2 2" xfId="36645"/>
    <cellStyle name="Heading 2 2 2 8 2 2 7 2 2 2" xfId="36646"/>
    <cellStyle name="Heading 2 2 2 8 2 2 7 2 3" xfId="36647"/>
    <cellStyle name="Heading 2 2 2 8 2 2 7 3" xfId="36648"/>
    <cellStyle name="Heading 2 2 2 8 2 2 7 3 2" xfId="36649"/>
    <cellStyle name="Heading 2 2 2 8 2 2 7 3 2 2" xfId="36650"/>
    <cellStyle name="Heading 2 2 2 8 2 2 7 3 3" xfId="36651"/>
    <cellStyle name="Heading 2 2 2 8 2 2 7 4" xfId="36652"/>
    <cellStyle name="Heading 2 2 2 8 2 2 7 4 2" xfId="36653"/>
    <cellStyle name="Heading 2 2 2 8 2 2 7 4 2 2" xfId="36654"/>
    <cellStyle name="Heading 2 2 2 8 2 2 7 4 3" xfId="36655"/>
    <cellStyle name="Heading 2 2 2 8 2 2 7 5" xfId="36656"/>
    <cellStyle name="Heading 2 2 2 8 2 2 7 5 2" xfId="36657"/>
    <cellStyle name="Heading 2 2 2 8 2 2 7 5 2 2" xfId="36658"/>
    <cellStyle name="Heading 2 2 2 8 2 2 7 5 3" xfId="36659"/>
    <cellStyle name="Heading 2 2 2 8 2 2 7 6" xfId="36660"/>
    <cellStyle name="Heading 2 2 2 8 2 2 7 6 2" xfId="36661"/>
    <cellStyle name="Heading 2 2 2 8 2 2 7 6 2 2" xfId="36662"/>
    <cellStyle name="Heading 2 2 2 8 2 2 7 6 3" xfId="36663"/>
    <cellStyle name="Heading 2 2 2 8 2 2 7 7" xfId="36664"/>
    <cellStyle name="Heading 2 2 2 8 2 2 7 7 2" xfId="36665"/>
    <cellStyle name="Heading 2 2 2 8 2 2 7 7 2 2" xfId="36666"/>
    <cellStyle name="Heading 2 2 2 8 2 2 7 7 3" xfId="36667"/>
    <cellStyle name="Heading 2 2 2 8 2 2 7 8" xfId="36668"/>
    <cellStyle name="Heading 2 2 2 8 2 2 7 8 2" xfId="36669"/>
    <cellStyle name="Heading 2 2 2 8 2 2 7 9" xfId="36670"/>
    <cellStyle name="Heading 2 2 2 8 2 2 8" xfId="36671"/>
    <cellStyle name="Heading 2 2 2 8 2 2 8 2" xfId="36672"/>
    <cellStyle name="Heading 2 2 2 8 2 2 8 2 2" xfId="36673"/>
    <cellStyle name="Heading 2 2 2 8 2 2 8 2 2 2" xfId="36674"/>
    <cellStyle name="Heading 2 2 2 8 2 2 8 2 3" xfId="36675"/>
    <cellStyle name="Heading 2 2 2 8 2 2 8 3" xfId="36676"/>
    <cellStyle name="Heading 2 2 2 8 2 2 8 3 2" xfId="36677"/>
    <cellStyle name="Heading 2 2 2 8 2 2 8 3 2 2" xfId="36678"/>
    <cellStyle name="Heading 2 2 2 8 2 2 8 3 3" xfId="36679"/>
    <cellStyle name="Heading 2 2 2 8 2 2 8 4" xfId="36680"/>
    <cellStyle name="Heading 2 2 2 8 2 2 8 4 2" xfId="36681"/>
    <cellStyle name="Heading 2 2 2 8 2 2 8 4 2 2" xfId="36682"/>
    <cellStyle name="Heading 2 2 2 8 2 2 8 4 3" xfId="36683"/>
    <cellStyle name="Heading 2 2 2 8 2 2 8 5" xfId="36684"/>
    <cellStyle name="Heading 2 2 2 8 2 2 8 5 2" xfId="36685"/>
    <cellStyle name="Heading 2 2 2 8 2 2 8 5 2 2" xfId="36686"/>
    <cellStyle name="Heading 2 2 2 8 2 2 8 5 3" xfId="36687"/>
    <cellStyle name="Heading 2 2 2 8 2 2 8 6" xfId="36688"/>
    <cellStyle name="Heading 2 2 2 8 2 2 8 6 2" xfId="36689"/>
    <cellStyle name="Heading 2 2 2 8 2 2 8 6 2 2" xfId="36690"/>
    <cellStyle name="Heading 2 2 2 8 2 2 8 6 3" xfId="36691"/>
    <cellStyle name="Heading 2 2 2 8 2 2 8 7" xfId="36692"/>
    <cellStyle name="Heading 2 2 2 8 2 2 8 7 2" xfId="36693"/>
    <cellStyle name="Heading 2 2 2 8 2 2 8 7 2 2" xfId="36694"/>
    <cellStyle name="Heading 2 2 2 8 2 2 8 7 3" xfId="36695"/>
    <cellStyle name="Heading 2 2 2 8 2 2 8 8" xfId="36696"/>
    <cellStyle name="Heading 2 2 2 8 2 2 8 8 2" xfId="36697"/>
    <cellStyle name="Heading 2 2 2 8 2 2 8 9" xfId="36698"/>
    <cellStyle name="Heading 2 2 2 8 2 2 9" xfId="36699"/>
    <cellStyle name="Heading 2 2 2 8 2 2 9 2" xfId="36700"/>
    <cellStyle name="Heading 2 2 2 8 2 2 9 2 2" xfId="36701"/>
    <cellStyle name="Heading 2 2 2 8 2 2 9 3" xfId="36702"/>
    <cellStyle name="Heading 2 2 2 8 2 20" xfId="36703"/>
    <cellStyle name="Heading 2 2 2 8 2 20 2" xfId="36704"/>
    <cellStyle name="Heading 2 2 2 8 2 21" xfId="36705"/>
    <cellStyle name="Heading 2 2 2 8 2 21 2" xfId="36706"/>
    <cellStyle name="Heading 2 2 2 8 2 22" xfId="36707"/>
    <cellStyle name="Heading 2 2 2 8 2 22 2" xfId="36708"/>
    <cellStyle name="Heading 2 2 2 8 2 23" xfId="36709"/>
    <cellStyle name="Heading 2 2 2 8 2 3" xfId="36710"/>
    <cellStyle name="Heading 2 2 2 8 2 3 2" xfId="36711"/>
    <cellStyle name="Heading 2 2 2 8 2 3 2 2" xfId="36712"/>
    <cellStyle name="Heading 2 2 2 8 2 3 2 2 2" xfId="36713"/>
    <cellStyle name="Heading 2 2 2 8 2 3 2 3" xfId="36714"/>
    <cellStyle name="Heading 2 2 2 8 2 3 3" xfId="36715"/>
    <cellStyle name="Heading 2 2 2 8 2 3 3 2" xfId="36716"/>
    <cellStyle name="Heading 2 2 2 8 2 3 3 2 2" xfId="36717"/>
    <cellStyle name="Heading 2 2 2 8 2 3 3 3" xfId="36718"/>
    <cellStyle name="Heading 2 2 2 8 2 3 4" xfId="36719"/>
    <cellStyle name="Heading 2 2 2 8 2 3 4 2" xfId="36720"/>
    <cellStyle name="Heading 2 2 2 8 2 3 4 2 2" xfId="36721"/>
    <cellStyle name="Heading 2 2 2 8 2 3 4 3" xfId="36722"/>
    <cellStyle name="Heading 2 2 2 8 2 3 5" xfId="36723"/>
    <cellStyle name="Heading 2 2 2 8 2 3 5 2" xfId="36724"/>
    <cellStyle name="Heading 2 2 2 8 2 3 5 2 2" xfId="36725"/>
    <cellStyle name="Heading 2 2 2 8 2 3 5 3" xfId="36726"/>
    <cellStyle name="Heading 2 2 2 8 2 3 6" xfId="36727"/>
    <cellStyle name="Heading 2 2 2 8 2 3 6 2" xfId="36728"/>
    <cellStyle name="Heading 2 2 2 8 2 3 6 2 2" xfId="36729"/>
    <cellStyle name="Heading 2 2 2 8 2 3 6 3" xfId="36730"/>
    <cellStyle name="Heading 2 2 2 8 2 3 7" xfId="36731"/>
    <cellStyle name="Heading 2 2 2 8 2 3 7 2" xfId="36732"/>
    <cellStyle name="Heading 2 2 2 8 2 3 7 2 2" xfId="36733"/>
    <cellStyle name="Heading 2 2 2 8 2 3 7 3" xfId="36734"/>
    <cellStyle name="Heading 2 2 2 8 2 3 8" xfId="36735"/>
    <cellStyle name="Heading 2 2 2 8 2 3 8 2" xfId="36736"/>
    <cellStyle name="Heading 2 2 2 8 2 3 9" xfId="36737"/>
    <cellStyle name="Heading 2 2 2 8 2 4" xfId="36738"/>
    <cellStyle name="Heading 2 2 2 8 2 4 2" xfId="36739"/>
    <cellStyle name="Heading 2 2 2 8 2 4 2 2" xfId="36740"/>
    <cellStyle name="Heading 2 2 2 8 2 4 2 2 2" xfId="36741"/>
    <cellStyle name="Heading 2 2 2 8 2 4 2 3" xfId="36742"/>
    <cellStyle name="Heading 2 2 2 8 2 4 3" xfId="36743"/>
    <cellStyle name="Heading 2 2 2 8 2 4 3 2" xfId="36744"/>
    <cellStyle name="Heading 2 2 2 8 2 4 3 2 2" xfId="36745"/>
    <cellStyle name="Heading 2 2 2 8 2 4 3 3" xfId="36746"/>
    <cellStyle name="Heading 2 2 2 8 2 4 4" xfId="36747"/>
    <cellStyle name="Heading 2 2 2 8 2 4 4 2" xfId="36748"/>
    <cellStyle name="Heading 2 2 2 8 2 4 4 2 2" xfId="36749"/>
    <cellStyle name="Heading 2 2 2 8 2 4 4 3" xfId="36750"/>
    <cellStyle name="Heading 2 2 2 8 2 4 5" xfId="36751"/>
    <cellStyle name="Heading 2 2 2 8 2 4 5 2" xfId="36752"/>
    <cellStyle name="Heading 2 2 2 8 2 4 5 2 2" xfId="36753"/>
    <cellStyle name="Heading 2 2 2 8 2 4 5 3" xfId="36754"/>
    <cellStyle name="Heading 2 2 2 8 2 4 6" xfId="36755"/>
    <cellStyle name="Heading 2 2 2 8 2 4 6 2" xfId="36756"/>
    <cellStyle name="Heading 2 2 2 8 2 4 6 2 2" xfId="36757"/>
    <cellStyle name="Heading 2 2 2 8 2 4 6 3" xfId="36758"/>
    <cellStyle name="Heading 2 2 2 8 2 4 7" xfId="36759"/>
    <cellStyle name="Heading 2 2 2 8 2 4 7 2" xfId="36760"/>
    <cellStyle name="Heading 2 2 2 8 2 4 7 2 2" xfId="36761"/>
    <cellStyle name="Heading 2 2 2 8 2 4 7 3" xfId="36762"/>
    <cellStyle name="Heading 2 2 2 8 2 4 8" xfId="36763"/>
    <cellStyle name="Heading 2 2 2 8 2 4 8 2" xfId="36764"/>
    <cellStyle name="Heading 2 2 2 8 2 4 9" xfId="36765"/>
    <cellStyle name="Heading 2 2 2 8 2 5" xfId="36766"/>
    <cellStyle name="Heading 2 2 2 8 2 5 2" xfId="36767"/>
    <cellStyle name="Heading 2 2 2 8 2 5 2 2" xfId="36768"/>
    <cellStyle name="Heading 2 2 2 8 2 5 2 2 2" xfId="36769"/>
    <cellStyle name="Heading 2 2 2 8 2 5 2 3" xfId="36770"/>
    <cellStyle name="Heading 2 2 2 8 2 5 3" xfId="36771"/>
    <cellStyle name="Heading 2 2 2 8 2 5 3 2" xfId="36772"/>
    <cellStyle name="Heading 2 2 2 8 2 5 3 2 2" xfId="36773"/>
    <cellStyle name="Heading 2 2 2 8 2 5 3 3" xfId="36774"/>
    <cellStyle name="Heading 2 2 2 8 2 5 4" xfId="36775"/>
    <cellStyle name="Heading 2 2 2 8 2 5 4 2" xfId="36776"/>
    <cellStyle name="Heading 2 2 2 8 2 5 4 2 2" xfId="36777"/>
    <cellStyle name="Heading 2 2 2 8 2 5 4 3" xfId="36778"/>
    <cellStyle name="Heading 2 2 2 8 2 5 5" xfId="36779"/>
    <cellStyle name="Heading 2 2 2 8 2 5 5 2" xfId="36780"/>
    <cellStyle name="Heading 2 2 2 8 2 5 5 2 2" xfId="36781"/>
    <cellStyle name="Heading 2 2 2 8 2 5 5 3" xfId="36782"/>
    <cellStyle name="Heading 2 2 2 8 2 5 6" xfId="36783"/>
    <cellStyle name="Heading 2 2 2 8 2 5 6 2" xfId="36784"/>
    <cellStyle name="Heading 2 2 2 8 2 5 6 2 2" xfId="36785"/>
    <cellStyle name="Heading 2 2 2 8 2 5 6 3" xfId="36786"/>
    <cellStyle name="Heading 2 2 2 8 2 5 7" xfId="36787"/>
    <cellStyle name="Heading 2 2 2 8 2 5 7 2" xfId="36788"/>
    <cellStyle name="Heading 2 2 2 8 2 5 7 2 2" xfId="36789"/>
    <cellStyle name="Heading 2 2 2 8 2 5 7 3" xfId="36790"/>
    <cellStyle name="Heading 2 2 2 8 2 5 8" xfId="36791"/>
    <cellStyle name="Heading 2 2 2 8 2 5 8 2" xfId="36792"/>
    <cellStyle name="Heading 2 2 2 8 2 5 9" xfId="36793"/>
    <cellStyle name="Heading 2 2 2 8 2 6" xfId="36794"/>
    <cellStyle name="Heading 2 2 2 8 2 6 2" xfId="36795"/>
    <cellStyle name="Heading 2 2 2 8 2 6 2 2" xfId="36796"/>
    <cellStyle name="Heading 2 2 2 8 2 6 2 2 2" xfId="36797"/>
    <cellStyle name="Heading 2 2 2 8 2 6 2 3" xfId="36798"/>
    <cellStyle name="Heading 2 2 2 8 2 6 3" xfId="36799"/>
    <cellStyle name="Heading 2 2 2 8 2 6 3 2" xfId="36800"/>
    <cellStyle name="Heading 2 2 2 8 2 6 3 2 2" xfId="36801"/>
    <cellStyle name="Heading 2 2 2 8 2 6 3 3" xfId="36802"/>
    <cellStyle name="Heading 2 2 2 8 2 6 4" xfId="36803"/>
    <cellStyle name="Heading 2 2 2 8 2 6 4 2" xfId="36804"/>
    <cellStyle name="Heading 2 2 2 8 2 6 4 2 2" xfId="36805"/>
    <cellStyle name="Heading 2 2 2 8 2 6 4 3" xfId="36806"/>
    <cellStyle name="Heading 2 2 2 8 2 6 5" xfId="36807"/>
    <cellStyle name="Heading 2 2 2 8 2 6 5 2" xfId="36808"/>
    <cellStyle name="Heading 2 2 2 8 2 6 5 2 2" xfId="36809"/>
    <cellStyle name="Heading 2 2 2 8 2 6 5 3" xfId="36810"/>
    <cellStyle name="Heading 2 2 2 8 2 6 6" xfId="36811"/>
    <cellStyle name="Heading 2 2 2 8 2 6 6 2" xfId="36812"/>
    <cellStyle name="Heading 2 2 2 8 2 6 6 2 2" xfId="36813"/>
    <cellStyle name="Heading 2 2 2 8 2 6 6 3" xfId="36814"/>
    <cellStyle name="Heading 2 2 2 8 2 6 7" xfId="36815"/>
    <cellStyle name="Heading 2 2 2 8 2 6 7 2" xfId="36816"/>
    <cellStyle name="Heading 2 2 2 8 2 6 7 2 2" xfId="36817"/>
    <cellStyle name="Heading 2 2 2 8 2 6 7 3" xfId="36818"/>
    <cellStyle name="Heading 2 2 2 8 2 6 8" xfId="36819"/>
    <cellStyle name="Heading 2 2 2 8 2 6 8 2" xfId="36820"/>
    <cellStyle name="Heading 2 2 2 8 2 6 9" xfId="36821"/>
    <cellStyle name="Heading 2 2 2 8 2 7" xfId="36822"/>
    <cellStyle name="Heading 2 2 2 8 2 7 2" xfId="36823"/>
    <cellStyle name="Heading 2 2 2 8 2 7 2 2" xfId="36824"/>
    <cellStyle name="Heading 2 2 2 8 2 7 2 2 2" xfId="36825"/>
    <cellStyle name="Heading 2 2 2 8 2 7 2 3" xfId="36826"/>
    <cellStyle name="Heading 2 2 2 8 2 7 3" xfId="36827"/>
    <cellStyle name="Heading 2 2 2 8 2 7 3 2" xfId="36828"/>
    <cellStyle name="Heading 2 2 2 8 2 7 3 2 2" xfId="36829"/>
    <cellStyle name="Heading 2 2 2 8 2 7 3 3" xfId="36830"/>
    <cellStyle name="Heading 2 2 2 8 2 7 4" xfId="36831"/>
    <cellStyle name="Heading 2 2 2 8 2 7 4 2" xfId="36832"/>
    <cellStyle name="Heading 2 2 2 8 2 7 4 2 2" xfId="36833"/>
    <cellStyle name="Heading 2 2 2 8 2 7 4 3" xfId="36834"/>
    <cellStyle name="Heading 2 2 2 8 2 7 5" xfId="36835"/>
    <cellStyle name="Heading 2 2 2 8 2 7 5 2" xfId="36836"/>
    <cellStyle name="Heading 2 2 2 8 2 7 5 2 2" xfId="36837"/>
    <cellStyle name="Heading 2 2 2 8 2 7 5 3" xfId="36838"/>
    <cellStyle name="Heading 2 2 2 8 2 7 6" xfId="36839"/>
    <cellStyle name="Heading 2 2 2 8 2 7 6 2" xfId="36840"/>
    <cellStyle name="Heading 2 2 2 8 2 7 6 2 2" xfId="36841"/>
    <cellStyle name="Heading 2 2 2 8 2 7 6 3" xfId="36842"/>
    <cellStyle name="Heading 2 2 2 8 2 7 7" xfId="36843"/>
    <cellStyle name="Heading 2 2 2 8 2 7 7 2" xfId="36844"/>
    <cellStyle name="Heading 2 2 2 8 2 7 7 2 2" xfId="36845"/>
    <cellStyle name="Heading 2 2 2 8 2 7 7 3" xfId="36846"/>
    <cellStyle name="Heading 2 2 2 8 2 7 8" xfId="36847"/>
    <cellStyle name="Heading 2 2 2 8 2 7 8 2" xfId="36848"/>
    <cellStyle name="Heading 2 2 2 8 2 7 9" xfId="36849"/>
    <cellStyle name="Heading 2 2 2 8 2 8" xfId="36850"/>
    <cellStyle name="Heading 2 2 2 8 2 8 2" xfId="36851"/>
    <cellStyle name="Heading 2 2 2 8 2 8 2 2" xfId="36852"/>
    <cellStyle name="Heading 2 2 2 8 2 8 2 2 2" xfId="36853"/>
    <cellStyle name="Heading 2 2 2 8 2 8 2 3" xfId="36854"/>
    <cellStyle name="Heading 2 2 2 8 2 8 3" xfId="36855"/>
    <cellStyle name="Heading 2 2 2 8 2 8 3 2" xfId="36856"/>
    <cellStyle name="Heading 2 2 2 8 2 8 3 2 2" xfId="36857"/>
    <cellStyle name="Heading 2 2 2 8 2 8 3 3" xfId="36858"/>
    <cellStyle name="Heading 2 2 2 8 2 8 4" xfId="36859"/>
    <cellStyle name="Heading 2 2 2 8 2 8 4 2" xfId="36860"/>
    <cellStyle name="Heading 2 2 2 8 2 8 4 2 2" xfId="36861"/>
    <cellStyle name="Heading 2 2 2 8 2 8 4 3" xfId="36862"/>
    <cellStyle name="Heading 2 2 2 8 2 8 5" xfId="36863"/>
    <cellStyle name="Heading 2 2 2 8 2 8 5 2" xfId="36864"/>
    <cellStyle name="Heading 2 2 2 8 2 8 5 2 2" xfId="36865"/>
    <cellStyle name="Heading 2 2 2 8 2 8 5 3" xfId="36866"/>
    <cellStyle name="Heading 2 2 2 8 2 8 6" xfId="36867"/>
    <cellStyle name="Heading 2 2 2 8 2 8 6 2" xfId="36868"/>
    <cellStyle name="Heading 2 2 2 8 2 8 6 2 2" xfId="36869"/>
    <cellStyle name="Heading 2 2 2 8 2 8 6 3" xfId="36870"/>
    <cellStyle name="Heading 2 2 2 8 2 8 7" xfId="36871"/>
    <cellStyle name="Heading 2 2 2 8 2 8 7 2" xfId="36872"/>
    <cellStyle name="Heading 2 2 2 8 2 8 7 2 2" xfId="36873"/>
    <cellStyle name="Heading 2 2 2 8 2 8 7 3" xfId="36874"/>
    <cellStyle name="Heading 2 2 2 8 2 8 8" xfId="36875"/>
    <cellStyle name="Heading 2 2 2 8 2 8 8 2" xfId="36876"/>
    <cellStyle name="Heading 2 2 2 8 2 8 9" xfId="36877"/>
    <cellStyle name="Heading 2 2 2 8 2 9" xfId="36878"/>
    <cellStyle name="Heading 2 2 2 8 2 9 2" xfId="36879"/>
    <cellStyle name="Heading 2 2 2 8 2 9 2 2" xfId="36880"/>
    <cellStyle name="Heading 2 2 2 8 2 9 2 2 2" xfId="36881"/>
    <cellStyle name="Heading 2 2 2 8 2 9 2 3" xfId="36882"/>
    <cellStyle name="Heading 2 2 2 8 2 9 3" xfId="36883"/>
    <cellStyle name="Heading 2 2 2 8 2 9 3 2" xfId="36884"/>
    <cellStyle name="Heading 2 2 2 8 2 9 3 2 2" xfId="36885"/>
    <cellStyle name="Heading 2 2 2 8 2 9 3 3" xfId="36886"/>
    <cellStyle name="Heading 2 2 2 8 2 9 4" xfId="36887"/>
    <cellStyle name="Heading 2 2 2 8 2 9 4 2" xfId="36888"/>
    <cellStyle name="Heading 2 2 2 8 2 9 4 2 2" xfId="36889"/>
    <cellStyle name="Heading 2 2 2 8 2 9 4 3" xfId="36890"/>
    <cellStyle name="Heading 2 2 2 8 2 9 5" xfId="36891"/>
    <cellStyle name="Heading 2 2 2 8 2 9 5 2" xfId="36892"/>
    <cellStyle name="Heading 2 2 2 8 2 9 5 2 2" xfId="36893"/>
    <cellStyle name="Heading 2 2 2 8 2 9 5 3" xfId="36894"/>
    <cellStyle name="Heading 2 2 2 8 2 9 6" xfId="36895"/>
    <cellStyle name="Heading 2 2 2 8 2 9 6 2" xfId="36896"/>
    <cellStyle name="Heading 2 2 2 8 2 9 6 2 2" xfId="36897"/>
    <cellStyle name="Heading 2 2 2 8 2 9 6 3" xfId="36898"/>
    <cellStyle name="Heading 2 2 2 8 2 9 7" xfId="36899"/>
    <cellStyle name="Heading 2 2 2 8 2 9 7 2" xfId="36900"/>
    <cellStyle name="Heading 2 2 2 8 2 9 7 2 2" xfId="36901"/>
    <cellStyle name="Heading 2 2 2 8 2 9 7 3" xfId="36902"/>
    <cellStyle name="Heading 2 2 2 8 2 9 8" xfId="36903"/>
    <cellStyle name="Heading 2 2 2 8 2 9 8 2" xfId="36904"/>
    <cellStyle name="Heading 2 2 2 8 2 9 9" xfId="36905"/>
    <cellStyle name="Heading 2 2 2 8 3" xfId="36906"/>
    <cellStyle name="Heading 2 2 2 8 3 10" xfId="36907"/>
    <cellStyle name="Heading 2 2 2 8 3 10 2" xfId="36908"/>
    <cellStyle name="Heading 2 2 2 8 3 10 2 2" xfId="36909"/>
    <cellStyle name="Heading 2 2 2 8 3 10 3" xfId="36910"/>
    <cellStyle name="Heading 2 2 2 8 3 11" xfId="36911"/>
    <cellStyle name="Heading 2 2 2 8 3 11 2" xfId="36912"/>
    <cellStyle name="Heading 2 2 2 8 3 11 2 2" xfId="36913"/>
    <cellStyle name="Heading 2 2 2 8 3 11 3" xfId="36914"/>
    <cellStyle name="Heading 2 2 2 8 3 12" xfId="36915"/>
    <cellStyle name="Heading 2 2 2 8 3 12 2" xfId="36916"/>
    <cellStyle name="Heading 2 2 2 8 3 12 2 2" xfId="36917"/>
    <cellStyle name="Heading 2 2 2 8 3 12 3" xfId="36918"/>
    <cellStyle name="Heading 2 2 2 8 3 13" xfId="36919"/>
    <cellStyle name="Heading 2 2 2 8 3 13 2" xfId="36920"/>
    <cellStyle name="Heading 2 2 2 8 3 13 2 2" xfId="36921"/>
    <cellStyle name="Heading 2 2 2 8 3 13 3" xfId="36922"/>
    <cellStyle name="Heading 2 2 2 8 3 14" xfId="36923"/>
    <cellStyle name="Heading 2 2 2 8 3 14 2" xfId="36924"/>
    <cellStyle name="Heading 2 2 2 8 3 14 2 2" xfId="36925"/>
    <cellStyle name="Heading 2 2 2 8 3 14 3" xfId="36926"/>
    <cellStyle name="Heading 2 2 2 8 3 15" xfId="36927"/>
    <cellStyle name="Heading 2 2 2 8 3 15 2" xfId="36928"/>
    <cellStyle name="Heading 2 2 2 8 3 15 2 2" xfId="36929"/>
    <cellStyle name="Heading 2 2 2 8 3 15 3" xfId="36930"/>
    <cellStyle name="Heading 2 2 2 8 3 16" xfId="36931"/>
    <cellStyle name="Heading 2 2 2 8 3 16 2" xfId="36932"/>
    <cellStyle name="Heading 2 2 2 8 3 16 2 2" xfId="36933"/>
    <cellStyle name="Heading 2 2 2 8 3 16 3" xfId="36934"/>
    <cellStyle name="Heading 2 2 2 8 3 17" xfId="36935"/>
    <cellStyle name="Heading 2 2 2 8 3 17 2" xfId="36936"/>
    <cellStyle name="Heading 2 2 2 8 3 17 2 2" xfId="36937"/>
    <cellStyle name="Heading 2 2 2 8 3 17 3" xfId="36938"/>
    <cellStyle name="Heading 2 2 2 8 3 18" xfId="36939"/>
    <cellStyle name="Heading 2 2 2 8 3 18 2" xfId="36940"/>
    <cellStyle name="Heading 2 2 2 8 3 18 2 2" xfId="36941"/>
    <cellStyle name="Heading 2 2 2 8 3 18 3" xfId="36942"/>
    <cellStyle name="Heading 2 2 2 8 3 19" xfId="36943"/>
    <cellStyle name="Heading 2 2 2 8 3 19 2" xfId="36944"/>
    <cellStyle name="Heading 2 2 2 8 3 2" xfId="36945"/>
    <cellStyle name="Heading 2 2 2 8 3 2 2" xfId="36946"/>
    <cellStyle name="Heading 2 2 2 8 3 2 2 2" xfId="36947"/>
    <cellStyle name="Heading 2 2 2 8 3 2 2 2 2" xfId="36948"/>
    <cellStyle name="Heading 2 2 2 8 3 2 2 3" xfId="36949"/>
    <cellStyle name="Heading 2 2 2 8 3 2 3" xfId="36950"/>
    <cellStyle name="Heading 2 2 2 8 3 2 3 2" xfId="36951"/>
    <cellStyle name="Heading 2 2 2 8 3 2 3 2 2" xfId="36952"/>
    <cellStyle name="Heading 2 2 2 8 3 2 3 3" xfId="36953"/>
    <cellStyle name="Heading 2 2 2 8 3 2 4" xfId="36954"/>
    <cellStyle name="Heading 2 2 2 8 3 2 4 2" xfId="36955"/>
    <cellStyle name="Heading 2 2 2 8 3 2 4 2 2" xfId="36956"/>
    <cellStyle name="Heading 2 2 2 8 3 2 4 3" xfId="36957"/>
    <cellStyle name="Heading 2 2 2 8 3 2 5" xfId="36958"/>
    <cellStyle name="Heading 2 2 2 8 3 2 5 2" xfId="36959"/>
    <cellStyle name="Heading 2 2 2 8 3 2 5 2 2" xfId="36960"/>
    <cellStyle name="Heading 2 2 2 8 3 2 5 3" xfId="36961"/>
    <cellStyle name="Heading 2 2 2 8 3 2 6" xfId="36962"/>
    <cellStyle name="Heading 2 2 2 8 3 2 6 2" xfId="36963"/>
    <cellStyle name="Heading 2 2 2 8 3 2 6 2 2" xfId="36964"/>
    <cellStyle name="Heading 2 2 2 8 3 2 6 3" xfId="36965"/>
    <cellStyle name="Heading 2 2 2 8 3 2 7" xfId="36966"/>
    <cellStyle name="Heading 2 2 2 8 3 2 7 2" xfId="36967"/>
    <cellStyle name="Heading 2 2 2 8 3 2 7 2 2" xfId="36968"/>
    <cellStyle name="Heading 2 2 2 8 3 2 7 3" xfId="36969"/>
    <cellStyle name="Heading 2 2 2 8 3 2 8" xfId="36970"/>
    <cellStyle name="Heading 2 2 2 8 3 2 8 2" xfId="36971"/>
    <cellStyle name="Heading 2 2 2 8 3 2 9" xfId="36972"/>
    <cellStyle name="Heading 2 2 2 8 3 20" xfId="36973"/>
    <cellStyle name="Heading 2 2 2 8 3 20 2" xfId="36974"/>
    <cellStyle name="Heading 2 2 2 8 3 21" xfId="36975"/>
    <cellStyle name="Heading 2 2 2 8 3 21 2" xfId="36976"/>
    <cellStyle name="Heading 2 2 2 8 3 22" xfId="36977"/>
    <cellStyle name="Heading 2 2 2 8 3 3" xfId="36978"/>
    <cellStyle name="Heading 2 2 2 8 3 3 2" xfId="36979"/>
    <cellStyle name="Heading 2 2 2 8 3 3 2 2" xfId="36980"/>
    <cellStyle name="Heading 2 2 2 8 3 3 2 2 2" xfId="36981"/>
    <cellStyle name="Heading 2 2 2 8 3 3 2 3" xfId="36982"/>
    <cellStyle name="Heading 2 2 2 8 3 3 3" xfId="36983"/>
    <cellStyle name="Heading 2 2 2 8 3 3 3 2" xfId="36984"/>
    <cellStyle name="Heading 2 2 2 8 3 3 3 2 2" xfId="36985"/>
    <cellStyle name="Heading 2 2 2 8 3 3 3 3" xfId="36986"/>
    <cellStyle name="Heading 2 2 2 8 3 3 4" xfId="36987"/>
    <cellStyle name="Heading 2 2 2 8 3 3 4 2" xfId="36988"/>
    <cellStyle name="Heading 2 2 2 8 3 3 4 2 2" xfId="36989"/>
    <cellStyle name="Heading 2 2 2 8 3 3 4 3" xfId="36990"/>
    <cellStyle name="Heading 2 2 2 8 3 3 5" xfId="36991"/>
    <cellStyle name="Heading 2 2 2 8 3 3 5 2" xfId="36992"/>
    <cellStyle name="Heading 2 2 2 8 3 3 5 2 2" xfId="36993"/>
    <cellStyle name="Heading 2 2 2 8 3 3 5 3" xfId="36994"/>
    <cellStyle name="Heading 2 2 2 8 3 3 6" xfId="36995"/>
    <cellStyle name="Heading 2 2 2 8 3 3 6 2" xfId="36996"/>
    <cellStyle name="Heading 2 2 2 8 3 3 6 2 2" xfId="36997"/>
    <cellStyle name="Heading 2 2 2 8 3 3 6 3" xfId="36998"/>
    <cellStyle name="Heading 2 2 2 8 3 3 7" xfId="36999"/>
    <cellStyle name="Heading 2 2 2 8 3 3 7 2" xfId="37000"/>
    <cellStyle name="Heading 2 2 2 8 3 3 7 2 2" xfId="37001"/>
    <cellStyle name="Heading 2 2 2 8 3 3 7 3" xfId="37002"/>
    <cellStyle name="Heading 2 2 2 8 3 3 8" xfId="37003"/>
    <cellStyle name="Heading 2 2 2 8 3 3 8 2" xfId="37004"/>
    <cellStyle name="Heading 2 2 2 8 3 3 9" xfId="37005"/>
    <cellStyle name="Heading 2 2 2 8 3 4" xfId="37006"/>
    <cellStyle name="Heading 2 2 2 8 3 4 2" xfId="37007"/>
    <cellStyle name="Heading 2 2 2 8 3 4 2 2" xfId="37008"/>
    <cellStyle name="Heading 2 2 2 8 3 4 2 2 2" xfId="37009"/>
    <cellStyle name="Heading 2 2 2 8 3 4 2 3" xfId="37010"/>
    <cellStyle name="Heading 2 2 2 8 3 4 3" xfId="37011"/>
    <cellStyle name="Heading 2 2 2 8 3 4 3 2" xfId="37012"/>
    <cellStyle name="Heading 2 2 2 8 3 4 3 2 2" xfId="37013"/>
    <cellStyle name="Heading 2 2 2 8 3 4 3 3" xfId="37014"/>
    <cellStyle name="Heading 2 2 2 8 3 4 4" xfId="37015"/>
    <cellStyle name="Heading 2 2 2 8 3 4 4 2" xfId="37016"/>
    <cellStyle name="Heading 2 2 2 8 3 4 4 2 2" xfId="37017"/>
    <cellStyle name="Heading 2 2 2 8 3 4 4 3" xfId="37018"/>
    <cellStyle name="Heading 2 2 2 8 3 4 5" xfId="37019"/>
    <cellStyle name="Heading 2 2 2 8 3 4 5 2" xfId="37020"/>
    <cellStyle name="Heading 2 2 2 8 3 4 5 2 2" xfId="37021"/>
    <cellStyle name="Heading 2 2 2 8 3 4 5 3" xfId="37022"/>
    <cellStyle name="Heading 2 2 2 8 3 4 6" xfId="37023"/>
    <cellStyle name="Heading 2 2 2 8 3 4 6 2" xfId="37024"/>
    <cellStyle name="Heading 2 2 2 8 3 4 6 2 2" xfId="37025"/>
    <cellStyle name="Heading 2 2 2 8 3 4 6 3" xfId="37026"/>
    <cellStyle name="Heading 2 2 2 8 3 4 7" xfId="37027"/>
    <cellStyle name="Heading 2 2 2 8 3 4 7 2" xfId="37028"/>
    <cellStyle name="Heading 2 2 2 8 3 4 7 2 2" xfId="37029"/>
    <cellStyle name="Heading 2 2 2 8 3 4 7 3" xfId="37030"/>
    <cellStyle name="Heading 2 2 2 8 3 4 8" xfId="37031"/>
    <cellStyle name="Heading 2 2 2 8 3 4 8 2" xfId="37032"/>
    <cellStyle name="Heading 2 2 2 8 3 4 9" xfId="37033"/>
    <cellStyle name="Heading 2 2 2 8 3 5" xfId="37034"/>
    <cellStyle name="Heading 2 2 2 8 3 5 2" xfId="37035"/>
    <cellStyle name="Heading 2 2 2 8 3 5 2 2" xfId="37036"/>
    <cellStyle name="Heading 2 2 2 8 3 5 2 2 2" xfId="37037"/>
    <cellStyle name="Heading 2 2 2 8 3 5 2 3" xfId="37038"/>
    <cellStyle name="Heading 2 2 2 8 3 5 3" xfId="37039"/>
    <cellStyle name="Heading 2 2 2 8 3 5 3 2" xfId="37040"/>
    <cellStyle name="Heading 2 2 2 8 3 5 3 2 2" xfId="37041"/>
    <cellStyle name="Heading 2 2 2 8 3 5 3 3" xfId="37042"/>
    <cellStyle name="Heading 2 2 2 8 3 5 4" xfId="37043"/>
    <cellStyle name="Heading 2 2 2 8 3 5 4 2" xfId="37044"/>
    <cellStyle name="Heading 2 2 2 8 3 5 4 2 2" xfId="37045"/>
    <cellStyle name="Heading 2 2 2 8 3 5 4 3" xfId="37046"/>
    <cellStyle name="Heading 2 2 2 8 3 5 5" xfId="37047"/>
    <cellStyle name="Heading 2 2 2 8 3 5 5 2" xfId="37048"/>
    <cellStyle name="Heading 2 2 2 8 3 5 5 2 2" xfId="37049"/>
    <cellStyle name="Heading 2 2 2 8 3 5 5 3" xfId="37050"/>
    <cellStyle name="Heading 2 2 2 8 3 5 6" xfId="37051"/>
    <cellStyle name="Heading 2 2 2 8 3 5 6 2" xfId="37052"/>
    <cellStyle name="Heading 2 2 2 8 3 5 6 2 2" xfId="37053"/>
    <cellStyle name="Heading 2 2 2 8 3 5 6 3" xfId="37054"/>
    <cellStyle name="Heading 2 2 2 8 3 5 7" xfId="37055"/>
    <cellStyle name="Heading 2 2 2 8 3 5 7 2" xfId="37056"/>
    <cellStyle name="Heading 2 2 2 8 3 5 7 2 2" xfId="37057"/>
    <cellStyle name="Heading 2 2 2 8 3 5 7 3" xfId="37058"/>
    <cellStyle name="Heading 2 2 2 8 3 5 8" xfId="37059"/>
    <cellStyle name="Heading 2 2 2 8 3 5 8 2" xfId="37060"/>
    <cellStyle name="Heading 2 2 2 8 3 5 9" xfId="37061"/>
    <cellStyle name="Heading 2 2 2 8 3 6" xfId="37062"/>
    <cellStyle name="Heading 2 2 2 8 3 6 2" xfId="37063"/>
    <cellStyle name="Heading 2 2 2 8 3 6 2 2" xfId="37064"/>
    <cellStyle name="Heading 2 2 2 8 3 6 2 2 2" xfId="37065"/>
    <cellStyle name="Heading 2 2 2 8 3 6 2 3" xfId="37066"/>
    <cellStyle name="Heading 2 2 2 8 3 6 3" xfId="37067"/>
    <cellStyle name="Heading 2 2 2 8 3 6 3 2" xfId="37068"/>
    <cellStyle name="Heading 2 2 2 8 3 6 3 2 2" xfId="37069"/>
    <cellStyle name="Heading 2 2 2 8 3 6 3 3" xfId="37070"/>
    <cellStyle name="Heading 2 2 2 8 3 6 4" xfId="37071"/>
    <cellStyle name="Heading 2 2 2 8 3 6 4 2" xfId="37072"/>
    <cellStyle name="Heading 2 2 2 8 3 6 4 2 2" xfId="37073"/>
    <cellStyle name="Heading 2 2 2 8 3 6 4 3" xfId="37074"/>
    <cellStyle name="Heading 2 2 2 8 3 6 5" xfId="37075"/>
    <cellStyle name="Heading 2 2 2 8 3 6 5 2" xfId="37076"/>
    <cellStyle name="Heading 2 2 2 8 3 6 5 2 2" xfId="37077"/>
    <cellStyle name="Heading 2 2 2 8 3 6 5 3" xfId="37078"/>
    <cellStyle name="Heading 2 2 2 8 3 6 6" xfId="37079"/>
    <cellStyle name="Heading 2 2 2 8 3 6 6 2" xfId="37080"/>
    <cellStyle name="Heading 2 2 2 8 3 6 6 2 2" xfId="37081"/>
    <cellStyle name="Heading 2 2 2 8 3 6 6 3" xfId="37082"/>
    <cellStyle name="Heading 2 2 2 8 3 6 7" xfId="37083"/>
    <cellStyle name="Heading 2 2 2 8 3 6 7 2" xfId="37084"/>
    <cellStyle name="Heading 2 2 2 8 3 6 7 2 2" xfId="37085"/>
    <cellStyle name="Heading 2 2 2 8 3 6 7 3" xfId="37086"/>
    <cellStyle name="Heading 2 2 2 8 3 6 8" xfId="37087"/>
    <cellStyle name="Heading 2 2 2 8 3 6 8 2" xfId="37088"/>
    <cellStyle name="Heading 2 2 2 8 3 6 9" xfId="37089"/>
    <cellStyle name="Heading 2 2 2 8 3 7" xfId="37090"/>
    <cellStyle name="Heading 2 2 2 8 3 7 2" xfId="37091"/>
    <cellStyle name="Heading 2 2 2 8 3 7 2 2" xfId="37092"/>
    <cellStyle name="Heading 2 2 2 8 3 7 2 2 2" xfId="37093"/>
    <cellStyle name="Heading 2 2 2 8 3 7 2 3" xfId="37094"/>
    <cellStyle name="Heading 2 2 2 8 3 7 3" xfId="37095"/>
    <cellStyle name="Heading 2 2 2 8 3 7 3 2" xfId="37096"/>
    <cellStyle name="Heading 2 2 2 8 3 7 3 2 2" xfId="37097"/>
    <cellStyle name="Heading 2 2 2 8 3 7 3 3" xfId="37098"/>
    <cellStyle name="Heading 2 2 2 8 3 7 4" xfId="37099"/>
    <cellStyle name="Heading 2 2 2 8 3 7 4 2" xfId="37100"/>
    <cellStyle name="Heading 2 2 2 8 3 7 4 2 2" xfId="37101"/>
    <cellStyle name="Heading 2 2 2 8 3 7 4 3" xfId="37102"/>
    <cellStyle name="Heading 2 2 2 8 3 7 5" xfId="37103"/>
    <cellStyle name="Heading 2 2 2 8 3 7 5 2" xfId="37104"/>
    <cellStyle name="Heading 2 2 2 8 3 7 5 2 2" xfId="37105"/>
    <cellStyle name="Heading 2 2 2 8 3 7 5 3" xfId="37106"/>
    <cellStyle name="Heading 2 2 2 8 3 7 6" xfId="37107"/>
    <cellStyle name="Heading 2 2 2 8 3 7 6 2" xfId="37108"/>
    <cellStyle name="Heading 2 2 2 8 3 7 6 2 2" xfId="37109"/>
    <cellStyle name="Heading 2 2 2 8 3 7 6 3" xfId="37110"/>
    <cellStyle name="Heading 2 2 2 8 3 7 7" xfId="37111"/>
    <cellStyle name="Heading 2 2 2 8 3 7 7 2" xfId="37112"/>
    <cellStyle name="Heading 2 2 2 8 3 7 7 2 2" xfId="37113"/>
    <cellStyle name="Heading 2 2 2 8 3 7 7 3" xfId="37114"/>
    <cellStyle name="Heading 2 2 2 8 3 7 8" xfId="37115"/>
    <cellStyle name="Heading 2 2 2 8 3 7 8 2" xfId="37116"/>
    <cellStyle name="Heading 2 2 2 8 3 7 9" xfId="37117"/>
    <cellStyle name="Heading 2 2 2 8 3 8" xfId="37118"/>
    <cellStyle name="Heading 2 2 2 8 3 8 2" xfId="37119"/>
    <cellStyle name="Heading 2 2 2 8 3 8 2 2" xfId="37120"/>
    <cellStyle name="Heading 2 2 2 8 3 8 2 2 2" xfId="37121"/>
    <cellStyle name="Heading 2 2 2 8 3 8 2 3" xfId="37122"/>
    <cellStyle name="Heading 2 2 2 8 3 8 3" xfId="37123"/>
    <cellStyle name="Heading 2 2 2 8 3 8 3 2" xfId="37124"/>
    <cellStyle name="Heading 2 2 2 8 3 8 3 2 2" xfId="37125"/>
    <cellStyle name="Heading 2 2 2 8 3 8 3 3" xfId="37126"/>
    <cellStyle name="Heading 2 2 2 8 3 8 4" xfId="37127"/>
    <cellStyle name="Heading 2 2 2 8 3 8 4 2" xfId="37128"/>
    <cellStyle name="Heading 2 2 2 8 3 8 4 2 2" xfId="37129"/>
    <cellStyle name="Heading 2 2 2 8 3 8 4 3" xfId="37130"/>
    <cellStyle name="Heading 2 2 2 8 3 8 5" xfId="37131"/>
    <cellStyle name="Heading 2 2 2 8 3 8 5 2" xfId="37132"/>
    <cellStyle name="Heading 2 2 2 8 3 8 5 2 2" xfId="37133"/>
    <cellStyle name="Heading 2 2 2 8 3 8 5 3" xfId="37134"/>
    <cellStyle name="Heading 2 2 2 8 3 8 6" xfId="37135"/>
    <cellStyle name="Heading 2 2 2 8 3 8 6 2" xfId="37136"/>
    <cellStyle name="Heading 2 2 2 8 3 8 6 2 2" xfId="37137"/>
    <cellStyle name="Heading 2 2 2 8 3 8 6 3" xfId="37138"/>
    <cellStyle name="Heading 2 2 2 8 3 8 7" xfId="37139"/>
    <cellStyle name="Heading 2 2 2 8 3 8 7 2" xfId="37140"/>
    <cellStyle name="Heading 2 2 2 8 3 8 7 2 2" xfId="37141"/>
    <cellStyle name="Heading 2 2 2 8 3 8 7 3" xfId="37142"/>
    <cellStyle name="Heading 2 2 2 8 3 8 8" xfId="37143"/>
    <cellStyle name="Heading 2 2 2 8 3 8 8 2" xfId="37144"/>
    <cellStyle name="Heading 2 2 2 8 3 8 9" xfId="37145"/>
    <cellStyle name="Heading 2 2 2 8 3 9" xfId="37146"/>
    <cellStyle name="Heading 2 2 2 8 3 9 2" xfId="37147"/>
    <cellStyle name="Heading 2 2 2 8 3 9 2 2" xfId="37148"/>
    <cellStyle name="Heading 2 2 2 8 3 9 3" xfId="37149"/>
    <cellStyle name="Heading 2 2 2 8 4" xfId="37150"/>
    <cellStyle name="Heading 2 2 2 8 4 2" xfId="37151"/>
    <cellStyle name="Heading 2 2 2 8 4 2 2" xfId="37152"/>
    <cellStyle name="Heading 2 2 2 8 4 3" xfId="37153"/>
    <cellStyle name="Heading 2 2 2 8 5" xfId="37154"/>
    <cellStyle name="Heading 2 2 2 8 5 2" xfId="37155"/>
    <cellStyle name="Heading 2 2 2 8 6" xfId="37156"/>
    <cellStyle name="Heading 2 2 2 9" xfId="37157"/>
    <cellStyle name="Heading 2 2 2 9 10" xfId="37158"/>
    <cellStyle name="Heading 2 2 2 9 10 2" xfId="37159"/>
    <cellStyle name="Heading 2 2 2 9 10 2 2" xfId="37160"/>
    <cellStyle name="Heading 2 2 2 9 10 3" xfId="37161"/>
    <cellStyle name="Heading 2 2 2 9 11" xfId="37162"/>
    <cellStyle name="Heading 2 2 2 9 11 2" xfId="37163"/>
    <cellStyle name="Heading 2 2 2 9 11 2 2" xfId="37164"/>
    <cellStyle name="Heading 2 2 2 9 11 3" xfId="37165"/>
    <cellStyle name="Heading 2 2 2 9 12" xfId="37166"/>
    <cellStyle name="Heading 2 2 2 9 12 2" xfId="37167"/>
    <cellStyle name="Heading 2 2 2 9 12 2 2" xfId="37168"/>
    <cellStyle name="Heading 2 2 2 9 12 3" xfId="37169"/>
    <cellStyle name="Heading 2 2 2 9 13" xfId="37170"/>
    <cellStyle name="Heading 2 2 2 9 13 2" xfId="37171"/>
    <cellStyle name="Heading 2 2 2 9 13 2 2" xfId="37172"/>
    <cellStyle name="Heading 2 2 2 9 13 3" xfId="37173"/>
    <cellStyle name="Heading 2 2 2 9 14" xfId="37174"/>
    <cellStyle name="Heading 2 2 2 9 14 2" xfId="37175"/>
    <cellStyle name="Heading 2 2 2 9 14 2 2" xfId="37176"/>
    <cellStyle name="Heading 2 2 2 9 14 3" xfId="37177"/>
    <cellStyle name="Heading 2 2 2 9 15" xfId="37178"/>
    <cellStyle name="Heading 2 2 2 9 15 2" xfId="37179"/>
    <cellStyle name="Heading 2 2 2 9 15 2 2" xfId="37180"/>
    <cellStyle name="Heading 2 2 2 9 15 3" xfId="37181"/>
    <cellStyle name="Heading 2 2 2 9 16" xfId="37182"/>
    <cellStyle name="Heading 2 2 2 9 16 2" xfId="37183"/>
    <cellStyle name="Heading 2 2 2 9 16 2 2" xfId="37184"/>
    <cellStyle name="Heading 2 2 2 9 16 3" xfId="37185"/>
    <cellStyle name="Heading 2 2 2 9 17" xfId="37186"/>
    <cellStyle name="Heading 2 2 2 9 17 2" xfId="37187"/>
    <cellStyle name="Heading 2 2 2 9 17 2 2" xfId="37188"/>
    <cellStyle name="Heading 2 2 2 9 17 3" xfId="37189"/>
    <cellStyle name="Heading 2 2 2 9 18" xfId="37190"/>
    <cellStyle name="Heading 2 2 2 9 18 2" xfId="37191"/>
    <cellStyle name="Heading 2 2 2 9 18 2 2" xfId="37192"/>
    <cellStyle name="Heading 2 2 2 9 18 3" xfId="37193"/>
    <cellStyle name="Heading 2 2 2 9 19" xfId="37194"/>
    <cellStyle name="Heading 2 2 2 9 19 2" xfId="37195"/>
    <cellStyle name="Heading 2 2 2 9 19 2 2" xfId="37196"/>
    <cellStyle name="Heading 2 2 2 9 19 3" xfId="37197"/>
    <cellStyle name="Heading 2 2 2 9 2" xfId="37198"/>
    <cellStyle name="Heading 2 2 2 9 2 10" xfId="37199"/>
    <cellStyle name="Heading 2 2 2 9 2 10 2" xfId="37200"/>
    <cellStyle name="Heading 2 2 2 9 2 10 2 2" xfId="37201"/>
    <cellStyle name="Heading 2 2 2 9 2 10 3" xfId="37202"/>
    <cellStyle name="Heading 2 2 2 9 2 11" xfId="37203"/>
    <cellStyle name="Heading 2 2 2 9 2 11 2" xfId="37204"/>
    <cellStyle name="Heading 2 2 2 9 2 11 2 2" xfId="37205"/>
    <cellStyle name="Heading 2 2 2 9 2 11 3" xfId="37206"/>
    <cellStyle name="Heading 2 2 2 9 2 12" xfId="37207"/>
    <cellStyle name="Heading 2 2 2 9 2 12 2" xfId="37208"/>
    <cellStyle name="Heading 2 2 2 9 2 12 2 2" xfId="37209"/>
    <cellStyle name="Heading 2 2 2 9 2 12 3" xfId="37210"/>
    <cellStyle name="Heading 2 2 2 9 2 13" xfId="37211"/>
    <cellStyle name="Heading 2 2 2 9 2 13 2" xfId="37212"/>
    <cellStyle name="Heading 2 2 2 9 2 13 2 2" xfId="37213"/>
    <cellStyle name="Heading 2 2 2 9 2 13 3" xfId="37214"/>
    <cellStyle name="Heading 2 2 2 9 2 14" xfId="37215"/>
    <cellStyle name="Heading 2 2 2 9 2 14 2" xfId="37216"/>
    <cellStyle name="Heading 2 2 2 9 2 14 2 2" xfId="37217"/>
    <cellStyle name="Heading 2 2 2 9 2 14 3" xfId="37218"/>
    <cellStyle name="Heading 2 2 2 9 2 15" xfId="37219"/>
    <cellStyle name="Heading 2 2 2 9 2 15 2" xfId="37220"/>
    <cellStyle name="Heading 2 2 2 9 2 15 2 2" xfId="37221"/>
    <cellStyle name="Heading 2 2 2 9 2 15 3" xfId="37222"/>
    <cellStyle name="Heading 2 2 2 9 2 16" xfId="37223"/>
    <cellStyle name="Heading 2 2 2 9 2 16 2" xfId="37224"/>
    <cellStyle name="Heading 2 2 2 9 2 16 2 2" xfId="37225"/>
    <cellStyle name="Heading 2 2 2 9 2 16 3" xfId="37226"/>
    <cellStyle name="Heading 2 2 2 9 2 17" xfId="37227"/>
    <cellStyle name="Heading 2 2 2 9 2 17 2" xfId="37228"/>
    <cellStyle name="Heading 2 2 2 9 2 17 2 2" xfId="37229"/>
    <cellStyle name="Heading 2 2 2 9 2 17 3" xfId="37230"/>
    <cellStyle name="Heading 2 2 2 9 2 18" xfId="37231"/>
    <cellStyle name="Heading 2 2 2 9 2 18 2" xfId="37232"/>
    <cellStyle name="Heading 2 2 2 9 2 18 2 2" xfId="37233"/>
    <cellStyle name="Heading 2 2 2 9 2 18 3" xfId="37234"/>
    <cellStyle name="Heading 2 2 2 9 2 19" xfId="37235"/>
    <cellStyle name="Heading 2 2 2 9 2 19 2" xfId="37236"/>
    <cellStyle name="Heading 2 2 2 9 2 2" xfId="37237"/>
    <cellStyle name="Heading 2 2 2 9 2 2 2" xfId="37238"/>
    <cellStyle name="Heading 2 2 2 9 2 2 2 2" xfId="37239"/>
    <cellStyle name="Heading 2 2 2 9 2 2 2 2 2" xfId="37240"/>
    <cellStyle name="Heading 2 2 2 9 2 2 2 3" xfId="37241"/>
    <cellStyle name="Heading 2 2 2 9 2 2 3" xfId="37242"/>
    <cellStyle name="Heading 2 2 2 9 2 2 3 2" xfId="37243"/>
    <cellStyle name="Heading 2 2 2 9 2 2 3 2 2" xfId="37244"/>
    <cellStyle name="Heading 2 2 2 9 2 2 3 3" xfId="37245"/>
    <cellStyle name="Heading 2 2 2 9 2 2 4" xfId="37246"/>
    <cellStyle name="Heading 2 2 2 9 2 2 4 2" xfId="37247"/>
    <cellStyle name="Heading 2 2 2 9 2 2 4 2 2" xfId="37248"/>
    <cellStyle name="Heading 2 2 2 9 2 2 4 3" xfId="37249"/>
    <cellStyle name="Heading 2 2 2 9 2 2 5" xfId="37250"/>
    <cellStyle name="Heading 2 2 2 9 2 2 5 2" xfId="37251"/>
    <cellStyle name="Heading 2 2 2 9 2 2 5 2 2" xfId="37252"/>
    <cellStyle name="Heading 2 2 2 9 2 2 5 3" xfId="37253"/>
    <cellStyle name="Heading 2 2 2 9 2 2 6" xfId="37254"/>
    <cellStyle name="Heading 2 2 2 9 2 2 6 2" xfId="37255"/>
    <cellStyle name="Heading 2 2 2 9 2 2 6 2 2" xfId="37256"/>
    <cellStyle name="Heading 2 2 2 9 2 2 6 3" xfId="37257"/>
    <cellStyle name="Heading 2 2 2 9 2 2 7" xfId="37258"/>
    <cellStyle name="Heading 2 2 2 9 2 2 7 2" xfId="37259"/>
    <cellStyle name="Heading 2 2 2 9 2 2 7 2 2" xfId="37260"/>
    <cellStyle name="Heading 2 2 2 9 2 2 7 3" xfId="37261"/>
    <cellStyle name="Heading 2 2 2 9 2 2 8" xfId="37262"/>
    <cellStyle name="Heading 2 2 2 9 2 2 8 2" xfId="37263"/>
    <cellStyle name="Heading 2 2 2 9 2 2 9" xfId="37264"/>
    <cellStyle name="Heading 2 2 2 9 2 20" xfId="37265"/>
    <cellStyle name="Heading 2 2 2 9 2 20 2" xfId="37266"/>
    <cellStyle name="Heading 2 2 2 9 2 21" xfId="37267"/>
    <cellStyle name="Heading 2 2 2 9 2 21 2" xfId="37268"/>
    <cellStyle name="Heading 2 2 2 9 2 22" xfId="37269"/>
    <cellStyle name="Heading 2 2 2 9 2 3" xfId="37270"/>
    <cellStyle name="Heading 2 2 2 9 2 3 2" xfId="37271"/>
    <cellStyle name="Heading 2 2 2 9 2 3 2 2" xfId="37272"/>
    <cellStyle name="Heading 2 2 2 9 2 3 2 2 2" xfId="37273"/>
    <cellStyle name="Heading 2 2 2 9 2 3 2 3" xfId="37274"/>
    <cellStyle name="Heading 2 2 2 9 2 3 3" xfId="37275"/>
    <cellStyle name="Heading 2 2 2 9 2 3 3 2" xfId="37276"/>
    <cellStyle name="Heading 2 2 2 9 2 3 3 2 2" xfId="37277"/>
    <cellStyle name="Heading 2 2 2 9 2 3 3 3" xfId="37278"/>
    <cellStyle name="Heading 2 2 2 9 2 3 4" xfId="37279"/>
    <cellStyle name="Heading 2 2 2 9 2 3 4 2" xfId="37280"/>
    <cellStyle name="Heading 2 2 2 9 2 3 4 2 2" xfId="37281"/>
    <cellStyle name="Heading 2 2 2 9 2 3 4 3" xfId="37282"/>
    <cellStyle name="Heading 2 2 2 9 2 3 5" xfId="37283"/>
    <cellStyle name="Heading 2 2 2 9 2 3 5 2" xfId="37284"/>
    <cellStyle name="Heading 2 2 2 9 2 3 5 2 2" xfId="37285"/>
    <cellStyle name="Heading 2 2 2 9 2 3 5 3" xfId="37286"/>
    <cellStyle name="Heading 2 2 2 9 2 3 6" xfId="37287"/>
    <cellStyle name="Heading 2 2 2 9 2 3 6 2" xfId="37288"/>
    <cellStyle name="Heading 2 2 2 9 2 3 6 2 2" xfId="37289"/>
    <cellStyle name="Heading 2 2 2 9 2 3 6 3" xfId="37290"/>
    <cellStyle name="Heading 2 2 2 9 2 3 7" xfId="37291"/>
    <cellStyle name="Heading 2 2 2 9 2 3 7 2" xfId="37292"/>
    <cellStyle name="Heading 2 2 2 9 2 3 7 2 2" xfId="37293"/>
    <cellStyle name="Heading 2 2 2 9 2 3 7 3" xfId="37294"/>
    <cellStyle name="Heading 2 2 2 9 2 3 8" xfId="37295"/>
    <cellStyle name="Heading 2 2 2 9 2 3 8 2" xfId="37296"/>
    <cellStyle name="Heading 2 2 2 9 2 3 9" xfId="37297"/>
    <cellStyle name="Heading 2 2 2 9 2 4" xfId="37298"/>
    <cellStyle name="Heading 2 2 2 9 2 4 2" xfId="37299"/>
    <cellStyle name="Heading 2 2 2 9 2 4 2 2" xfId="37300"/>
    <cellStyle name="Heading 2 2 2 9 2 4 2 2 2" xfId="37301"/>
    <cellStyle name="Heading 2 2 2 9 2 4 2 3" xfId="37302"/>
    <cellStyle name="Heading 2 2 2 9 2 4 3" xfId="37303"/>
    <cellStyle name="Heading 2 2 2 9 2 4 3 2" xfId="37304"/>
    <cellStyle name="Heading 2 2 2 9 2 4 3 2 2" xfId="37305"/>
    <cellStyle name="Heading 2 2 2 9 2 4 3 3" xfId="37306"/>
    <cellStyle name="Heading 2 2 2 9 2 4 4" xfId="37307"/>
    <cellStyle name="Heading 2 2 2 9 2 4 4 2" xfId="37308"/>
    <cellStyle name="Heading 2 2 2 9 2 4 4 2 2" xfId="37309"/>
    <cellStyle name="Heading 2 2 2 9 2 4 4 3" xfId="37310"/>
    <cellStyle name="Heading 2 2 2 9 2 4 5" xfId="37311"/>
    <cellStyle name="Heading 2 2 2 9 2 4 5 2" xfId="37312"/>
    <cellStyle name="Heading 2 2 2 9 2 4 5 2 2" xfId="37313"/>
    <cellStyle name="Heading 2 2 2 9 2 4 5 3" xfId="37314"/>
    <cellStyle name="Heading 2 2 2 9 2 4 6" xfId="37315"/>
    <cellStyle name="Heading 2 2 2 9 2 4 6 2" xfId="37316"/>
    <cellStyle name="Heading 2 2 2 9 2 4 6 2 2" xfId="37317"/>
    <cellStyle name="Heading 2 2 2 9 2 4 6 3" xfId="37318"/>
    <cellStyle name="Heading 2 2 2 9 2 4 7" xfId="37319"/>
    <cellStyle name="Heading 2 2 2 9 2 4 7 2" xfId="37320"/>
    <cellStyle name="Heading 2 2 2 9 2 4 7 2 2" xfId="37321"/>
    <cellStyle name="Heading 2 2 2 9 2 4 7 3" xfId="37322"/>
    <cellStyle name="Heading 2 2 2 9 2 4 8" xfId="37323"/>
    <cellStyle name="Heading 2 2 2 9 2 4 8 2" xfId="37324"/>
    <cellStyle name="Heading 2 2 2 9 2 4 9" xfId="37325"/>
    <cellStyle name="Heading 2 2 2 9 2 5" xfId="37326"/>
    <cellStyle name="Heading 2 2 2 9 2 5 2" xfId="37327"/>
    <cellStyle name="Heading 2 2 2 9 2 5 2 2" xfId="37328"/>
    <cellStyle name="Heading 2 2 2 9 2 5 2 2 2" xfId="37329"/>
    <cellStyle name="Heading 2 2 2 9 2 5 2 3" xfId="37330"/>
    <cellStyle name="Heading 2 2 2 9 2 5 3" xfId="37331"/>
    <cellStyle name="Heading 2 2 2 9 2 5 3 2" xfId="37332"/>
    <cellStyle name="Heading 2 2 2 9 2 5 3 2 2" xfId="37333"/>
    <cellStyle name="Heading 2 2 2 9 2 5 3 3" xfId="37334"/>
    <cellStyle name="Heading 2 2 2 9 2 5 4" xfId="37335"/>
    <cellStyle name="Heading 2 2 2 9 2 5 4 2" xfId="37336"/>
    <cellStyle name="Heading 2 2 2 9 2 5 4 2 2" xfId="37337"/>
    <cellStyle name="Heading 2 2 2 9 2 5 4 3" xfId="37338"/>
    <cellStyle name="Heading 2 2 2 9 2 5 5" xfId="37339"/>
    <cellStyle name="Heading 2 2 2 9 2 5 5 2" xfId="37340"/>
    <cellStyle name="Heading 2 2 2 9 2 5 5 2 2" xfId="37341"/>
    <cellStyle name="Heading 2 2 2 9 2 5 5 3" xfId="37342"/>
    <cellStyle name="Heading 2 2 2 9 2 5 6" xfId="37343"/>
    <cellStyle name="Heading 2 2 2 9 2 5 6 2" xfId="37344"/>
    <cellStyle name="Heading 2 2 2 9 2 5 6 2 2" xfId="37345"/>
    <cellStyle name="Heading 2 2 2 9 2 5 6 3" xfId="37346"/>
    <cellStyle name="Heading 2 2 2 9 2 5 7" xfId="37347"/>
    <cellStyle name="Heading 2 2 2 9 2 5 7 2" xfId="37348"/>
    <cellStyle name="Heading 2 2 2 9 2 5 7 2 2" xfId="37349"/>
    <cellStyle name="Heading 2 2 2 9 2 5 7 3" xfId="37350"/>
    <cellStyle name="Heading 2 2 2 9 2 5 8" xfId="37351"/>
    <cellStyle name="Heading 2 2 2 9 2 5 8 2" xfId="37352"/>
    <cellStyle name="Heading 2 2 2 9 2 5 9" xfId="37353"/>
    <cellStyle name="Heading 2 2 2 9 2 6" xfId="37354"/>
    <cellStyle name="Heading 2 2 2 9 2 6 2" xfId="37355"/>
    <cellStyle name="Heading 2 2 2 9 2 6 2 2" xfId="37356"/>
    <cellStyle name="Heading 2 2 2 9 2 6 2 2 2" xfId="37357"/>
    <cellStyle name="Heading 2 2 2 9 2 6 2 3" xfId="37358"/>
    <cellStyle name="Heading 2 2 2 9 2 6 3" xfId="37359"/>
    <cellStyle name="Heading 2 2 2 9 2 6 3 2" xfId="37360"/>
    <cellStyle name="Heading 2 2 2 9 2 6 3 2 2" xfId="37361"/>
    <cellStyle name="Heading 2 2 2 9 2 6 3 3" xfId="37362"/>
    <cellStyle name="Heading 2 2 2 9 2 6 4" xfId="37363"/>
    <cellStyle name="Heading 2 2 2 9 2 6 4 2" xfId="37364"/>
    <cellStyle name="Heading 2 2 2 9 2 6 4 2 2" xfId="37365"/>
    <cellStyle name="Heading 2 2 2 9 2 6 4 3" xfId="37366"/>
    <cellStyle name="Heading 2 2 2 9 2 6 5" xfId="37367"/>
    <cellStyle name="Heading 2 2 2 9 2 6 5 2" xfId="37368"/>
    <cellStyle name="Heading 2 2 2 9 2 6 5 2 2" xfId="37369"/>
    <cellStyle name="Heading 2 2 2 9 2 6 5 3" xfId="37370"/>
    <cellStyle name="Heading 2 2 2 9 2 6 6" xfId="37371"/>
    <cellStyle name="Heading 2 2 2 9 2 6 6 2" xfId="37372"/>
    <cellStyle name="Heading 2 2 2 9 2 6 6 2 2" xfId="37373"/>
    <cellStyle name="Heading 2 2 2 9 2 6 6 3" xfId="37374"/>
    <cellStyle name="Heading 2 2 2 9 2 6 7" xfId="37375"/>
    <cellStyle name="Heading 2 2 2 9 2 6 7 2" xfId="37376"/>
    <cellStyle name="Heading 2 2 2 9 2 6 7 2 2" xfId="37377"/>
    <cellStyle name="Heading 2 2 2 9 2 6 7 3" xfId="37378"/>
    <cellStyle name="Heading 2 2 2 9 2 6 8" xfId="37379"/>
    <cellStyle name="Heading 2 2 2 9 2 6 8 2" xfId="37380"/>
    <cellStyle name="Heading 2 2 2 9 2 6 9" xfId="37381"/>
    <cellStyle name="Heading 2 2 2 9 2 7" xfId="37382"/>
    <cellStyle name="Heading 2 2 2 9 2 7 2" xfId="37383"/>
    <cellStyle name="Heading 2 2 2 9 2 7 2 2" xfId="37384"/>
    <cellStyle name="Heading 2 2 2 9 2 7 2 2 2" xfId="37385"/>
    <cellStyle name="Heading 2 2 2 9 2 7 2 3" xfId="37386"/>
    <cellStyle name="Heading 2 2 2 9 2 7 3" xfId="37387"/>
    <cellStyle name="Heading 2 2 2 9 2 7 3 2" xfId="37388"/>
    <cellStyle name="Heading 2 2 2 9 2 7 3 2 2" xfId="37389"/>
    <cellStyle name="Heading 2 2 2 9 2 7 3 3" xfId="37390"/>
    <cellStyle name="Heading 2 2 2 9 2 7 4" xfId="37391"/>
    <cellStyle name="Heading 2 2 2 9 2 7 4 2" xfId="37392"/>
    <cellStyle name="Heading 2 2 2 9 2 7 4 2 2" xfId="37393"/>
    <cellStyle name="Heading 2 2 2 9 2 7 4 3" xfId="37394"/>
    <cellStyle name="Heading 2 2 2 9 2 7 5" xfId="37395"/>
    <cellStyle name="Heading 2 2 2 9 2 7 5 2" xfId="37396"/>
    <cellStyle name="Heading 2 2 2 9 2 7 5 2 2" xfId="37397"/>
    <cellStyle name="Heading 2 2 2 9 2 7 5 3" xfId="37398"/>
    <cellStyle name="Heading 2 2 2 9 2 7 6" xfId="37399"/>
    <cellStyle name="Heading 2 2 2 9 2 7 6 2" xfId="37400"/>
    <cellStyle name="Heading 2 2 2 9 2 7 6 2 2" xfId="37401"/>
    <cellStyle name="Heading 2 2 2 9 2 7 6 3" xfId="37402"/>
    <cellStyle name="Heading 2 2 2 9 2 7 7" xfId="37403"/>
    <cellStyle name="Heading 2 2 2 9 2 7 7 2" xfId="37404"/>
    <cellStyle name="Heading 2 2 2 9 2 7 7 2 2" xfId="37405"/>
    <cellStyle name="Heading 2 2 2 9 2 7 7 3" xfId="37406"/>
    <cellStyle name="Heading 2 2 2 9 2 7 8" xfId="37407"/>
    <cellStyle name="Heading 2 2 2 9 2 7 8 2" xfId="37408"/>
    <cellStyle name="Heading 2 2 2 9 2 7 9" xfId="37409"/>
    <cellStyle name="Heading 2 2 2 9 2 8" xfId="37410"/>
    <cellStyle name="Heading 2 2 2 9 2 8 2" xfId="37411"/>
    <cellStyle name="Heading 2 2 2 9 2 8 2 2" xfId="37412"/>
    <cellStyle name="Heading 2 2 2 9 2 8 2 2 2" xfId="37413"/>
    <cellStyle name="Heading 2 2 2 9 2 8 2 3" xfId="37414"/>
    <cellStyle name="Heading 2 2 2 9 2 8 3" xfId="37415"/>
    <cellStyle name="Heading 2 2 2 9 2 8 3 2" xfId="37416"/>
    <cellStyle name="Heading 2 2 2 9 2 8 3 2 2" xfId="37417"/>
    <cellStyle name="Heading 2 2 2 9 2 8 3 3" xfId="37418"/>
    <cellStyle name="Heading 2 2 2 9 2 8 4" xfId="37419"/>
    <cellStyle name="Heading 2 2 2 9 2 8 4 2" xfId="37420"/>
    <cellStyle name="Heading 2 2 2 9 2 8 4 2 2" xfId="37421"/>
    <cellStyle name="Heading 2 2 2 9 2 8 4 3" xfId="37422"/>
    <cellStyle name="Heading 2 2 2 9 2 8 5" xfId="37423"/>
    <cellStyle name="Heading 2 2 2 9 2 8 5 2" xfId="37424"/>
    <cellStyle name="Heading 2 2 2 9 2 8 5 2 2" xfId="37425"/>
    <cellStyle name="Heading 2 2 2 9 2 8 5 3" xfId="37426"/>
    <cellStyle name="Heading 2 2 2 9 2 8 6" xfId="37427"/>
    <cellStyle name="Heading 2 2 2 9 2 8 6 2" xfId="37428"/>
    <cellStyle name="Heading 2 2 2 9 2 8 6 2 2" xfId="37429"/>
    <cellStyle name="Heading 2 2 2 9 2 8 6 3" xfId="37430"/>
    <cellStyle name="Heading 2 2 2 9 2 8 7" xfId="37431"/>
    <cellStyle name="Heading 2 2 2 9 2 8 7 2" xfId="37432"/>
    <cellStyle name="Heading 2 2 2 9 2 8 7 2 2" xfId="37433"/>
    <cellStyle name="Heading 2 2 2 9 2 8 7 3" xfId="37434"/>
    <cellStyle name="Heading 2 2 2 9 2 8 8" xfId="37435"/>
    <cellStyle name="Heading 2 2 2 9 2 8 8 2" xfId="37436"/>
    <cellStyle name="Heading 2 2 2 9 2 8 9" xfId="37437"/>
    <cellStyle name="Heading 2 2 2 9 2 9" xfId="37438"/>
    <cellStyle name="Heading 2 2 2 9 2 9 2" xfId="37439"/>
    <cellStyle name="Heading 2 2 2 9 2 9 2 2" xfId="37440"/>
    <cellStyle name="Heading 2 2 2 9 2 9 3" xfId="37441"/>
    <cellStyle name="Heading 2 2 2 9 20" xfId="37442"/>
    <cellStyle name="Heading 2 2 2 9 20 2" xfId="37443"/>
    <cellStyle name="Heading 2 2 2 9 21" xfId="37444"/>
    <cellStyle name="Heading 2 2 2 9 21 2" xfId="37445"/>
    <cellStyle name="Heading 2 2 2 9 22" xfId="37446"/>
    <cellStyle name="Heading 2 2 2 9 22 2" xfId="37447"/>
    <cellStyle name="Heading 2 2 2 9 23" xfId="37448"/>
    <cellStyle name="Heading 2 2 2 9 3" xfId="37449"/>
    <cellStyle name="Heading 2 2 2 9 3 2" xfId="37450"/>
    <cellStyle name="Heading 2 2 2 9 3 2 2" xfId="37451"/>
    <cellStyle name="Heading 2 2 2 9 3 2 2 2" xfId="37452"/>
    <cellStyle name="Heading 2 2 2 9 3 2 3" xfId="37453"/>
    <cellStyle name="Heading 2 2 2 9 3 3" xfId="37454"/>
    <cellStyle name="Heading 2 2 2 9 3 3 2" xfId="37455"/>
    <cellStyle name="Heading 2 2 2 9 3 3 2 2" xfId="37456"/>
    <cellStyle name="Heading 2 2 2 9 3 3 3" xfId="37457"/>
    <cellStyle name="Heading 2 2 2 9 3 4" xfId="37458"/>
    <cellStyle name="Heading 2 2 2 9 3 4 2" xfId="37459"/>
    <cellStyle name="Heading 2 2 2 9 3 4 2 2" xfId="37460"/>
    <cellStyle name="Heading 2 2 2 9 3 4 3" xfId="37461"/>
    <cellStyle name="Heading 2 2 2 9 3 5" xfId="37462"/>
    <cellStyle name="Heading 2 2 2 9 3 5 2" xfId="37463"/>
    <cellStyle name="Heading 2 2 2 9 3 5 2 2" xfId="37464"/>
    <cellStyle name="Heading 2 2 2 9 3 5 3" xfId="37465"/>
    <cellStyle name="Heading 2 2 2 9 3 6" xfId="37466"/>
    <cellStyle name="Heading 2 2 2 9 3 6 2" xfId="37467"/>
    <cellStyle name="Heading 2 2 2 9 3 6 2 2" xfId="37468"/>
    <cellStyle name="Heading 2 2 2 9 3 6 3" xfId="37469"/>
    <cellStyle name="Heading 2 2 2 9 3 7" xfId="37470"/>
    <cellStyle name="Heading 2 2 2 9 3 7 2" xfId="37471"/>
    <cellStyle name="Heading 2 2 2 9 3 7 2 2" xfId="37472"/>
    <cellStyle name="Heading 2 2 2 9 3 7 3" xfId="37473"/>
    <cellStyle name="Heading 2 2 2 9 3 8" xfId="37474"/>
    <cellStyle name="Heading 2 2 2 9 3 8 2" xfId="37475"/>
    <cellStyle name="Heading 2 2 2 9 3 9" xfId="37476"/>
    <cellStyle name="Heading 2 2 2 9 4" xfId="37477"/>
    <cellStyle name="Heading 2 2 2 9 4 2" xfId="37478"/>
    <cellStyle name="Heading 2 2 2 9 4 2 2" xfId="37479"/>
    <cellStyle name="Heading 2 2 2 9 4 2 2 2" xfId="37480"/>
    <cellStyle name="Heading 2 2 2 9 4 2 3" xfId="37481"/>
    <cellStyle name="Heading 2 2 2 9 4 3" xfId="37482"/>
    <cellStyle name="Heading 2 2 2 9 4 3 2" xfId="37483"/>
    <cellStyle name="Heading 2 2 2 9 4 3 2 2" xfId="37484"/>
    <cellStyle name="Heading 2 2 2 9 4 3 3" xfId="37485"/>
    <cellStyle name="Heading 2 2 2 9 4 4" xfId="37486"/>
    <cellStyle name="Heading 2 2 2 9 4 4 2" xfId="37487"/>
    <cellStyle name="Heading 2 2 2 9 4 4 2 2" xfId="37488"/>
    <cellStyle name="Heading 2 2 2 9 4 4 3" xfId="37489"/>
    <cellStyle name="Heading 2 2 2 9 4 5" xfId="37490"/>
    <cellStyle name="Heading 2 2 2 9 4 5 2" xfId="37491"/>
    <cellStyle name="Heading 2 2 2 9 4 5 2 2" xfId="37492"/>
    <cellStyle name="Heading 2 2 2 9 4 5 3" xfId="37493"/>
    <cellStyle name="Heading 2 2 2 9 4 6" xfId="37494"/>
    <cellStyle name="Heading 2 2 2 9 4 6 2" xfId="37495"/>
    <cellStyle name="Heading 2 2 2 9 4 6 2 2" xfId="37496"/>
    <cellStyle name="Heading 2 2 2 9 4 6 3" xfId="37497"/>
    <cellStyle name="Heading 2 2 2 9 4 7" xfId="37498"/>
    <cellStyle name="Heading 2 2 2 9 4 7 2" xfId="37499"/>
    <cellStyle name="Heading 2 2 2 9 4 7 2 2" xfId="37500"/>
    <cellStyle name="Heading 2 2 2 9 4 7 3" xfId="37501"/>
    <cellStyle name="Heading 2 2 2 9 4 8" xfId="37502"/>
    <cellStyle name="Heading 2 2 2 9 4 8 2" xfId="37503"/>
    <cellStyle name="Heading 2 2 2 9 4 9" xfId="37504"/>
    <cellStyle name="Heading 2 2 2 9 5" xfId="37505"/>
    <cellStyle name="Heading 2 2 2 9 5 2" xfId="37506"/>
    <cellStyle name="Heading 2 2 2 9 5 2 2" xfId="37507"/>
    <cellStyle name="Heading 2 2 2 9 5 2 2 2" xfId="37508"/>
    <cellStyle name="Heading 2 2 2 9 5 2 3" xfId="37509"/>
    <cellStyle name="Heading 2 2 2 9 5 3" xfId="37510"/>
    <cellStyle name="Heading 2 2 2 9 5 3 2" xfId="37511"/>
    <cellStyle name="Heading 2 2 2 9 5 3 2 2" xfId="37512"/>
    <cellStyle name="Heading 2 2 2 9 5 3 3" xfId="37513"/>
    <cellStyle name="Heading 2 2 2 9 5 4" xfId="37514"/>
    <cellStyle name="Heading 2 2 2 9 5 4 2" xfId="37515"/>
    <cellStyle name="Heading 2 2 2 9 5 4 2 2" xfId="37516"/>
    <cellStyle name="Heading 2 2 2 9 5 4 3" xfId="37517"/>
    <cellStyle name="Heading 2 2 2 9 5 5" xfId="37518"/>
    <cellStyle name="Heading 2 2 2 9 5 5 2" xfId="37519"/>
    <cellStyle name="Heading 2 2 2 9 5 5 2 2" xfId="37520"/>
    <cellStyle name="Heading 2 2 2 9 5 5 3" xfId="37521"/>
    <cellStyle name="Heading 2 2 2 9 5 6" xfId="37522"/>
    <cellStyle name="Heading 2 2 2 9 5 6 2" xfId="37523"/>
    <cellStyle name="Heading 2 2 2 9 5 6 2 2" xfId="37524"/>
    <cellStyle name="Heading 2 2 2 9 5 6 3" xfId="37525"/>
    <cellStyle name="Heading 2 2 2 9 5 7" xfId="37526"/>
    <cellStyle name="Heading 2 2 2 9 5 7 2" xfId="37527"/>
    <cellStyle name="Heading 2 2 2 9 5 7 2 2" xfId="37528"/>
    <cellStyle name="Heading 2 2 2 9 5 7 3" xfId="37529"/>
    <cellStyle name="Heading 2 2 2 9 5 8" xfId="37530"/>
    <cellStyle name="Heading 2 2 2 9 5 8 2" xfId="37531"/>
    <cellStyle name="Heading 2 2 2 9 5 9" xfId="37532"/>
    <cellStyle name="Heading 2 2 2 9 6" xfId="37533"/>
    <cellStyle name="Heading 2 2 2 9 6 2" xfId="37534"/>
    <cellStyle name="Heading 2 2 2 9 6 2 2" xfId="37535"/>
    <cellStyle name="Heading 2 2 2 9 6 2 2 2" xfId="37536"/>
    <cellStyle name="Heading 2 2 2 9 6 2 3" xfId="37537"/>
    <cellStyle name="Heading 2 2 2 9 6 3" xfId="37538"/>
    <cellStyle name="Heading 2 2 2 9 6 3 2" xfId="37539"/>
    <cellStyle name="Heading 2 2 2 9 6 3 2 2" xfId="37540"/>
    <cellStyle name="Heading 2 2 2 9 6 3 3" xfId="37541"/>
    <cellStyle name="Heading 2 2 2 9 6 4" xfId="37542"/>
    <cellStyle name="Heading 2 2 2 9 6 4 2" xfId="37543"/>
    <cellStyle name="Heading 2 2 2 9 6 4 2 2" xfId="37544"/>
    <cellStyle name="Heading 2 2 2 9 6 4 3" xfId="37545"/>
    <cellStyle name="Heading 2 2 2 9 6 5" xfId="37546"/>
    <cellStyle name="Heading 2 2 2 9 6 5 2" xfId="37547"/>
    <cellStyle name="Heading 2 2 2 9 6 5 2 2" xfId="37548"/>
    <cellStyle name="Heading 2 2 2 9 6 5 3" xfId="37549"/>
    <cellStyle name="Heading 2 2 2 9 6 6" xfId="37550"/>
    <cellStyle name="Heading 2 2 2 9 6 6 2" xfId="37551"/>
    <cellStyle name="Heading 2 2 2 9 6 6 2 2" xfId="37552"/>
    <cellStyle name="Heading 2 2 2 9 6 6 3" xfId="37553"/>
    <cellStyle name="Heading 2 2 2 9 6 7" xfId="37554"/>
    <cellStyle name="Heading 2 2 2 9 6 7 2" xfId="37555"/>
    <cellStyle name="Heading 2 2 2 9 6 7 2 2" xfId="37556"/>
    <cellStyle name="Heading 2 2 2 9 6 7 3" xfId="37557"/>
    <cellStyle name="Heading 2 2 2 9 6 8" xfId="37558"/>
    <cellStyle name="Heading 2 2 2 9 6 8 2" xfId="37559"/>
    <cellStyle name="Heading 2 2 2 9 6 9" xfId="37560"/>
    <cellStyle name="Heading 2 2 2 9 7" xfId="37561"/>
    <cellStyle name="Heading 2 2 2 9 7 2" xfId="37562"/>
    <cellStyle name="Heading 2 2 2 9 7 2 2" xfId="37563"/>
    <cellStyle name="Heading 2 2 2 9 7 2 2 2" xfId="37564"/>
    <cellStyle name="Heading 2 2 2 9 7 2 3" xfId="37565"/>
    <cellStyle name="Heading 2 2 2 9 7 3" xfId="37566"/>
    <cellStyle name="Heading 2 2 2 9 7 3 2" xfId="37567"/>
    <cellStyle name="Heading 2 2 2 9 7 3 2 2" xfId="37568"/>
    <cellStyle name="Heading 2 2 2 9 7 3 3" xfId="37569"/>
    <cellStyle name="Heading 2 2 2 9 7 4" xfId="37570"/>
    <cellStyle name="Heading 2 2 2 9 7 4 2" xfId="37571"/>
    <cellStyle name="Heading 2 2 2 9 7 4 2 2" xfId="37572"/>
    <cellStyle name="Heading 2 2 2 9 7 4 3" xfId="37573"/>
    <cellStyle name="Heading 2 2 2 9 7 5" xfId="37574"/>
    <cellStyle name="Heading 2 2 2 9 7 5 2" xfId="37575"/>
    <cellStyle name="Heading 2 2 2 9 7 5 2 2" xfId="37576"/>
    <cellStyle name="Heading 2 2 2 9 7 5 3" xfId="37577"/>
    <cellStyle name="Heading 2 2 2 9 7 6" xfId="37578"/>
    <cellStyle name="Heading 2 2 2 9 7 6 2" xfId="37579"/>
    <cellStyle name="Heading 2 2 2 9 7 6 2 2" xfId="37580"/>
    <cellStyle name="Heading 2 2 2 9 7 6 3" xfId="37581"/>
    <cellStyle name="Heading 2 2 2 9 7 7" xfId="37582"/>
    <cellStyle name="Heading 2 2 2 9 7 7 2" xfId="37583"/>
    <cellStyle name="Heading 2 2 2 9 7 7 2 2" xfId="37584"/>
    <cellStyle name="Heading 2 2 2 9 7 7 3" xfId="37585"/>
    <cellStyle name="Heading 2 2 2 9 7 8" xfId="37586"/>
    <cellStyle name="Heading 2 2 2 9 7 8 2" xfId="37587"/>
    <cellStyle name="Heading 2 2 2 9 7 9" xfId="37588"/>
    <cellStyle name="Heading 2 2 2 9 8" xfId="37589"/>
    <cellStyle name="Heading 2 2 2 9 8 2" xfId="37590"/>
    <cellStyle name="Heading 2 2 2 9 8 2 2" xfId="37591"/>
    <cellStyle name="Heading 2 2 2 9 8 2 2 2" xfId="37592"/>
    <cellStyle name="Heading 2 2 2 9 8 2 3" xfId="37593"/>
    <cellStyle name="Heading 2 2 2 9 8 3" xfId="37594"/>
    <cellStyle name="Heading 2 2 2 9 8 3 2" xfId="37595"/>
    <cellStyle name="Heading 2 2 2 9 8 3 2 2" xfId="37596"/>
    <cellStyle name="Heading 2 2 2 9 8 3 3" xfId="37597"/>
    <cellStyle name="Heading 2 2 2 9 8 4" xfId="37598"/>
    <cellStyle name="Heading 2 2 2 9 8 4 2" xfId="37599"/>
    <cellStyle name="Heading 2 2 2 9 8 4 2 2" xfId="37600"/>
    <cellStyle name="Heading 2 2 2 9 8 4 3" xfId="37601"/>
    <cellStyle name="Heading 2 2 2 9 8 5" xfId="37602"/>
    <cellStyle name="Heading 2 2 2 9 8 5 2" xfId="37603"/>
    <cellStyle name="Heading 2 2 2 9 8 5 2 2" xfId="37604"/>
    <cellStyle name="Heading 2 2 2 9 8 5 3" xfId="37605"/>
    <cellStyle name="Heading 2 2 2 9 8 6" xfId="37606"/>
    <cellStyle name="Heading 2 2 2 9 8 6 2" xfId="37607"/>
    <cellStyle name="Heading 2 2 2 9 8 6 2 2" xfId="37608"/>
    <cellStyle name="Heading 2 2 2 9 8 6 3" xfId="37609"/>
    <cellStyle name="Heading 2 2 2 9 8 7" xfId="37610"/>
    <cellStyle name="Heading 2 2 2 9 8 7 2" xfId="37611"/>
    <cellStyle name="Heading 2 2 2 9 8 7 2 2" xfId="37612"/>
    <cellStyle name="Heading 2 2 2 9 8 7 3" xfId="37613"/>
    <cellStyle name="Heading 2 2 2 9 8 8" xfId="37614"/>
    <cellStyle name="Heading 2 2 2 9 8 8 2" xfId="37615"/>
    <cellStyle name="Heading 2 2 2 9 8 9" xfId="37616"/>
    <cellStyle name="Heading 2 2 2 9 9" xfId="37617"/>
    <cellStyle name="Heading 2 2 2 9 9 2" xfId="37618"/>
    <cellStyle name="Heading 2 2 2 9 9 2 2" xfId="37619"/>
    <cellStyle name="Heading 2 2 2 9 9 2 2 2" xfId="37620"/>
    <cellStyle name="Heading 2 2 2 9 9 2 3" xfId="37621"/>
    <cellStyle name="Heading 2 2 2 9 9 3" xfId="37622"/>
    <cellStyle name="Heading 2 2 2 9 9 3 2" xfId="37623"/>
    <cellStyle name="Heading 2 2 2 9 9 3 2 2" xfId="37624"/>
    <cellStyle name="Heading 2 2 2 9 9 3 3" xfId="37625"/>
    <cellStyle name="Heading 2 2 2 9 9 4" xfId="37626"/>
    <cellStyle name="Heading 2 2 2 9 9 4 2" xfId="37627"/>
    <cellStyle name="Heading 2 2 2 9 9 4 2 2" xfId="37628"/>
    <cellStyle name="Heading 2 2 2 9 9 4 3" xfId="37629"/>
    <cellStyle name="Heading 2 2 2 9 9 5" xfId="37630"/>
    <cellStyle name="Heading 2 2 2 9 9 5 2" xfId="37631"/>
    <cellStyle name="Heading 2 2 2 9 9 5 2 2" xfId="37632"/>
    <cellStyle name="Heading 2 2 2 9 9 5 3" xfId="37633"/>
    <cellStyle name="Heading 2 2 2 9 9 6" xfId="37634"/>
    <cellStyle name="Heading 2 2 2 9 9 6 2" xfId="37635"/>
    <cellStyle name="Heading 2 2 2 9 9 6 2 2" xfId="37636"/>
    <cellStyle name="Heading 2 2 2 9 9 6 3" xfId="37637"/>
    <cellStyle name="Heading 2 2 2 9 9 7" xfId="37638"/>
    <cellStyle name="Heading 2 2 2 9 9 7 2" xfId="37639"/>
    <cellStyle name="Heading 2 2 2 9 9 7 2 2" xfId="37640"/>
    <cellStyle name="Heading 2 2 2 9 9 7 3" xfId="37641"/>
    <cellStyle name="Heading 2 2 2 9 9 8" xfId="37642"/>
    <cellStyle name="Heading 2 2 2 9 9 8 2" xfId="37643"/>
    <cellStyle name="Heading 2 2 2 9 9 9" xfId="37644"/>
    <cellStyle name="Heading 2 2 3" xfId="37645"/>
    <cellStyle name="Heading 2 2 3 10" xfId="37646"/>
    <cellStyle name="Heading 2 2 3 10 2" xfId="37647"/>
    <cellStyle name="Heading 2 2 3 10 2 2" xfId="37648"/>
    <cellStyle name="Heading 2 2 3 10 3" xfId="37649"/>
    <cellStyle name="Heading 2 2 3 10 3 2" xfId="37650"/>
    <cellStyle name="Heading 2 2 3 10 4" xfId="37651"/>
    <cellStyle name="Heading 2 2 3 11" xfId="37652"/>
    <cellStyle name="Heading 2 2 3 11 2" xfId="37653"/>
    <cellStyle name="Heading 2 2 3 11 2 2" xfId="37654"/>
    <cellStyle name="Heading 2 2 3 11 3" xfId="37655"/>
    <cellStyle name="Heading 2 2 3 11 3 2" xfId="37656"/>
    <cellStyle name="Heading 2 2 3 11 4" xfId="37657"/>
    <cellStyle name="Heading 2 2 3 12" xfId="37658"/>
    <cellStyle name="Heading 2 2 3 12 2" xfId="37659"/>
    <cellStyle name="Heading 2 2 3 12 2 2" xfId="37660"/>
    <cellStyle name="Heading 2 2 3 12 3" xfId="37661"/>
    <cellStyle name="Heading 2 2 3 12 3 2" xfId="37662"/>
    <cellStyle name="Heading 2 2 3 12 4" xfId="37663"/>
    <cellStyle name="Heading 2 2 3 13" xfId="37664"/>
    <cellStyle name="Heading 2 2 3 13 2" xfId="37665"/>
    <cellStyle name="Heading 2 2 3 13 2 2" xfId="37666"/>
    <cellStyle name="Heading 2 2 3 13 3" xfId="37667"/>
    <cellStyle name="Heading 2 2 3 13 3 2" xfId="37668"/>
    <cellStyle name="Heading 2 2 3 13 4" xfId="37669"/>
    <cellStyle name="Heading 2 2 3 14" xfId="37670"/>
    <cellStyle name="Heading 2 2 3 14 2" xfId="37671"/>
    <cellStyle name="Heading 2 2 3 14 2 2" xfId="37672"/>
    <cellStyle name="Heading 2 2 3 14 3" xfId="37673"/>
    <cellStyle name="Heading 2 2 3 14 3 2" xfId="37674"/>
    <cellStyle name="Heading 2 2 3 14 4" xfId="37675"/>
    <cellStyle name="Heading 2 2 3 15" xfId="37676"/>
    <cellStyle name="Heading 2 2 3 15 2" xfId="37677"/>
    <cellStyle name="Heading 2 2 3 15 2 2" xfId="37678"/>
    <cellStyle name="Heading 2 2 3 15 3" xfId="37679"/>
    <cellStyle name="Heading 2 2 3 15 3 2" xfId="37680"/>
    <cellStyle name="Heading 2 2 3 15 4" xfId="37681"/>
    <cellStyle name="Heading 2 2 3 16" xfId="37682"/>
    <cellStyle name="Heading 2 2 3 16 2" xfId="37683"/>
    <cellStyle name="Heading 2 2 3 16 2 2" xfId="37684"/>
    <cellStyle name="Heading 2 2 3 16 3" xfId="37685"/>
    <cellStyle name="Heading 2 2 3 16 3 2" xfId="37686"/>
    <cellStyle name="Heading 2 2 3 16 4" xfId="37687"/>
    <cellStyle name="Heading 2 2 3 17" xfId="37688"/>
    <cellStyle name="Heading 2 2 3 17 2" xfId="37689"/>
    <cellStyle name="Heading 2 2 3 17 2 2" xfId="37690"/>
    <cellStyle name="Heading 2 2 3 17 3" xfId="37691"/>
    <cellStyle name="Heading 2 2 3 17 3 2" xfId="37692"/>
    <cellStyle name="Heading 2 2 3 17 4" xfId="37693"/>
    <cellStyle name="Heading 2 2 3 18" xfId="37694"/>
    <cellStyle name="Heading 2 2 3 18 2" xfId="37695"/>
    <cellStyle name="Heading 2 2 3 18 2 2" xfId="37696"/>
    <cellStyle name="Heading 2 2 3 18 3" xfId="37697"/>
    <cellStyle name="Heading 2 2 3 18 3 2" xfId="37698"/>
    <cellStyle name="Heading 2 2 3 18 4" xfId="37699"/>
    <cellStyle name="Heading 2 2 3 19" xfId="37700"/>
    <cellStyle name="Heading 2 2 3 19 2" xfId="37701"/>
    <cellStyle name="Heading 2 2 3 2" xfId="37702"/>
    <cellStyle name="Heading 2 2 3 2 2" xfId="37703"/>
    <cellStyle name="Heading 2 2 3 2 2 10" xfId="37704"/>
    <cellStyle name="Heading 2 2 3 2 2 10 2" xfId="37705"/>
    <cellStyle name="Heading 2 2 3 2 2 10 2 2" xfId="37706"/>
    <cellStyle name="Heading 2 2 3 2 2 10 3" xfId="37707"/>
    <cellStyle name="Heading 2 2 3 2 2 11" xfId="37708"/>
    <cellStyle name="Heading 2 2 3 2 2 11 2" xfId="37709"/>
    <cellStyle name="Heading 2 2 3 2 2 11 2 2" xfId="37710"/>
    <cellStyle name="Heading 2 2 3 2 2 11 3" xfId="37711"/>
    <cellStyle name="Heading 2 2 3 2 2 12" xfId="37712"/>
    <cellStyle name="Heading 2 2 3 2 2 12 2" xfId="37713"/>
    <cellStyle name="Heading 2 2 3 2 2 12 2 2" xfId="37714"/>
    <cellStyle name="Heading 2 2 3 2 2 12 3" xfId="37715"/>
    <cellStyle name="Heading 2 2 3 2 2 13" xfId="37716"/>
    <cellStyle name="Heading 2 2 3 2 2 13 2" xfId="37717"/>
    <cellStyle name="Heading 2 2 3 2 2 13 2 2" xfId="37718"/>
    <cellStyle name="Heading 2 2 3 2 2 13 3" xfId="37719"/>
    <cellStyle name="Heading 2 2 3 2 2 14" xfId="37720"/>
    <cellStyle name="Heading 2 2 3 2 2 14 2" xfId="37721"/>
    <cellStyle name="Heading 2 2 3 2 2 14 2 2" xfId="37722"/>
    <cellStyle name="Heading 2 2 3 2 2 14 3" xfId="37723"/>
    <cellStyle name="Heading 2 2 3 2 2 15" xfId="37724"/>
    <cellStyle name="Heading 2 2 3 2 2 15 2" xfId="37725"/>
    <cellStyle name="Heading 2 2 3 2 2 15 2 2" xfId="37726"/>
    <cellStyle name="Heading 2 2 3 2 2 15 3" xfId="37727"/>
    <cellStyle name="Heading 2 2 3 2 2 16" xfId="37728"/>
    <cellStyle name="Heading 2 2 3 2 2 16 2" xfId="37729"/>
    <cellStyle name="Heading 2 2 3 2 2 16 2 2" xfId="37730"/>
    <cellStyle name="Heading 2 2 3 2 2 16 3" xfId="37731"/>
    <cellStyle name="Heading 2 2 3 2 2 17" xfId="37732"/>
    <cellStyle name="Heading 2 2 3 2 2 17 2" xfId="37733"/>
    <cellStyle name="Heading 2 2 3 2 2 17 2 2" xfId="37734"/>
    <cellStyle name="Heading 2 2 3 2 2 17 3" xfId="37735"/>
    <cellStyle name="Heading 2 2 3 2 2 18" xfId="37736"/>
    <cellStyle name="Heading 2 2 3 2 2 18 2" xfId="37737"/>
    <cellStyle name="Heading 2 2 3 2 2 18 2 2" xfId="37738"/>
    <cellStyle name="Heading 2 2 3 2 2 18 3" xfId="37739"/>
    <cellStyle name="Heading 2 2 3 2 2 19" xfId="37740"/>
    <cellStyle name="Heading 2 2 3 2 2 19 2" xfId="37741"/>
    <cellStyle name="Heading 2 2 3 2 2 19 2 2" xfId="37742"/>
    <cellStyle name="Heading 2 2 3 2 2 19 3" xfId="37743"/>
    <cellStyle name="Heading 2 2 3 2 2 2" xfId="37744"/>
    <cellStyle name="Heading 2 2 3 2 2 2 10" xfId="37745"/>
    <cellStyle name="Heading 2 2 3 2 2 2 10 2" xfId="37746"/>
    <cellStyle name="Heading 2 2 3 2 2 2 10 2 2" xfId="37747"/>
    <cellStyle name="Heading 2 2 3 2 2 2 10 3" xfId="37748"/>
    <cellStyle name="Heading 2 2 3 2 2 2 11" xfId="37749"/>
    <cellStyle name="Heading 2 2 3 2 2 2 11 2" xfId="37750"/>
    <cellStyle name="Heading 2 2 3 2 2 2 11 2 2" xfId="37751"/>
    <cellStyle name="Heading 2 2 3 2 2 2 11 3" xfId="37752"/>
    <cellStyle name="Heading 2 2 3 2 2 2 12" xfId="37753"/>
    <cellStyle name="Heading 2 2 3 2 2 2 12 2" xfId="37754"/>
    <cellStyle name="Heading 2 2 3 2 2 2 12 2 2" xfId="37755"/>
    <cellStyle name="Heading 2 2 3 2 2 2 12 3" xfId="37756"/>
    <cellStyle name="Heading 2 2 3 2 2 2 13" xfId="37757"/>
    <cellStyle name="Heading 2 2 3 2 2 2 13 2" xfId="37758"/>
    <cellStyle name="Heading 2 2 3 2 2 2 13 2 2" xfId="37759"/>
    <cellStyle name="Heading 2 2 3 2 2 2 13 3" xfId="37760"/>
    <cellStyle name="Heading 2 2 3 2 2 2 14" xfId="37761"/>
    <cellStyle name="Heading 2 2 3 2 2 2 14 2" xfId="37762"/>
    <cellStyle name="Heading 2 2 3 2 2 2 14 2 2" xfId="37763"/>
    <cellStyle name="Heading 2 2 3 2 2 2 14 3" xfId="37764"/>
    <cellStyle name="Heading 2 2 3 2 2 2 15" xfId="37765"/>
    <cellStyle name="Heading 2 2 3 2 2 2 15 2" xfId="37766"/>
    <cellStyle name="Heading 2 2 3 2 2 2 15 2 2" xfId="37767"/>
    <cellStyle name="Heading 2 2 3 2 2 2 15 3" xfId="37768"/>
    <cellStyle name="Heading 2 2 3 2 2 2 16" xfId="37769"/>
    <cellStyle name="Heading 2 2 3 2 2 2 16 2" xfId="37770"/>
    <cellStyle name="Heading 2 2 3 2 2 2 16 2 2" xfId="37771"/>
    <cellStyle name="Heading 2 2 3 2 2 2 16 3" xfId="37772"/>
    <cellStyle name="Heading 2 2 3 2 2 2 17" xfId="37773"/>
    <cellStyle name="Heading 2 2 3 2 2 2 17 2" xfId="37774"/>
    <cellStyle name="Heading 2 2 3 2 2 2 17 2 2" xfId="37775"/>
    <cellStyle name="Heading 2 2 3 2 2 2 17 3" xfId="37776"/>
    <cellStyle name="Heading 2 2 3 2 2 2 18" xfId="37777"/>
    <cellStyle name="Heading 2 2 3 2 2 2 18 2" xfId="37778"/>
    <cellStyle name="Heading 2 2 3 2 2 2 18 2 2" xfId="37779"/>
    <cellStyle name="Heading 2 2 3 2 2 2 18 3" xfId="37780"/>
    <cellStyle name="Heading 2 2 3 2 2 2 19" xfId="37781"/>
    <cellStyle name="Heading 2 2 3 2 2 2 19 2" xfId="37782"/>
    <cellStyle name="Heading 2 2 3 2 2 2 2" xfId="37783"/>
    <cellStyle name="Heading 2 2 3 2 2 2 2 2" xfId="37784"/>
    <cellStyle name="Heading 2 2 3 2 2 2 2 2 2" xfId="37785"/>
    <cellStyle name="Heading 2 2 3 2 2 2 2 2 2 2" xfId="37786"/>
    <cellStyle name="Heading 2 2 3 2 2 2 2 2 3" xfId="37787"/>
    <cellStyle name="Heading 2 2 3 2 2 2 2 3" xfId="37788"/>
    <cellStyle name="Heading 2 2 3 2 2 2 2 3 2" xfId="37789"/>
    <cellStyle name="Heading 2 2 3 2 2 2 2 3 2 2" xfId="37790"/>
    <cellStyle name="Heading 2 2 3 2 2 2 2 3 3" xfId="37791"/>
    <cellStyle name="Heading 2 2 3 2 2 2 2 4" xfId="37792"/>
    <cellStyle name="Heading 2 2 3 2 2 2 2 4 2" xfId="37793"/>
    <cellStyle name="Heading 2 2 3 2 2 2 2 4 2 2" xfId="37794"/>
    <cellStyle name="Heading 2 2 3 2 2 2 2 4 3" xfId="37795"/>
    <cellStyle name="Heading 2 2 3 2 2 2 2 5" xfId="37796"/>
    <cellStyle name="Heading 2 2 3 2 2 2 2 5 2" xfId="37797"/>
    <cellStyle name="Heading 2 2 3 2 2 2 2 5 2 2" xfId="37798"/>
    <cellStyle name="Heading 2 2 3 2 2 2 2 5 3" xfId="37799"/>
    <cellStyle name="Heading 2 2 3 2 2 2 2 6" xfId="37800"/>
    <cellStyle name="Heading 2 2 3 2 2 2 2 6 2" xfId="37801"/>
    <cellStyle name="Heading 2 2 3 2 2 2 2 6 2 2" xfId="37802"/>
    <cellStyle name="Heading 2 2 3 2 2 2 2 6 3" xfId="37803"/>
    <cellStyle name="Heading 2 2 3 2 2 2 2 7" xfId="37804"/>
    <cellStyle name="Heading 2 2 3 2 2 2 2 7 2" xfId="37805"/>
    <cellStyle name="Heading 2 2 3 2 2 2 2 7 2 2" xfId="37806"/>
    <cellStyle name="Heading 2 2 3 2 2 2 2 7 3" xfId="37807"/>
    <cellStyle name="Heading 2 2 3 2 2 2 2 8" xfId="37808"/>
    <cellStyle name="Heading 2 2 3 2 2 2 2 8 2" xfId="37809"/>
    <cellStyle name="Heading 2 2 3 2 2 2 2 9" xfId="37810"/>
    <cellStyle name="Heading 2 2 3 2 2 2 20" xfId="37811"/>
    <cellStyle name="Heading 2 2 3 2 2 2 20 2" xfId="37812"/>
    <cellStyle name="Heading 2 2 3 2 2 2 21" xfId="37813"/>
    <cellStyle name="Heading 2 2 3 2 2 2 21 2" xfId="37814"/>
    <cellStyle name="Heading 2 2 3 2 2 2 22" xfId="37815"/>
    <cellStyle name="Heading 2 2 3 2 2 2 3" xfId="37816"/>
    <cellStyle name="Heading 2 2 3 2 2 2 3 2" xfId="37817"/>
    <cellStyle name="Heading 2 2 3 2 2 2 3 2 2" xfId="37818"/>
    <cellStyle name="Heading 2 2 3 2 2 2 3 2 2 2" xfId="37819"/>
    <cellStyle name="Heading 2 2 3 2 2 2 3 2 3" xfId="37820"/>
    <cellStyle name="Heading 2 2 3 2 2 2 3 3" xfId="37821"/>
    <cellStyle name="Heading 2 2 3 2 2 2 3 3 2" xfId="37822"/>
    <cellStyle name="Heading 2 2 3 2 2 2 3 3 2 2" xfId="37823"/>
    <cellStyle name="Heading 2 2 3 2 2 2 3 3 3" xfId="37824"/>
    <cellStyle name="Heading 2 2 3 2 2 2 3 4" xfId="37825"/>
    <cellStyle name="Heading 2 2 3 2 2 2 3 4 2" xfId="37826"/>
    <cellStyle name="Heading 2 2 3 2 2 2 3 4 2 2" xfId="37827"/>
    <cellStyle name="Heading 2 2 3 2 2 2 3 4 3" xfId="37828"/>
    <cellStyle name="Heading 2 2 3 2 2 2 3 5" xfId="37829"/>
    <cellStyle name="Heading 2 2 3 2 2 2 3 5 2" xfId="37830"/>
    <cellStyle name="Heading 2 2 3 2 2 2 3 5 2 2" xfId="37831"/>
    <cellStyle name="Heading 2 2 3 2 2 2 3 5 3" xfId="37832"/>
    <cellStyle name="Heading 2 2 3 2 2 2 3 6" xfId="37833"/>
    <cellStyle name="Heading 2 2 3 2 2 2 3 6 2" xfId="37834"/>
    <cellStyle name="Heading 2 2 3 2 2 2 3 6 2 2" xfId="37835"/>
    <cellStyle name="Heading 2 2 3 2 2 2 3 6 3" xfId="37836"/>
    <cellStyle name="Heading 2 2 3 2 2 2 3 7" xfId="37837"/>
    <cellStyle name="Heading 2 2 3 2 2 2 3 7 2" xfId="37838"/>
    <cellStyle name="Heading 2 2 3 2 2 2 3 7 2 2" xfId="37839"/>
    <cellStyle name="Heading 2 2 3 2 2 2 3 7 3" xfId="37840"/>
    <cellStyle name="Heading 2 2 3 2 2 2 3 8" xfId="37841"/>
    <cellStyle name="Heading 2 2 3 2 2 2 3 8 2" xfId="37842"/>
    <cellStyle name="Heading 2 2 3 2 2 2 3 9" xfId="37843"/>
    <cellStyle name="Heading 2 2 3 2 2 2 4" xfId="37844"/>
    <cellStyle name="Heading 2 2 3 2 2 2 4 2" xfId="37845"/>
    <cellStyle name="Heading 2 2 3 2 2 2 4 2 2" xfId="37846"/>
    <cellStyle name="Heading 2 2 3 2 2 2 4 2 2 2" xfId="37847"/>
    <cellStyle name="Heading 2 2 3 2 2 2 4 2 3" xfId="37848"/>
    <cellStyle name="Heading 2 2 3 2 2 2 4 3" xfId="37849"/>
    <cellStyle name="Heading 2 2 3 2 2 2 4 3 2" xfId="37850"/>
    <cellStyle name="Heading 2 2 3 2 2 2 4 3 2 2" xfId="37851"/>
    <cellStyle name="Heading 2 2 3 2 2 2 4 3 3" xfId="37852"/>
    <cellStyle name="Heading 2 2 3 2 2 2 4 4" xfId="37853"/>
    <cellStyle name="Heading 2 2 3 2 2 2 4 4 2" xfId="37854"/>
    <cellStyle name="Heading 2 2 3 2 2 2 4 4 2 2" xfId="37855"/>
    <cellStyle name="Heading 2 2 3 2 2 2 4 4 3" xfId="37856"/>
    <cellStyle name="Heading 2 2 3 2 2 2 4 5" xfId="37857"/>
    <cellStyle name="Heading 2 2 3 2 2 2 4 5 2" xfId="37858"/>
    <cellStyle name="Heading 2 2 3 2 2 2 4 5 2 2" xfId="37859"/>
    <cellStyle name="Heading 2 2 3 2 2 2 4 5 3" xfId="37860"/>
    <cellStyle name="Heading 2 2 3 2 2 2 4 6" xfId="37861"/>
    <cellStyle name="Heading 2 2 3 2 2 2 4 6 2" xfId="37862"/>
    <cellStyle name="Heading 2 2 3 2 2 2 4 6 2 2" xfId="37863"/>
    <cellStyle name="Heading 2 2 3 2 2 2 4 6 3" xfId="37864"/>
    <cellStyle name="Heading 2 2 3 2 2 2 4 7" xfId="37865"/>
    <cellStyle name="Heading 2 2 3 2 2 2 4 7 2" xfId="37866"/>
    <cellStyle name="Heading 2 2 3 2 2 2 4 7 2 2" xfId="37867"/>
    <cellStyle name="Heading 2 2 3 2 2 2 4 7 3" xfId="37868"/>
    <cellStyle name="Heading 2 2 3 2 2 2 4 8" xfId="37869"/>
    <cellStyle name="Heading 2 2 3 2 2 2 4 8 2" xfId="37870"/>
    <cellStyle name="Heading 2 2 3 2 2 2 4 9" xfId="37871"/>
    <cellStyle name="Heading 2 2 3 2 2 2 5" xfId="37872"/>
    <cellStyle name="Heading 2 2 3 2 2 2 5 2" xfId="37873"/>
    <cellStyle name="Heading 2 2 3 2 2 2 5 2 2" xfId="37874"/>
    <cellStyle name="Heading 2 2 3 2 2 2 5 2 2 2" xfId="37875"/>
    <cellStyle name="Heading 2 2 3 2 2 2 5 2 3" xfId="37876"/>
    <cellStyle name="Heading 2 2 3 2 2 2 5 3" xfId="37877"/>
    <cellStyle name="Heading 2 2 3 2 2 2 5 3 2" xfId="37878"/>
    <cellStyle name="Heading 2 2 3 2 2 2 5 3 2 2" xfId="37879"/>
    <cellStyle name="Heading 2 2 3 2 2 2 5 3 3" xfId="37880"/>
    <cellStyle name="Heading 2 2 3 2 2 2 5 4" xfId="37881"/>
    <cellStyle name="Heading 2 2 3 2 2 2 5 4 2" xfId="37882"/>
    <cellStyle name="Heading 2 2 3 2 2 2 5 4 2 2" xfId="37883"/>
    <cellStyle name="Heading 2 2 3 2 2 2 5 4 3" xfId="37884"/>
    <cellStyle name="Heading 2 2 3 2 2 2 5 5" xfId="37885"/>
    <cellStyle name="Heading 2 2 3 2 2 2 5 5 2" xfId="37886"/>
    <cellStyle name="Heading 2 2 3 2 2 2 5 5 2 2" xfId="37887"/>
    <cellStyle name="Heading 2 2 3 2 2 2 5 5 3" xfId="37888"/>
    <cellStyle name="Heading 2 2 3 2 2 2 5 6" xfId="37889"/>
    <cellStyle name="Heading 2 2 3 2 2 2 5 6 2" xfId="37890"/>
    <cellStyle name="Heading 2 2 3 2 2 2 5 6 2 2" xfId="37891"/>
    <cellStyle name="Heading 2 2 3 2 2 2 5 6 3" xfId="37892"/>
    <cellStyle name="Heading 2 2 3 2 2 2 5 7" xfId="37893"/>
    <cellStyle name="Heading 2 2 3 2 2 2 5 7 2" xfId="37894"/>
    <cellStyle name="Heading 2 2 3 2 2 2 5 7 2 2" xfId="37895"/>
    <cellStyle name="Heading 2 2 3 2 2 2 5 7 3" xfId="37896"/>
    <cellStyle name="Heading 2 2 3 2 2 2 5 8" xfId="37897"/>
    <cellStyle name="Heading 2 2 3 2 2 2 5 8 2" xfId="37898"/>
    <cellStyle name="Heading 2 2 3 2 2 2 5 9" xfId="37899"/>
    <cellStyle name="Heading 2 2 3 2 2 2 6" xfId="37900"/>
    <cellStyle name="Heading 2 2 3 2 2 2 6 2" xfId="37901"/>
    <cellStyle name="Heading 2 2 3 2 2 2 6 2 2" xfId="37902"/>
    <cellStyle name="Heading 2 2 3 2 2 2 6 2 2 2" xfId="37903"/>
    <cellStyle name="Heading 2 2 3 2 2 2 6 2 3" xfId="37904"/>
    <cellStyle name="Heading 2 2 3 2 2 2 6 3" xfId="37905"/>
    <cellStyle name="Heading 2 2 3 2 2 2 6 3 2" xfId="37906"/>
    <cellStyle name="Heading 2 2 3 2 2 2 6 3 2 2" xfId="37907"/>
    <cellStyle name="Heading 2 2 3 2 2 2 6 3 3" xfId="37908"/>
    <cellStyle name="Heading 2 2 3 2 2 2 6 4" xfId="37909"/>
    <cellStyle name="Heading 2 2 3 2 2 2 6 4 2" xfId="37910"/>
    <cellStyle name="Heading 2 2 3 2 2 2 6 4 2 2" xfId="37911"/>
    <cellStyle name="Heading 2 2 3 2 2 2 6 4 3" xfId="37912"/>
    <cellStyle name="Heading 2 2 3 2 2 2 6 5" xfId="37913"/>
    <cellStyle name="Heading 2 2 3 2 2 2 6 5 2" xfId="37914"/>
    <cellStyle name="Heading 2 2 3 2 2 2 6 5 2 2" xfId="37915"/>
    <cellStyle name="Heading 2 2 3 2 2 2 6 5 3" xfId="37916"/>
    <cellStyle name="Heading 2 2 3 2 2 2 6 6" xfId="37917"/>
    <cellStyle name="Heading 2 2 3 2 2 2 6 6 2" xfId="37918"/>
    <cellStyle name="Heading 2 2 3 2 2 2 6 6 2 2" xfId="37919"/>
    <cellStyle name="Heading 2 2 3 2 2 2 6 6 3" xfId="37920"/>
    <cellStyle name="Heading 2 2 3 2 2 2 6 7" xfId="37921"/>
    <cellStyle name="Heading 2 2 3 2 2 2 6 7 2" xfId="37922"/>
    <cellStyle name="Heading 2 2 3 2 2 2 6 7 2 2" xfId="37923"/>
    <cellStyle name="Heading 2 2 3 2 2 2 6 7 3" xfId="37924"/>
    <cellStyle name="Heading 2 2 3 2 2 2 6 8" xfId="37925"/>
    <cellStyle name="Heading 2 2 3 2 2 2 6 8 2" xfId="37926"/>
    <cellStyle name="Heading 2 2 3 2 2 2 6 9" xfId="37927"/>
    <cellStyle name="Heading 2 2 3 2 2 2 7" xfId="37928"/>
    <cellStyle name="Heading 2 2 3 2 2 2 7 2" xfId="37929"/>
    <cellStyle name="Heading 2 2 3 2 2 2 7 2 2" xfId="37930"/>
    <cellStyle name="Heading 2 2 3 2 2 2 7 2 2 2" xfId="37931"/>
    <cellStyle name="Heading 2 2 3 2 2 2 7 2 3" xfId="37932"/>
    <cellStyle name="Heading 2 2 3 2 2 2 7 3" xfId="37933"/>
    <cellStyle name="Heading 2 2 3 2 2 2 7 3 2" xfId="37934"/>
    <cellStyle name="Heading 2 2 3 2 2 2 7 3 2 2" xfId="37935"/>
    <cellStyle name="Heading 2 2 3 2 2 2 7 3 3" xfId="37936"/>
    <cellStyle name="Heading 2 2 3 2 2 2 7 4" xfId="37937"/>
    <cellStyle name="Heading 2 2 3 2 2 2 7 4 2" xfId="37938"/>
    <cellStyle name="Heading 2 2 3 2 2 2 7 4 2 2" xfId="37939"/>
    <cellStyle name="Heading 2 2 3 2 2 2 7 4 3" xfId="37940"/>
    <cellStyle name="Heading 2 2 3 2 2 2 7 5" xfId="37941"/>
    <cellStyle name="Heading 2 2 3 2 2 2 7 5 2" xfId="37942"/>
    <cellStyle name="Heading 2 2 3 2 2 2 7 5 2 2" xfId="37943"/>
    <cellStyle name="Heading 2 2 3 2 2 2 7 5 3" xfId="37944"/>
    <cellStyle name="Heading 2 2 3 2 2 2 7 6" xfId="37945"/>
    <cellStyle name="Heading 2 2 3 2 2 2 7 6 2" xfId="37946"/>
    <cellStyle name="Heading 2 2 3 2 2 2 7 6 2 2" xfId="37947"/>
    <cellStyle name="Heading 2 2 3 2 2 2 7 6 3" xfId="37948"/>
    <cellStyle name="Heading 2 2 3 2 2 2 7 7" xfId="37949"/>
    <cellStyle name="Heading 2 2 3 2 2 2 7 7 2" xfId="37950"/>
    <cellStyle name="Heading 2 2 3 2 2 2 7 7 2 2" xfId="37951"/>
    <cellStyle name="Heading 2 2 3 2 2 2 7 7 3" xfId="37952"/>
    <cellStyle name="Heading 2 2 3 2 2 2 7 8" xfId="37953"/>
    <cellStyle name="Heading 2 2 3 2 2 2 7 8 2" xfId="37954"/>
    <cellStyle name="Heading 2 2 3 2 2 2 7 9" xfId="37955"/>
    <cellStyle name="Heading 2 2 3 2 2 2 8" xfId="37956"/>
    <cellStyle name="Heading 2 2 3 2 2 2 8 2" xfId="37957"/>
    <cellStyle name="Heading 2 2 3 2 2 2 8 2 2" xfId="37958"/>
    <cellStyle name="Heading 2 2 3 2 2 2 8 2 2 2" xfId="37959"/>
    <cellStyle name="Heading 2 2 3 2 2 2 8 2 3" xfId="37960"/>
    <cellStyle name="Heading 2 2 3 2 2 2 8 3" xfId="37961"/>
    <cellStyle name="Heading 2 2 3 2 2 2 8 3 2" xfId="37962"/>
    <cellStyle name="Heading 2 2 3 2 2 2 8 3 2 2" xfId="37963"/>
    <cellStyle name="Heading 2 2 3 2 2 2 8 3 3" xfId="37964"/>
    <cellStyle name="Heading 2 2 3 2 2 2 8 4" xfId="37965"/>
    <cellStyle name="Heading 2 2 3 2 2 2 8 4 2" xfId="37966"/>
    <cellStyle name="Heading 2 2 3 2 2 2 8 4 2 2" xfId="37967"/>
    <cellStyle name="Heading 2 2 3 2 2 2 8 4 3" xfId="37968"/>
    <cellStyle name="Heading 2 2 3 2 2 2 8 5" xfId="37969"/>
    <cellStyle name="Heading 2 2 3 2 2 2 8 5 2" xfId="37970"/>
    <cellStyle name="Heading 2 2 3 2 2 2 8 5 2 2" xfId="37971"/>
    <cellStyle name="Heading 2 2 3 2 2 2 8 5 3" xfId="37972"/>
    <cellStyle name="Heading 2 2 3 2 2 2 8 6" xfId="37973"/>
    <cellStyle name="Heading 2 2 3 2 2 2 8 6 2" xfId="37974"/>
    <cellStyle name="Heading 2 2 3 2 2 2 8 6 2 2" xfId="37975"/>
    <cellStyle name="Heading 2 2 3 2 2 2 8 6 3" xfId="37976"/>
    <cellStyle name="Heading 2 2 3 2 2 2 8 7" xfId="37977"/>
    <cellStyle name="Heading 2 2 3 2 2 2 8 7 2" xfId="37978"/>
    <cellStyle name="Heading 2 2 3 2 2 2 8 7 2 2" xfId="37979"/>
    <cellStyle name="Heading 2 2 3 2 2 2 8 7 3" xfId="37980"/>
    <cellStyle name="Heading 2 2 3 2 2 2 8 8" xfId="37981"/>
    <cellStyle name="Heading 2 2 3 2 2 2 8 8 2" xfId="37982"/>
    <cellStyle name="Heading 2 2 3 2 2 2 8 9" xfId="37983"/>
    <cellStyle name="Heading 2 2 3 2 2 2 9" xfId="37984"/>
    <cellStyle name="Heading 2 2 3 2 2 2 9 2" xfId="37985"/>
    <cellStyle name="Heading 2 2 3 2 2 2 9 2 2" xfId="37986"/>
    <cellStyle name="Heading 2 2 3 2 2 2 9 3" xfId="37987"/>
    <cellStyle name="Heading 2 2 3 2 2 20" xfId="37988"/>
    <cellStyle name="Heading 2 2 3 2 2 20 2" xfId="37989"/>
    <cellStyle name="Heading 2 2 3 2 2 21" xfId="37990"/>
    <cellStyle name="Heading 2 2 3 2 2 21 2" xfId="37991"/>
    <cellStyle name="Heading 2 2 3 2 2 22" xfId="37992"/>
    <cellStyle name="Heading 2 2 3 2 2 22 2" xfId="37993"/>
    <cellStyle name="Heading 2 2 3 2 2 23" xfId="37994"/>
    <cellStyle name="Heading 2 2 3 2 2 3" xfId="37995"/>
    <cellStyle name="Heading 2 2 3 2 2 3 2" xfId="37996"/>
    <cellStyle name="Heading 2 2 3 2 2 3 2 2" xfId="37997"/>
    <cellStyle name="Heading 2 2 3 2 2 3 2 2 2" xfId="37998"/>
    <cellStyle name="Heading 2 2 3 2 2 3 2 3" xfId="37999"/>
    <cellStyle name="Heading 2 2 3 2 2 3 3" xfId="38000"/>
    <cellStyle name="Heading 2 2 3 2 2 3 3 2" xfId="38001"/>
    <cellStyle name="Heading 2 2 3 2 2 3 3 2 2" xfId="38002"/>
    <cellStyle name="Heading 2 2 3 2 2 3 3 3" xfId="38003"/>
    <cellStyle name="Heading 2 2 3 2 2 3 4" xfId="38004"/>
    <cellStyle name="Heading 2 2 3 2 2 3 4 2" xfId="38005"/>
    <cellStyle name="Heading 2 2 3 2 2 3 4 2 2" xfId="38006"/>
    <cellStyle name="Heading 2 2 3 2 2 3 4 3" xfId="38007"/>
    <cellStyle name="Heading 2 2 3 2 2 3 5" xfId="38008"/>
    <cellStyle name="Heading 2 2 3 2 2 3 5 2" xfId="38009"/>
    <cellStyle name="Heading 2 2 3 2 2 3 5 2 2" xfId="38010"/>
    <cellStyle name="Heading 2 2 3 2 2 3 5 3" xfId="38011"/>
    <cellStyle name="Heading 2 2 3 2 2 3 6" xfId="38012"/>
    <cellStyle name="Heading 2 2 3 2 2 3 6 2" xfId="38013"/>
    <cellStyle name="Heading 2 2 3 2 2 3 6 2 2" xfId="38014"/>
    <cellStyle name="Heading 2 2 3 2 2 3 6 3" xfId="38015"/>
    <cellStyle name="Heading 2 2 3 2 2 3 7" xfId="38016"/>
    <cellStyle name="Heading 2 2 3 2 2 3 7 2" xfId="38017"/>
    <cellStyle name="Heading 2 2 3 2 2 3 7 2 2" xfId="38018"/>
    <cellStyle name="Heading 2 2 3 2 2 3 7 3" xfId="38019"/>
    <cellStyle name="Heading 2 2 3 2 2 3 8" xfId="38020"/>
    <cellStyle name="Heading 2 2 3 2 2 3 8 2" xfId="38021"/>
    <cellStyle name="Heading 2 2 3 2 2 3 9" xfId="38022"/>
    <cellStyle name="Heading 2 2 3 2 2 4" xfId="38023"/>
    <cellStyle name="Heading 2 2 3 2 2 4 2" xfId="38024"/>
    <cellStyle name="Heading 2 2 3 2 2 4 2 2" xfId="38025"/>
    <cellStyle name="Heading 2 2 3 2 2 4 2 2 2" xfId="38026"/>
    <cellStyle name="Heading 2 2 3 2 2 4 2 3" xfId="38027"/>
    <cellStyle name="Heading 2 2 3 2 2 4 3" xfId="38028"/>
    <cellStyle name="Heading 2 2 3 2 2 4 3 2" xfId="38029"/>
    <cellStyle name="Heading 2 2 3 2 2 4 3 2 2" xfId="38030"/>
    <cellStyle name="Heading 2 2 3 2 2 4 3 3" xfId="38031"/>
    <cellStyle name="Heading 2 2 3 2 2 4 4" xfId="38032"/>
    <cellStyle name="Heading 2 2 3 2 2 4 4 2" xfId="38033"/>
    <cellStyle name="Heading 2 2 3 2 2 4 4 2 2" xfId="38034"/>
    <cellStyle name="Heading 2 2 3 2 2 4 4 3" xfId="38035"/>
    <cellStyle name="Heading 2 2 3 2 2 4 5" xfId="38036"/>
    <cellStyle name="Heading 2 2 3 2 2 4 5 2" xfId="38037"/>
    <cellStyle name="Heading 2 2 3 2 2 4 5 2 2" xfId="38038"/>
    <cellStyle name="Heading 2 2 3 2 2 4 5 3" xfId="38039"/>
    <cellStyle name="Heading 2 2 3 2 2 4 6" xfId="38040"/>
    <cellStyle name="Heading 2 2 3 2 2 4 6 2" xfId="38041"/>
    <cellStyle name="Heading 2 2 3 2 2 4 6 2 2" xfId="38042"/>
    <cellStyle name="Heading 2 2 3 2 2 4 6 3" xfId="38043"/>
    <cellStyle name="Heading 2 2 3 2 2 4 7" xfId="38044"/>
    <cellStyle name="Heading 2 2 3 2 2 4 7 2" xfId="38045"/>
    <cellStyle name="Heading 2 2 3 2 2 4 7 2 2" xfId="38046"/>
    <cellStyle name="Heading 2 2 3 2 2 4 7 3" xfId="38047"/>
    <cellStyle name="Heading 2 2 3 2 2 4 8" xfId="38048"/>
    <cellStyle name="Heading 2 2 3 2 2 4 8 2" xfId="38049"/>
    <cellStyle name="Heading 2 2 3 2 2 4 9" xfId="38050"/>
    <cellStyle name="Heading 2 2 3 2 2 5" xfId="38051"/>
    <cellStyle name="Heading 2 2 3 2 2 5 2" xfId="38052"/>
    <cellStyle name="Heading 2 2 3 2 2 5 2 2" xfId="38053"/>
    <cellStyle name="Heading 2 2 3 2 2 5 2 2 2" xfId="38054"/>
    <cellStyle name="Heading 2 2 3 2 2 5 2 3" xfId="38055"/>
    <cellStyle name="Heading 2 2 3 2 2 5 3" xfId="38056"/>
    <cellStyle name="Heading 2 2 3 2 2 5 3 2" xfId="38057"/>
    <cellStyle name="Heading 2 2 3 2 2 5 3 2 2" xfId="38058"/>
    <cellStyle name="Heading 2 2 3 2 2 5 3 3" xfId="38059"/>
    <cellStyle name="Heading 2 2 3 2 2 5 4" xfId="38060"/>
    <cellStyle name="Heading 2 2 3 2 2 5 4 2" xfId="38061"/>
    <cellStyle name="Heading 2 2 3 2 2 5 4 2 2" xfId="38062"/>
    <cellStyle name="Heading 2 2 3 2 2 5 4 3" xfId="38063"/>
    <cellStyle name="Heading 2 2 3 2 2 5 5" xfId="38064"/>
    <cellStyle name="Heading 2 2 3 2 2 5 5 2" xfId="38065"/>
    <cellStyle name="Heading 2 2 3 2 2 5 5 2 2" xfId="38066"/>
    <cellStyle name="Heading 2 2 3 2 2 5 5 3" xfId="38067"/>
    <cellStyle name="Heading 2 2 3 2 2 5 6" xfId="38068"/>
    <cellStyle name="Heading 2 2 3 2 2 5 6 2" xfId="38069"/>
    <cellStyle name="Heading 2 2 3 2 2 5 6 2 2" xfId="38070"/>
    <cellStyle name="Heading 2 2 3 2 2 5 6 3" xfId="38071"/>
    <cellStyle name="Heading 2 2 3 2 2 5 7" xfId="38072"/>
    <cellStyle name="Heading 2 2 3 2 2 5 7 2" xfId="38073"/>
    <cellStyle name="Heading 2 2 3 2 2 5 7 2 2" xfId="38074"/>
    <cellStyle name="Heading 2 2 3 2 2 5 7 3" xfId="38075"/>
    <cellStyle name="Heading 2 2 3 2 2 5 8" xfId="38076"/>
    <cellStyle name="Heading 2 2 3 2 2 5 8 2" xfId="38077"/>
    <cellStyle name="Heading 2 2 3 2 2 5 9" xfId="38078"/>
    <cellStyle name="Heading 2 2 3 2 2 6" xfId="38079"/>
    <cellStyle name="Heading 2 2 3 2 2 6 2" xfId="38080"/>
    <cellStyle name="Heading 2 2 3 2 2 6 2 2" xfId="38081"/>
    <cellStyle name="Heading 2 2 3 2 2 6 2 2 2" xfId="38082"/>
    <cellStyle name="Heading 2 2 3 2 2 6 2 3" xfId="38083"/>
    <cellStyle name="Heading 2 2 3 2 2 6 3" xfId="38084"/>
    <cellStyle name="Heading 2 2 3 2 2 6 3 2" xfId="38085"/>
    <cellStyle name="Heading 2 2 3 2 2 6 3 2 2" xfId="38086"/>
    <cellStyle name="Heading 2 2 3 2 2 6 3 3" xfId="38087"/>
    <cellStyle name="Heading 2 2 3 2 2 6 4" xfId="38088"/>
    <cellStyle name="Heading 2 2 3 2 2 6 4 2" xfId="38089"/>
    <cellStyle name="Heading 2 2 3 2 2 6 4 2 2" xfId="38090"/>
    <cellStyle name="Heading 2 2 3 2 2 6 4 3" xfId="38091"/>
    <cellStyle name="Heading 2 2 3 2 2 6 5" xfId="38092"/>
    <cellStyle name="Heading 2 2 3 2 2 6 5 2" xfId="38093"/>
    <cellStyle name="Heading 2 2 3 2 2 6 5 2 2" xfId="38094"/>
    <cellStyle name="Heading 2 2 3 2 2 6 5 3" xfId="38095"/>
    <cellStyle name="Heading 2 2 3 2 2 6 6" xfId="38096"/>
    <cellStyle name="Heading 2 2 3 2 2 6 6 2" xfId="38097"/>
    <cellStyle name="Heading 2 2 3 2 2 6 6 2 2" xfId="38098"/>
    <cellStyle name="Heading 2 2 3 2 2 6 6 3" xfId="38099"/>
    <cellStyle name="Heading 2 2 3 2 2 6 7" xfId="38100"/>
    <cellStyle name="Heading 2 2 3 2 2 6 7 2" xfId="38101"/>
    <cellStyle name="Heading 2 2 3 2 2 6 7 2 2" xfId="38102"/>
    <cellStyle name="Heading 2 2 3 2 2 6 7 3" xfId="38103"/>
    <cellStyle name="Heading 2 2 3 2 2 6 8" xfId="38104"/>
    <cellStyle name="Heading 2 2 3 2 2 6 8 2" xfId="38105"/>
    <cellStyle name="Heading 2 2 3 2 2 6 9" xfId="38106"/>
    <cellStyle name="Heading 2 2 3 2 2 7" xfId="38107"/>
    <cellStyle name="Heading 2 2 3 2 2 7 2" xfId="38108"/>
    <cellStyle name="Heading 2 2 3 2 2 7 2 2" xfId="38109"/>
    <cellStyle name="Heading 2 2 3 2 2 7 2 2 2" xfId="38110"/>
    <cellStyle name="Heading 2 2 3 2 2 7 2 3" xfId="38111"/>
    <cellStyle name="Heading 2 2 3 2 2 7 3" xfId="38112"/>
    <cellStyle name="Heading 2 2 3 2 2 7 3 2" xfId="38113"/>
    <cellStyle name="Heading 2 2 3 2 2 7 3 2 2" xfId="38114"/>
    <cellStyle name="Heading 2 2 3 2 2 7 3 3" xfId="38115"/>
    <cellStyle name="Heading 2 2 3 2 2 7 4" xfId="38116"/>
    <cellStyle name="Heading 2 2 3 2 2 7 4 2" xfId="38117"/>
    <cellStyle name="Heading 2 2 3 2 2 7 4 2 2" xfId="38118"/>
    <cellStyle name="Heading 2 2 3 2 2 7 4 3" xfId="38119"/>
    <cellStyle name="Heading 2 2 3 2 2 7 5" xfId="38120"/>
    <cellStyle name="Heading 2 2 3 2 2 7 5 2" xfId="38121"/>
    <cellStyle name="Heading 2 2 3 2 2 7 5 2 2" xfId="38122"/>
    <cellStyle name="Heading 2 2 3 2 2 7 5 3" xfId="38123"/>
    <cellStyle name="Heading 2 2 3 2 2 7 6" xfId="38124"/>
    <cellStyle name="Heading 2 2 3 2 2 7 6 2" xfId="38125"/>
    <cellStyle name="Heading 2 2 3 2 2 7 6 2 2" xfId="38126"/>
    <cellStyle name="Heading 2 2 3 2 2 7 6 3" xfId="38127"/>
    <cellStyle name="Heading 2 2 3 2 2 7 7" xfId="38128"/>
    <cellStyle name="Heading 2 2 3 2 2 7 7 2" xfId="38129"/>
    <cellStyle name="Heading 2 2 3 2 2 7 7 2 2" xfId="38130"/>
    <cellStyle name="Heading 2 2 3 2 2 7 7 3" xfId="38131"/>
    <cellStyle name="Heading 2 2 3 2 2 7 8" xfId="38132"/>
    <cellStyle name="Heading 2 2 3 2 2 7 8 2" xfId="38133"/>
    <cellStyle name="Heading 2 2 3 2 2 7 9" xfId="38134"/>
    <cellStyle name="Heading 2 2 3 2 2 8" xfId="38135"/>
    <cellStyle name="Heading 2 2 3 2 2 8 2" xfId="38136"/>
    <cellStyle name="Heading 2 2 3 2 2 8 2 2" xfId="38137"/>
    <cellStyle name="Heading 2 2 3 2 2 8 2 2 2" xfId="38138"/>
    <cellStyle name="Heading 2 2 3 2 2 8 2 3" xfId="38139"/>
    <cellStyle name="Heading 2 2 3 2 2 8 3" xfId="38140"/>
    <cellStyle name="Heading 2 2 3 2 2 8 3 2" xfId="38141"/>
    <cellStyle name="Heading 2 2 3 2 2 8 3 2 2" xfId="38142"/>
    <cellStyle name="Heading 2 2 3 2 2 8 3 3" xfId="38143"/>
    <cellStyle name="Heading 2 2 3 2 2 8 4" xfId="38144"/>
    <cellStyle name="Heading 2 2 3 2 2 8 4 2" xfId="38145"/>
    <cellStyle name="Heading 2 2 3 2 2 8 4 2 2" xfId="38146"/>
    <cellStyle name="Heading 2 2 3 2 2 8 4 3" xfId="38147"/>
    <cellStyle name="Heading 2 2 3 2 2 8 5" xfId="38148"/>
    <cellStyle name="Heading 2 2 3 2 2 8 5 2" xfId="38149"/>
    <cellStyle name="Heading 2 2 3 2 2 8 5 2 2" xfId="38150"/>
    <cellStyle name="Heading 2 2 3 2 2 8 5 3" xfId="38151"/>
    <cellStyle name="Heading 2 2 3 2 2 8 6" xfId="38152"/>
    <cellStyle name="Heading 2 2 3 2 2 8 6 2" xfId="38153"/>
    <cellStyle name="Heading 2 2 3 2 2 8 6 2 2" xfId="38154"/>
    <cellStyle name="Heading 2 2 3 2 2 8 6 3" xfId="38155"/>
    <cellStyle name="Heading 2 2 3 2 2 8 7" xfId="38156"/>
    <cellStyle name="Heading 2 2 3 2 2 8 7 2" xfId="38157"/>
    <cellStyle name="Heading 2 2 3 2 2 8 7 2 2" xfId="38158"/>
    <cellStyle name="Heading 2 2 3 2 2 8 7 3" xfId="38159"/>
    <cellStyle name="Heading 2 2 3 2 2 8 8" xfId="38160"/>
    <cellStyle name="Heading 2 2 3 2 2 8 8 2" xfId="38161"/>
    <cellStyle name="Heading 2 2 3 2 2 8 9" xfId="38162"/>
    <cellStyle name="Heading 2 2 3 2 2 9" xfId="38163"/>
    <cellStyle name="Heading 2 2 3 2 2 9 2" xfId="38164"/>
    <cellStyle name="Heading 2 2 3 2 2 9 2 2" xfId="38165"/>
    <cellStyle name="Heading 2 2 3 2 2 9 2 2 2" xfId="38166"/>
    <cellStyle name="Heading 2 2 3 2 2 9 2 3" xfId="38167"/>
    <cellStyle name="Heading 2 2 3 2 2 9 3" xfId="38168"/>
    <cellStyle name="Heading 2 2 3 2 2 9 3 2" xfId="38169"/>
    <cellStyle name="Heading 2 2 3 2 2 9 3 2 2" xfId="38170"/>
    <cellStyle name="Heading 2 2 3 2 2 9 3 3" xfId="38171"/>
    <cellStyle name="Heading 2 2 3 2 2 9 4" xfId="38172"/>
    <cellStyle name="Heading 2 2 3 2 2 9 4 2" xfId="38173"/>
    <cellStyle name="Heading 2 2 3 2 2 9 4 2 2" xfId="38174"/>
    <cellStyle name="Heading 2 2 3 2 2 9 4 3" xfId="38175"/>
    <cellStyle name="Heading 2 2 3 2 2 9 5" xfId="38176"/>
    <cellStyle name="Heading 2 2 3 2 2 9 5 2" xfId="38177"/>
    <cellStyle name="Heading 2 2 3 2 2 9 5 2 2" xfId="38178"/>
    <cellStyle name="Heading 2 2 3 2 2 9 5 3" xfId="38179"/>
    <cellStyle name="Heading 2 2 3 2 2 9 6" xfId="38180"/>
    <cellStyle name="Heading 2 2 3 2 2 9 6 2" xfId="38181"/>
    <cellStyle name="Heading 2 2 3 2 2 9 6 2 2" xfId="38182"/>
    <cellStyle name="Heading 2 2 3 2 2 9 6 3" xfId="38183"/>
    <cellStyle name="Heading 2 2 3 2 2 9 7" xfId="38184"/>
    <cellStyle name="Heading 2 2 3 2 2 9 7 2" xfId="38185"/>
    <cellStyle name="Heading 2 2 3 2 2 9 7 2 2" xfId="38186"/>
    <cellStyle name="Heading 2 2 3 2 2 9 7 3" xfId="38187"/>
    <cellStyle name="Heading 2 2 3 2 2 9 8" xfId="38188"/>
    <cellStyle name="Heading 2 2 3 2 2 9 8 2" xfId="38189"/>
    <cellStyle name="Heading 2 2 3 2 2 9 9" xfId="38190"/>
    <cellStyle name="Heading 2 2 3 2 3" xfId="38191"/>
    <cellStyle name="Heading 2 2 3 2 3 10" xfId="38192"/>
    <cellStyle name="Heading 2 2 3 2 3 10 2" xfId="38193"/>
    <cellStyle name="Heading 2 2 3 2 3 10 2 2" xfId="38194"/>
    <cellStyle name="Heading 2 2 3 2 3 10 3" xfId="38195"/>
    <cellStyle name="Heading 2 2 3 2 3 11" xfId="38196"/>
    <cellStyle name="Heading 2 2 3 2 3 11 2" xfId="38197"/>
    <cellStyle name="Heading 2 2 3 2 3 11 2 2" xfId="38198"/>
    <cellStyle name="Heading 2 2 3 2 3 11 3" xfId="38199"/>
    <cellStyle name="Heading 2 2 3 2 3 12" xfId="38200"/>
    <cellStyle name="Heading 2 2 3 2 3 12 2" xfId="38201"/>
    <cellStyle name="Heading 2 2 3 2 3 12 2 2" xfId="38202"/>
    <cellStyle name="Heading 2 2 3 2 3 12 3" xfId="38203"/>
    <cellStyle name="Heading 2 2 3 2 3 13" xfId="38204"/>
    <cellStyle name="Heading 2 2 3 2 3 13 2" xfId="38205"/>
    <cellStyle name="Heading 2 2 3 2 3 13 2 2" xfId="38206"/>
    <cellStyle name="Heading 2 2 3 2 3 13 3" xfId="38207"/>
    <cellStyle name="Heading 2 2 3 2 3 14" xfId="38208"/>
    <cellStyle name="Heading 2 2 3 2 3 14 2" xfId="38209"/>
    <cellStyle name="Heading 2 2 3 2 3 14 2 2" xfId="38210"/>
    <cellStyle name="Heading 2 2 3 2 3 14 3" xfId="38211"/>
    <cellStyle name="Heading 2 2 3 2 3 15" xfId="38212"/>
    <cellStyle name="Heading 2 2 3 2 3 15 2" xfId="38213"/>
    <cellStyle name="Heading 2 2 3 2 3 15 2 2" xfId="38214"/>
    <cellStyle name="Heading 2 2 3 2 3 15 3" xfId="38215"/>
    <cellStyle name="Heading 2 2 3 2 3 16" xfId="38216"/>
    <cellStyle name="Heading 2 2 3 2 3 16 2" xfId="38217"/>
    <cellStyle name="Heading 2 2 3 2 3 16 2 2" xfId="38218"/>
    <cellStyle name="Heading 2 2 3 2 3 16 3" xfId="38219"/>
    <cellStyle name="Heading 2 2 3 2 3 17" xfId="38220"/>
    <cellStyle name="Heading 2 2 3 2 3 17 2" xfId="38221"/>
    <cellStyle name="Heading 2 2 3 2 3 17 2 2" xfId="38222"/>
    <cellStyle name="Heading 2 2 3 2 3 17 3" xfId="38223"/>
    <cellStyle name="Heading 2 2 3 2 3 18" xfId="38224"/>
    <cellStyle name="Heading 2 2 3 2 3 18 2" xfId="38225"/>
    <cellStyle name="Heading 2 2 3 2 3 18 2 2" xfId="38226"/>
    <cellStyle name="Heading 2 2 3 2 3 18 3" xfId="38227"/>
    <cellStyle name="Heading 2 2 3 2 3 19" xfId="38228"/>
    <cellStyle name="Heading 2 2 3 2 3 19 2" xfId="38229"/>
    <cellStyle name="Heading 2 2 3 2 3 2" xfId="38230"/>
    <cellStyle name="Heading 2 2 3 2 3 2 2" xfId="38231"/>
    <cellStyle name="Heading 2 2 3 2 3 2 2 2" xfId="38232"/>
    <cellStyle name="Heading 2 2 3 2 3 2 2 2 2" xfId="38233"/>
    <cellStyle name="Heading 2 2 3 2 3 2 2 3" xfId="38234"/>
    <cellStyle name="Heading 2 2 3 2 3 2 3" xfId="38235"/>
    <cellStyle name="Heading 2 2 3 2 3 2 3 2" xfId="38236"/>
    <cellStyle name="Heading 2 2 3 2 3 2 3 2 2" xfId="38237"/>
    <cellStyle name="Heading 2 2 3 2 3 2 3 3" xfId="38238"/>
    <cellStyle name="Heading 2 2 3 2 3 2 4" xfId="38239"/>
    <cellStyle name="Heading 2 2 3 2 3 2 4 2" xfId="38240"/>
    <cellStyle name="Heading 2 2 3 2 3 2 4 2 2" xfId="38241"/>
    <cellStyle name="Heading 2 2 3 2 3 2 4 3" xfId="38242"/>
    <cellStyle name="Heading 2 2 3 2 3 2 5" xfId="38243"/>
    <cellStyle name="Heading 2 2 3 2 3 2 5 2" xfId="38244"/>
    <cellStyle name="Heading 2 2 3 2 3 2 5 2 2" xfId="38245"/>
    <cellStyle name="Heading 2 2 3 2 3 2 5 3" xfId="38246"/>
    <cellStyle name="Heading 2 2 3 2 3 2 6" xfId="38247"/>
    <cellStyle name="Heading 2 2 3 2 3 2 6 2" xfId="38248"/>
    <cellStyle name="Heading 2 2 3 2 3 2 6 2 2" xfId="38249"/>
    <cellStyle name="Heading 2 2 3 2 3 2 6 3" xfId="38250"/>
    <cellStyle name="Heading 2 2 3 2 3 2 7" xfId="38251"/>
    <cellStyle name="Heading 2 2 3 2 3 2 7 2" xfId="38252"/>
    <cellStyle name="Heading 2 2 3 2 3 2 7 2 2" xfId="38253"/>
    <cellStyle name="Heading 2 2 3 2 3 2 7 3" xfId="38254"/>
    <cellStyle name="Heading 2 2 3 2 3 2 8" xfId="38255"/>
    <cellStyle name="Heading 2 2 3 2 3 2 8 2" xfId="38256"/>
    <cellStyle name="Heading 2 2 3 2 3 2 9" xfId="38257"/>
    <cellStyle name="Heading 2 2 3 2 3 20" xfId="38258"/>
    <cellStyle name="Heading 2 2 3 2 3 20 2" xfId="38259"/>
    <cellStyle name="Heading 2 2 3 2 3 21" xfId="38260"/>
    <cellStyle name="Heading 2 2 3 2 3 21 2" xfId="38261"/>
    <cellStyle name="Heading 2 2 3 2 3 22" xfId="38262"/>
    <cellStyle name="Heading 2 2 3 2 3 3" xfId="38263"/>
    <cellStyle name="Heading 2 2 3 2 3 3 2" xfId="38264"/>
    <cellStyle name="Heading 2 2 3 2 3 3 2 2" xfId="38265"/>
    <cellStyle name="Heading 2 2 3 2 3 3 2 2 2" xfId="38266"/>
    <cellStyle name="Heading 2 2 3 2 3 3 2 3" xfId="38267"/>
    <cellStyle name="Heading 2 2 3 2 3 3 3" xfId="38268"/>
    <cellStyle name="Heading 2 2 3 2 3 3 3 2" xfId="38269"/>
    <cellStyle name="Heading 2 2 3 2 3 3 3 2 2" xfId="38270"/>
    <cellStyle name="Heading 2 2 3 2 3 3 3 3" xfId="38271"/>
    <cellStyle name="Heading 2 2 3 2 3 3 4" xfId="38272"/>
    <cellStyle name="Heading 2 2 3 2 3 3 4 2" xfId="38273"/>
    <cellStyle name="Heading 2 2 3 2 3 3 4 2 2" xfId="38274"/>
    <cellStyle name="Heading 2 2 3 2 3 3 4 3" xfId="38275"/>
    <cellStyle name="Heading 2 2 3 2 3 3 5" xfId="38276"/>
    <cellStyle name="Heading 2 2 3 2 3 3 5 2" xfId="38277"/>
    <cellStyle name="Heading 2 2 3 2 3 3 5 2 2" xfId="38278"/>
    <cellStyle name="Heading 2 2 3 2 3 3 5 3" xfId="38279"/>
    <cellStyle name="Heading 2 2 3 2 3 3 6" xfId="38280"/>
    <cellStyle name="Heading 2 2 3 2 3 3 6 2" xfId="38281"/>
    <cellStyle name="Heading 2 2 3 2 3 3 6 2 2" xfId="38282"/>
    <cellStyle name="Heading 2 2 3 2 3 3 6 3" xfId="38283"/>
    <cellStyle name="Heading 2 2 3 2 3 3 7" xfId="38284"/>
    <cellStyle name="Heading 2 2 3 2 3 3 7 2" xfId="38285"/>
    <cellStyle name="Heading 2 2 3 2 3 3 7 2 2" xfId="38286"/>
    <cellStyle name="Heading 2 2 3 2 3 3 7 3" xfId="38287"/>
    <cellStyle name="Heading 2 2 3 2 3 3 8" xfId="38288"/>
    <cellStyle name="Heading 2 2 3 2 3 3 8 2" xfId="38289"/>
    <cellStyle name="Heading 2 2 3 2 3 3 9" xfId="38290"/>
    <cellStyle name="Heading 2 2 3 2 3 4" xfId="38291"/>
    <cellStyle name="Heading 2 2 3 2 3 4 2" xfId="38292"/>
    <cellStyle name="Heading 2 2 3 2 3 4 2 2" xfId="38293"/>
    <cellStyle name="Heading 2 2 3 2 3 4 2 2 2" xfId="38294"/>
    <cellStyle name="Heading 2 2 3 2 3 4 2 3" xfId="38295"/>
    <cellStyle name="Heading 2 2 3 2 3 4 3" xfId="38296"/>
    <cellStyle name="Heading 2 2 3 2 3 4 3 2" xfId="38297"/>
    <cellStyle name="Heading 2 2 3 2 3 4 3 2 2" xfId="38298"/>
    <cellStyle name="Heading 2 2 3 2 3 4 3 3" xfId="38299"/>
    <cellStyle name="Heading 2 2 3 2 3 4 4" xfId="38300"/>
    <cellStyle name="Heading 2 2 3 2 3 4 4 2" xfId="38301"/>
    <cellStyle name="Heading 2 2 3 2 3 4 4 2 2" xfId="38302"/>
    <cellStyle name="Heading 2 2 3 2 3 4 4 3" xfId="38303"/>
    <cellStyle name="Heading 2 2 3 2 3 4 5" xfId="38304"/>
    <cellStyle name="Heading 2 2 3 2 3 4 5 2" xfId="38305"/>
    <cellStyle name="Heading 2 2 3 2 3 4 5 2 2" xfId="38306"/>
    <cellStyle name="Heading 2 2 3 2 3 4 5 3" xfId="38307"/>
    <cellStyle name="Heading 2 2 3 2 3 4 6" xfId="38308"/>
    <cellStyle name="Heading 2 2 3 2 3 4 6 2" xfId="38309"/>
    <cellStyle name="Heading 2 2 3 2 3 4 6 2 2" xfId="38310"/>
    <cellStyle name="Heading 2 2 3 2 3 4 6 3" xfId="38311"/>
    <cellStyle name="Heading 2 2 3 2 3 4 7" xfId="38312"/>
    <cellStyle name="Heading 2 2 3 2 3 4 7 2" xfId="38313"/>
    <cellStyle name="Heading 2 2 3 2 3 4 7 2 2" xfId="38314"/>
    <cellStyle name="Heading 2 2 3 2 3 4 7 3" xfId="38315"/>
    <cellStyle name="Heading 2 2 3 2 3 4 8" xfId="38316"/>
    <cellStyle name="Heading 2 2 3 2 3 4 8 2" xfId="38317"/>
    <cellStyle name="Heading 2 2 3 2 3 4 9" xfId="38318"/>
    <cellStyle name="Heading 2 2 3 2 3 5" xfId="38319"/>
    <cellStyle name="Heading 2 2 3 2 3 5 2" xfId="38320"/>
    <cellStyle name="Heading 2 2 3 2 3 5 2 2" xfId="38321"/>
    <cellStyle name="Heading 2 2 3 2 3 5 2 2 2" xfId="38322"/>
    <cellStyle name="Heading 2 2 3 2 3 5 2 3" xfId="38323"/>
    <cellStyle name="Heading 2 2 3 2 3 5 3" xfId="38324"/>
    <cellStyle name="Heading 2 2 3 2 3 5 3 2" xfId="38325"/>
    <cellStyle name="Heading 2 2 3 2 3 5 3 2 2" xfId="38326"/>
    <cellStyle name="Heading 2 2 3 2 3 5 3 3" xfId="38327"/>
    <cellStyle name="Heading 2 2 3 2 3 5 4" xfId="38328"/>
    <cellStyle name="Heading 2 2 3 2 3 5 4 2" xfId="38329"/>
    <cellStyle name="Heading 2 2 3 2 3 5 4 2 2" xfId="38330"/>
    <cellStyle name="Heading 2 2 3 2 3 5 4 3" xfId="38331"/>
    <cellStyle name="Heading 2 2 3 2 3 5 5" xfId="38332"/>
    <cellStyle name="Heading 2 2 3 2 3 5 5 2" xfId="38333"/>
    <cellStyle name="Heading 2 2 3 2 3 5 5 2 2" xfId="38334"/>
    <cellStyle name="Heading 2 2 3 2 3 5 5 3" xfId="38335"/>
    <cellStyle name="Heading 2 2 3 2 3 5 6" xfId="38336"/>
    <cellStyle name="Heading 2 2 3 2 3 5 6 2" xfId="38337"/>
    <cellStyle name="Heading 2 2 3 2 3 5 6 2 2" xfId="38338"/>
    <cellStyle name="Heading 2 2 3 2 3 5 6 3" xfId="38339"/>
    <cellStyle name="Heading 2 2 3 2 3 5 7" xfId="38340"/>
    <cellStyle name="Heading 2 2 3 2 3 5 7 2" xfId="38341"/>
    <cellStyle name="Heading 2 2 3 2 3 5 7 2 2" xfId="38342"/>
    <cellStyle name="Heading 2 2 3 2 3 5 7 3" xfId="38343"/>
    <cellStyle name="Heading 2 2 3 2 3 5 8" xfId="38344"/>
    <cellStyle name="Heading 2 2 3 2 3 5 8 2" xfId="38345"/>
    <cellStyle name="Heading 2 2 3 2 3 5 9" xfId="38346"/>
    <cellStyle name="Heading 2 2 3 2 3 6" xfId="38347"/>
    <cellStyle name="Heading 2 2 3 2 3 6 2" xfId="38348"/>
    <cellStyle name="Heading 2 2 3 2 3 6 2 2" xfId="38349"/>
    <cellStyle name="Heading 2 2 3 2 3 6 2 2 2" xfId="38350"/>
    <cellStyle name="Heading 2 2 3 2 3 6 2 3" xfId="38351"/>
    <cellStyle name="Heading 2 2 3 2 3 6 3" xfId="38352"/>
    <cellStyle name="Heading 2 2 3 2 3 6 3 2" xfId="38353"/>
    <cellStyle name="Heading 2 2 3 2 3 6 3 2 2" xfId="38354"/>
    <cellStyle name="Heading 2 2 3 2 3 6 3 3" xfId="38355"/>
    <cellStyle name="Heading 2 2 3 2 3 6 4" xfId="38356"/>
    <cellStyle name="Heading 2 2 3 2 3 6 4 2" xfId="38357"/>
    <cellStyle name="Heading 2 2 3 2 3 6 4 2 2" xfId="38358"/>
    <cellStyle name="Heading 2 2 3 2 3 6 4 3" xfId="38359"/>
    <cellStyle name="Heading 2 2 3 2 3 6 5" xfId="38360"/>
    <cellStyle name="Heading 2 2 3 2 3 6 5 2" xfId="38361"/>
    <cellStyle name="Heading 2 2 3 2 3 6 5 2 2" xfId="38362"/>
    <cellStyle name="Heading 2 2 3 2 3 6 5 3" xfId="38363"/>
    <cellStyle name="Heading 2 2 3 2 3 6 6" xfId="38364"/>
    <cellStyle name="Heading 2 2 3 2 3 6 6 2" xfId="38365"/>
    <cellStyle name="Heading 2 2 3 2 3 6 6 2 2" xfId="38366"/>
    <cellStyle name="Heading 2 2 3 2 3 6 6 3" xfId="38367"/>
    <cellStyle name="Heading 2 2 3 2 3 6 7" xfId="38368"/>
    <cellStyle name="Heading 2 2 3 2 3 6 7 2" xfId="38369"/>
    <cellStyle name="Heading 2 2 3 2 3 6 7 2 2" xfId="38370"/>
    <cellStyle name="Heading 2 2 3 2 3 6 7 3" xfId="38371"/>
    <cellStyle name="Heading 2 2 3 2 3 6 8" xfId="38372"/>
    <cellStyle name="Heading 2 2 3 2 3 6 8 2" xfId="38373"/>
    <cellStyle name="Heading 2 2 3 2 3 6 9" xfId="38374"/>
    <cellStyle name="Heading 2 2 3 2 3 7" xfId="38375"/>
    <cellStyle name="Heading 2 2 3 2 3 7 2" xfId="38376"/>
    <cellStyle name="Heading 2 2 3 2 3 7 2 2" xfId="38377"/>
    <cellStyle name="Heading 2 2 3 2 3 7 2 2 2" xfId="38378"/>
    <cellStyle name="Heading 2 2 3 2 3 7 2 3" xfId="38379"/>
    <cellStyle name="Heading 2 2 3 2 3 7 3" xfId="38380"/>
    <cellStyle name="Heading 2 2 3 2 3 7 3 2" xfId="38381"/>
    <cellStyle name="Heading 2 2 3 2 3 7 3 2 2" xfId="38382"/>
    <cellStyle name="Heading 2 2 3 2 3 7 3 3" xfId="38383"/>
    <cellStyle name="Heading 2 2 3 2 3 7 4" xfId="38384"/>
    <cellStyle name="Heading 2 2 3 2 3 7 4 2" xfId="38385"/>
    <cellStyle name="Heading 2 2 3 2 3 7 4 2 2" xfId="38386"/>
    <cellStyle name="Heading 2 2 3 2 3 7 4 3" xfId="38387"/>
    <cellStyle name="Heading 2 2 3 2 3 7 5" xfId="38388"/>
    <cellStyle name="Heading 2 2 3 2 3 7 5 2" xfId="38389"/>
    <cellStyle name="Heading 2 2 3 2 3 7 5 2 2" xfId="38390"/>
    <cellStyle name="Heading 2 2 3 2 3 7 5 3" xfId="38391"/>
    <cellStyle name="Heading 2 2 3 2 3 7 6" xfId="38392"/>
    <cellStyle name="Heading 2 2 3 2 3 7 6 2" xfId="38393"/>
    <cellStyle name="Heading 2 2 3 2 3 7 6 2 2" xfId="38394"/>
    <cellStyle name="Heading 2 2 3 2 3 7 6 3" xfId="38395"/>
    <cellStyle name="Heading 2 2 3 2 3 7 7" xfId="38396"/>
    <cellStyle name="Heading 2 2 3 2 3 7 7 2" xfId="38397"/>
    <cellStyle name="Heading 2 2 3 2 3 7 7 2 2" xfId="38398"/>
    <cellStyle name="Heading 2 2 3 2 3 7 7 3" xfId="38399"/>
    <cellStyle name="Heading 2 2 3 2 3 7 8" xfId="38400"/>
    <cellStyle name="Heading 2 2 3 2 3 7 8 2" xfId="38401"/>
    <cellStyle name="Heading 2 2 3 2 3 7 9" xfId="38402"/>
    <cellStyle name="Heading 2 2 3 2 3 8" xfId="38403"/>
    <cellStyle name="Heading 2 2 3 2 3 8 2" xfId="38404"/>
    <cellStyle name="Heading 2 2 3 2 3 8 2 2" xfId="38405"/>
    <cellStyle name="Heading 2 2 3 2 3 8 2 2 2" xfId="38406"/>
    <cellStyle name="Heading 2 2 3 2 3 8 2 3" xfId="38407"/>
    <cellStyle name="Heading 2 2 3 2 3 8 3" xfId="38408"/>
    <cellStyle name="Heading 2 2 3 2 3 8 3 2" xfId="38409"/>
    <cellStyle name="Heading 2 2 3 2 3 8 3 2 2" xfId="38410"/>
    <cellStyle name="Heading 2 2 3 2 3 8 3 3" xfId="38411"/>
    <cellStyle name="Heading 2 2 3 2 3 8 4" xfId="38412"/>
    <cellStyle name="Heading 2 2 3 2 3 8 4 2" xfId="38413"/>
    <cellStyle name="Heading 2 2 3 2 3 8 4 2 2" xfId="38414"/>
    <cellStyle name="Heading 2 2 3 2 3 8 4 3" xfId="38415"/>
    <cellStyle name="Heading 2 2 3 2 3 8 5" xfId="38416"/>
    <cellStyle name="Heading 2 2 3 2 3 8 5 2" xfId="38417"/>
    <cellStyle name="Heading 2 2 3 2 3 8 5 2 2" xfId="38418"/>
    <cellStyle name="Heading 2 2 3 2 3 8 5 3" xfId="38419"/>
    <cellStyle name="Heading 2 2 3 2 3 8 6" xfId="38420"/>
    <cellStyle name="Heading 2 2 3 2 3 8 6 2" xfId="38421"/>
    <cellStyle name="Heading 2 2 3 2 3 8 6 2 2" xfId="38422"/>
    <cellStyle name="Heading 2 2 3 2 3 8 6 3" xfId="38423"/>
    <cellStyle name="Heading 2 2 3 2 3 8 7" xfId="38424"/>
    <cellStyle name="Heading 2 2 3 2 3 8 7 2" xfId="38425"/>
    <cellStyle name="Heading 2 2 3 2 3 8 7 2 2" xfId="38426"/>
    <cellStyle name="Heading 2 2 3 2 3 8 7 3" xfId="38427"/>
    <cellStyle name="Heading 2 2 3 2 3 8 8" xfId="38428"/>
    <cellStyle name="Heading 2 2 3 2 3 8 8 2" xfId="38429"/>
    <cellStyle name="Heading 2 2 3 2 3 8 9" xfId="38430"/>
    <cellStyle name="Heading 2 2 3 2 3 9" xfId="38431"/>
    <cellStyle name="Heading 2 2 3 2 3 9 2" xfId="38432"/>
    <cellStyle name="Heading 2 2 3 2 3 9 2 2" xfId="38433"/>
    <cellStyle name="Heading 2 2 3 2 3 9 3" xfId="38434"/>
    <cellStyle name="Heading 2 2 3 2 4" xfId="38435"/>
    <cellStyle name="Heading 2 2 3 2 4 2" xfId="38436"/>
    <cellStyle name="Heading 2 2 3 2 4 2 2" xfId="38437"/>
    <cellStyle name="Heading 2 2 3 2 4 3" xfId="38438"/>
    <cellStyle name="Heading 2 2 3 2 5" xfId="38439"/>
    <cellStyle name="Heading 2 2 3 2 5 2" xfId="38440"/>
    <cellStyle name="Heading 2 2 3 2 6" xfId="38441"/>
    <cellStyle name="Heading 2 2 3 20" xfId="38442"/>
    <cellStyle name="Heading 2 2 3 3" xfId="38443"/>
    <cellStyle name="Heading 2 2 3 3 2" xfId="38444"/>
    <cellStyle name="Heading 2 2 3 3 2 10" xfId="38445"/>
    <cellStyle name="Heading 2 2 3 3 2 10 2" xfId="38446"/>
    <cellStyle name="Heading 2 2 3 3 2 10 2 2" xfId="38447"/>
    <cellStyle name="Heading 2 2 3 3 2 10 3" xfId="38448"/>
    <cellStyle name="Heading 2 2 3 3 2 11" xfId="38449"/>
    <cellStyle name="Heading 2 2 3 3 2 11 2" xfId="38450"/>
    <cellStyle name="Heading 2 2 3 3 2 11 2 2" xfId="38451"/>
    <cellStyle name="Heading 2 2 3 3 2 11 3" xfId="38452"/>
    <cellStyle name="Heading 2 2 3 3 2 12" xfId="38453"/>
    <cellStyle name="Heading 2 2 3 3 2 12 2" xfId="38454"/>
    <cellStyle name="Heading 2 2 3 3 2 12 2 2" xfId="38455"/>
    <cellStyle name="Heading 2 2 3 3 2 12 3" xfId="38456"/>
    <cellStyle name="Heading 2 2 3 3 2 13" xfId="38457"/>
    <cellStyle name="Heading 2 2 3 3 2 13 2" xfId="38458"/>
    <cellStyle name="Heading 2 2 3 3 2 13 2 2" xfId="38459"/>
    <cellStyle name="Heading 2 2 3 3 2 13 3" xfId="38460"/>
    <cellStyle name="Heading 2 2 3 3 2 14" xfId="38461"/>
    <cellStyle name="Heading 2 2 3 3 2 14 2" xfId="38462"/>
    <cellStyle name="Heading 2 2 3 3 2 14 2 2" xfId="38463"/>
    <cellStyle name="Heading 2 2 3 3 2 14 3" xfId="38464"/>
    <cellStyle name="Heading 2 2 3 3 2 15" xfId="38465"/>
    <cellStyle name="Heading 2 2 3 3 2 15 2" xfId="38466"/>
    <cellStyle name="Heading 2 2 3 3 2 15 2 2" xfId="38467"/>
    <cellStyle name="Heading 2 2 3 3 2 15 3" xfId="38468"/>
    <cellStyle name="Heading 2 2 3 3 2 16" xfId="38469"/>
    <cellStyle name="Heading 2 2 3 3 2 16 2" xfId="38470"/>
    <cellStyle name="Heading 2 2 3 3 2 16 2 2" xfId="38471"/>
    <cellStyle name="Heading 2 2 3 3 2 16 3" xfId="38472"/>
    <cellStyle name="Heading 2 2 3 3 2 17" xfId="38473"/>
    <cellStyle name="Heading 2 2 3 3 2 17 2" xfId="38474"/>
    <cellStyle name="Heading 2 2 3 3 2 17 2 2" xfId="38475"/>
    <cellStyle name="Heading 2 2 3 3 2 17 3" xfId="38476"/>
    <cellStyle name="Heading 2 2 3 3 2 18" xfId="38477"/>
    <cellStyle name="Heading 2 2 3 3 2 18 2" xfId="38478"/>
    <cellStyle name="Heading 2 2 3 3 2 18 2 2" xfId="38479"/>
    <cellStyle name="Heading 2 2 3 3 2 18 3" xfId="38480"/>
    <cellStyle name="Heading 2 2 3 3 2 19" xfId="38481"/>
    <cellStyle name="Heading 2 2 3 3 2 19 2" xfId="38482"/>
    <cellStyle name="Heading 2 2 3 3 2 19 2 2" xfId="38483"/>
    <cellStyle name="Heading 2 2 3 3 2 19 3" xfId="38484"/>
    <cellStyle name="Heading 2 2 3 3 2 2" xfId="38485"/>
    <cellStyle name="Heading 2 2 3 3 2 2 10" xfId="38486"/>
    <cellStyle name="Heading 2 2 3 3 2 2 10 2" xfId="38487"/>
    <cellStyle name="Heading 2 2 3 3 2 2 10 2 2" xfId="38488"/>
    <cellStyle name="Heading 2 2 3 3 2 2 10 3" xfId="38489"/>
    <cellStyle name="Heading 2 2 3 3 2 2 11" xfId="38490"/>
    <cellStyle name="Heading 2 2 3 3 2 2 11 2" xfId="38491"/>
    <cellStyle name="Heading 2 2 3 3 2 2 11 2 2" xfId="38492"/>
    <cellStyle name="Heading 2 2 3 3 2 2 11 3" xfId="38493"/>
    <cellStyle name="Heading 2 2 3 3 2 2 12" xfId="38494"/>
    <cellStyle name="Heading 2 2 3 3 2 2 12 2" xfId="38495"/>
    <cellStyle name="Heading 2 2 3 3 2 2 12 2 2" xfId="38496"/>
    <cellStyle name="Heading 2 2 3 3 2 2 12 3" xfId="38497"/>
    <cellStyle name="Heading 2 2 3 3 2 2 13" xfId="38498"/>
    <cellStyle name="Heading 2 2 3 3 2 2 13 2" xfId="38499"/>
    <cellStyle name="Heading 2 2 3 3 2 2 13 2 2" xfId="38500"/>
    <cellStyle name="Heading 2 2 3 3 2 2 13 3" xfId="38501"/>
    <cellStyle name="Heading 2 2 3 3 2 2 14" xfId="38502"/>
    <cellStyle name="Heading 2 2 3 3 2 2 14 2" xfId="38503"/>
    <cellStyle name="Heading 2 2 3 3 2 2 14 2 2" xfId="38504"/>
    <cellStyle name="Heading 2 2 3 3 2 2 14 3" xfId="38505"/>
    <cellStyle name="Heading 2 2 3 3 2 2 15" xfId="38506"/>
    <cellStyle name="Heading 2 2 3 3 2 2 15 2" xfId="38507"/>
    <cellStyle name="Heading 2 2 3 3 2 2 15 2 2" xfId="38508"/>
    <cellStyle name="Heading 2 2 3 3 2 2 15 3" xfId="38509"/>
    <cellStyle name="Heading 2 2 3 3 2 2 16" xfId="38510"/>
    <cellStyle name="Heading 2 2 3 3 2 2 16 2" xfId="38511"/>
    <cellStyle name="Heading 2 2 3 3 2 2 16 2 2" xfId="38512"/>
    <cellStyle name="Heading 2 2 3 3 2 2 16 3" xfId="38513"/>
    <cellStyle name="Heading 2 2 3 3 2 2 17" xfId="38514"/>
    <cellStyle name="Heading 2 2 3 3 2 2 17 2" xfId="38515"/>
    <cellStyle name="Heading 2 2 3 3 2 2 17 2 2" xfId="38516"/>
    <cellStyle name="Heading 2 2 3 3 2 2 17 3" xfId="38517"/>
    <cellStyle name="Heading 2 2 3 3 2 2 18" xfId="38518"/>
    <cellStyle name="Heading 2 2 3 3 2 2 18 2" xfId="38519"/>
    <cellStyle name="Heading 2 2 3 3 2 2 18 2 2" xfId="38520"/>
    <cellStyle name="Heading 2 2 3 3 2 2 18 3" xfId="38521"/>
    <cellStyle name="Heading 2 2 3 3 2 2 19" xfId="38522"/>
    <cellStyle name="Heading 2 2 3 3 2 2 19 2" xfId="38523"/>
    <cellStyle name="Heading 2 2 3 3 2 2 2" xfId="38524"/>
    <cellStyle name="Heading 2 2 3 3 2 2 2 2" xfId="38525"/>
    <cellStyle name="Heading 2 2 3 3 2 2 2 2 2" xfId="38526"/>
    <cellStyle name="Heading 2 2 3 3 2 2 2 2 2 2" xfId="38527"/>
    <cellStyle name="Heading 2 2 3 3 2 2 2 2 3" xfId="38528"/>
    <cellStyle name="Heading 2 2 3 3 2 2 2 3" xfId="38529"/>
    <cellStyle name="Heading 2 2 3 3 2 2 2 3 2" xfId="38530"/>
    <cellStyle name="Heading 2 2 3 3 2 2 2 3 2 2" xfId="38531"/>
    <cellStyle name="Heading 2 2 3 3 2 2 2 3 3" xfId="38532"/>
    <cellStyle name="Heading 2 2 3 3 2 2 2 4" xfId="38533"/>
    <cellStyle name="Heading 2 2 3 3 2 2 2 4 2" xfId="38534"/>
    <cellStyle name="Heading 2 2 3 3 2 2 2 4 2 2" xfId="38535"/>
    <cellStyle name="Heading 2 2 3 3 2 2 2 4 3" xfId="38536"/>
    <cellStyle name="Heading 2 2 3 3 2 2 2 5" xfId="38537"/>
    <cellStyle name="Heading 2 2 3 3 2 2 2 5 2" xfId="38538"/>
    <cellStyle name="Heading 2 2 3 3 2 2 2 5 2 2" xfId="38539"/>
    <cellStyle name="Heading 2 2 3 3 2 2 2 5 3" xfId="38540"/>
    <cellStyle name="Heading 2 2 3 3 2 2 2 6" xfId="38541"/>
    <cellStyle name="Heading 2 2 3 3 2 2 2 6 2" xfId="38542"/>
    <cellStyle name="Heading 2 2 3 3 2 2 2 6 2 2" xfId="38543"/>
    <cellStyle name="Heading 2 2 3 3 2 2 2 6 3" xfId="38544"/>
    <cellStyle name="Heading 2 2 3 3 2 2 2 7" xfId="38545"/>
    <cellStyle name="Heading 2 2 3 3 2 2 2 7 2" xfId="38546"/>
    <cellStyle name="Heading 2 2 3 3 2 2 2 7 2 2" xfId="38547"/>
    <cellStyle name="Heading 2 2 3 3 2 2 2 7 3" xfId="38548"/>
    <cellStyle name="Heading 2 2 3 3 2 2 2 8" xfId="38549"/>
    <cellStyle name="Heading 2 2 3 3 2 2 2 8 2" xfId="38550"/>
    <cellStyle name="Heading 2 2 3 3 2 2 2 9" xfId="38551"/>
    <cellStyle name="Heading 2 2 3 3 2 2 20" xfId="38552"/>
    <cellStyle name="Heading 2 2 3 3 2 2 20 2" xfId="38553"/>
    <cellStyle name="Heading 2 2 3 3 2 2 21" xfId="38554"/>
    <cellStyle name="Heading 2 2 3 3 2 2 21 2" xfId="38555"/>
    <cellStyle name="Heading 2 2 3 3 2 2 22" xfId="38556"/>
    <cellStyle name="Heading 2 2 3 3 2 2 3" xfId="38557"/>
    <cellStyle name="Heading 2 2 3 3 2 2 3 2" xfId="38558"/>
    <cellStyle name="Heading 2 2 3 3 2 2 3 2 2" xfId="38559"/>
    <cellStyle name="Heading 2 2 3 3 2 2 3 2 2 2" xfId="38560"/>
    <cellStyle name="Heading 2 2 3 3 2 2 3 2 3" xfId="38561"/>
    <cellStyle name="Heading 2 2 3 3 2 2 3 3" xfId="38562"/>
    <cellStyle name="Heading 2 2 3 3 2 2 3 3 2" xfId="38563"/>
    <cellStyle name="Heading 2 2 3 3 2 2 3 3 2 2" xfId="38564"/>
    <cellStyle name="Heading 2 2 3 3 2 2 3 3 3" xfId="38565"/>
    <cellStyle name="Heading 2 2 3 3 2 2 3 4" xfId="38566"/>
    <cellStyle name="Heading 2 2 3 3 2 2 3 4 2" xfId="38567"/>
    <cellStyle name="Heading 2 2 3 3 2 2 3 4 2 2" xfId="38568"/>
    <cellStyle name="Heading 2 2 3 3 2 2 3 4 3" xfId="38569"/>
    <cellStyle name="Heading 2 2 3 3 2 2 3 5" xfId="38570"/>
    <cellStyle name="Heading 2 2 3 3 2 2 3 5 2" xfId="38571"/>
    <cellStyle name="Heading 2 2 3 3 2 2 3 5 2 2" xfId="38572"/>
    <cellStyle name="Heading 2 2 3 3 2 2 3 5 3" xfId="38573"/>
    <cellStyle name="Heading 2 2 3 3 2 2 3 6" xfId="38574"/>
    <cellStyle name="Heading 2 2 3 3 2 2 3 6 2" xfId="38575"/>
    <cellStyle name="Heading 2 2 3 3 2 2 3 6 2 2" xfId="38576"/>
    <cellStyle name="Heading 2 2 3 3 2 2 3 6 3" xfId="38577"/>
    <cellStyle name="Heading 2 2 3 3 2 2 3 7" xfId="38578"/>
    <cellStyle name="Heading 2 2 3 3 2 2 3 7 2" xfId="38579"/>
    <cellStyle name="Heading 2 2 3 3 2 2 3 7 2 2" xfId="38580"/>
    <cellStyle name="Heading 2 2 3 3 2 2 3 7 3" xfId="38581"/>
    <cellStyle name="Heading 2 2 3 3 2 2 3 8" xfId="38582"/>
    <cellStyle name="Heading 2 2 3 3 2 2 3 8 2" xfId="38583"/>
    <cellStyle name="Heading 2 2 3 3 2 2 3 9" xfId="38584"/>
    <cellStyle name="Heading 2 2 3 3 2 2 4" xfId="38585"/>
    <cellStyle name="Heading 2 2 3 3 2 2 4 2" xfId="38586"/>
    <cellStyle name="Heading 2 2 3 3 2 2 4 2 2" xfId="38587"/>
    <cellStyle name="Heading 2 2 3 3 2 2 4 2 2 2" xfId="38588"/>
    <cellStyle name="Heading 2 2 3 3 2 2 4 2 3" xfId="38589"/>
    <cellStyle name="Heading 2 2 3 3 2 2 4 3" xfId="38590"/>
    <cellStyle name="Heading 2 2 3 3 2 2 4 3 2" xfId="38591"/>
    <cellStyle name="Heading 2 2 3 3 2 2 4 3 2 2" xfId="38592"/>
    <cellStyle name="Heading 2 2 3 3 2 2 4 3 3" xfId="38593"/>
    <cellStyle name="Heading 2 2 3 3 2 2 4 4" xfId="38594"/>
    <cellStyle name="Heading 2 2 3 3 2 2 4 4 2" xfId="38595"/>
    <cellStyle name="Heading 2 2 3 3 2 2 4 4 2 2" xfId="38596"/>
    <cellStyle name="Heading 2 2 3 3 2 2 4 4 3" xfId="38597"/>
    <cellStyle name="Heading 2 2 3 3 2 2 4 5" xfId="38598"/>
    <cellStyle name="Heading 2 2 3 3 2 2 4 5 2" xfId="38599"/>
    <cellStyle name="Heading 2 2 3 3 2 2 4 5 2 2" xfId="38600"/>
    <cellStyle name="Heading 2 2 3 3 2 2 4 5 3" xfId="38601"/>
    <cellStyle name="Heading 2 2 3 3 2 2 4 6" xfId="38602"/>
    <cellStyle name="Heading 2 2 3 3 2 2 4 6 2" xfId="38603"/>
    <cellStyle name="Heading 2 2 3 3 2 2 4 6 2 2" xfId="38604"/>
    <cellStyle name="Heading 2 2 3 3 2 2 4 6 3" xfId="38605"/>
    <cellStyle name="Heading 2 2 3 3 2 2 4 7" xfId="38606"/>
    <cellStyle name="Heading 2 2 3 3 2 2 4 7 2" xfId="38607"/>
    <cellStyle name="Heading 2 2 3 3 2 2 4 7 2 2" xfId="38608"/>
    <cellStyle name="Heading 2 2 3 3 2 2 4 7 3" xfId="38609"/>
    <cellStyle name="Heading 2 2 3 3 2 2 4 8" xfId="38610"/>
    <cellStyle name="Heading 2 2 3 3 2 2 4 8 2" xfId="38611"/>
    <cellStyle name="Heading 2 2 3 3 2 2 4 9" xfId="38612"/>
    <cellStyle name="Heading 2 2 3 3 2 2 5" xfId="38613"/>
    <cellStyle name="Heading 2 2 3 3 2 2 5 2" xfId="38614"/>
    <cellStyle name="Heading 2 2 3 3 2 2 5 2 2" xfId="38615"/>
    <cellStyle name="Heading 2 2 3 3 2 2 5 2 2 2" xfId="38616"/>
    <cellStyle name="Heading 2 2 3 3 2 2 5 2 3" xfId="38617"/>
    <cellStyle name="Heading 2 2 3 3 2 2 5 3" xfId="38618"/>
    <cellStyle name="Heading 2 2 3 3 2 2 5 3 2" xfId="38619"/>
    <cellStyle name="Heading 2 2 3 3 2 2 5 3 2 2" xfId="38620"/>
    <cellStyle name="Heading 2 2 3 3 2 2 5 3 3" xfId="38621"/>
    <cellStyle name="Heading 2 2 3 3 2 2 5 4" xfId="38622"/>
    <cellStyle name="Heading 2 2 3 3 2 2 5 4 2" xfId="38623"/>
    <cellStyle name="Heading 2 2 3 3 2 2 5 4 2 2" xfId="38624"/>
    <cellStyle name="Heading 2 2 3 3 2 2 5 4 3" xfId="38625"/>
    <cellStyle name="Heading 2 2 3 3 2 2 5 5" xfId="38626"/>
    <cellStyle name="Heading 2 2 3 3 2 2 5 5 2" xfId="38627"/>
    <cellStyle name="Heading 2 2 3 3 2 2 5 5 2 2" xfId="38628"/>
    <cellStyle name="Heading 2 2 3 3 2 2 5 5 3" xfId="38629"/>
    <cellStyle name="Heading 2 2 3 3 2 2 5 6" xfId="38630"/>
    <cellStyle name="Heading 2 2 3 3 2 2 5 6 2" xfId="38631"/>
    <cellStyle name="Heading 2 2 3 3 2 2 5 6 2 2" xfId="38632"/>
    <cellStyle name="Heading 2 2 3 3 2 2 5 6 3" xfId="38633"/>
    <cellStyle name="Heading 2 2 3 3 2 2 5 7" xfId="38634"/>
    <cellStyle name="Heading 2 2 3 3 2 2 5 7 2" xfId="38635"/>
    <cellStyle name="Heading 2 2 3 3 2 2 5 7 2 2" xfId="38636"/>
    <cellStyle name="Heading 2 2 3 3 2 2 5 7 3" xfId="38637"/>
    <cellStyle name="Heading 2 2 3 3 2 2 5 8" xfId="38638"/>
    <cellStyle name="Heading 2 2 3 3 2 2 5 8 2" xfId="38639"/>
    <cellStyle name="Heading 2 2 3 3 2 2 5 9" xfId="38640"/>
    <cellStyle name="Heading 2 2 3 3 2 2 6" xfId="38641"/>
    <cellStyle name="Heading 2 2 3 3 2 2 6 2" xfId="38642"/>
    <cellStyle name="Heading 2 2 3 3 2 2 6 2 2" xfId="38643"/>
    <cellStyle name="Heading 2 2 3 3 2 2 6 2 2 2" xfId="38644"/>
    <cellStyle name="Heading 2 2 3 3 2 2 6 2 3" xfId="38645"/>
    <cellStyle name="Heading 2 2 3 3 2 2 6 3" xfId="38646"/>
    <cellStyle name="Heading 2 2 3 3 2 2 6 3 2" xfId="38647"/>
    <cellStyle name="Heading 2 2 3 3 2 2 6 3 2 2" xfId="38648"/>
    <cellStyle name="Heading 2 2 3 3 2 2 6 3 3" xfId="38649"/>
    <cellStyle name="Heading 2 2 3 3 2 2 6 4" xfId="38650"/>
    <cellStyle name="Heading 2 2 3 3 2 2 6 4 2" xfId="38651"/>
    <cellStyle name="Heading 2 2 3 3 2 2 6 4 2 2" xfId="38652"/>
    <cellStyle name="Heading 2 2 3 3 2 2 6 4 3" xfId="38653"/>
    <cellStyle name="Heading 2 2 3 3 2 2 6 5" xfId="38654"/>
    <cellStyle name="Heading 2 2 3 3 2 2 6 5 2" xfId="38655"/>
    <cellStyle name="Heading 2 2 3 3 2 2 6 5 2 2" xfId="38656"/>
    <cellStyle name="Heading 2 2 3 3 2 2 6 5 3" xfId="38657"/>
    <cellStyle name="Heading 2 2 3 3 2 2 6 6" xfId="38658"/>
    <cellStyle name="Heading 2 2 3 3 2 2 6 6 2" xfId="38659"/>
    <cellStyle name="Heading 2 2 3 3 2 2 6 6 2 2" xfId="38660"/>
    <cellStyle name="Heading 2 2 3 3 2 2 6 6 3" xfId="38661"/>
    <cellStyle name="Heading 2 2 3 3 2 2 6 7" xfId="38662"/>
    <cellStyle name="Heading 2 2 3 3 2 2 6 7 2" xfId="38663"/>
    <cellStyle name="Heading 2 2 3 3 2 2 6 7 2 2" xfId="38664"/>
    <cellStyle name="Heading 2 2 3 3 2 2 6 7 3" xfId="38665"/>
    <cellStyle name="Heading 2 2 3 3 2 2 6 8" xfId="38666"/>
    <cellStyle name="Heading 2 2 3 3 2 2 6 8 2" xfId="38667"/>
    <cellStyle name="Heading 2 2 3 3 2 2 6 9" xfId="38668"/>
    <cellStyle name="Heading 2 2 3 3 2 2 7" xfId="38669"/>
    <cellStyle name="Heading 2 2 3 3 2 2 7 2" xfId="38670"/>
    <cellStyle name="Heading 2 2 3 3 2 2 7 2 2" xfId="38671"/>
    <cellStyle name="Heading 2 2 3 3 2 2 7 2 2 2" xfId="38672"/>
    <cellStyle name="Heading 2 2 3 3 2 2 7 2 3" xfId="38673"/>
    <cellStyle name="Heading 2 2 3 3 2 2 7 3" xfId="38674"/>
    <cellStyle name="Heading 2 2 3 3 2 2 7 3 2" xfId="38675"/>
    <cellStyle name="Heading 2 2 3 3 2 2 7 3 2 2" xfId="38676"/>
    <cellStyle name="Heading 2 2 3 3 2 2 7 3 3" xfId="38677"/>
    <cellStyle name="Heading 2 2 3 3 2 2 7 4" xfId="38678"/>
    <cellStyle name="Heading 2 2 3 3 2 2 7 4 2" xfId="38679"/>
    <cellStyle name="Heading 2 2 3 3 2 2 7 4 2 2" xfId="38680"/>
    <cellStyle name="Heading 2 2 3 3 2 2 7 4 3" xfId="38681"/>
    <cellStyle name="Heading 2 2 3 3 2 2 7 5" xfId="38682"/>
    <cellStyle name="Heading 2 2 3 3 2 2 7 5 2" xfId="38683"/>
    <cellStyle name="Heading 2 2 3 3 2 2 7 5 2 2" xfId="38684"/>
    <cellStyle name="Heading 2 2 3 3 2 2 7 5 3" xfId="38685"/>
    <cellStyle name="Heading 2 2 3 3 2 2 7 6" xfId="38686"/>
    <cellStyle name="Heading 2 2 3 3 2 2 7 6 2" xfId="38687"/>
    <cellStyle name="Heading 2 2 3 3 2 2 7 6 2 2" xfId="38688"/>
    <cellStyle name="Heading 2 2 3 3 2 2 7 6 3" xfId="38689"/>
    <cellStyle name="Heading 2 2 3 3 2 2 7 7" xfId="38690"/>
    <cellStyle name="Heading 2 2 3 3 2 2 7 7 2" xfId="38691"/>
    <cellStyle name="Heading 2 2 3 3 2 2 7 7 2 2" xfId="38692"/>
    <cellStyle name="Heading 2 2 3 3 2 2 7 7 3" xfId="38693"/>
    <cellStyle name="Heading 2 2 3 3 2 2 7 8" xfId="38694"/>
    <cellStyle name="Heading 2 2 3 3 2 2 7 8 2" xfId="38695"/>
    <cellStyle name="Heading 2 2 3 3 2 2 7 9" xfId="38696"/>
    <cellStyle name="Heading 2 2 3 3 2 2 8" xfId="38697"/>
    <cellStyle name="Heading 2 2 3 3 2 2 8 2" xfId="38698"/>
    <cellStyle name="Heading 2 2 3 3 2 2 8 2 2" xfId="38699"/>
    <cellStyle name="Heading 2 2 3 3 2 2 8 2 2 2" xfId="38700"/>
    <cellStyle name="Heading 2 2 3 3 2 2 8 2 3" xfId="38701"/>
    <cellStyle name="Heading 2 2 3 3 2 2 8 3" xfId="38702"/>
    <cellStyle name="Heading 2 2 3 3 2 2 8 3 2" xfId="38703"/>
    <cellStyle name="Heading 2 2 3 3 2 2 8 3 2 2" xfId="38704"/>
    <cellStyle name="Heading 2 2 3 3 2 2 8 3 3" xfId="38705"/>
    <cellStyle name="Heading 2 2 3 3 2 2 8 4" xfId="38706"/>
    <cellStyle name="Heading 2 2 3 3 2 2 8 4 2" xfId="38707"/>
    <cellStyle name="Heading 2 2 3 3 2 2 8 4 2 2" xfId="38708"/>
    <cellStyle name="Heading 2 2 3 3 2 2 8 4 3" xfId="38709"/>
    <cellStyle name="Heading 2 2 3 3 2 2 8 5" xfId="38710"/>
    <cellStyle name="Heading 2 2 3 3 2 2 8 5 2" xfId="38711"/>
    <cellStyle name="Heading 2 2 3 3 2 2 8 5 2 2" xfId="38712"/>
    <cellStyle name="Heading 2 2 3 3 2 2 8 5 3" xfId="38713"/>
    <cellStyle name="Heading 2 2 3 3 2 2 8 6" xfId="38714"/>
    <cellStyle name="Heading 2 2 3 3 2 2 8 6 2" xfId="38715"/>
    <cellStyle name="Heading 2 2 3 3 2 2 8 6 2 2" xfId="38716"/>
    <cellStyle name="Heading 2 2 3 3 2 2 8 6 3" xfId="38717"/>
    <cellStyle name="Heading 2 2 3 3 2 2 8 7" xfId="38718"/>
    <cellStyle name="Heading 2 2 3 3 2 2 8 7 2" xfId="38719"/>
    <cellStyle name="Heading 2 2 3 3 2 2 8 7 2 2" xfId="38720"/>
    <cellStyle name="Heading 2 2 3 3 2 2 8 7 3" xfId="38721"/>
    <cellStyle name="Heading 2 2 3 3 2 2 8 8" xfId="38722"/>
    <cellStyle name="Heading 2 2 3 3 2 2 8 8 2" xfId="38723"/>
    <cellStyle name="Heading 2 2 3 3 2 2 8 9" xfId="38724"/>
    <cellStyle name="Heading 2 2 3 3 2 2 9" xfId="38725"/>
    <cellStyle name="Heading 2 2 3 3 2 2 9 2" xfId="38726"/>
    <cellStyle name="Heading 2 2 3 3 2 2 9 2 2" xfId="38727"/>
    <cellStyle name="Heading 2 2 3 3 2 2 9 3" xfId="38728"/>
    <cellStyle name="Heading 2 2 3 3 2 20" xfId="38729"/>
    <cellStyle name="Heading 2 2 3 3 2 20 2" xfId="38730"/>
    <cellStyle name="Heading 2 2 3 3 2 21" xfId="38731"/>
    <cellStyle name="Heading 2 2 3 3 2 21 2" xfId="38732"/>
    <cellStyle name="Heading 2 2 3 3 2 22" xfId="38733"/>
    <cellStyle name="Heading 2 2 3 3 2 22 2" xfId="38734"/>
    <cellStyle name="Heading 2 2 3 3 2 23" xfId="38735"/>
    <cellStyle name="Heading 2 2 3 3 2 3" xfId="38736"/>
    <cellStyle name="Heading 2 2 3 3 2 3 2" xfId="38737"/>
    <cellStyle name="Heading 2 2 3 3 2 3 2 2" xfId="38738"/>
    <cellStyle name="Heading 2 2 3 3 2 3 2 2 2" xfId="38739"/>
    <cellStyle name="Heading 2 2 3 3 2 3 2 3" xfId="38740"/>
    <cellStyle name="Heading 2 2 3 3 2 3 3" xfId="38741"/>
    <cellStyle name="Heading 2 2 3 3 2 3 3 2" xfId="38742"/>
    <cellStyle name="Heading 2 2 3 3 2 3 3 2 2" xfId="38743"/>
    <cellStyle name="Heading 2 2 3 3 2 3 3 3" xfId="38744"/>
    <cellStyle name="Heading 2 2 3 3 2 3 4" xfId="38745"/>
    <cellStyle name="Heading 2 2 3 3 2 3 4 2" xfId="38746"/>
    <cellStyle name="Heading 2 2 3 3 2 3 4 2 2" xfId="38747"/>
    <cellStyle name="Heading 2 2 3 3 2 3 4 3" xfId="38748"/>
    <cellStyle name="Heading 2 2 3 3 2 3 5" xfId="38749"/>
    <cellStyle name="Heading 2 2 3 3 2 3 5 2" xfId="38750"/>
    <cellStyle name="Heading 2 2 3 3 2 3 5 2 2" xfId="38751"/>
    <cellStyle name="Heading 2 2 3 3 2 3 5 3" xfId="38752"/>
    <cellStyle name="Heading 2 2 3 3 2 3 6" xfId="38753"/>
    <cellStyle name="Heading 2 2 3 3 2 3 6 2" xfId="38754"/>
    <cellStyle name="Heading 2 2 3 3 2 3 6 2 2" xfId="38755"/>
    <cellStyle name="Heading 2 2 3 3 2 3 6 3" xfId="38756"/>
    <cellStyle name="Heading 2 2 3 3 2 3 7" xfId="38757"/>
    <cellStyle name="Heading 2 2 3 3 2 3 7 2" xfId="38758"/>
    <cellStyle name="Heading 2 2 3 3 2 3 7 2 2" xfId="38759"/>
    <cellStyle name="Heading 2 2 3 3 2 3 7 3" xfId="38760"/>
    <cellStyle name="Heading 2 2 3 3 2 3 8" xfId="38761"/>
    <cellStyle name="Heading 2 2 3 3 2 3 8 2" xfId="38762"/>
    <cellStyle name="Heading 2 2 3 3 2 3 9" xfId="38763"/>
    <cellStyle name="Heading 2 2 3 3 2 4" xfId="38764"/>
    <cellStyle name="Heading 2 2 3 3 2 4 2" xfId="38765"/>
    <cellStyle name="Heading 2 2 3 3 2 4 2 2" xfId="38766"/>
    <cellStyle name="Heading 2 2 3 3 2 4 2 2 2" xfId="38767"/>
    <cellStyle name="Heading 2 2 3 3 2 4 2 3" xfId="38768"/>
    <cellStyle name="Heading 2 2 3 3 2 4 3" xfId="38769"/>
    <cellStyle name="Heading 2 2 3 3 2 4 3 2" xfId="38770"/>
    <cellStyle name="Heading 2 2 3 3 2 4 3 2 2" xfId="38771"/>
    <cellStyle name="Heading 2 2 3 3 2 4 3 3" xfId="38772"/>
    <cellStyle name="Heading 2 2 3 3 2 4 4" xfId="38773"/>
    <cellStyle name="Heading 2 2 3 3 2 4 4 2" xfId="38774"/>
    <cellStyle name="Heading 2 2 3 3 2 4 4 2 2" xfId="38775"/>
    <cellStyle name="Heading 2 2 3 3 2 4 4 3" xfId="38776"/>
    <cellStyle name="Heading 2 2 3 3 2 4 5" xfId="38777"/>
    <cellStyle name="Heading 2 2 3 3 2 4 5 2" xfId="38778"/>
    <cellStyle name="Heading 2 2 3 3 2 4 5 2 2" xfId="38779"/>
    <cellStyle name="Heading 2 2 3 3 2 4 5 3" xfId="38780"/>
    <cellStyle name="Heading 2 2 3 3 2 4 6" xfId="38781"/>
    <cellStyle name="Heading 2 2 3 3 2 4 6 2" xfId="38782"/>
    <cellStyle name="Heading 2 2 3 3 2 4 6 2 2" xfId="38783"/>
    <cellStyle name="Heading 2 2 3 3 2 4 6 3" xfId="38784"/>
    <cellStyle name="Heading 2 2 3 3 2 4 7" xfId="38785"/>
    <cellStyle name="Heading 2 2 3 3 2 4 7 2" xfId="38786"/>
    <cellStyle name="Heading 2 2 3 3 2 4 7 2 2" xfId="38787"/>
    <cellStyle name="Heading 2 2 3 3 2 4 7 3" xfId="38788"/>
    <cellStyle name="Heading 2 2 3 3 2 4 8" xfId="38789"/>
    <cellStyle name="Heading 2 2 3 3 2 4 8 2" xfId="38790"/>
    <cellStyle name="Heading 2 2 3 3 2 4 9" xfId="38791"/>
    <cellStyle name="Heading 2 2 3 3 2 5" xfId="38792"/>
    <cellStyle name="Heading 2 2 3 3 2 5 2" xfId="38793"/>
    <cellStyle name="Heading 2 2 3 3 2 5 2 2" xfId="38794"/>
    <cellStyle name="Heading 2 2 3 3 2 5 2 2 2" xfId="38795"/>
    <cellStyle name="Heading 2 2 3 3 2 5 2 3" xfId="38796"/>
    <cellStyle name="Heading 2 2 3 3 2 5 3" xfId="38797"/>
    <cellStyle name="Heading 2 2 3 3 2 5 3 2" xfId="38798"/>
    <cellStyle name="Heading 2 2 3 3 2 5 3 2 2" xfId="38799"/>
    <cellStyle name="Heading 2 2 3 3 2 5 3 3" xfId="38800"/>
    <cellStyle name="Heading 2 2 3 3 2 5 4" xfId="38801"/>
    <cellStyle name="Heading 2 2 3 3 2 5 4 2" xfId="38802"/>
    <cellStyle name="Heading 2 2 3 3 2 5 4 2 2" xfId="38803"/>
    <cellStyle name="Heading 2 2 3 3 2 5 4 3" xfId="38804"/>
    <cellStyle name="Heading 2 2 3 3 2 5 5" xfId="38805"/>
    <cellStyle name="Heading 2 2 3 3 2 5 5 2" xfId="38806"/>
    <cellStyle name="Heading 2 2 3 3 2 5 5 2 2" xfId="38807"/>
    <cellStyle name="Heading 2 2 3 3 2 5 5 3" xfId="38808"/>
    <cellStyle name="Heading 2 2 3 3 2 5 6" xfId="38809"/>
    <cellStyle name="Heading 2 2 3 3 2 5 6 2" xfId="38810"/>
    <cellStyle name="Heading 2 2 3 3 2 5 6 2 2" xfId="38811"/>
    <cellStyle name="Heading 2 2 3 3 2 5 6 3" xfId="38812"/>
    <cellStyle name="Heading 2 2 3 3 2 5 7" xfId="38813"/>
    <cellStyle name="Heading 2 2 3 3 2 5 7 2" xfId="38814"/>
    <cellStyle name="Heading 2 2 3 3 2 5 7 2 2" xfId="38815"/>
    <cellStyle name="Heading 2 2 3 3 2 5 7 3" xfId="38816"/>
    <cellStyle name="Heading 2 2 3 3 2 5 8" xfId="38817"/>
    <cellStyle name="Heading 2 2 3 3 2 5 8 2" xfId="38818"/>
    <cellStyle name="Heading 2 2 3 3 2 5 9" xfId="38819"/>
    <cellStyle name="Heading 2 2 3 3 2 6" xfId="38820"/>
    <cellStyle name="Heading 2 2 3 3 2 6 2" xfId="38821"/>
    <cellStyle name="Heading 2 2 3 3 2 6 2 2" xfId="38822"/>
    <cellStyle name="Heading 2 2 3 3 2 6 2 2 2" xfId="38823"/>
    <cellStyle name="Heading 2 2 3 3 2 6 2 3" xfId="38824"/>
    <cellStyle name="Heading 2 2 3 3 2 6 3" xfId="38825"/>
    <cellStyle name="Heading 2 2 3 3 2 6 3 2" xfId="38826"/>
    <cellStyle name="Heading 2 2 3 3 2 6 3 2 2" xfId="38827"/>
    <cellStyle name="Heading 2 2 3 3 2 6 3 3" xfId="38828"/>
    <cellStyle name="Heading 2 2 3 3 2 6 4" xfId="38829"/>
    <cellStyle name="Heading 2 2 3 3 2 6 4 2" xfId="38830"/>
    <cellStyle name="Heading 2 2 3 3 2 6 4 2 2" xfId="38831"/>
    <cellStyle name="Heading 2 2 3 3 2 6 4 3" xfId="38832"/>
    <cellStyle name="Heading 2 2 3 3 2 6 5" xfId="38833"/>
    <cellStyle name="Heading 2 2 3 3 2 6 5 2" xfId="38834"/>
    <cellStyle name="Heading 2 2 3 3 2 6 5 2 2" xfId="38835"/>
    <cellStyle name="Heading 2 2 3 3 2 6 5 3" xfId="38836"/>
    <cellStyle name="Heading 2 2 3 3 2 6 6" xfId="38837"/>
    <cellStyle name="Heading 2 2 3 3 2 6 6 2" xfId="38838"/>
    <cellStyle name="Heading 2 2 3 3 2 6 6 2 2" xfId="38839"/>
    <cellStyle name="Heading 2 2 3 3 2 6 6 3" xfId="38840"/>
    <cellStyle name="Heading 2 2 3 3 2 6 7" xfId="38841"/>
    <cellStyle name="Heading 2 2 3 3 2 6 7 2" xfId="38842"/>
    <cellStyle name="Heading 2 2 3 3 2 6 7 2 2" xfId="38843"/>
    <cellStyle name="Heading 2 2 3 3 2 6 7 3" xfId="38844"/>
    <cellStyle name="Heading 2 2 3 3 2 6 8" xfId="38845"/>
    <cellStyle name="Heading 2 2 3 3 2 6 8 2" xfId="38846"/>
    <cellStyle name="Heading 2 2 3 3 2 6 9" xfId="38847"/>
    <cellStyle name="Heading 2 2 3 3 2 7" xfId="38848"/>
    <cellStyle name="Heading 2 2 3 3 2 7 2" xfId="38849"/>
    <cellStyle name="Heading 2 2 3 3 2 7 2 2" xfId="38850"/>
    <cellStyle name="Heading 2 2 3 3 2 7 2 2 2" xfId="38851"/>
    <cellStyle name="Heading 2 2 3 3 2 7 2 3" xfId="38852"/>
    <cellStyle name="Heading 2 2 3 3 2 7 3" xfId="38853"/>
    <cellStyle name="Heading 2 2 3 3 2 7 3 2" xfId="38854"/>
    <cellStyle name="Heading 2 2 3 3 2 7 3 2 2" xfId="38855"/>
    <cellStyle name="Heading 2 2 3 3 2 7 3 3" xfId="38856"/>
    <cellStyle name="Heading 2 2 3 3 2 7 4" xfId="38857"/>
    <cellStyle name="Heading 2 2 3 3 2 7 4 2" xfId="38858"/>
    <cellStyle name="Heading 2 2 3 3 2 7 4 2 2" xfId="38859"/>
    <cellStyle name="Heading 2 2 3 3 2 7 4 3" xfId="38860"/>
    <cellStyle name="Heading 2 2 3 3 2 7 5" xfId="38861"/>
    <cellStyle name="Heading 2 2 3 3 2 7 5 2" xfId="38862"/>
    <cellStyle name="Heading 2 2 3 3 2 7 5 2 2" xfId="38863"/>
    <cellStyle name="Heading 2 2 3 3 2 7 5 3" xfId="38864"/>
    <cellStyle name="Heading 2 2 3 3 2 7 6" xfId="38865"/>
    <cellStyle name="Heading 2 2 3 3 2 7 6 2" xfId="38866"/>
    <cellStyle name="Heading 2 2 3 3 2 7 6 2 2" xfId="38867"/>
    <cellStyle name="Heading 2 2 3 3 2 7 6 3" xfId="38868"/>
    <cellStyle name="Heading 2 2 3 3 2 7 7" xfId="38869"/>
    <cellStyle name="Heading 2 2 3 3 2 7 7 2" xfId="38870"/>
    <cellStyle name="Heading 2 2 3 3 2 7 7 2 2" xfId="38871"/>
    <cellStyle name="Heading 2 2 3 3 2 7 7 3" xfId="38872"/>
    <cellStyle name="Heading 2 2 3 3 2 7 8" xfId="38873"/>
    <cellStyle name="Heading 2 2 3 3 2 7 8 2" xfId="38874"/>
    <cellStyle name="Heading 2 2 3 3 2 7 9" xfId="38875"/>
    <cellStyle name="Heading 2 2 3 3 2 8" xfId="38876"/>
    <cellStyle name="Heading 2 2 3 3 2 8 2" xfId="38877"/>
    <cellStyle name="Heading 2 2 3 3 2 8 2 2" xfId="38878"/>
    <cellStyle name="Heading 2 2 3 3 2 8 2 2 2" xfId="38879"/>
    <cellStyle name="Heading 2 2 3 3 2 8 2 3" xfId="38880"/>
    <cellStyle name="Heading 2 2 3 3 2 8 3" xfId="38881"/>
    <cellStyle name="Heading 2 2 3 3 2 8 3 2" xfId="38882"/>
    <cellStyle name="Heading 2 2 3 3 2 8 3 2 2" xfId="38883"/>
    <cellStyle name="Heading 2 2 3 3 2 8 3 3" xfId="38884"/>
    <cellStyle name="Heading 2 2 3 3 2 8 4" xfId="38885"/>
    <cellStyle name="Heading 2 2 3 3 2 8 4 2" xfId="38886"/>
    <cellStyle name="Heading 2 2 3 3 2 8 4 2 2" xfId="38887"/>
    <cellStyle name="Heading 2 2 3 3 2 8 4 3" xfId="38888"/>
    <cellStyle name="Heading 2 2 3 3 2 8 5" xfId="38889"/>
    <cellStyle name="Heading 2 2 3 3 2 8 5 2" xfId="38890"/>
    <cellStyle name="Heading 2 2 3 3 2 8 5 2 2" xfId="38891"/>
    <cellStyle name="Heading 2 2 3 3 2 8 5 3" xfId="38892"/>
    <cellStyle name="Heading 2 2 3 3 2 8 6" xfId="38893"/>
    <cellStyle name="Heading 2 2 3 3 2 8 6 2" xfId="38894"/>
    <cellStyle name="Heading 2 2 3 3 2 8 6 2 2" xfId="38895"/>
    <cellStyle name="Heading 2 2 3 3 2 8 6 3" xfId="38896"/>
    <cellStyle name="Heading 2 2 3 3 2 8 7" xfId="38897"/>
    <cellStyle name="Heading 2 2 3 3 2 8 7 2" xfId="38898"/>
    <cellStyle name="Heading 2 2 3 3 2 8 7 2 2" xfId="38899"/>
    <cellStyle name="Heading 2 2 3 3 2 8 7 3" xfId="38900"/>
    <cellStyle name="Heading 2 2 3 3 2 8 8" xfId="38901"/>
    <cellStyle name="Heading 2 2 3 3 2 8 8 2" xfId="38902"/>
    <cellStyle name="Heading 2 2 3 3 2 8 9" xfId="38903"/>
    <cellStyle name="Heading 2 2 3 3 2 9" xfId="38904"/>
    <cellStyle name="Heading 2 2 3 3 2 9 2" xfId="38905"/>
    <cellStyle name="Heading 2 2 3 3 2 9 2 2" xfId="38906"/>
    <cellStyle name="Heading 2 2 3 3 2 9 2 2 2" xfId="38907"/>
    <cellStyle name="Heading 2 2 3 3 2 9 2 3" xfId="38908"/>
    <cellStyle name="Heading 2 2 3 3 2 9 3" xfId="38909"/>
    <cellStyle name="Heading 2 2 3 3 2 9 3 2" xfId="38910"/>
    <cellStyle name="Heading 2 2 3 3 2 9 3 2 2" xfId="38911"/>
    <cellStyle name="Heading 2 2 3 3 2 9 3 3" xfId="38912"/>
    <cellStyle name="Heading 2 2 3 3 2 9 4" xfId="38913"/>
    <cellStyle name="Heading 2 2 3 3 2 9 4 2" xfId="38914"/>
    <cellStyle name="Heading 2 2 3 3 2 9 4 2 2" xfId="38915"/>
    <cellStyle name="Heading 2 2 3 3 2 9 4 3" xfId="38916"/>
    <cellStyle name="Heading 2 2 3 3 2 9 5" xfId="38917"/>
    <cellStyle name="Heading 2 2 3 3 2 9 5 2" xfId="38918"/>
    <cellStyle name="Heading 2 2 3 3 2 9 5 2 2" xfId="38919"/>
    <cellStyle name="Heading 2 2 3 3 2 9 5 3" xfId="38920"/>
    <cellStyle name="Heading 2 2 3 3 2 9 6" xfId="38921"/>
    <cellStyle name="Heading 2 2 3 3 2 9 6 2" xfId="38922"/>
    <cellStyle name="Heading 2 2 3 3 2 9 6 2 2" xfId="38923"/>
    <cellStyle name="Heading 2 2 3 3 2 9 6 3" xfId="38924"/>
    <cellStyle name="Heading 2 2 3 3 2 9 7" xfId="38925"/>
    <cellStyle name="Heading 2 2 3 3 2 9 7 2" xfId="38926"/>
    <cellStyle name="Heading 2 2 3 3 2 9 7 2 2" xfId="38927"/>
    <cellStyle name="Heading 2 2 3 3 2 9 7 3" xfId="38928"/>
    <cellStyle name="Heading 2 2 3 3 2 9 8" xfId="38929"/>
    <cellStyle name="Heading 2 2 3 3 2 9 8 2" xfId="38930"/>
    <cellStyle name="Heading 2 2 3 3 2 9 9" xfId="38931"/>
    <cellStyle name="Heading 2 2 3 3 3" xfId="38932"/>
    <cellStyle name="Heading 2 2 3 3 3 10" xfId="38933"/>
    <cellStyle name="Heading 2 2 3 3 3 10 2" xfId="38934"/>
    <cellStyle name="Heading 2 2 3 3 3 10 2 2" xfId="38935"/>
    <cellStyle name="Heading 2 2 3 3 3 10 3" xfId="38936"/>
    <cellStyle name="Heading 2 2 3 3 3 11" xfId="38937"/>
    <cellStyle name="Heading 2 2 3 3 3 11 2" xfId="38938"/>
    <cellStyle name="Heading 2 2 3 3 3 11 2 2" xfId="38939"/>
    <cellStyle name="Heading 2 2 3 3 3 11 3" xfId="38940"/>
    <cellStyle name="Heading 2 2 3 3 3 12" xfId="38941"/>
    <cellStyle name="Heading 2 2 3 3 3 12 2" xfId="38942"/>
    <cellStyle name="Heading 2 2 3 3 3 12 2 2" xfId="38943"/>
    <cellStyle name="Heading 2 2 3 3 3 12 3" xfId="38944"/>
    <cellStyle name="Heading 2 2 3 3 3 13" xfId="38945"/>
    <cellStyle name="Heading 2 2 3 3 3 13 2" xfId="38946"/>
    <cellStyle name="Heading 2 2 3 3 3 13 2 2" xfId="38947"/>
    <cellStyle name="Heading 2 2 3 3 3 13 3" xfId="38948"/>
    <cellStyle name="Heading 2 2 3 3 3 14" xfId="38949"/>
    <cellStyle name="Heading 2 2 3 3 3 14 2" xfId="38950"/>
    <cellStyle name="Heading 2 2 3 3 3 14 2 2" xfId="38951"/>
    <cellStyle name="Heading 2 2 3 3 3 14 3" xfId="38952"/>
    <cellStyle name="Heading 2 2 3 3 3 15" xfId="38953"/>
    <cellStyle name="Heading 2 2 3 3 3 15 2" xfId="38954"/>
    <cellStyle name="Heading 2 2 3 3 3 15 2 2" xfId="38955"/>
    <cellStyle name="Heading 2 2 3 3 3 15 3" xfId="38956"/>
    <cellStyle name="Heading 2 2 3 3 3 16" xfId="38957"/>
    <cellStyle name="Heading 2 2 3 3 3 16 2" xfId="38958"/>
    <cellStyle name="Heading 2 2 3 3 3 16 2 2" xfId="38959"/>
    <cellStyle name="Heading 2 2 3 3 3 16 3" xfId="38960"/>
    <cellStyle name="Heading 2 2 3 3 3 17" xfId="38961"/>
    <cellStyle name="Heading 2 2 3 3 3 17 2" xfId="38962"/>
    <cellStyle name="Heading 2 2 3 3 3 17 2 2" xfId="38963"/>
    <cellStyle name="Heading 2 2 3 3 3 17 3" xfId="38964"/>
    <cellStyle name="Heading 2 2 3 3 3 18" xfId="38965"/>
    <cellStyle name="Heading 2 2 3 3 3 18 2" xfId="38966"/>
    <cellStyle name="Heading 2 2 3 3 3 18 2 2" xfId="38967"/>
    <cellStyle name="Heading 2 2 3 3 3 18 3" xfId="38968"/>
    <cellStyle name="Heading 2 2 3 3 3 19" xfId="38969"/>
    <cellStyle name="Heading 2 2 3 3 3 19 2" xfId="38970"/>
    <cellStyle name="Heading 2 2 3 3 3 2" xfId="38971"/>
    <cellStyle name="Heading 2 2 3 3 3 2 2" xfId="38972"/>
    <cellStyle name="Heading 2 2 3 3 3 2 2 2" xfId="38973"/>
    <cellStyle name="Heading 2 2 3 3 3 2 2 2 2" xfId="38974"/>
    <cellStyle name="Heading 2 2 3 3 3 2 2 3" xfId="38975"/>
    <cellStyle name="Heading 2 2 3 3 3 2 3" xfId="38976"/>
    <cellStyle name="Heading 2 2 3 3 3 2 3 2" xfId="38977"/>
    <cellStyle name="Heading 2 2 3 3 3 2 3 2 2" xfId="38978"/>
    <cellStyle name="Heading 2 2 3 3 3 2 3 3" xfId="38979"/>
    <cellStyle name="Heading 2 2 3 3 3 2 4" xfId="38980"/>
    <cellStyle name="Heading 2 2 3 3 3 2 4 2" xfId="38981"/>
    <cellStyle name="Heading 2 2 3 3 3 2 4 2 2" xfId="38982"/>
    <cellStyle name="Heading 2 2 3 3 3 2 4 3" xfId="38983"/>
    <cellStyle name="Heading 2 2 3 3 3 2 5" xfId="38984"/>
    <cellStyle name="Heading 2 2 3 3 3 2 5 2" xfId="38985"/>
    <cellStyle name="Heading 2 2 3 3 3 2 5 2 2" xfId="38986"/>
    <cellStyle name="Heading 2 2 3 3 3 2 5 3" xfId="38987"/>
    <cellStyle name="Heading 2 2 3 3 3 2 6" xfId="38988"/>
    <cellStyle name="Heading 2 2 3 3 3 2 6 2" xfId="38989"/>
    <cellStyle name="Heading 2 2 3 3 3 2 6 2 2" xfId="38990"/>
    <cellStyle name="Heading 2 2 3 3 3 2 6 3" xfId="38991"/>
    <cellStyle name="Heading 2 2 3 3 3 2 7" xfId="38992"/>
    <cellStyle name="Heading 2 2 3 3 3 2 7 2" xfId="38993"/>
    <cellStyle name="Heading 2 2 3 3 3 2 7 2 2" xfId="38994"/>
    <cellStyle name="Heading 2 2 3 3 3 2 7 3" xfId="38995"/>
    <cellStyle name="Heading 2 2 3 3 3 2 8" xfId="38996"/>
    <cellStyle name="Heading 2 2 3 3 3 2 8 2" xfId="38997"/>
    <cellStyle name="Heading 2 2 3 3 3 2 9" xfId="38998"/>
    <cellStyle name="Heading 2 2 3 3 3 20" xfId="38999"/>
    <cellStyle name="Heading 2 2 3 3 3 20 2" xfId="39000"/>
    <cellStyle name="Heading 2 2 3 3 3 21" xfId="39001"/>
    <cellStyle name="Heading 2 2 3 3 3 21 2" xfId="39002"/>
    <cellStyle name="Heading 2 2 3 3 3 22" xfId="39003"/>
    <cellStyle name="Heading 2 2 3 3 3 3" xfId="39004"/>
    <cellStyle name="Heading 2 2 3 3 3 3 2" xfId="39005"/>
    <cellStyle name="Heading 2 2 3 3 3 3 2 2" xfId="39006"/>
    <cellStyle name="Heading 2 2 3 3 3 3 2 2 2" xfId="39007"/>
    <cellStyle name="Heading 2 2 3 3 3 3 2 3" xfId="39008"/>
    <cellStyle name="Heading 2 2 3 3 3 3 3" xfId="39009"/>
    <cellStyle name="Heading 2 2 3 3 3 3 3 2" xfId="39010"/>
    <cellStyle name="Heading 2 2 3 3 3 3 3 2 2" xfId="39011"/>
    <cellStyle name="Heading 2 2 3 3 3 3 3 3" xfId="39012"/>
    <cellStyle name="Heading 2 2 3 3 3 3 4" xfId="39013"/>
    <cellStyle name="Heading 2 2 3 3 3 3 4 2" xfId="39014"/>
    <cellStyle name="Heading 2 2 3 3 3 3 4 2 2" xfId="39015"/>
    <cellStyle name="Heading 2 2 3 3 3 3 4 3" xfId="39016"/>
    <cellStyle name="Heading 2 2 3 3 3 3 5" xfId="39017"/>
    <cellStyle name="Heading 2 2 3 3 3 3 5 2" xfId="39018"/>
    <cellStyle name="Heading 2 2 3 3 3 3 5 2 2" xfId="39019"/>
    <cellStyle name="Heading 2 2 3 3 3 3 5 3" xfId="39020"/>
    <cellStyle name="Heading 2 2 3 3 3 3 6" xfId="39021"/>
    <cellStyle name="Heading 2 2 3 3 3 3 6 2" xfId="39022"/>
    <cellStyle name="Heading 2 2 3 3 3 3 6 2 2" xfId="39023"/>
    <cellStyle name="Heading 2 2 3 3 3 3 6 3" xfId="39024"/>
    <cellStyle name="Heading 2 2 3 3 3 3 7" xfId="39025"/>
    <cellStyle name="Heading 2 2 3 3 3 3 7 2" xfId="39026"/>
    <cellStyle name="Heading 2 2 3 3 3 3 7 2 2" xfId="39027"/>
    <cellStyle name="Heading 2 2 3 3 3 3 7 3" xfId="39028"/>
    <cellStyle name="Heading 2 2 3 3 3 3 8" xfId="39029"/>
    <cellStyle name="Heading 2 2 3 3 3 3 8 2" xfId="39030"/>
    <cellStyle name="Heading 2 2 3 3 3 3 9" xfId="39031"/>
    <cellStyle name="Heading 2 2 3 3 3 4" xfId="39032"/>
    <cellStyle name="Heading 2 2 3 3 3 4 2" xfId="39033"/>
    <cellStyle name="Heading 2 2 3 3 3 4 2 2" xfId="39034"/>
    <cellStyle name="Heading 2 2 3 3 3 4 2 2 2" xfId="39035"/>
    <cellStyle name="Heading 2 2 3 3 3 4 2 3" xfId="39036"/>
    <cellStyle name="Heading 2 2 3 3 3 4 3" xfId="39037"/>
    <cellStyle name="Heading 2 2 3 3 3 4 3 2" xfId="39038"/>
    <cellStyle name="Heading 2 2 3 3 3 4 3 2 2" xfId="39039"/>
    <cellStyle name="Heading 2 2 3 3 3 4 3 3" xfId="39040"/>
    <cellStyle name="Heading 2 2 3 3 3 4 4" xfId="39041"/>
    <cellStyle name="Heading 2 2 3 3 3 4 4 2" xfId="39042"/>
    <cellStyle name="Heading 2 2 3 3 3 4 4 2 2" xfId="39043"/>
    <cellStyle name="Heading 2 2 3 3 3 4 4 3" xfId="39044"/>
    <cellStyle name="Heading 2 2 3 3 3 4 5" xfId="39045"/>
    <cellStyle name="Heading 2 2 3 3 3 4 5 2" xfId="39046"/>
    <cellStyle name="Heading 2 2 3 3 3 4 5 2 2" xfId="39047"/>
    <cellStyle name="Heading 2 2 3 3 3 4 5 3" xfId="39048"/>
    <cellStyle name="Heading 2 2 3 3 3 4 6" xfId="39049"/>
    <cellStyle name="Heading 2 2 3 3 3 4 6 2" xfId="39050"/>
    <cellStyle name="Heading 2 2 3 3 3 4 6 2 2" xfId="39051"/>
    <cellStyle name="Heading 2 2 3 3 3 4 6 3" xfId="39052"/>
    <cellStyle name="Heading 2 2 3 3 3 4 7" xfId="39053"/>
    <cellStyle name="Heading 2 2 3 3 3 4 7 2" xfId="39054"/>
    <cellStyle name="Heading 2 2 3 3 3 4 7 2 2" xfId="39055"/>
    <cellStyle name="Heading 2 2 3 3 3 4 7 3" xfId="39056"/>
    <cellStyle name="Heading 2 2 3 3 3 4 8" xfId="39057"/>
    <cellStyle name="Heading 2 2 3 3 3 4 8 2" xfId="39058"/>
    <cellStyle name="Heading 2 2 3 3 3 4 9" xfId="39059"/>
    <cellStyle name="Heading 2 2 3 3 3 5" xfId="39060"/>
    <cellStyle name="Heading 2 2 3 3 3 5 2" xfId="39061"/>
    <cellStyle name="Heading 2 2 3 3 3 5 2 2" xfId="39062"/>
    <cellStyle name="Heading 2 2 3 3 3 5 2 2 2" xfId="39063"/>
    <cellStyle name="Heading 2 2 3 3 3 5 2 3" xfId="39064"/>
    <cellStyle name="Heading 2 2 3 3 3 5 3" xfId="39065"/>
    <cellStyle name="Heading 2 2 3 3 3 5 3 2" xfId="39066"/>
    <cellStyle name="Heading 2 2 3 3 3 5 3 2 2" xfId="39067"/>
    <cellStyle name="Heading 2 2 3 3 3 5 3 3" xfId="39068"/>
    <cellStyle name="Heading 2 2 3 3 3 5 4" xfId="39069"/>
    <cellStyle name="Heading 2 2 3 3 3 5 4 2" xfId="39070"/>
    <cellStyle name="Heading 2 2 3 3 3 5 4 2 2" xfId="39071"/>
    <cellStyle name="Heading 2 2 3 3 3 5 4 3" xfId="39072"/>
    <cellStyle name="Heading 2 2 3 3 3 5 5" xfId="39073"/>
    <cellStyle name="Heading 2 2 3 3 3 5 5 2" xfId="39074"/>
    <cellStyle name="Heading 2 2 3 3 3 5 5 2 2" xfId="39075"/>
    <cellStyle name="Heading 2 2 3 3 3 5 5 3" xfId="39076"/>
    <cellStyle name="Heading 2 2 3 3 3 5 6" xfId="39077"/>
    <cellStyle name="Heading 2 2 3 3 3 5 6 2" xfId="39078"/>
    <cellStyle name="Heading 2 2 3 3 3 5 6 2 2" xfId="39079"/>
    <cellStyle name="Heading 2 2 3 3 3 5 6 3" xfId="39080"/>
    <cellStyle name="Heading 2 2 3 3 3 5 7" xfId="39081"/>
    <cellStyle name="Heading 2 2 3 3 3 5 7 2" xfId="39082"/>
    <cellStyle name="Heading 2 2 3 3 3 5 7 2 2" xfId="39083"/>
    <cellStyle name="Heading 2 2 3 3 3 5 7 3" xfId="39084"/>
    <cellStyle name="Heading 2 2 3 3 3 5 8" xfId="39085"/>
    <cellStyle name="Heading 2 2 3 3 3 5 8 2" xfId="39086"/>
    <cellStyle name="Heading 2 2 3 3 3 5 9" xfId="39087"/>
    <cellStyle name="Heading 2 2 3 3 3 6" xfId="39088"/>
    <cellStyle name="Heading 2 2 3 3 3 6 2" xfId="39089"/>
    <cellStyle name="Heading 2 2 3 3 3 6 2 2" xfId="39090"/>
    <cellStyle name="Heading 2 2 3 3 3 6 2 2 2" xfId="39091"/>
    <cellStyle name="Heading 2 2 3 3 3 6 2 3" xfId="39092"/>
    <cellStyle name="Heading 2 2 3 3 3 6 3" xfId="39093"/>
    <cellStyle name="Heading 2 2 3 3 3 6 3 2" xfId="39094"/>
    <cellStyle name="Heading 2 2 3 3 3 6 3 2 2" xfId="39095"/>
    <cellStyle name="Heading 2 2 3 3 3 6 3 3" xfId="39096"/>
    <cellStyle name="Heading 2 2 3 3 3 6 4" xfId="39097"/>
    <cellStyle name="Heading 2 2 3 3 3 6 4 2" xfId="39098"/>
    <cellStyle name="Heading 2 2 3 3 3 6 4 2 2" xfId="39099"/>
    <cellStyle name="Heading 2 2 3 3 3 6 4 3" xfId="39100"/>
    <cellStyle name="Heading 2 2 3 3 3 6 5" xfId="39101"/>
    <cellStyle name="Heading 2 2 3 3 3 6 5 2" xfId="39102"/>
    <cellStyle name="Heading 2 2 3 3 3 6 5 2 2" xfId="39103"/>
    <cellStyle name="Heading 2 2 3 3 3 6 5 3" xfId="39104"/>
    <cellStyle name="Heading 2 2 3 3 3 6 6" xfId="39105"/>
    <cellStyle name="Heading 2 2 3 3 3 6 6 2" xfId="39106"/>
    <cellStyle name="Heading 2 2 3 3 3 6 6 2 2" xfId="39107"/>
    <cellStyle name="Heading 2 2 3 3 3 6 6 3" xfId="39108"/>
    <cellStyle name="Heading 2 2 3 3 3 6 7" xfId="39109"/>
    <cellStyle name="Heading 2 2 3 3 3 6 7 2" xfId="39110"/>
    <cellStyle name="Heading 2 2 3 3 3 6 7 2 2" xfId="39111"/>
    <cellStyle name="Heading 2 2 3 3 3 6 7 3" xfId="39112"/>
    <cellStyle name="Heading 2 2 3 3 3 6 8" xfId="39113"/>
    <cellStyle name="Heading 2 2 3 3 3 6 8 2" xfId="39114"/>
    <cellStyle name="Heading 2 2 3 3 3 6 9" xfId="39115"/>
    <cellStyle name="Heading 2 2 3 3 3 7" xfId="39116"/>
    <cellStyle name="Heading 2 2 3 3 3 7 2" xfId="39117"/>
    <cellStyle name="Heading 2 2 3 3 3 7 2 2" xfId="39118"/>
    <cellStyle name="Heading 2 2 3 3 3 7 2 2 2" xfId="39119"/>
    <cellStyle name="Heading 2 2 3 3 3 7 2 3" xfId="39120"/>
    <cellStyle name="Heading 2 2 3 3 3 7 3" xfId="39121"/>
    <cellStyle name="Heading 2 2 3 3 3 7 3 2" xfId="39122"/>
    <cellStyle name="Heading 2 2 3 3 3 7 3 2 2" xfId="39123"/>
    <cellStyle name="Heading 2 2 3 3 3 7 3 3" xfId="39124"/>
    <cellStyle name="Heading 2 2 3 3 3 7 4" xfId="39125"/>
    <cellStyle name="Heading 2 2 3 3 3 7 4 2" xfId="39126"/>
    <cellStyle name="Heading 2 2 3 3 3 7 4 2 2" xfId="39127"/>
    <cellStyle name="Heading 2 2 3 3 3 7 4 3" xfId="39128"/>
    <cellStyle name="Heading 2 2 3 3 3 7 5" xfId="39129"/>
    <cellStyle name="Heading 2 2 3 3 3 7 5 2" xfId="39130"/>
    <cellStyle name="Heading 2 2 3 3 3 7 5 2 2" xfId="39131"/>
    <cellStyle name="Heading 2 2 3 3 3 7 5 3" xfId="39132"/>
    <cellStyle name="Heading 2 2 3 3 3 7 6" xfId="39133"/>
    <cellStyle name="Heading 2 2 3 3 3 7 6 2" xfId="39134"/>
    <cellStyle name="Heading 2 2 3 3 3 7 6 2 2" xfId="39135"/>
    <cellStyle name="Heading 2 2 3 3 3 7 6 3" xfId="39136"/>
    <cellStyle name="Heading 2 2 3 3 3 7 7" xfId="39137"/>
    <cellStyle name="Heading 2 2 3 3 3 7 7 2" xfId="39138"/>
    <cellStyle name="Heading 2 2 3 3 3 7 7 2 2" xfId="39139"/>
    <cellStyle name="Heading 2 2 3 3 3 7 7 3" xfId="39140"/>
    <cellStyle name="Heading 2 2 3 3 3 7 8" xfId="39141"/>
    <cellStyle name="Heading 2 2 3 3 3 7 8 2" xfId="39142"/>
    <cellStyle name="Heading 2 2 3 3 3 7 9" xfId="39143"/>
    <cellStyle name="Heading 2 2 3 3 3 8" xfId="39144"/>
    <cellStyle name="Heading 2 2 3 3 3 8 2" xfId="39145"/>
    <cellStyle name="Heading 2 2 3 3 3 8 2 2" xfId="39146"/>
    <cellStyle name="Heading 2 2 3 3 3 8 2 2 2" xfId="39147"/>
    <cellStyle name="Heading 2 2 3 3 3 8 2 3" xfId="39148"/>
    <cellStyle name="Heading 2 2 3 3 3 8 3" xfId="39149"/>
    <cellStyle name="Heading 2 2 3 3 3 8 3 2" xfId="39150"/>
    <cellStyle name="Heading 2 2 3 3 3 8 3 2 2" xfId="39151"/>
    <cellStyle name="Heading 2 2 3 3 3 8 3 3" xfId="39152"/>
    <cellStyle name="Heading 2 2 3 3 3 8 4" xfId="39153"/>
    <cellStyle name="Heading 2 2 3 3 3 8 4 2" xfId="39154"/>
    <cellStyle name="Heading 2 2 3 3 3 8 4 2 2" xfId="39155"/>
    <cellStyle name="Heading 2 2 3 3 3 8 4 3" xfId="39156"/>
    <cellStyle name="Heading 2 2 3 3 3 8 5" xfId="39157"/>
    <cellStyle name="Heading 2 2 3 3 3 8 5 2" xfId="39158"/>
    <cellStyle name="Heading 2 2 3 3 3 8 5 2 2" xfId="39159"/>
    <cellStyle name="Heading 2 2 3 3 3 8 5 3" xfId="39160"/>
    <cellStyle name="Heading 2 2 3 3 3 8 6" xfId="39161"/>
    <cellStyle name="Heading 2 2 3 3 3 8 6 2" xfId="39162"/>
    <cellStyle name="Heading 2 2 3 3 3 8 6 2 2" xfId="39163"/>
    <cellStyle name="Heading 2 2 3 3 3 8 6 3" xfId="39164"/>
    <cellStyle name="Heading 2 2 3 3 3 8 7" xfId="39165"/>
    <cellStyle name="Heading 2 2 3 3 3 8 7 2" xfId="39166"/>
    <cellStyle name="Heading 2 2 3 3 3 8 7 2 2" xfId="39167"/>
    <cellStyle name="Heading 2 2 3 3 3 8 7 3" xfId="39168"/>
    <cellStyle name="Heading 2 2 3 3 3 8 8" xfId="39169"/>
    <cellStyle name="Heading 2 2 3 3 3 8 8 2" xfId="39170"/>
    <cellStyle name="Heading 2 2 3 3 3 8 9" xfId="39171"/>
    <cellStyle name="Heading 2 2 3 3 3 9" xfId="39172"/>
    <cellStyle name="Heading 2 2 3 3 3 9 2" xfId="39173"/>
    <cellStyle name="Heading 2 2 3 3 3 9 2 2" xfId="39174"/>
    <cellStyle name="Heading 2 2 3 3 3 9 3" xfId="39175"/>
    <cellStyle name="Heading 2 2 3 3 4" xfId="39176"/>
    <cellStyle name="Heading 2 2 3 3 4 2" xfId="39177"/>
    <cellStyle name="Heading 2 2 3 3 4 2 2" xfId="39178"/>
    <cellStyle name="Heading 2 2 3 3 4 3" xfId="39179"/>
    <cellStyle name="Heading 2 2 3 3 5" xfId="39180"/>
    <cellStyle name="Heading 2 2 3 3 5 2" xfId="39181"/>
    <cellStyle name="Heading 2 2 3 3 6" xfId="39182"/>
    <cellStyle name="Heading 2 2 3 4" xfId="39183"/>
    <cellStyle name="Heading 2 2 3 4 2" xfId="39184"/>
    <cellStyle name="Heading 2 2 3 4 2 10" xfId="39185"/>
    <cellStyle name="Heading 2 2 3 4 2 10 2" xfId="39186"/>
    <cellStyle name="Heading 2 2 3 4 2 10 2 2" xfId="39187"/>
    <cellStyle name="Heading 2 2 3 4 2 10 3" xfId="39188"/>
    <cellStyle name="Heading 2 2 3 4 2 11" xfId="39189"/>
    <cellStyle name="Heading 2 2 3 4 2 11 2" xfId="39190"/>
    <cellStyle name="Heading 2 2 3 4 2 11 2 2" xfId="39191"/>
    <cellStyle name="Heading 2 2 3 4 2 11 3" xfId="39192"/>
    <cellStyle name="Heading 2 2 3 4 2 12" xfId="39193"/>
    <cellStyle name="Heading 2 2 3 4 2 12 2" xfId="39194"/>
    <cellStyle name="Heading 2 2 3 4 2 12 2 2" xfId="39195"/>
    <cellStyle name="Heading 2 2 3 4 2 12 3" xfId="39196"/>
    <cellStyle name="Heading 2 2 3 4 2 13" xfId="39197"/>
    <cellStyle name="Heading 2 2 3 4 2 13 2" xfId="39198"/>
    <cellStyle name="Heading 2 2 3 4 2 13 2 2" xfId="39199"/>
    <cellStyle name="Heading 2 2 3 4 2 13 3" xfId="39200"/>
    <cellStyle name="Heading 2 2 3 4 2 14" xfId="39201"/>
    <cellStyle name="Heading 2 2 3 4 2 14 2" xfId="39202"/>
    <cellStyle name="Heading 2 2 3 4 2 14 2 2" xfId="39203"/>
    <cellStyle name="Heading 2 2 3 4 2 14 3" xfId="39204"/>
    <cellStyle name="Heading 2 2 3 4 2 15" xfId="39205"/>
    <cellStyle name="Heading 2 2 3 4 2 15 2" xfId="39206"/>
    <cellStyle name="Heading 2 2 3 4 2 15 2 2" xfId="39207"/>
    <cellStyle name="Heading 2 2 3 4 2 15 3" xfId="39208"/>
    <cellStyle name="Heading 2 2 3 4 2 16" xfId="39209"/>
    <cellStyle name="Heading 2 2 3 4 2 16 2" xfId="39210"/>
    <cellStyle name="Heading 2 2 3 4 2 16 2 2" xfId="39211"/>
    <cellStyle name="Heading 2 2 3 4 2 16 3" xfId="39212"/>
    <cellStyle name="Heading 2 2 3 4 2 17" xfId="39213"/>
    <cellStyle name="Heading 2 2 3 4 2 17 2" xfId="39214"/>
    <cellStyle name="Heading 2 2 3 4 2 17 2 2" xfId="39215"/>
    <cellStyle name="Heading 2 2 3 4 2 17 3" xfId="39216"/>
    <cellStyle name="Heading 2 2 3 4 2 18" xfId="39217"/>
    <cellStyle name="Heading 2 2 3 4 2 18 2" xfId="39218"/>
    <cellStyle name="Heading 2 2 3 4 2 18 2 2" xfId="39219"/>
    <cellStyle name="Heading 2 2 3 4 2 18 3" xfId="39220"/>
    <cellStyle name="Heading 2 2 3 4 2 19" xfId="39221"/>
    <cellStyle name="Heading 2 2 3 4 2 19 2" xfId="39222"/>
    <cellStyle name="Heading 2 2 3 4 2 19 2 2" xfId="39223"/>
    <cellStyle name="Heading 2 2 3 4 2 19 3" xfId="39224"/>
    <cellStyle name="Heading 2 2 3 4 2 2" xfId="39225"/>
    <cellStyle name="Heading 2 2 3 4 2 2 10" xfId="39226"/>
    <cellStyle name="Heading 2 2 3 4 2 2 10 2" xfId="39227"/>
    <cellStyle name="Heading 2 2 3 4 2 2 10 2 2" xfId="39228"/>
    <cellStyle name="Heading 2 2 3 4 2 2 10 3" xfId="39229"/>
    <cellStyle name="Heading 2 2 3 4 2 2 11" xfId="39230"/>
    <cellStyle name="Heading 2 2 3 4 2 2 11 2" xfId="39231"/>
    <cellStyle name="Heading 2 2 3 4 2 2 11 2 2" xfId="39232"/>
    <cellStyle name="Heading 2 2 3 4 2 2 11 3" xfId="39233"/>
    <cellStyle name="Heading 2 2 3 4 2 2 12" xfId="39234"/>
    <cellStyle name="Heading 2 2 3 4 2 2 12 2" xfId="39235"/>
    <cellStyle name="Heading 2 2 3 4 2 2 12 2 2" xfId="39236"/>
    <cellStyle name="Heading 2 2 3 4 2 2 12 3" xfId="39237"/>
    <cellStyle name="Heading 2 2 3 4 2 2 13" xfId="39238"/>
    <cellStyle name="Heading 2 2 3 4 2 2 13 2" xfId="39239"/>
    <cellStyle name="Heading 2 2 3 4 2 2 13 2 2" xfId="39240"/>
    <cellStyle name="Heading 2 2 3 4 2 2 13 3" xfId="39241"/>
    <cellStyle name="Heading 2 2 3 4 2 2 14" xfId="39242"/>
    <cellStyle name="Heading 2 2 3 4 2 2 14 2" xfId="39243"/>
    <cellStyle name="Heading 2 2 3 4 2 2 14 2 2" xfId="39244"/>
    <cellStyle name="Heading 2 2 3 4 2 2 14 3" xfId="39245"/>
    <cellStyle name="Heading 2 2 3 4 2 2 15" xfId="39246"/>
    <cellStyle name="Heading 2 2 3 4 2 2 15 2" xfId="39247"/>
    <cellStyle name="Heading 2 2 3 4 2 2 15 2 2" xfId="39248"/>
    <cellStyle name="Heading 2 2 3 4 2 2 15 3" xfId="39249"/>
    <cellStyle name="Heading 2 2 3 4 2 2 16" xfId="39250"/>
    <cellStyle name="Heading 2 2 3 4 2 2 16 2" xfId="39251"/>
    <cellStyle name="Heading 2 2 3 4 2 2 16 2 2" xfId="39252"/>
    <cellStyle name="Heading 2 2 3 4 2 2 16 3" xfId="39253"/>
    <cellStyle name="Heading 2 2 3 4 2 2 17" xfId="39254"/>
    <cellStyle name="Heading 2 2 3 4 2 2 17 2" xfId="39255"/>
    <cellStyle name="Heading 2 2 3 4 2 2 17 2 2" xfId="39256"/>
    <cellStyle name="Heading 2 2 3 4 2 2 17 3" xfId="39257"/>
    <cellStyle name="Heading 2 2 3 4 2 2 18" xfId="39258"/>
    <cellStyle name="Heading 2 2 3 4 2 2 18 2" xfId="39259"/>
    <cellStyle name="Heading 2 2 3 4 2 2 18 2 2" xfId="39260"/>
    <cellStyle name="Heading 2 2 3 4 2 2 18 3" xfId="39261"/>
    <cellStyle name="Heading 2 2 3 4 2 2 19" xfId="39262"/>
    <cellStyle name="Heading 2 2 3 4 2 2 19 2" xfId="39263"/>
    <cellStyle name="Heading 2 2 3 4 2 2 2" xfId="39264"/>
    <cellStyle name="Heading 2 2 3 4 2 2 2 2" xfId="39265"/>
    <cellStyle name="Heading 2 2 3 4 2 2 2 2 2" xfId="39266"/>
    <cellStyle name="Heading 2 2 3 4 2 2 2 2 2 2" xfId="39267"/>
    <cellStyle name="Heading 2 2 3 4 2 2 2 2 3" xfId="39268"/>
    <cellStyle name="Heading 2 2 3 4 2 2 2 3" xfId="39269"/>
    <cellStyle name="Heading 2 2 3 4 2 2 2 3 2" xfId="39270"/>
    <cellStyle name="Heading 2 2 3 4 2 2 2 3 2 2" xfId="39271"/>
    <cellStyle name="Heading 2 2 3 4 2 2 2 3 3" xfId="39272"/>
    <cellStyle name="Heading 2 2 3 4 2 2 2 4" xfId="39273"/>
    <cellStyle name="Heading 2 2 3 4 2 2 2 4 2" xfId="39274"/>
    <cellStyle name="Heading 2 2 3 4 2 2 2 4 2 2" xfId="39275"/>
    <cellStyle name="Heading 2 2 3 4 2 2 2 4 3" xfId="39276"/>
    <cellStyle name="Heading 2 2 3 4 2 2 2 5" xfId="39277"/>
    <cellStyle name="Heading 2 2 3 4 2 2 2 5 2" xfId="39278"/>
    <cellStyle name="Heading 2 2 3 4 2 2 2 5 2 2" xfId="39279"/>
    <cellStyle name="Heading 2 2 3 4 2 2 2 5 3" xfId="39280"/>
    <cellStyle name="Heading 2 2 3 4 2 2 2 6" xfId="39281"/>
    <cellStyle name="Heading 2 2 3 4 2 2 2 6 2" xfId="39282"/>
    <cellStyle name="Heading 2 2 3 4 2 2 2 6 2 2" xfId="39283"/>
    <cellStyle name="Heading 2 2 3 4 2 2 2 6 3" xfId="39284"/>
    <cellStyle name="Heading 2 2 3 4 2 2 2 7" xfId="39285"/>
    <cellStyle name="Heading 2 2 3 4 2 2 2 7 2" xfId="39286"/>
    <cellStyle name="Heading 2 2 3 4 2 2 2 7 2 2" xfId="39287"/>
    <cellStyle name="Heading 2 2 3 4 2 2 2 7 3" xfId="39288"/>
    <cellStyle name="Heading 2 2 3 4 2 2 2 8" xfId="39289"/>
    <cellStyle name="Heading 2 2 3 4 2 2 2 8 2" xfId="39290"/>
    <cellStyle name="Heading 2 2 3 4 2 2 2 9" xfId="39291"/>
    <cellStyle name="Heading 2 2 3 4 2 2 20" xfId="39292"/>
    <cellStyle name="Heading 2 2 3 4 2 2 20 2" xfId="39293"/>
    <cellStyle name="Heading 2 2 3 4 2 2 21" xfId="39294"/>
    <cellStyle name="Heading 2 2 3 4 2 2 21 2" xfId="39295"/>
    <cellStyle name="Heading 2 2 3 4 2 2 22" xfId="39296"/>
    <cellStyle name="Heading 2 2 3 4 2 2 3" xfId="39297"/>
    <cellStyle name="Heading 2 2 3 4 2 2 3 2" xfId="39298"/>
    <cellStyle name="Heading 2 2 3 4 2 2 3 2 2" xfId="39299"/>
    <cellStyle name="Heading 2 2 3 4 2 2 3 2 2 2" xfId="39300"/>
    <cellStyle name="Heading 2 2 3 4 2 2 3 2 3" xfId="39301"/>
    <cellStyle name="Heading 2 2 3 4 2 2 3 3" xfId="39302"/>
    <cellStyle name="Heading 2 2 3 4 2 2 3 3 2" xfId="39303"/>
    <cellStyle name="Heading 2 2 3 4 2 2 3 3 2 2" xfId="39304"/>
    <cellStyle name="Heading 2 2 3 4 2 2 3 3 3" xfId="39305"/>
    <cellStyle name="Heading 2 2 3 4 2 2 3 4" xfId="39306"/>
    <cellStyle name="Heading 2 2 3 4 2 2 3 4 2" xfId="39307"/>
    <cellStyle name="Heading 2 2 3 4 2 2 3 4 2 2" xfId="39308"/>
    <cellStyle name="Heading 2 2 3 4 2 2 3 4 3" xfId="39309"/>
    <cellStyle name="Heading 2 2 3 4 2 2 3 5" xfId="39310"/>
    <cellStyle name="Heading 2 2 3 4 2 2 3 5 2" xfId="39311"/>
    <cellStyle name="Heading 2 2 3 4 2 2 3 5 2 2" xfId="39312"/>
    <cellStyle name="Heading 2 2 3 4 2 2 3 5 3" xfId="39313"/>
    <cellStyle name="Heading 2 2 3 4 2 2 3 6" xfId="39314"/>
    <cellStyle name="Heading 2 2 3 4 2 2 3 6 2" xfId="39315"/>
    <cellStyle name="Heading 2 2 3 4 2 2 3 6 2 2" xfId="39316"/>
    <cellStyle name="Heading 2 2 3 4 2 2 3 6 3" xfId="39317"/>
    <cellStyle name="Heading 2 2 3 4 2 2 3 7" xfId="39318"/>
    <cellStyle name="Heading 2 2 3 4 2 2 3 7 2" xfId="39319"/>
    <cellStyle name="Heading 2 2 3 4 2 2 3 7 2 2" xfId="39320"/>
    <cellStyle name="Heading 2 2 3 4 2 2 3 7 3" xfId="39321"/>
    <cellStyle name="Heading 2 2 3 4 2 2 3 8" xfId="39322"/>
    <cellStyle name="Heading 2 2 3 4 2 2 3 8 2" xfId="39323"/>
    <cellStyle name="Heading 2 2 3 4 2 2 3 9" xfId="39324"/>
    <cellStyle name="Heading 2 2 3 4 2 2 4" xfId="39325"/>
    <cellStyle name="Heading 2 2 3 4 2 2 4 2" xfId="39326"/>
    <cellStyle name="Heading 2 2 3 4 2 2 4 2 2" xfId="39327"/>
    <cellStyle name="Heading 2 2 3 4 2 2 4 2 2 2" xfId="39328"/>
    <cellStyle name="Heading 2 2 3 4 2 2 4 2 3" xfId="39329"/>
    <cellStyle name="Heading 2 2 3 4 2 2 4 3" xfId="39330"/>
    <cellStyle name="Heading 2 2 3 4 2 2 4 3 2" xfId="39331"/>
    <cellStyle name="Heading 2 2 3 4 2 2 4 3 2 2" xfId="39332"/>
    <cellStyle name="Heading 2 2 3 4 2 2 4 3 3" xfId="39333"/>
    <cellStyle name="Heading 2 2 3 4 2 2 4 4" xfId="39334"/>
    <cellStyle name="Heading 2 2 3 4 2 2 4 4 2" xfId="39335"/>
    <cellStyle name="Heading 2 2 3 4 2 2 4 4 2 2" xfId="39336"/>
    <cellStyle name="Heading 2 2 3 4 2 2 4 4 3" xfId="39337"/>
    <cellStyle name="Heading 2 2 3 4 2 2 4 5" xfId="39338"/>
    <cellStyle name="Heading 2 2 3 4 2 2 4 5 2" xfId="39339"/>
    <cellStyle name="Heading 2 2 3 4 2 2 4 5 2 2" xfId="39340"/>
    <cellStyle name="Heading 2 2 3 4 2 2 4 5 3" xfId="39341"/>
    <cellStyle name="Heading 2 2 3 4 2 2 4 6" xfId="39342"/>
    <cellStyle name="Heading 2 2 3 4 2 2 4 6 2" xfId="39343"/>
    <cellStyle name="Heading 2 2 3 4 2 2 4 6 2 2" xfId="39344"/>
    <cellStyle name="Heading 2 2 3 4 2 2 4 6 3" xfId="39345"/>
    <cellStyle name="Heading 2 2 3 4 2 2 4 7" xfId="39346"/>
    <cellStyle name="Heading 2 2 3 4 2 2 4 7 2" xfId="39347"/>
    <cellStyle name="Heading 2 2 3 4 2 2 4 7 2 2" xfId="39348"/>
    <cellStyle name="Heading 2 2 3 4 2 2 4 7 3" xfId="39349"/>
    <cellStyle name="Heading 2 2 3 4 2 2 4 8" xfId="39350"/>
    <cellStyle name="Heading 2 2 3 4 2 2 4 8 2" xfId="39351"/>
    <cellStyle name="Heading 2 2 3 4 2 2 4 9" xfId="39352"/>
    <cellStyle name="Heading 2 2 3 4 2 2 5" xfId="39353"/>
    <cellStyle name="Heading 2 2 3 4 2 2 5 2" xfId="39354"/>
    <cellStyle name="Heading 2 2 3 4 2 2 5 2 2" xfId="39355"/>
    <cellStyle name="Heading 2 2 3 4 2 2 5 2 2 2" xfId="39356"/>
    <cellStyle name="Heading 2 2 3 4 2 2 5 2 3" xfId="39357"/>
    <cellStyle name="Heading 2 2 3 4 2 2 5 3" xfId="39358"/>
    <cellStyle name="Heading 2 2 3 4 2 2 5 3 2" xfId="39359"/>
    <cellStyle name="Heading 2 2 3 4 2 2 5 3 2 2" xfId="39360"/>
    <cellStyle name="Heading 2 2 3 4 2 2 5 3 3" xfId="39361"/>
    <cellStyle name="Heading 2 2 3 4 2 2 5 4" xfId="39362"/>
    <cellStyle name="Heading 2 2 3 4 2 2 5 4 2" xfId="39363"/>
    <cellStyle name="Heading 2 2 3 4 2 2 5 4 2 2" xfId="39364"/>
    <cellStyle name="Heading 2 2 3 4 2 2 5 4 3" xfId="39365"/>
    <cellStyle name="Heading 2 2 3 4 2 2 5 5" xfId="39366"/>
    <cellStyle name="Heading 2 2 3 4 2 2 5 5 2" xfId="39367"/>
    <cellStyle name="Heading 2 2 3 4 2 2 5 5 2 2" xfId="39368"/>
    <cellStyle name="Heading 2 2 3 4 2 2 5 5 3" xfId="39369"/>
    <cellStyle name="Heading 2 2 3 4 2 2 5 6" xfId="39370"/>
    <cellStyle name="Heading 2 2 3 4 2 2 5 6 2" xfId="39371"/>
    <cellStyle name="Heading 2 2 3 4 2 2 5 6 2 2" xfId="39372"/>
    <cellStyle name="Heading 2 2 3 4 2 2 5 6 3" xfId="39373"/>
    <cellStyle name="Heading 2 2 3 4 2 2 5 7" xfId="39374"/>
    <cellStyle name="Heading 2 2 3 4 2 2 5 7 2" xfId="39375"/>
    <cellStyle name="Heading 2 2 3 4 2 2 5 7 2 2" xfId="39376"/>
    <cellStyle name="Heading 2 2 3 4 2 2 5 7 3" xfId="39377"/>
    <cellStyle name="Heading 2 2 3 4 2 2 5 8" xfId="39378"/>
    <cellStyle name="Heading 2 2 3 4 2 2 5 8 2" xfId="39379"/>
    <cellStyle name="Heading 2 2 3 4 2 2 5 9" xfId="39380"/>
    <cellStyle name="Heading 2 2 3 4 2 2 6" xfId="39381"/>
    <cellStyle name="Heading 2 2 3 4 2 2 6 2" xfId="39382"/>
    <cellStyle name="Heading 2 2 3 4 2 2 6 2 2" xfId="39383"/>
    <cellStyle name="Heading 2 2 3 4 2 2 6 2 2 2" xfId="39384"/>
    <cellStyle name="Heading 2 2 3 4 2 2 6 2 3" xfId="39385"/>
    <cellStyle name="Heading 2 2 3 4 2 2 6 3" xfId="39386"/>
    <cellStyle name="Heading 2 2 3 4 2 2 6 3 2" xfId="39387"/>
    <cellStyle name="Heading 2 2 3 4 2 2 6 3 2 2" xfId="39388"/>
    <cellStyle name="Heading 2 2 3 4 2 2 6 3 3" xfId="39389"/>
    <cellStyle name="Heading 2 2 3 4 2 2 6 4" xfId="39390"/>
    <cellStyle name="Heading 2 2 3 4 2 2 6 4 2" xfId="39391"/>
    <cellStyle name="Heading 2 2 3 4 2 2 6 4 2 2" xfId="39392"/>
    <cellStyle name="Heading 2 2 3 4 2 2 6 4 3" xfId="39393"/>
    <cellStyle name="Heading 2 2 3 4 2 2 6 5" xfId="39394"/>
    <cellStyle name="Heading 2 2 3 4 2 2 6 5 2" xfId="39395"/>
    <cellStyle name="Heading 2 2 3 4 2 2 6 5 2 2" xfId="39396"/>
    <cellStyle name="Heading 2 2 3 4 2 2 6 5 3" xfId="39397"/>
    <cellStyle name="Heading 2 2 3 4 2 2 6 6" xfId="39398"/>
    <cellStyle name="Heading 2 2 3 4 2 2 6 6 2" xfId="39399"/>
    <cellStyle name="Heading 2 2 3 4 2 2 6 6 2 2" xfId="39400"/>
    <cellStyle name="Heading 2 2 3 4 2 2 6 6 3" xfId="39401"/>
    <cellStyle name="Heading 2 2 3 4 2 2 6 7" xfId="39402"/>
    <cellStyle name="Heading 2 2 3 4 2 2 6 7 2" xfId="39403"/>
    <cellStyle name="Heading 2 2 3 4 2 2 6 7 2 2" xfId="39404"/>
    <cellStyle name="Heading 2 2 3 4 2 2 6 7 3" xfId="39405"/>
    <cellStyle name="Heading 2 2 3 4 2 2 6 8" xfId="39406"/>
    <cellStyle name="Heading 2 2 3 4 2 2 6 8 2" xfId="39407"/>
    <cellStyle name="Heading 2 2 3 4 2 2 6 9" xfId="39408"/>
    <cellStyle name="Heading 2 2 3 4 2 2 7" xfId="39409"/>
    <cellStyle name="Heading 2 2 3 4 2 2 7 2" xfId="39410"/>
    <cellStyle name="Heading 2 2 3 4 2 2 7 2 2" xfId="39411"/>
    <cellStyle name="Heading 2 2 3 4 2 2 7 2 2 2" xfId="39412"/>
    <cellStyle name="Heading 2 2 3 4 2 2 7 2 3" xfId="39413"/>
    <cellStyle name="Heading 2 2 3 4 2 2 7 3" xfId="39414"/>
    <cellStyle name="Heading 2 2 3 4 2 2 7 3 2" xfId="39415"/>
    <cellStyle name="Heading 2 2 3 4 2 2 7 3 2 2" xfId="39416"/>
    <cellStyle name="Heading 2 2 3 4 2 2 7 3 3" xfId="39417"/>
    <cellStyle name="Heading 2 2 3 4 2 2 7 4" xfId="39418"/>
    <cellStyle name="Heading 2 2 3 4 2 2 7 4 2" xfId="39419"/>
    <cellStyle name="Heading 2 2 3 4 2 2 7 4 2 2" xfId="39420"/>
    <cellStyle name="Heading 2 2 3 4 2 2 7 4 3" xfId="39421"/>
    <cellStyle name="Heading 2 2 3 4 2 2 7 5" xfId="39422"/>
    <cellStyle name="Heading 2 2 3 4 2 2 7 5 2" xfId="39423"/>
    <cellStyle name="Heading 2 2 3 4 2 2 7 5 2 2" xfId="39424"/>
    <cellStyle name="Heading 2 2 3 4 2 2 7 5 3" xfId="39425"/>
    <cellStyle name="Heading 2 2 3 4 2 2 7 6" xfId="39426"/>
    <cellStyle name="Heading 2 2 3 4 2 2 7 6 2" xfId="39427"/>
    <cellStyle name="Heading 2 2 3 4 2 2 7 6 2 2" xfId="39428"/>
    <cellStyle name="Heading 2 2 3 4 2 2 7 6 3" xfId="39429"/>
    <cellStyle name="Heading 2 2 3 4 2 2 7 7" xfId="39430"/>
    <cellStyle name="Heading 2 2 3 4 2 2 7 7 2" xfId="39431"/>
    <cellStyle name="Heading 2 2 3 4 2 2 7 7 2 2" xfId="39432"/>
    <cellStyle name="Heading 2 2 3 4 2 2 7 7 3" xfId="39433"/>
    <cellStyle name="Heading 2 2 3 4 2 2 7 8" xfId="39434"/>
    <cellStyle name="Heading 2 2 3 4 2 2 7 8 2" xfId="39435"/>
    <cellStyle name="Heading 2 2 3 4 2 2 7 9" xfId="39436"/>
    <cellStyle name="Heading 2 2 3 4 2 2 8" xfId="39437"/>
    <cellStyle name="Heading 2 2 3 4 2 2 8 2" xfId="39438"/>
    <cellStyle name="Heading 2 2 3 4 2 2 8 2 2" xfId="39439"/>
    <cellStyle name="Heading 2 2 3 4 2 2 8 2 2 2" xfId="39440"/>
    <cellStyle name="Heading 2 2 3 4 2 2 8 2 3" xfId="39441"/>
    <cellStyle name="Heading 2 2 3 4 2 2 8 3" xfId="39442"/>
    <cellStyle name="Heading 2 2 3 4 2 2 8 3 2" xfId="39443"/>
    <cellStyle name="Heading 2 2 3 4 2 2 8 3 2 2" xfId="39444"/>
    <cellStyle name="Heading 2 2 3 4 2 2 8 3 3" xfId="39445"/>
    <cellStyle name="Heading 2 2 3 4 2 2 8 4" xfId="39446"/>
    <cellStyle name="Heading 2 2 3 4 2 2 8 4 2" xfId="39447"/>
    <cellStyle name="Heading 2 2 3 4 2 2 8 4 2 2" xfId="39448"/>
    <cellStyle name="Heading 2 2 3 4 2 2 8 4 3" xfId="39449"/>
    <cellStyle name="Heading 2 2 3 4 2 2 8 5" xfId="39450"/>
    <cellStyle name="Heading 2 2 3 4 2 2 8 5 2" xfId="39451"/>
    <cellStyle name="Heading 2 2 3 4 2 2 8 5 2 2" xfId="39452"/>
    <cellStyle name="Heading 2 2 3 4 2 2 8 5 3" xfId="39453"/>
    <cellStyle name="Heading 2 2 3 4 2 2 8 6" xfId="39454"/>
    <cellStyle name="Heading 2 2 3 4 2 2 8 6 2" xfId="39455"/>
    <cellStyle name="Heading 2 2 3 4 2 2 8 6 2 2" xfId="39456"/>
    <cellStyle name="Heading 2 2 3 4 2 2 8 6 3" xfId="39457"/>
    <cellStyle name="Heading 2 2 3 4 2 2 8 7" xfId="39458"/>
    <cellStyle name="Heading 2 2 3 4 2 2 8 7 2" xfId="39459"/>
    <cellStyle name="Heading 2 2 3 4 2 2 8 7 2 2" xfId="39460"/>
    <cellStyle name="Heading 2 2 3 4 2 2 8 7 3" xfId="39461"/>
    <cellStyle name="Heading 2 2 3 4 2 2 8 8" xfId="39462"/>
    <cellStyle name="Heading 2 2 3 4 2 2 8 8 2" xfId="39463"/>
    <cellStyle name="Heading 2 2 3 4 2 2 8 9" xfId="39464"/>
    <cellStyle name="Heading 2 2 3 4 2 2 9" xfId="39465"/>
    <cellStyle name="Heading 2 2 3 4 2 2 9 2" xfId="39466"/>
    <cellStyle name="Heading 2 2 3 4 2 2 9 2 2" xfId="39467"/>
    <cellStyle name="Heading 2 2 3 4 2 2 9 3" xfId="39468"/>
    <cellStyle name="Heading 2 2 3 4 2 20" xfId="39469"/>
    <cellStyle name="Heading 2 2 3 4 2 20 2" xfId="39470"/>
    <cellStyle name="Heading 2 2 3 4 2 21" xfId="39471"/>
    <cellStyle name="Heading 2 2 3 4 2 21 2" xfId="39472"/>
    <cellStyle name="Heading 2 2 3 4 2 22" xfId="39473"/>
    <cellStyle name="Heading 2 2 3 4 2 22 2" xfId="39474"/>
    <cellStyle name="Heading 2 2 3 4 2 23" xfId="39475"/>
    <cellStyle name="Heading 2 2 3 4 2 3" xfId="39476"/>
    <cellStyle name="Heading 2 2 3 4 2 3 2" xfId="39477"/>
    <cellStyle name="Heading 2 2 3 4 2 3 2 2" xfId="39478"/>
    <cellStyle name="Heading 2 2 3 4 2 3 2 2 2" xfId="39479"/>
    <cellStyle name="Heading 2 2 3 4 2 3 2 3" xfId="39480"/>
    <cellStyle name="Heading 2 2 3 4 2 3 3" xfId="39481"/>
    <cellStyle name="Heading 2 2 3 4 2 3 3 2" xfId="39482"/>
    <cellStyle name="Heading 2 2 3 4 2 3 3 2 2" xfId="39483"/>
    <cellStyle name="Heading 2 2 3 4 2 3 3 3" xfId="39484"/>
    <cellStyle name="Heading 2 2 3 4 2 3 4" xfId="39485"/>
    <cellStyle name="Heading 2 2 3 4 2 3 4 2" xfId="39486"/>
    <cellStyle name="Heading 2 2 3 4 2 3 4 2 2" xfId="39487"/>
    <cellStyle name="Heading 2 2 3 4 2 3 4 3" xfId="39488"/>
    <cellStyle name="Heading 2 2 3 4 2 3 5" xfId="39489"/>
    <cellStyle name="Heading 2 2 3 4 2 3 5 2" xfId="39490"/>
    <cellStyle name="Heading 2 2 3 4 2 3 5 2 2" xfId="39491"/>
    <cellStyle name="Heading 2 2 3 4 2 3 5 3" xfId="39492"/>
    <cellStyle name="Heading 2 2 3 4 2 3 6" xfId="39493"/>
    <cellStyle name="Heading 2 2 3 4 2 3 6 2" xfId="39494"/>
    <cellStyle name="Heading 2 2 3 4 2 3 6 2 2" xfId="39495"/>
    <cellStyle name="Heading 2 2 3 4 2 3 6 3" xfId="39496"/>
    <cellStyle name="Heading 2 2 3 4 2 3 7" xfId="39497"/>
    <cellStyle name="Heading 2 2 3 4 2 3 7 2" xfId="39498"/>
    <cellStyle name="Heading 2 2 3 4 2 3 7 2 2" xfId="39499"/>
    <cellStyle name="Heading 2 2 3 4 2 3 7 3" xfId="39500"/>
    <cellStyle name="Heading 2 2 3 4 2 3 8" xfId="39501"/>
    <cellStyle name="Heading 2 2 3 4 2 3 8 2" xfId="39502"/>
    <cellStyle name="Heading 2 2 3 4 2 3 9" xfId="39503"/>
    <cellStyle name="Heading 2 2 3 4 2 4" xfId="39504"/>
    <cellStyle name="Heading 2 2 3 4 2 4 2" xfId="39505"/>
    <cellStyle name="Heading 2 2 3 4 2 4 2 2" xfId="39506"/>
    <cellStyle name="Heading 2 2 3 4 2 4 2 2 2" xfId="39507"/>
    <cellStyle name="Heading 2 2 3 4 2 4 2 3" xfId="39508"/>
    <cellStyle name="Heading 2 2 3 4 2 4 3" xfId="39509"/>
    <cellStyle name="Heading 2 2 3 4 2 4 3 2" xfId="39510"/>
    <cellStyle name="Heading 2 2 3 4 2 4 3 2 2" xfId="39511"/>
    <cellStyle name="Heading 2 2 3 4 2 4 3 3" xfId="39512"/>
    <cellStyle name="Heading 2 2 3 4 2 4 4" xfId="39513"/>
    <cellStyle name="Heading 2 2 3 4 2 4 4 2" xfId="39514"/>
    <cellStyle name="Heading 2 2 3 4 2 4 4 2 2" xfId="39515"/>
    <cellStyle name="Heading 2 2 3 4 2 4 4 3" xfId="39516"/>
    <cellStyle name="Heading 2 2 3 4 2 4 5" xfId="39517"/>
    <cellStyle name="Heading 2 2 3 4 2 4 5 2" xfId="39518"/>
    <cellStyle name="Heading 2 2 3 4 2 4 5 2 2" xfId="39519"/>
    <cellStyle name="Heading 2 2 3 4 2 4 5 3" xfId="39520"/>
    <cellStyle name="Heading 2 2 3 4 2 4 6" xfId="39521"/>
    <cellStyle name="Heading 2 2 3 4 2 4 6 2" xfId="39522"/>
    <cellStyle name="Heading 2 2 3 4 2 4 6 2 2" xfId="39523"/>
    <cellStyle name="Heading 2 2 3 4 2 4 6 3" xfId="39524"/>
    <cellStyle name="Heading 2 2 3 4 2 4 7" xfId="39525"/>
    <cellStyle name="Heading 2 2 3 4 2 4 7 2" xfId="39526"/>
    <cellStyle name="Heading 2 2 3 4 2 4 7 2 2" xfId="39527"/>
    <cellStyle name="Heading 2 2 3 4 2 4 7 3" xfId="39528"/>
    <cellStyle name="Heading 2 2 3 4 2 4 8" xfId="39529"/>
    <cellStyle name="Heading 2 2 3 4 2 4 8 2" xfId="39530"/>
    <cellStyle name="Heading 2 2 3 4 2 4 9" xfId="39531"/>
    <cellStyle name="Heading 2 2 3 4 2 5" xfId="39532"/>
    <cellStyle name="Heading 2 2 3 4 2 5 2" xfId="39533"/>
    <cellStyle name="Heading 2 2 3 4 2 5 2 2" xfId="39534"/>
    <cellStyle name="Heading 2 2 3 4 2 5 2 2 2" xfId="39535"/>
    <cellStyle name="Heading 2 2 3 4 2 5 2 3" xfId="39536"/>
    <cellStyle name="Heading 2 2 3 4 2 5 3" xfId="39537"/>
    <cellStyle name="Heading 2 2 3 4 2 5 3 2" xfId="39538"/>
    <cellStyle name="Heading 2 2 3 4 2 5 3 2 2" xfId="39539"/>
    <cellStyle name="Heading 2 2 3 4 2 5 3 3" xfId="39540"/>
    <cellStyle name="Heading 2 2 3 4 2 5 4" xfId="39541"/>
    <cellStyle name="Heading 2 2 3 4 2 5 4 2" xfId="39542"/>
    <cellStyle name="Heading 2 2 3 4 2 5 4 2 2" xfId="39543"/>
    <cellStyle name="Heading 2 2 3 4 2 5 4 3" xfId="39544"/>
    <cellStyle name="Heading 2 2 3 4 2 5 5" xfId="39545"/>
    <cellStyle name="Heading 2 2 3 4 2 5 5 2" xfId="39546"/>
    <cellStyle name="Heading 2 2 3 4 2 5 5 2 2" xfId="39547"/>
    <cellStyle name="Heading 2 2 3 4 2 5 5 3" xfId="39548"/>
    <cellStyle name="Heading 2 2 3 4 2 5 6" xfId="39549"/>
    <cellStyle name="Heading 2 2 3 4 2 5 6 2" xfId="39550"/>
    <cellStyle name="Heading 2 2 3 4 2 5 6 2 2" xfId="39551"/>
    <cellStyle name="Heading 2 2 3 4 2 5 6 3" xfId="39552"/>
    <cellStyle name="Heading 2 2 3 4 2 5 7" xfId="39553"/>
    <cellStyle name="Heading 2 2 3 4 2 5 7 2" xfId="39554"/>
    <cellStyle name="Heading 2 2 3 4 2 5 7 2 2" xfId="39555"/>
    <cellStyle name="Heading 2 2 3 4 2 5 7 3" xfId="39556"/>
    <cellStyle name="Heading 2 2 3 4 2 5 8" xfId="39557"/>
    <cellStyle name="Heading 2 2 3 4 2 5 8 2" xfId="39558"/>
    <cellStyle name="Heading 2 2 3 4 2 5 9" xfId="39559"/>
    <cellStyle name="Heading 2 2 3 4 2 6" xfId="39560"/>
    <cellStyle name="Heading 2 2 3 4 2 6 2" xfId="39561"/>
    <cellStyle name="Heading 2 2 3 4 2 6 2 2" xfId="39562"/>
    <cellStyle name="Heading 2 2 3 4 2 6 2 2 2" xfId="39563"/>
    <cellStyle name="Heading 2 2 3 4 2 6 2 3" xfId="39564"/>
    <cellStyle name="Heading 2 2 3 4 2 6 3" xfId="39565"/>
    <cellStyle name="Heading 2 2 3 4 2 6 3 2" xfId="39566"/>
    <cellStyle name="Heading 2 2 3 4 2 6 3 2 2" xfId="39567"/>
    <cellStyle name="Heading 2 2 3 4 2 6 3 3" xfId="39568"/>
    <cellStyle name="Heading 2 2 3 4 2 6 4" xfId="39569"/>
    <cellStyle name="Heading 2 2 3 4 2 6 4 2" xfId="39570"/>
    <cellStyle name="Heading 2 2 3 4 2 6 4 2 2" xfId="39571"/>
    <cellStyle name="Heading 2 2 3 4 2 6 4 3" xfId="39572"/>
    <cellStyle name="Heading 2 2 3 4 2 6 5" xfId="39573"/>
    <cellStyle name="Heading 2 2 3 4 2 6 5 2" xfId="39574"/>
    <cellStyle name="Heading 2 2 3 4 2 6 5 2 2" xfId="39575"/>
    <cellStyle name="Heading 2 2 3 4 2 6 5 3" xfId="39576"/>
    <cellStyle name="Heading 2 2 3 4 2 6 6" xfId="39577"/>
    <cellStyle name="Heading 2 2 3 4 2 6 6 2" xfId="39578"/>
    <cellStyle name="Heading 2 2 3 4 2 6 6 2 2" xfId="39579"/>
    <cellStyle name="Heading 2 2 3 4 2 6 6 3" xfId="39580"/>
    <cellStyle name="Heading 2 2 3 4 2 6 7" xfId="39581"/>
    <cellStyle name="Heading 2 2 3 4 2 6 7 2" xfId="39582"/>
    <cellStyle name="Heading 2 2 3 4 2 6 7 2 2" xfId="39583"/>
    <cellStyle name="Heading 2 2 3 4 2 6 7 3" xfId="39584"/>
    <cellStyle name="Heading 2 2 3 4 2 6 8" xfId="39585"/>
    <cellStyle name="Heading 2 2 3 4 2 6 8 2" xfId="39586"/>
    <cellStyle name="Heading 2 2 3 4 2 6 9" xfId="39587"/>
    <cellStyle name="Heading 2 2 3 4 2 7" xfId="39588"/>
    <cellStyle name="Heading 2 2 3 4 2 7 2" xfId="39589"/>
    <cellStyle name="Heading 2 2 3 4 2 7 2 2" xfId="39590"/>
    <cellStyle name="Heading 2 2 3 4 2 7 2 2 2" xfId="39591"/>
    <cellStyle name="Heading 2 2 3 4 2 7 2 3" xfId="39592"/>
    <cellStyle name="Heading 2 2 3 4 2 7 3" xfId="39593"/>
    <cellStyle name="Heading 2 2 3 4 2 7 3 2" xfId="39594"/>
    <cellStyle name="Heading 2 2 3 4 2 7 3 2 2" xfId="39595"/>
    <cellStyle name="Heading 2 2 3 4 2 7 3 3" xfId="39596"/>
    <cellStyle name="Heading 2 2 3 4 2 7 4" xfId="39597"/>
    <cellStyle name="Heading 2 2 3 4 2 7 4 2" xfId="39598"/>
    <cellStyle name="Heading 2 2 3 4 2 7 4 2 2" xfId="39599"/>
    <cellStyle name="Heading 2 2 3 4 2 7 4 3" xfId="39600"/>
    <cellStyle name="Heading 2 2 3 4 2 7 5" xfId="39601"/>
    <cellStyle name="Heading 2 2 3 4 2 7 5 2" xfId="39602"/>
    <cellStyle name="Heading 2 2 3 4 2 7 5 2 2" xfId="39603"/>
    <cellStyle name="Heading 2 2 3 4 2 7 5 3" xfId="39604"/>
    <cellStyle name="Heading 2 2 3 4 2 7 6" xfId="39605"/>
    <cellStyle name="Heading 2 2 3 4 2 7 6 2" xfId="39606"/>
    <cellStyle name="Heading 2 2 3 4 2 7 6 2 2" xfId="39607"/>
    <cellStyle name="Heading 2 2 3 4 2 7 6 3" xfId="39608"/>
    <cellStyle name="Heading 2 2 3 4 2 7 7" xfId="39609"/>
    <cellStyle name="Heading 2 2 3 4 2 7 7 2" xfId="39610"/>
    <cellStyle name="Heading 2 2 3 4 2 7 7 2 2" xfId="39611"/>
    <cellStyle name="Heading 2 2 3 4 2 7 7 3" xfId="39612"/>
    <cellStyle name="Heading 2 2 3 4 2 7 8" xfId="39613"/>
    <cellStyle name="Heading 2 2 3 4 2 7 8 2" xfId="39614"/>
    <cellStyle name="Heading 2 2 3 4 2 7 9" xfId="39615"/>
    <cellStyle name="Heading 2 2 3 4 2 8" xfId="39616"/>
    <cellStyle name="Heading 2 2 3 4 2 8 2" xfId="39617"/>
    <cellStyle name="Heading 2 2 3 4 2 8 2 2" xfId="39618"/>
    <cellStyle name="Heading 2 2 3 4 2 8 2 2 2" xfId="39619"/>
    <cellStyle name="Heading 2 2 3 4 2 8 2 3" xfId="39620"/>
    <cellStyle name="Heading 2 2 3 4 2 8 3" xfId="39621"/>
    <cellStyle name="Heading 2 2 3 4 2 8 3 2" xfId="39622"/>
    <cellStyle name="Heading 2 2 3 4 2 8 3 2 2" xfId="39623"/>
    <cellStyle name="Heading 2 2 3 4 2 8 3 3" xfId="39624"/>
    <cellStyle name="Heading 2 2 3 4 2 8 4" xfId="39625"/>
    <cellStyle name="Heading 2 2 3 4 2 8 4 2" xfId="39626"/>
    <cellStyle name="Heading 2 2 3 4 2 8 4 2 2" xfId="39627"/>
    <cellStyle name="Heading 2 2 3 4 2 8 4 3" xfId="39628"/>
    <cellStyle name="Heading 2 2 3 4 2 8 5" xfId="39629"/>
    <cellStyle name="Heading 2 2 3 4 2 8 5 2" xfId="39630"/>
    <cellStyle name="Heading 2 2 3 4 2 8 5 2 2" xfId="39631"/>
    <cellStyle name="Heading 2 2 3 4 2 8 5 3" xfId="39632"/>
    <cellStyle name="Heading 2 2 3 4 2 8 6" xfId="39633"/>
    <cellStyle name="Heading 2 2 3 4 2 8 6 2" xfId="39634"/>
    <cellStyle name="Heading 2 2 3 4 2 8 6 2 2" xfId="39635"/>
    <cellStyle name="Heading 2 2 3 4 2 8 6 3" xfId="39636"/>
    <cellStyle name="Heading 2 2 3 4 2 8 7" xfId="39637"/>
    <cellStyle name="Heading 2 2 3 4 2 8 7 2" xfId="39638"/>
    <cellStyle name="Heading 2 2 3 4 2 8 7 2 2" xfId="39639"/>
    <cellStyle name="Heading 2 2 3 4 2 8 7 3" xfId="39640"/>
    <cellStyle name="Heading 2 2 3 4 2 8 8" xfId="39641"/>
    <cellStyle name="Heading 2 2 3 4 2 8 8 2" xfId="39642"/>
    <cellStyle name="Heading 2 2 3 4 2 8 9" xfId="39643"/>
    <cellStyle name="Heading 2 2 3 4 2 9" xfId="39644"/>
    <cellStyle name="Heading 2 2 3 4 2 9 2" xfId="39645"/>
    <cellStyle name="Heading 2 2 3 4 2 9 2 2" xfId="39646"/>
    <cellStyle name="Heading 2 2 3 4 2 9 2 2 2" xfId="39647"/>
    <cellStyle name="Heading 2 2 3 4 2 9 2 3" xfId="39648"/>
    <cellStyle name="Heading 2 2 3 4 2 9 3" xfId="39649"/>
    <cellStyle name="Heading 2 2 3 4 2 9 3 2" xfId="39650"/>
    <cellStyle name="Heading 2 2 3 4 2 9 3 2 2" xfId="39651"/>
    <cellStyle name="Heading 2 2 3 4 2 9 3 3" xfId="39652"/>
    <cellStyle name="Heading 2 2 3 4 2 9 4" xfId="39653"/>
    <cellStyle name="Heading 2 2 3 4 2 9 4 2" xfId="39654"/>
    <cellStyle name="Heading 2 2 3 4 2 9 4 2 2" xfId="39655"/>
    <cellStyle name="Heading 2 2 3 4 2 9 4 3" xfId="39656"/>
    <cellStyle name="Heading 2 2 3 4 2 9 5" xfId="39657"/>
    <cellStyle name="Heading 2 2 3 4 2 9 5 2" xfId="39658"/>
    <cellStyle name="Heading 2 2 3 4 2 9 5 2 2" xfId="39659"/>
    <cellStyle name="Heading 2 2 3 4 2 9 5 3" xfId="39660"/>
    <cellStyle name="Heading 2 2 3 4 2 9 6" xfId="39661"/>
    <cellStyle name="Heading 2 2 3 4 2 9 6 2" xfId="39662"/>
    <cellStyle name="Heading 2 2 3 4 2 9 6 2 2" xfId="39663"/>
    <cellStyle name="Heading 2 2 3 4 2 9 6 3" xfId="39664"/>
    <cellStyle name="Heading 2 2 3 4 2 9 7" xfId="39665"/>
    <cellStyle name="Heading 2 2 3 4 2 9 7 2" xfId="39666"/>
    <cellStyle name="Heading 2 2 3 4 2 9 7 2 2" xfId="39667"/>
    <cellStyle name="Heading 2 2 3 4 2 9 7 3" xfId="39668"/>
    <cellStyle name="Heading 2 2 3 4 2 9 8" xfId="39669"/>
    <cellStyle name="Heading 2 2 3 4 2 9 8 2" xfId="39670"/>
    <cellStyle name="Heading 2 2 3 4 2 9 9" xfId="39671"/>
    <cellStyle name="Heading 2 2 3 4 3" xfId="39672"/>
    <cellStyle name="Heading 2 2 3 4 3 10" xfId="39673"/>
    <cellStyle name="Heading 2 2 3 4 3 10 2" xfId="39674"/>
    <cellStyle name="Heading 2 2 3 4 3 10 2 2" xfId="39675"/>
    <cellStyle name="Heading 2 2 3 4 3 10 3" xfId="39676"/>
    <cellStyle name="Heading 2 2 3 4 3 11" xfId="39677"/>
    <cellStyle name="Heading 2 2 3 4 3 11 2" xfId="39678"/>
    <cellStyle name="Heading 2 2 3 4 3 11 2 2" xfId="39679"/>
    <cellStyle name="Heading 2 2 3 4 3 11 3" xfId="39680"/>
    <cellStyle name="Heading 2 2 3 4 3 12" xfId="39681"/>
    <cellStyle name="Heading 2 2 3 4 3 12 2" xfId="39682"/>
    <cellStyle name="Heading 2 2 3 4 3 12 2 2" xfId="39683"/>
    <cellStyle name="Heading 2 2 3 4 3 12 3" xfId="39684"/>
    <cellStyle name="Heading 2 2 3 4 3 13" xfId="39685"/>
    <cellStyle name="Heading 2 2 3 4 3 13 2" xfId="39686"/>
    <cellStyle name="Heading 2 2 3 4 3 13 2 2" xfId="39687"/>
    <cellStyle name="Heading 2 2 3 4 3 13 3" xfId="39688"/>
    <cellStyle name="Heading 2 2 3 4 3 14" xfId="39689"/>
    <cellStyle name="Heading 2 2 3 4 3 14 2" xfId="39690"/>
    <cellStyle name="Heading 2 2 3 4 3 14 2 2" xfId="39691"/>
    <cellStyle name="Heading 2 2 3 4 3 14 3" xfId="39692"/>
    <cellStyle name="Heading 2 2 3 4 3 15" xfId="39693"/>
    <cellStyle name="Heading 2 2 3 4 3 15 2" xfId="39694"/>
    <cellStyle name="Heading 2 2 3 4 3 15 2 2" xfId="39695"/>
    <cellStyle name="Heading 2 2 3 4 3 15 3" xfId="39696"/>
    <cellStyle name="Heading 2 2 3 4 3 16" xfId="39697"/>
    <cellStyle name="Heading 2 2 3 4 3 16 2" xfId="39698"/>
    <cellStyle name="Heading 2 2 3 4 3 16 2 2" xfId="39699"/>
    <cellStyle name="Heading 2 2 3 4 3 16 3" xfId="39700"/>
    <cellStyle name="Heading 2 2 3 4 3 17" xfId="39701"/>
    <cellStyle name="Heading 2 2 3 4 3 17 2" xfId="39702"/>
    <cellStyle name="Heading 2 2 3 4 3 17 2 2" xfId="39703"/>
    <cellStyle name="Heading 2 2 3 4 3 17 3" xfId="39704"/>
    <cellStyle name="Heading 2 2 3 4 3 18" xfId="39705"/>
    <cellStyle name="Heading 2 2 3 4 3 18 2" xfId="39706"/>
    <cellStyle name="Heading 2 2 3 4 3 18 2 2" xfId="39707"/>
    <cellStyle name="Heading 2 2 3 4 3 18 3" xfId="39708"/>
    <cellStyle name="Heading 2 2 3 4 3 19" xfId="39709"/>
    <cellStyle name="Heading 2 2 3 4 3 19 2" xfId="39710"/>
    <cellStyle name="Heading 2 2 3 4 3 2" xfId="39711"/>
    <cellStyle name="Heading 2 2 3 4 3 2 2" xfId="39712"/>
    <cellStyle name="Heading 2 2 3 4 3 2 2 2" xfId="39713"/>
    <cellStyle name="Heading 2 2 3 4 3 2 2 2 2" xfId="39714"/>
    <cellStyle name="Heading 2 2 3 4 3 2 2 3" xfId="39715"/>
    <cellStyle name="Heading 2 2 3 4 3 2 3" xfId="39716"/>
    <cellStyle name="Heading 2 2 3 4 3 2 3 2" xfId="39717"/>
    <cellStyle name="Heading 2 2 3 4 3 2 3 2 2" xfId="39718"/>
    <cellStyle name="Heading 2 2 3 4 3 2 3 3" xfId="39719"/>
    <cellStyle name="Heading 2 2 3 4 3 2 4" xfId="39720"/>
    <cellStyle name="Heading 2 2 3 4 3 2 4 2" xfId="39721"/>
    <cellStyle name="Heading 2 2 3 4 3 2 4 2 2" xfId="39722"/>
    <cellStyle name="Heading 2 2 3 4 3 2 4 3" xfId="39723"/>
    <cellStyle name="Heading 2 2 3 4 3 2 5" xfId="39724"/>
    <cellStyle name="Heading 2 2 3 4 3 2 5 2" xfId="39725"/>
    <cellStyle name="Heading 2 2 3 4 3 2 5 2 2" xfId="39726"/>
    <cellStyle name="Heading 2 2 3 4 3 2 5 3" xfId="39727"/>
    <cellStyle name="Heading 2 2 3 4 3 2 6" xfId="39728"/>
    <cellStyle name="Heading 2 2 3 4 3 2 6 2" xfId="39729"/>
    <cellStyle name="Heading 2 2 3 4 3 2 6 2 2" xfId="39730"/>
    <cellStyle name="Heading 2 2 3 4 3 2 6 3" xfId="39731"/>
    <cellStyle name="Heading 2 2 3 4 3 2 7" xfId="39732"/>
    <cellStyle name="Heading 2 2 3 4 3 2 7 2" xfId="39733"/>
    <cellStyle name="Heading 2 2 3 4 3 2 7 2 2" xfId="39734"/>
    <cellStyle name="Heading 2 2 3 4 3 2 7 3" xfId="39735"/>
    <cellStyle name="Heading 2 2 3 4 3 2 8" xfId="39736"/>
    <cellStyle name="Heading 2 2 3 4 3 2 8 2" xfId="39737"/>
    <cellStyle name="Heading 2 2 3 4 3 2 9" xfId="39738"/>
    <cellStyle name="Heading 2 2 3 4 3 20" xfId="39739"/>
    <cellStyle name="Heading 2 2 3 4 3 20 2" xfId="39740"/>
    <cellStyle name="Heading 2 2 3 4 3 21" xfId="39741"/>
    <cellStyle name="Heading 2 2 3 4 3 21 2" xfId="39742"/>
    <cellStyle name="Heading 2 2 3 4 3 22" xfId="39743"/>
    <cellStyle name="Heading 2 2 3 4 3 3" xfId="39744"/>
    <cellStyle name="Heading 2 2 3 4 3 3 2" xfId="39745"/>
    <cellStyle name="Heading 2 2 3 4 3 3 2 2" xfId="39746"/>
    <cellStyle name="Heading 2 2 3 4 3 3 2 2 2" xfId="39747"/>
    <cellStyle name="Heading 2 2 3 4 3 3 2 3" xfId="39748"/>
    <cellStyle name="Heading 2 2 3 4 3 3 3" xfId="39749"/>
    <cellStyle name="Heading 2 2 3 4 3 3 3 2" xfId="39750"/>
    <cellStyle name="Heading 2 2 3 4 3 3 3 2 2" xfId="39751"/>
    <cellStyle name="Heading 2 2 3 4 3 3 3 3" xfId="39752"/>
    <cellStyle name="Heading 2 2 3 4 3 3 4" xfId="39753"/>
    <cellStyle name="Heading 2 2 3 4 3 3 4 2" xfId="39754"/>
    <cellStyle name="Heading 2 2 3 4 3 3 4 2 2" xfId="39755"/>
    <cellStyle name="Heading 2 2 3 4 3 3 4 3" xfId="39756"/>
    <cellStyle name="Heading 2 2 3 4 3 3 5" xfId="39757"/>
    <cellStyle name="Heading 2 2 3 4 3 3 5 2" xfId="39758"/>
    <cellStyle name="Heading 2 2 3 4 3 3 5 2 2" xfId="39759"/>
    <cellStyle name="Heading 2 2 3 4 3 3 5 3" xfId="39760"/>
    <cellStyle name="Heading 2 2 3 4 3 3 6" xfId="39761"/>
    <cellStyle name="Heading 2 2 3 4 3 3 6 2" xfId="39762"/>
    <cellStyle name="Heading 2 2 3 4 3 3 6 2 2" xfId="39763"/>
    <cellStyle name="Heading 2 2 3 4 3 3 6 3" xfId="39764"/>
    <cellStyle name="Heading 2 2 3 4 3 3 7" xfId="39765"/>
    <cellStyle name="Heading 2 2 3 4 3 3 7 2" xfId="39766"/>
    <cellStyle name="Heading 2 2 3 4 3 3 7 2 2" xfId="39767"/>
    <cellStyle name="Heading 2 2 3 4 3 3 7 3" xfId="39768"/>
    <cellStyle name="Heading 2 2 3 4 3 3 8" xfId="39769"/>
    <cellStyle name="Heading 2 2 3 4 3 3 8 2" xfId="39770"/>
    <cellStyle name="Heading 2 2 3 4 3 3 9" xfId="39771"/>
    <cellStyle name="Heading 2 2 3 4 3 4" xfId="39772"/>
    <cellStyle name="Heading 2 2 3 4 3 4 2" xfId="39773"/>
    <cellStyle name="Heading 2 2 3 4 3 4 2 2" xfId="39774"/>
    <cellStyle name="Heading 2 2 3 4 3 4 2 2 2" xfId="39775"/>
    <cellStyle name="Heading 2 2 3 4 3 4 2 3" xfId="39776"/>
    <cellStyle name="Heading 2 2 3 4 3 4 3" xfId="39777"/>
    <cellStyle name="Heading 2 2 3 4 3 4 3 2" xfId="39778"/>
    <cellStyle name="Heading 2 2 3 4 3 4 3 2 2" xfId="39779"/>
    <cellStyle name="Heading 2 2 3 4 3 4 3 3" xfId="39780"/>
    <cellStyle name="Heading 2 2 3 4 3 4 4" xfId="39781"/>
    <cellStyle name="Heading 2 2 3 4 3 4 4 2" xfId="39782"/>
    <cellStyle name="Heading 2 2 3 4 3 4 4 2 2" xfId="39783"/>
    <cellStyle name="Heading 2 2 3 4 3 4 4 3" xfId="39784"/>
    <cellStyle name="Heading 2 2 3 4 3 4 5" xfId="39785"/>
    <cellStyle name="Heading 2 2 3 4 3 4 5 2" xfId="39786"/>
    <cellStyle name="Heading 2 2 3 4 3 4 5 2 2" xfId="39787"/>
    <cellStyle name="Heading 2 2 3 4 3 4 5 3" xfId="39788"/>
    <cellStyle name="Heading 2 2 3 4 3 4 6" xfId="39789"/>
    <cellStyle name="Heading 2 2 3 4 3 4 6 2" xfId="39790"/>
    <cellStyle name="Heading 2 2 3 4 3 4 6 2 2" xfId="39791"/>
    <cellStyle name="Heading 2 2 3 4 3 4 6 3" xfId="39792"/>
    <cellStyle name="Heading 2 2 3 4 3 4 7" xfId="39793"/>
    <cellStyle name="Heading 2 2 3 4 3 4 7 2" xfId="39794"/>
    <cellStyle name="Heading 2 2 3 4 3 4 7 2 2" xfId="39795"/>
    <cellStyle name="Heading 2 2 3 4 3 4 7 3" xfId="39796"/>
    <cellStyle name="Heading 2 2 3 4 3 4 8" xfId="39797"/>
    <cellStyle name="Heading 2 2 3 4 3 4 8 2" xfId="39798"/>
    <cellStyle name="Heading 2 2 3 4 3 4 9" xfId="39799"/>
    <cellStyle name="Heading 2 2 3 4 3 5" xfId="39800"/>
    <cellStyle name="Heading 2 2 3 4 3 5 2" xfId="39801"/>
    <cellStyle name="Heading 2 2 3 4 3 5 2 2" xfId="39802"/>
    <cellStyle name="Heading 2 2 3 4 3 5 2 2 2" xfId="39803"/>
    <cellStyle name="Heading 2 2 3 4 3 5 2 3" xfId="39804"/>
    <cellStyle name="Heading 2 2 3 4 3 5 3" xfId="39805"/>
    <cellStyle name="Heading 2 2 3 4 3 5 3 2" xfId="39806"/>
    <cellStyle name="Heading 2 2 3 4 3 5 3 2 2" xfId="39807"/>
    <cellStyle name="Heading 2 2 3 4 3 5 3 3" xfId="39808"/>
    <cellStyle name="Heading 2 2 3 4 3 5 4" xfId="39809"/>
    <cellStyle name="Heading 2 2 3 4 3 5 4 2" xfId="39810"/>
    <cellStyle name="Heading 2 2 3 4 3 5 4 2 2" xfId="39811"/>
    <cellStyle name="Heading 2 2 3 4 3 5 4 3" xfId="39812"/>
    <cellStyle name="Heading 2 2 3 4 3 5 5" xfId="39813"/>
    <cellStyle name="Heading 2 2 3 4 3 5 5 2" xfId="39814"/>
    <cellStyle name="Heading 2 2 3 4 3 5 5 2 2" xfId="39815"/>
    <cellStyle name="Heading 2 2 3 4 3 5 5 3" xfId="39816"/>
    <cellStyle name="Heading 2 2 3 4 3 5 6" xfId="39817"/>
    <cellStyle name="Heading 2 2 3 4 3 5 6 2" xfId="39818"/>
    <cellStyle name="Heading 2 2 3 4 3 5 6 2 2" xfId="39819"/>
    <cellStyle name="Heading 2 2 3 4 3 5 6 3" xfId="39820"/>
    <cellStyle name="Heading 2 2 3 4 3 5 7" xfId="39821"/>
    <cellStyle name="Heading 2 2 3 4 3 5 7 2" xfId="39822"/>
    <cellStyle name="Heading 2 2 3 4 3 5 7 2 2" xfId="39823"/>
    <cellStyle name="Heading 2 2 3 4 3 5 7 3" xfId="39824"/>
    <cellStyle name="Heading 2 2 3 4 3 5 8" xfId="39825"/>
    <cellStyle name="Heading 2 2 3 4 3 5 8 2" xfId="39826"/>
    <cellStyle name="Heading 2 2 3 4 3 5 9" xfId="39827"/>
    <cellStyle name="Heading 2 2 3 4 3 6" xfId="39828"/>
    <cellStyle name="Heading 2 2 3 4 3 6 2" xfId="39829"/>
    <cellStyle name="Heading 2 2 3 4 3 6 2 2" xfId="39830"/>
    <cellStyle name="Heading 2 2 3 4 3 6 2 2 2" xfId="39831"/>
    <cellStyle name="Heading 2 2 3 4 3 6 2 3" xfId="39832"/>
    <cellStyle name="Heading 2 2 3 4 3 6 3" xfId="39833"/>
    <cellStyle name="Heading 2 2 3 4 3 6 3 2" xfId="39834"/>
    <cellStyle name="Heading 2 2 3 4 3 6 3 2 2" xfId="39835"/>
    <cellStyle name="Heading 2 2 3 4 3 6 3 3" xfId="39836"/>
    <cellStyle name="Heading 2 2 3 4 3 6 4" xfId="39837"/>
    <cellStyle name="Heading 2 2 3 4 3 6 4 2" xfId="39838"/>
    <cellStyle name="Heading 2 2 3 4 3 6 4 2 2" xfId="39839"/>
    <cellStyle name="Heading 2 2 3 4 3 6 4 3" xfId="39840"/>
    <cellStyle name="Heading 2 2 3 4 3 6 5" xfId="39841"/>
    <cellStyle name="Heading 2 2 3 4 3 6 5 2" xfId="39842"/>
    <cellStyle name="Heading 2 2 3 4 3 6 5 2 2" xfId="39843"/>
    <cellStyle name="Heading 2 2 3 4 3 6 5 3" xfId="39844"/>
    <cellStyle name="Heading 2 2 3 4 3 6 6" xfId="39845"/>
    <cellStyle name="Heading 2 2 3 4 3 6 6 2" xfId="39846"/>
    <cellStyle name="Heading 2 2 3 4 3 6 6 2 2" xfId="39847"/>
    <cellStyle name="Heading 2 2 3 4 3 6 6 3" xfId="39848"/>
    <cellStyle name="Heading 2 2 3 4 3 6 7" xfId="39849"/>
    <cellStyle name="Heading 2 2 3 4 3 6 7 2" xfId="39850"/>
    <cellStyle name="Heading 2 2 3 4 3 6 7 2 2" xfId="39851"/>
    <cellStyle name="Heading 2 2 3 4 3 6 7 3" xfId="39852"/>
    <cellStyle name="Heading 2 2 3 4 3 6 8" xfId="39853"/>
    <cellStyle name="Heading 2 2 3 4 3 6 8 2" xfId="39854"/>
    <cellStyle name="Heading 2 2 3 4 3 6 9" xfId="39855"/>
    <cellStyle name="Heading 2 2 3 4 3 7" xfId="39856"/>
    <cellStyle name="Heading 2 2 3 4 3 7 2" xfId="39857"/>
    <cellStyle name="Heading 2 2 3 4 3 7 2 2" xfId="39858"/>
    <cellStyle name="Heading 2 2 3 4 3 7 2 2 2" xfId="39859"/>
    <cellStyle name="Heading 2 2 3 4 3 7 2 3" xfId="39860"/>
    <cellStyle name="Heading 2 2 3 4 3 7 3" xfId="39861"/>
    <cellStyle name="Heading 2 2 3 4 3 7 3 2" xfId="39862"/>
    <cellStyle name="Heading 2 2 3 4 3 7 3 2 2" xfId="39863"/>
    <cellStyle name="Heading 2 2 3 4 3 7 3 3" xfId="39864"/>
    <cellStyle name="Heading 2 2 3 4 3 7 4" xfId="39865"/>
    <cellStyle name="Heading 2 2 3 4 3 7 4 2" xfId="39866"/>
    <cellStyle name="Heading 2 2 3 4 3 7 4 2 2" xfId="39867"/>
    <cellStyle name="Heading 2 2 3 4 3 7 4 3" xfId="39868"/>
    <cellStyle name="Heading 2 2 3 4 3 7 5" xfId="39869"/>
    <cellStyle name="Heading 2 2 3 4 3 7 5 2" xfId="39870"/>
    <cellStyle name="Heading 2 2 3 4 3 7 5 2 2" xfId="39871"/>
    <cellStyle name="Heading 2 2 3 4 3 7 5 3" xfId="39872"/>
    <cellStyle name="Heading 2 2 3 4 3 7 6" xfId="39873"/>
    <cellStyle name="Heading 2 2 3 4 3 7 6 2" xfId="39874"/>
    <cellStyle name="Heading 2 2 3 4 3 7 6 2 2" xfId="39875"/>
    <cellStyle name="Heading 2 2 3 4 3 7 6 3" xfId="39876"/>
    <cellStyle name="Heading 2 2 3 4 3 7 7" xfId="39877"/>
    <cellStyle name="Heading 2 2 3 4 3 7 7 2" xfId="39878"/>
    <cellStyle name="Heading 2 2 3 4 3 7 7 2 2" xfId="39879"/>
    <cellStyle name="Heading 2 2 3 4 3 7 7 3" xfId="39880"/>
    <cellStyle name="Heading 2 2 3 4 3 7 8" xfId="39881"/>
    <cellStyle name="Heading 2 2 3 4 3 7 8 2" xfId="39882"/>
    <cellStyle name="Heading 2 2 3 4 3 7 9" xfId="39883"/>
    <cellStyle name="Heading 2 2 3 4 3 8" xfId="39884"/>
    <cellStyle name="Heading 2 2 3 4 3 8 2" xfId="39885"/>
    <cellStyle name="Heading 2 2 3 4 3 8 2 2" xfId="39886"/>
    <cellStyle name="Heading 2 2 3 4 3 8 2 2 2" xfId="39887"/>
    <cellStyle name="Heading 2 2 3 4 3 8 2 3" xfId="39888"/>
    <cellStyle name="Heading 2 2 3 4 3 8 3" xfId="39889"/>
    <cellStyle name="Heading 2 2 3 4 3 8 3 2" xfId="39890"/>
    <cellStyle name="Heading 2 2 3 4 3 8 3 2 2" xfId="39891"/>
    <cellStyle name="Heading 2 2 3 4 3 8 3 3" xfId="39892"/>
    <cellStyle name="Heading 2 2 3 4 3 8 4" xfId="39893"/>
    <cellStyle name="Heading 2 2 3 4 3 8 4 2" xfId="39894"/>
    <cellStyle name="Heading 2 2 3 4 3 8 4 2 2" xfId="39895"/>
    <cellStyle name="Heading 2 2 3 4 3 8 4 3" xfId="39896"/>
    <cellStyle name="Heading 2 2 3 4 3 8 5" xfId="39897"/>
    <cellStyle name="Heading 2 2 3 4 3 8 5 2" xfId="39898"/>
    <cellStyle name="Heading 2 2 3 4 3 8 5 2 2" xfId="39899"/>
    <cellStyle name="Heading 2 2 3 4 3 8 5 3" xfId="39900"/>
    <cellStyle name="Heading 2 2 3 4 3 8 6" xfId="39901"/>
    <cellStyle name="Heading 2 2 3 4 3 8 6 2" xfId="39902"/>
    <cellStyle name="Heading 2 2 3 4 3 8 6 2 2" xfId="39903"/>
    <cellStyle name="Heading 2 2 3 4 3 8 6 3" xfId="39904"/>
    <cellStyle name="Heading 2 2 3 4 3 8 7" xfId="39905"/>
    <cellStyle name="Heading 2 2 3 4 3 8 7 2" xfId="39906"/>
    <cellStyle name="Heading 2 2 3 4 3 8 7 2 2" xfId="39907"/>
    <cellStyle name="Heading 2 2 3 4 3 8 7 3" xfId="39908"/>
    <cellStyle name="Heading 2 2 3 4 3 8 8" xfId="39909"/>
    <cellStyle name="Heading 2 2 3 4 3 8 8 2" xfId="39910"/>
    <cellStyle name="Heading 2 2 3 4 3 8 9" xfId="39911"/>
    <cellStyle name="Heading 2 2 3 4 3 9" xfId="39912"/>
    <cellStyle name="Heading 2 2 3 4 3 9 2" xfId="39913"/>
    <cellStyle name="Heading 2 2 3 4 3 9 2 2" xfId="39914"/>
    <cellStyle name="Heading 2 2 3 4 3 9 3" xfId="39915"/>
    <cellStyle name="Heading 2 2 3 4 4" xfId="39916"/>
    <cellStyle name="Heading 2 2 3 4 4 2" xfId="39917"/>
    <cellStyle name="Heading 2 2 3 4 4 2 2" xfId="39918"/>
    <cellStyle name="Heading 2 2 3 4 4 3" xfId="39919"/>
    <cellStyle name="Heading 2 2 3 4 5" xfId="39920"/>
    <cellStyle name="Heading 2 2 3 4 5 2" xfId="39921"/>
    <cellStyle name="Heading 2 2 3 4 6" xfId="39922"/>
    <cellStyle name="Heading 2 2 3 5" xfId="39923"/>
    <cellStyle name="Heading 2 2 3 5 2" xfId="39924"/>
    <cellStyle name="Heading 2 2 3 5 2 10" xfId="39925"/>
    <cellStyle name="Heading 2 2 3 5 2 10 2" xfId="39926"/>
    <cellStyle name="Heading 2 2 3 5 2 10 2 2" xfId="39927"/>
    <cellStyle name="Heading 2 2 3 5 2 10 3" xfId="39928"/>
    <cellStyle name="Heading 2 2 3 5 2 11" xfId="39929"/>
    <cellStyle name="Heading 2 2 3 5 2 11 2" xfId="39930"/>
    <cellStyle name="Heading 2 2 3 5 2 11 2 2" xfId="39931"/>
    <cellStyle name="Heading 2 2 3 5 2 11 3" xfId="39932"/>
    <cellStyle name="Heading 2 2 3 5 2 12" xfId="39933"/>
    <cellStyle name="Heading 2 2 3 5 2 12 2" xfId="39934"/>
    <cellStyle name="Heading 2 2 3 5 2 12 2 2" xfId="39935"/>
    <cellStyle name="Heading 2 2 3 5 2 12 3" xfId="39936"/>
    <cellStyle name="Heading 2 2 3 5 2 13" xfId="39937"/>
    <cellStyle name="Heading 2 2 3 5 2 13 2" xfId="39938"/>
    <cellStyle name="Heading 2 2 3 5 2 13 2 2" xfId="39939"/>
    <cellStyle name="Heading 2 2 3 5 2 13 3" xfId="39940"/>
    <cellStyle name="Heading 2 2 3 5 2 14" xfId="39941"/>
    <cellStyle name="Heading 2 2 3 5 2 14 2" xfId="39942"/>
    <cellStyle name="Heading 2 2 3 5 2 14 2 2" xfId="39943"/>
    <cellStyle name="Heading 2 2 3 5 2 14 3" xfId="39944"/>
    <cellStyle name="Heading 2 2 3 5 2 15" xfId="39945"/>
    <cellStyle name="Heading 2 2 3 5 2 15 2" xfId="39946"/>
    <cellStyle name="Heading 2 2 3 5 2 15 2 2" xfId="39947"/>
    <cellStyle name="Heading 2 2 3 5 2 15 3" xfId="39948"/>
    <cellStyle name="Heading 2 2 3 5 2 16" xfId="39949"/>
    <cellStyle name="Heading 2 2 3 5 2 16 2" xfId="39950"/>
    <cellStyle name="Heading 2 2 3 5 2 16 2 2" xfId="39951"/>
    <cellStyle name="Heading 2 2 3 5 2 16 3" xfId="39952"/>
    <cellStyle name="Heading 2 2 3 5 2 17" xfId="39953"/>
    <cellStyle name="Heading 2 2 3 5 2 17 2" xfId="39954"/>
    <cellStyle name="Heading 2 2 3 5 2 17 2 2" xfId="39955"/>
    <cellStyle name="Heading 2 2 3 5 2 17 3" xfId="39956"/>
    <cellStyle name="Heading 2 2 3 5 2 18" xfId="39957"/>
    <cellStyle name="Heading 2 2 3 5 2 18 2" xfId="39958"/>
    <cellStyle name="Heading 2 2 3 5 2 18 2 2" xfId="39959"/>
    <cellStyle name="Heading 2 2 3 5 2 18 3" xfId="39960"/>
    <cellStyle name="Heading 2 2 3 5 2 19" xfId="39961"/>
    <cellStyle name="Heading 2 2 3 5 2 19 2" xfId="39962"/>
    <cellStyle name="Heading 2 2 3 5 2 19 2 2" xfId="39963"/>
    <cellStyle name="Heading 2 2 3 5 2 19 3" xfId="39964"/>
    <cellStyle name="Heading 2 2 3 5 2 2" xfId="39965"/>
    <cellStyle name="Heading 2 2 3 5 2 2 10" xfId="39966"/>
    <cellStyle name="Heading 2 2 3 5 2 2 10 2" xfId="39967"/>
    <cellStyle name="Heading 2 2 3 5 2 2 10 2 2" xfId="39968"/>
    <cellStyle name="Heading 2 2 3 5 2 2 10 3" xfId="39969"/>
    <cellStyle name="Heading 2 2 3 5 2 2 11" xfId="39970"/>
    <cellStyle name="Heading 2 2 3 5 2 2 11 2" xfId="39971"/>
    <cellStyle name="Heading 2 2 3 5 2 2 11 2 2" xfId="39972"/>
    <cellStyle name="Heading 2 2 3 5 2 2 11 3" xfId="39973"/>
    <cellStyle name="Heading 2 2 3 5 2 2 12" xfId="39974"/>
    <cellStyle name="Heading 2 2 3 5 2 2 12 2" xfId="39975"/>
    <cellStyle name="Heading 2 2 3 5 2 2 12 2 2" xfId="39976"/>
    <cellStyle name="Heading 2 2 3 5 2 2 12 3" xfId="39977"/>
    <cellStyle name="Heading 2 2 3 5 2 2 13" xfId="39978"/>
    <cellStyle name="Heading 2 2 3 5 2 2 13 2" xfId="39979"/>
    <cellStyle name="Heading 2 2 3 5 2 2 13 2 2" xfId="39980"/>
    <cellStyle name="Heading 2 2 3 5 2 2 13 3" xfId="39981"/>
    <cellStyle name="Heading 2 2 3 5 2 2 14" xfId="39982"/>
    <cellStyle name="Heading 2 2 3 5 2 2 14 2" xfId="39983"/>
    <cellStyle name="Heading 2 2 3 5 2 2 14 2 2" xfId="39984"/>
    <cellStyle name="Heading 2 2 3 5 2 2 14 3" xfId="39985"/>
    <cellStyle name="Heading 2 2 3 5 2 2 15" xfId="39986"/>
    <cellStyle name="Heading 2 2 3 5 2 2 15 2" xfId="39987"/>
    <cellStyle name="Heading 2 2 3 5 2 2 15 2 2" xfId="39988"/>
    <cellStyle name="Heading 2 2 3 5 2 2 15 3" xfId="39989"/>
    <cellStyle name="Heading 2 2 3 5 2 2 16" xfId="39990"/>
    <cellStyle name="Heading 2 2 3 5 2 2 16 2" xfId="39991"/>
    <cellStyle name="Heading 2 2 3 5 2 2 16 2 2" xfId="39992"/>
    <cellStyle name="Heading 2 2 3 5 2 2 16 3" xfId="39993"/>
    <cellStyle name="Heading 2 2 3 5 2 2 17" xfId="39994"/>
    <cellStyle name="Heading 2 2 3 5 2 2 17 2" xfId="39995"/>
    <cellStyle name="Heading 2 2 3 5 2 2 17 2 2" xfId="39996"/>
    <cellStyle name="Heading 2 2 3 5 2 2 17 3" xfId="39997"/>
    <cellStyle name="Heading 2 2 3 5 2 2 18" xfId="39998"/>
    <cellStyle name="Heading 2 2 3 5 2 2 18 2" xfId="39999"/>
    <cellStyle name="Heading 2 2 3 5 2 2 18 2 2" xfId="40000"/>
    <cellStyle name="Heading 2 2 3 5 2 2 18 3" xfId="40001"/>
    <cellStyle name="Heading 2 2 3 5 2 2 19" xfId="40002"/>
    <cellStyle name="Heading 2 2 3 5 2 2 19 2" xfId="40003"/>
    <cellStyle name="Heading 2 2 3 5 2 2 2" xfId="40004"/>
    <cellStyle name="Heading 2 2 3 5 2 2 2 2" xfId="40005"/>
    <cellStyle name="Heading 2 2 3 5 2 2 2 2 2" xfId="40006"/>
    <cellStyle name="Heading 2 2 3 5 2 2 2 2 2 2" xfId="40007"/>
    <cellStyle name="Heading 2 2 3 5 2 2 2 2 3" xfId="40008"/>
    <cellStyle name="Heading 2 2 3 5 2 2 2 3" xfId="40009"/>
    <cellStyle name="Heading 2 2 3 5 2 2 2 3 2" xfId="40010"/>
    <cellStyle name="Heading 2 2 3 5 2 2 2 3 2 2" xfId="40011"/>
    <cellStyle name="Heading 2 2 3 5 2 2 2 3 3" xfId="40012"/>
    <cellStyle name="Heading 2 2 3 5 2 2 2 4" xfId="40013"/>
    <cellStyle name="Heading 2 2 3 5 2 2 2 4 2" xfId="40014"/>
    <cellStyle name="Heading 2 2 3 5 2 2 2 4 2 2" xfId="40015"/>
    <cellStyle name="Heading 2 2 3 5 2 2 2 4 3" xfId="40016"/>
    <cellStyle name="Heading 2 2 3 5 2 2 2 5" xfId="40017"/>
    <cellStyle name="Heading 2 2 3 5 2 2 2 5 2" xfId="40018"/>
    <cellStyle name="Heading 2 2 3 5 2 2 2 5 2 2" xfId="40019"/>
    <cellStyle name="Heading 2 2 3 5 2 2 2 5 3" xfId="40020"/>
    <cellStyle name="Heading 2 2 3 5 2 2 2 6" xfId="40021"/>
    <cellStyle name="Heading 2 2 3 5 2 2 2 6 2" xfId="40022"/>
    <cellStyle name="Heading 2 2 3 5 2 2 2 6 2 2" xfId="40023"/>
    <cellStyle name="Heading 2 2 3 5 2 2 2 6 3" xfId="40024"/>
    <cellStyle name="Heading 2 2 3 5 2 2 2 7" xfId="40025"/>
    <cellStyle name="Heading 2 2 3 5 2 2 2 7 2" xfId="40026"/>
    <cellStyle name="Heading 2 2 3 5 2 2 2 7 2 2" xfId="40027"/>
    <cellStyle name="Heading 2 2 3 5 2 2 2 7 3" xfId="40028"/>
    <cellStyle name="Heading 2 2 3 5 2 2 2 8" xfId="40029"/>
    <cellStyle name="Heading 2 2 3 5 2 2 2 8 2" xfId="40030"/>
    <cellStyle name="Heading 2 2 3 5 2 2 2 9" xfId="40031"/>
    <cellStyle name="Heading 2 2 3 5 2 2 20" xfId="40032"/>
    <cellStyle name="Heading 2 2 3 5 2 2 20 2" xfId="40033"/>
    <cellStyle name="Heading 2 2 3 5 2 2 21" xfId="40034"/>
    <cellStyle name="Heading 2 2 3 5 2 2 21 2" xfId="40035"/>
    <cellStyle name="Heading 2 2 3 5 2 2 22" xfId="40036"/>
    <cellStyle name="Heading 2 2 3 5 2 2 3" xfId="40037"/>
    <cellStyle name="Heading 2 2 3 5 2 2 3 2" xfId="40038"/>
    <cellStyle name="Heading 2 2 3 5 2 2 3 2 2" xfId="40039"/>
    <cellStyle name="Heading 2 2 3 5 2 2 3 2 2 2" xfId="40040"/>
    <cellStyle name="Heading 2 2 3 5 2 2 3 2 3" xfId="40041"/>
    <cellStyle name="Heading 2 2 3 5 2 2 3 3" xfId="40042"/>
    <cellStyle name="Heading 2 2 3 5 2 2 3 3 2" xfId="40043"/>
    <cellStyle name="Heading 2 2 3 5 2 2 3 3 2 2" xfId="40044"/>
    <cellStyle name="Heading 2 2 3 5 2 2 3 3 3" xfId="40045"/>
    <cellStyle name="Heading 2 2 3 5 2 2 3 4" xfId="40046"/>
    <cellStyle name="Heading 2 2 3 5 2 2 3 4 2" xfId="40047"/>
    <cellStyle name="Heading 2 2 3 5 2 2 3 4 2 2" xfId="40048"/>
    <cellStyle name="Heading 2 2 3 5 2 2 3 4 3" xfId="40049"/>
    <cellStyle name="Heading 2 2 3 5 2 2 3 5" xfId="40050"/>
    <cellStyle name="Heading 2 2 3 5 2 2 3 5 2" xfId="40051"/>
    <cellStyle name="Heading 2 2 3 5 2 2 3 5 2 2" xfId="40052"/>
    <cellStyle name="Heading 2 2 3 5 2 2 3 5 3" xfId="40053"/>
    <cellStyle name="Heading 2 2 3 5 2 2 3 6" xfId="40054"/>
    <cellStyle name="Heading 2 2 3 5 2 2 3 6 2" xfId="40055"/>
    <cellStyle name="Heading 2 2 3 5 2 2 3 6 2 2" xfId="40056"/>
    <cellStyle name="Heading 2 2 3 5 2 2 3 6 3" xfId="40057"/>
    <cellStyle name="Heading 2 2 3 5 2 2 3 7" xfId="40058"/>
    <cellStyle name="Heading 2 2 3 5 2 2 3 7 2" xfId="40059"/>
    <cellStyle name="Heading 2 2 3 5 2 2 3 7 2 2" xfId="40060"/>
    <cellStyle name="Heading 2 2 3 5 2 2 3 7 3" xfId="40061"/>
    <cellStyle name="Heading 2 2 3 5 2 2 3 8" xfId="40062"/>
    <cellStyle name="Heading 2 2 3 5 2 2 3 8 2" xfId="40063"/>
    <cellStyle name="Heading 2 2 3 5 2 2 3 9" xfId="40064"/>
    <cellStyle name="Heading 2 2 3 5 2 2 4" xfId="40065"/>
    <cellStyle name="Heading 2 2 3 5 2 2 4 2" xfId="40066"/>
    <cellStyle name="Heading 2 2 3 5 2 2 4 2 2" xfId="40067"/>
    <cellStyle name="Heading 2 2 3 5 2 2 4 2 2 2" xfId="40068"/>
    <cellStyle name="Heading 2 2 3 5 2 2 4 2 3" xfId="40069"/>
    <cellStyle name="Heading 2 2 3 5 2 2 4 3" xfId="40070"/>
    <cellStyle name="Heading 2 2 3 5 2 2 4 3 2" xfId="40071"/>
    <cellStyle name="Heading 2 2 3 5 2 2 4 3 2 2" xfId="40072"/>
    <cellStyle name="Heading 2 2 3 5 2 2 4 3 3" xfId="40073"/>
    <cellStyle name="Heading 2 2 3 5 2 2 4 4" xfId="40074"/>
    <cellStyle name="Heading 2 2 3 5 2 2 4 4 2" xfId="40075"/>
    <cellStyle name="Heading 2 2 3 5 2 2 4 4 2 2" xfId="40076"/>
    <cellStyle name="Heading 2 2 3 5 2 2 4 4 3" xfId="40077"/>
    <cellStyle name="Heading 2 2 3 5 2 2 4 5" xfId="40078"/>
    <cellStyle name="Heading 2 2 3 5 2 2 4 5 2" xfId="40079"/>
    <cellStyle name="Heading 2 2 3 5 2 2 4 5 2 2" xfId="40080"/>
    <cellStyle name="Heading 2 2 3 5 2 2 4 5 3" xfId="40081"/>
    <cellStyle name="Heading 2 2 3 5 2 2 4 6" xfId="40082"/>
    <cellStyle name="Heading 2 2 3 5 2 2 4 6 2" xfId="40083"/>
    <cellStyle name="Heading 2 2 3 5 2 2 4 6 2 2" xfId="40084"/>
    <cellStyle name="Heading 2 2 3 5 2 2 4 6 3" xfId="40085"/>
    <cellStyle name="Heading 2 2 3 5 2 2 4 7" xfId="40086"/>
    <cellStyle name="Heading 2 2 3 5 2 2 4 7 2" xfId="40087"/>
    <cellStyle name="Heading 2 2 3 5 2 2 4 7 2 2" xfId="40088"/>
    <cellStyle name="Heading 2 2 3 5 2 2 4 7 3" xfId="40089"/>
    <cellStyle name="Heading 2 2 3 5 2 2 4 8" xfId="40090"/>
    <cellStyle name="Heading 2 2 3 5 2 2 4 8 2" xfId="40091"/>
    <cellStyle name="Heading 2 2 3 5 2 2 4 9" xfId="40092"/>
    <cellStyle name="Heading 2 2 3 5 2 2 5" xfId="40093"/>
    <cellStyle name="Heading 2 2 3 5 2 2 5 2" xfId="40094"/>
    <cellStyle name="Heading 2 2 3 5 2 2 5 2 2" xfId="40095"/>
    <cellStyle name="Heading 2 2 3 5 2 2 5 2 2 2" xfId="40096"/>
    <cellStyle name="Heading 2 2 3 5 2 2 5 2 3" xfId="40097"/>
    <cellStyle name="Heading 2 2 3 5 2 2 5 3" xfId="40098"/>
    <cellStyle name="Heading 2 2 3 5 2 2 5 3 2" xfId="40099"/>
    <cellStyle name="Heading 2 2 3 5 2 2 5 3 2 2" xfId="40100"/>
    <cellStyle name="Heading 2 2 3 5 2 2 5 3 3" xfId="40101"/>
    <cellStyle name="Heading 2 2 3 5 2 2 5 4" xfId="40102"/>
    <cellStyle name="Heading 2 2 3 5 2 2 5 4 2" xfId="40103"/>
    <cellStyle name="Heading 2 2 3 5 2 2 5 4 2 2" xfId="40104"/>
    <cellStyle name="Heading 2 2 3 5 2 2 5 4 3" xfId="40105"/>
    <cellStyle name="Heading 2 2 3 5 2 2 5 5" xfId="40106"/>
    <cellStyle name="Heading 2 2 3 5 2 2 5 5 2" xfId="40107"/>
    <cellStyle name="Heading 2 2 3 5 2 2 5 5 2 2" xfId="40108"/>
    <cellStyle name="Heading 2 2 3 5 2 2 5 5 3" xfId="40109"/>
    <cellStyle name="Heading 2 2 3 5 2 2 5 6" xfId="40110"/>
    <cellStyle name="Heading 2 2 3 5 2 2 5 6 2" xfId="40111"/>
    <cellStyle name="Heading 2 2 3 5 2 2 5 6 2 2" xfId="40112"/>
    <cellStyle name="Heading 2 2 3 5 2 2 5 6 3" xfId="40113"/>
    <cellStyle name="Heading 2 2 3 5 2 2 5 7" xfId="40114"/>
    <cellStyle name="Heading 2 2 3 5 2 2 5 7 2" xfId="40115"/>
    <cellStyle name="Heading 2 2 3 5 2 2 5 7 2 2" xfId="40116"/>
    <cellStyle name="Heading 2 2 3 5 2 2 5 7 3" xfId="40117"/>
    <cellStyle name="Heading 2 2 3 5 2 2 5 8" xfId="40118"/>
    <cellStyle name="Heading 2 2 3 5 2 2 5 8 2" xfId="40119"/>
    <cellStyle name="Heading 2 2 3 5 2 2 5 9" xfId="40120"/>
    <cellStyle name="Heading 2 2 3 5 2 2 6" xfId="40121"/>
    <cellStyle name="Heading 2 2 3 5 2 2 6 2" xfId="40122"/>
    <cellStyle name="Heading 2 2 3 5 2 2 6 2 2" xfId="40123"/>
    <cellStyle name="Heading 2 2 3 5 2 2 6 2 2 2" xfId="40124"/>
    <cellStyle name="Heading 2 2 3 5 2 2 6 2 3" xfId="40125"/>
    <cellStyle name="Heading 2 2 3 5 2 2 6 3" xfId="40126"/>
    <cellStyle name="Heading 2 2 3 5 2 2 6 3 2" xfId="40127"/>
    <cellStyle name="Heading 2 2 3 5 2 2 6 3 2 2" xfId="40128"/>
    <cellStyle name="Heading 2 2 3 5 2 2 6 3 3" xfId="40129"/>
    <cellStyle name="Heading 2 2 3 5 2 2 6 4" xfId="40130"/>
    <cellStyle name="Heading 2 2 3 5 2 2 6 4 2" xfId="40131"/>
    <cellStyle name="Heading 2 2 3 5 2 2 6 4 2 2" xfId="40132"/>
    <cellStyle name="Heading 2 2 3 5 2 2 6 4 3" xfId="40133"/>
    <cellStyle name="Heading 2 2 3 5 2 2 6 5" xfId="40134"/>
    <cellStyle name="Heading 2 2 3 5 2 2 6 5 2" xfId="40135"/>
    <cellStyle name="Heading 2 2 3 5 2 2 6 5 2 2" xfId="40136"/>
    <cellStyle name="Heading 2 2 3 5 2 2 6 5 3" xfId="40137"/>
    <cellStyle name="Heading 2 2 3 5 2 2 6 6" xfId="40138"/>
    <cellStyle name="Heading 2 2 3 5 2 2 6 6 2" xfId="40139"/>
    <cellStyle name="Heading 2 2 3 5 2 2 6 6 2 2" xfId="40140"/>
    <cellStyle name="Heading 2 2 3 5 2 2 6 6 3" xfId="40141"/>
    <cellStyle name="Heading 2 2 3 5 2 2 6 7" xfId="40142"/>
    <cellStyle name="Heading 2 2 3 5 2 2 6 7 2" xfId="40143"/>
    <cellStyle name="Heading 2 2 3 5 2 2 6 7 2 2" xfId="40144"/>
    <cellStyle name="Heading 2 2 3 5 2 2 6 7 3" xfId="40145"/>
    <cellStyle name="Heading 2 2 3 5 2 2 6 8" xfId="40146"/>
    <cellStyle name="Heading 2 2 3 5 2 2 6 8 2" xfId="40147"/>
    <cellStyle name="Heading 2 2 3 5 2 2 6 9" xfId="40148"/>
    <cellStyle name="Heading 2 2 3 5 2 2 7" xfId="40149"/>
    <cellStyle name="Heading 2 2 3 5 2 2 7 2" xfId="40150"/>
    <cellStyle name="Heading 2 2 3 5 2 2 7 2 2" xfId="40151"/>
    <cellStyle name="Heading 2 2 3 5 2 2 7 2 2 2" xfId="40152"/>
    <cellStyle name="Heading 2 2 3 5 2 2 7 2 3" xfId="40153"/>
    <cellStyle name="Heading 2 2 3 5 2 2 7 3" xfId="40154"/>
    <cellStyle name="Heading 2 2 3 5 2 2 7 3 2" xfId="40155"/>
    <cellStyle name="Heading 2 2 3 5 2 2 7 3 2 2" xfId="40156"/>
    <cellStyle name="Heading 2 2 3 5 2 2 7 3 3" xfId="40157"/>
    <cellStyle name="Heading 2 2 3 5 2 2 7 4" xfId="40158"/>
    <cellStyle name="Heading 2 2 3 5 2 2 7 4 2" xfId="40159"/>
    <cellStyle name="Heading 2 2 3 5 2 2 7 4 2 2" xfId="40160"/>
    <cellStyle name="Heading 2 2 3 5 2 2 7 4 3" xfId="40161"/>
    <cellStyle name="Heading 2 2 3 5 2 2 7 5" xfId="40162"/>
    <cellStyle name="Heading 2 2 3 5 2 2 7 5 2" xfId="40163"/>
    <cellStyle name="Heading 2 2 3 5 2 2 7 5 2 2" xfId="40164"/>
    <cellStyle name="Heading 2 2 3 5 2 2 7 5 3" xfId="40165"/>
    <cellStyle name="Heading 2 2 3 5 2 2 7 6" xfId="40166"/>
    <cellStyle name="Heading 2 2 3 5 2 2 7 6 2" xfId="40167"/>
    <cellStyle name="Heading 2 2 3 5 2 2 7 6 2 2" xfId="40168"/>
    <cellStyle name="Heading 2 2 3 5 2 2 7 6 3" xfId="40169"/>
    <cellStyle name="Heading 2 2 3 5 2 2 7 7" xfId="40170"/>
    <cellStyle name="Heading 2 2 3 5 2 2 7 7 2" xfId="40171"/>
    <cellStyle name="Heading 2 2 3 5 2 2 7 7 2 2" xfId="40172"/>
    <cellStyle name="Heading 2 2 3 5 2 2 7 7 3" xfId="40173"/>
    <cellStyle name="Heading 2 2 3 5 2 2 7 8" xfId="40174"/>
    <cellStyle name="Heading 2 2 3 5 2 2 7 8 2" xfId="40175"/>
    <cellStyle name="Heading 2 2 3 5 2 2 7 9" xfId="40176"/>
    <cellStyle name="Heading 2 2 3 5 2 2 8" xfId="40177"/>
    <cellStyle name="Heading 2 2 3 5 2 2 8 2" xfId="40178"/>
    <cellStyle name="Heading 2 2 3 5 2 2 8 2 2" xfId="40179"/>
    <cellStyle name="Heading 2 2 3 5 2 2 8 2 2 2" xfId="40180"/>
    <cellStyle name="Heading 2 2 3 5 2 2 8 2 3" xfId="40181"/>
    <cellStyle name="Heading 2 2 3 5 2 2 8 3" xfId="40182"/>
    <cellStyle name="Heading 2 2 3 5 2 2 8 3 2" xfId="40183"/>
    <cellStyle name="Heading 2 2 3 5 2 2 8 3 2 2" xfId="40184"/>
    <cellStyle name="Heading 2 2 3 5 2 2 8 3 3" xfId="40185"/>
    <cellStyle name="Heading 2 2 3 5 2 2 8 4" xfId="40186"/>
    <cellStyle name="Heading 2 2 3 5 2 2 8 4 2" xfId="40187"/>
    <cellStyle name="Heading 2 2 3 5 2 2 8 4 2 2" xfId="40188"/>
    <cellStyle name="Heading 2 2 3 5 2 2 8 4 3" xfId="40189"/>
    <cellStyle name="Heading 2 2 3 5 2 2 8 5" xfId="40190"/>
    <cellStyle name="Heading 2 2 3 5 2 2 8 5 2" xfId="40191"/>
    <cellStyle name="Heading 2 2 3 5 2 2 8 5 2 2" xfId="40192"/>
    <cellStyle name="Heading 2 2 3 5 2 2 8 5 3" xfId="40193"/>
    <cellStyle name="Heading 2 2 3 5 2 2 8 6" xfId="40194"/>
    <cellStyle name="Heading 2 2 3 5 2 2 8 6 2" xfId="40195"/>
    <cellStyle name="Heading 2 2 3 5 2 2 8 6 2 2" xfId="40196"/>
    <cellStyle name="Heading 2 2 3 5 2 2 8 6 3" xfId="40197"/>
    <cellStyle name="Heading 2 2 3 5 2 2 8 7" xfId="40198"/>
    <cellStyle name="Heading 2 2 3 5 2 2 8 7 2" xfId="40199"/>
    <cellStyle name="Heading 2 2 3 5 2 2 8 7 2 2" xfId="40200"/>
    <cellStyle name="Heading 2 2 3 5 2 2 8 7 3" xfId="40201"/>
    <cellStyle name="Heading 2 2 3 5 2 2 8 8" xfId="40202"/>
    <cellStyle name="Heading 2 2 3 5 2 2 8 8 2" xfId="40203"/>
    <cellStyle name="Heading 2 2 3 5 2 2 8 9" xfId="40204"/>
    <cellStyle name="Heading 2 2 3 5 2 2 9" xfId="40205"/>
    <cellStyle name="Heading 2 2 3 5 2 2 9 2" xfId="40206"/>
    <cellStyle name="Heading 2 2 3 5 2 2 9 2 2" xfId="40207"/>
    <cellStyle name="Heading 2 2 3 5 2 2 9 3" xfId="40208"/>
    <cellStyle name="Heading 2 2 3 5 2 20" xfId="40209"/>
    <cellStyle name="Heading 2 2 3 5 2 20 2" xfId="40210"/>
    <cellStyle name="Heading 2 2 3 5 2 21" xfId="40211"/>
    <cellStyle name="Heading 2 2 3 5 2 21 2" xfId="40212"/>
    <cellStyle name="Heading 2 2 3 5 2 22" xfId="40213"/>
    <cellStyle name="Heading 2 2 3 5 2 22 2" xfId="40214"/>
    <cellStyle name="Heading 2 2 3 5 2 23" xfId="40215"/>
    <cellStyle name="Heading 2 2 3 5 2 3" xfId="40216"/>
    <cellStyle name="Heading 2 2 3 5 2 3 2" xfId="40217"/>
    <cellStyle name="Heading 2 2 3 5 2 3 2 2" xfId="40218"/>
    <cellStyle name="Heading 2 2 3 5 2 3 2 2 2" xfId="40219"/>
    <cellStyle name="Heading 2 2 3 5 2 3 2 3" xfId="40220"/>
    <cellStyle name="Heading 2 2 3 5 2 3 3" xfId="40221"/>
    <cellStyle name="Heading 2 2 3 5 2 3 3 2" xfId="40222"/>
    <cellStyle name="Heading 2 2 3 5 2 3 3 2 2" xfId="40223"/>
    <cellStyle name="Heading 2 2 3 5 2 3 3 3" xfId="40224"/>
    <cellStyle name="Heading 2 2 3 5 2 3 4" xfId="40225"/>
    <cellStyle name="Heading 2 2 3 5 2 3 4 2" xfId="40226"/>
    <cellStyle name="Heading 2 2 3 5 2 3 4 2 2" xfId="40227"/>
    <cellStyle name="Heading 2 2 3 5 2 3 4 3" xfId="40228"/>
    <cellStyle name="Heading 2 2 3 5 2 3 5" xfId="40229"/>
    <cellStyle name="Heading 2 2 3 5 2 3 5 2" xfId="40230"/>
    <cellStyle name="Heading 2 2 3 5 2 3 5 2 2" xfId="40231"/>
    <cellStyle name="Heading 2 2 3 5 2 3 5 3" xfId="40232"/>
    <cellStyle name="Heading 2 2 3 5 2 3 6" xfId="40233"/>
    <cellStyle name="Heading 2 2 3 5 2 3 6 2" xfId="40234"/>
    <cellStyle name="Heading 2 2 3 5 2 3 6 2 2" xfId="40235"/>
    <cellStyle name="Heading 2 2 3 5 2 3 6 3" xfId="40236"/>
    <cellStyle name="Heading 2 2 3 5 2 3 7" xfId="40237"/>
    <cellStyle name="Heading 2 2 3 5 2 3 7 2" xfId="40238"/>
    <cellStyle name="Heading 2 2 3 5 2 3 7 2 2" xfId="40239"/>
    <cellStyle name="Heading 2 2 3 5 2 3 7 3" xfId="40240"/>
    <cellStyle name="Heading 2 2 3 5 2 3 8" xfId="40241"/>
    <cellStyle name="Heading 2 2 3 5 2 3 8 2" xfId="40242"/>
    <cellStyle name="Heading 2 2 3 5 2 3 9" xfId="40243"/>
    <cellStyle name="Heading 2 2 3 5 2 4" xfId="40244"/>
    <cellStyle name="Heading 2 2 3 5 2 4 2" xfId="40245"/>
    <cellStyle name="Heading 2 2 3 5 2 4 2 2" xfId="40246"/>
    <cellStyle name="Heading 2 2 3 5 2 4 2 2 2" xfId="40247"/>
    <cellStyle name="Heading 2 2 3 5 2 4 2 3" xfId="40248"/>
    <cellStyle name="Heading 2 2 3 5 2 4 3" xfId="40249"/>
    <cellStyle name="Heading 2 2 3 5 2 4 3 2" xfId="40250"/>
    <cellStyle name="Heading 2 2 3 5 2 4 3 2 2" xfId="40251"/>
    <cellStyle name="Heading 2 2 3 5 2 4 3 3" xfId="40252"/>
    <cellStyle name="Heading 2 2 3 5 2 4 4" xfId="40253"/>
    <cellStyle name="Heading 2 2 3 5 2 4 4 2" xfId="40254"/>
    <cellStyle name="Heading 2 2 3 5 2 4 4 2 2" xfId="40255"/>
    <cellStyle name="Heading 2 2 3 5 2 4 4 3" xfId="40256"/>
    <cellStyle name="Heading 2 2 3 5 2 4 5" xfId="40257"/>
    <cellStyle name="Heading 2 2 3 5 2 4 5 2" xfId="40258"/>
    <cellStyle name="Heading 2 2 3 5 2 4 5 2 2" xfId="40259"/>
    <cellStyle name="Heading 2 2 3 5 2 4 5 3" xfId="40260"/>
    <cellStyle name="Heading 2 2 3 5 2 4 6" xfId="40261"/>
    <cellStyle name="Heading 2 2 3 5 2 4 6 2" xfId="40262"/>
    <cellStyle name="Heading 2 2 3 5 2 4 6 2 2" xfId="40263"/>
    <cellStyle name="Heading 2 2 3 5 2 4 6 3" xfId="40264"/>
    <cellStyle name="Heading 2 2 3 5 2 4 7" xfId="40265"/>
    <cellStyle name="Heading 2 2 3 5 2 4 7 2" xfId="40266"/>
    <cellStyle name="Heading 2 2 3 5 2 4 7 2 2" xfId="40267"/>
    <cellStyle name="Heading 2 2 3 5 2 4 7 3" xfId="40268"/>
    <cellStyle name="Heading 2 2 3 5 2 4 8" xfId="40269"/>
    <cellStyle name="Heading 2 2 3 5 2 4 8 2" xfId="40270"/>
    <cellStyle name="Heading 2 2 3 5 2 4 9" xfId="40271"/>
    <cellStyle name="Heading 2 2 3 5 2 5" xfId="40272"/>
    <cellStyle name="Heading 2 2 3 5 2 5 2" xfId="40273"/>
    <cellStyle name="Heading 2 2 3 5 2 5 2 2" xfId="40274"/>
    <cellStyle name="Heading 2 2 3 5 2 5 2 2 2" xfId="40275"/>
    <cellStyle name="Heading 2 2 3 5 2 5 2 3" xfId="40276"/>
    <cellStyle name="Heading 2 2 3 5 2 5 3" xfId="40277"/>
    <cellStyle name="Heading 2 2 3 5 2 5 3 2" xfId="40278"/>
    <cellStyle name="Heading 2 2 3 5 2 5 3 2 2" xfId="40279"/>
    <cellStyle name="Heading 2 2 3 5 2 5 3 3" xfId="40280"/>
    <cellStyle name="Heading 2 2 3 5 2 5 4" xfId="40281"/>
    <cellStyle name="Heading 2 2 3 5 2 5 4 2" xfId="40282"/>
    <cellStyle name="Heading 2 2 3 5 2 5 4 2 2" xfId="40283"/>
    <cellStyle name="Heading 2 2 3 5 2 5 4 3" xfId="40284"/>
    <cellStyle name="Heading 2 2 3 5 2 5 5" xfId="40285"/>
    <cellStyle name="Heading 2 2 3 5 2 5 5 2" xfId="40286"/>
    <cellStyle name="Heading 2 2 3 5 2 5 5 2 2" xfId="40287"/>
    <cellStyle name="Heading 2 2 3 5 2 5 5 3" xfId="40288"/>
    <cellStyle name="Heading 2 2 3 5 2 5 6" xfId="40289"/>
    <cellStyle name="Heading 2 2 3 5 2 5 6 2" xfId="40290"/>
    <cellStyle name="Heading 2 2 3 5 2 5 6 2 2" xfId="40291"/>
    <cellStyle name="Heading 2 2 3 5 2 5 6 3" xfId="40292"/>
    <cellStyle name="Heading 2 2 3 5 2 5 7" xfId="40293"/>
    <cellStyle name="Heading 2 2 3 5 2 5 7 2" xfId="40294"/>
    <cellStyle name="Heading 2 2 3 5 2 5 7 2 2" xfId="40295"/>
    <cellStyle name="Heading 2 2 3 5 2 5 7 3" xfId="40296"/>
    <cellStyle name="Heading 2 2 3 5 2 5 8" xfId="40297"/>
    <cellStyle name="Heading 2 2 3 5 2 5 8 2" xfId="40298"/>
    <cellStyle name="Heading 2 2 3 5 2 5 9" xfId="40299"/>
    <cellStyle name="Heading 2 2 3 5 2 6" xfId="40300"/>
    <cellStyle name="Heading 2 2 3 5 2 6 2" xfId="40301"/>
    <cellStyle name="Heading 2 2 3 5 2 6 2 2" xfId="40302"/>
    <cellStyle name="Heading 2 2 3 5 2 6 2 2 2" xfId="40303"/>
    <cellStyle name="Heading 2 2 3 5 2 6 2 3" xfId="40304"/>
    <cellStyle name="Heading 2 2 3 5 2 6 3" xfId="40305"/>
    <cellStyle name="Heading 2 2 3 5 2 6 3 2" xfId="40306"/>
    <cellStyle name="Heading 2 2 3 5 2 6 3 2 2" xfId="40307"/>
    <cellStyle name="Heading 2 2 3 5 2 6 3 3" xfId="40308"/>
    <cellStyle name="Heading 2 2 3 5 2 6 4" xfId="40309"/>
    <cellStyle name="Heading 2 2 3 5 2 6 4 2" xfId="40310"/>
    <cellStyle name="Heading 2 2 3 5 2 6 4 2 2" xfId="40311"/>
    <cellStyle name="Heading 2 2 3 5 2 6 4 3" xfId="40312"/>
    <cellStyle name="Heading 2 2 3 5 2 6 5" xfId="40313"/>
    <cellStyle name="Heading 2 2 3 5 2 6 5 2" xfId="40314"/>
    <cellStyle name="Heading 2 2 3 5 2 6 5 2 2" xfId="40315"/>
    <cellStyle name="Heading 2 2 3 5 2 6 5 3" xfId="40316"/>
    <cellStyle name="Heading 2 2 3 5 2 6 6" xfId="40317"/>
    <cellStyle name="Heading 2 2 3 5 2 6 6 2" xfId="40318"/>
    <cellStyle name="Heading 2 2 3 5 2 6 6 2 2" xfId="40319"/>
    <cellStyle name="Heading 2 2 3 5 2 6 6 3" xfId="40320"/>
    <cellStyle name="Heading 2 2 3 5 2 6 7" xfId="40321"/>
    <cellStyle name="Heading 2 2 3 5 2 6 7 2" xfId="40322"/>
    <cellStyle name="Heading 2 2 3 5 2 6 7 2 2" xfId="40323"/>
    <cellStyle name="Heading 2 2 3 5 2 6 7 3" xfId="40324"/>
    <cellStyle name="Heading 2 2 3 5 2 6 8" xfId="40325"/>
    <cellStyle name="Heading 2 2 3 5 2 6 8 2" xfId="40326"/>
    <cellStyle name="Heading 2 2 3 5 2 6 9" xfId="40327"/>
    <cellStyle name="Heading 2 2 3 5 2 7" xfId="40328"/>
    <cellStyle name="Heading 2 2 3 5 2 7 2" xfId="40329"/>
    <cellStyle name="Heading 2 2 3 5 2 7 2 2" xfId="40330"/>
    <cellStyle name="Heading 2 2 3 5 2 7 2 2 2" xfId="40331"/>
    <cellStyle name="Heading 2 2 3 5 2 7 2 3" xfId="40332"/>
    <cellStyle name="Heading 2 2 3 5 2 7 3" xfId="40333"/>
    <cellStyle name="Heading 2 2 3 5 2 7 3 2" xfId="40334"/>
    <cellStyle name="Heading 2 2 3 5 2 7 3 2 2" xfId="40335"/>
    <cellStyle name="Heading 2 2 3 5 2 7 3 3" xfId="40336"/>
    <cellStyle name="Heading 2 2 3 5 2 7 4" xfId="40337"/>
    <cellStyle name="Heading 2 2 3 5 2 7 4 2" xfId="40338"/>
    <cellStyle name="Heading 2 2 3 5 2 7 4 2 2" xfId="40339"/>
    <cellStyle name="Heading 2 2 3 5 2 7 4 3" xfId="40340"/>
    <cellStyle name="Heading 2 2 3 5 2 7 5" xfId="40341"/>
    <cellStyle name="Heading 2 2 3 5 2 7 5 2" xfId="40342"/>
    <cellStyle name="Heading 2 2 3 5 2 7 5 2 2" xfId="40343"/>
    <cellStyle name="Heading 2 2 3 5 2 7 5 3" xfId="40344"/>
    <cellStyle name="Heading 2 2 3 5 2 7 6" xfId="40345"/>
    <cellStyle name="Heading 2 2 3 5 2 7 6 2" xfId="40346"/>
    <cellStyle name="Heading 2 2 3 5 2 7 6 2 2" xfId="40347"/>
    <cellStyle name="Heading 2 2 3 5 2 7 6 3" xfId="40348"/>
    <cellStyle name="Heading 2 2 3 5 2 7 7" xfId="40349"/>
    <cellStyle name="Heading 2 2 3 5 2 7 7 2" xfId="40350"/>
    <cellStyle name="Heading 2 2 3 5 2 7 7 2 2" xfId="40351"/>
    <cellStyle name="Heading 2 2 3 5 2 7 7 3" xfId="40352"/>
    <cellStyle name="Heading 2 2 3 5 2 7 8" xfId="40353"/>
    <cellStyle name="Heading 2 2 3 5 2 7 8 2" xfId="40354"/>
    <cellStyle name="Heading 2 2 3 5 2 7 9" xfId="40355"/>
    <cellStyle name="Heading 2 2 3 5 2 8" xfId="40356"/>
    <cellStyle name="Heading 2 2 3 5 2 8 2" xfId="40357"/>
    <cellStyle name="Heading 2 2 3 5 2 8 2 2" xfId="40358"/>
    <cellStyle name="Heading 2 2 3 5 2 8 2 2 2" xfId="40359"/>
    <cellStyle name="Heading 2 2 3 5 2 8 2 3" xfId="40360"/>
    <cellStyle name="Heading 2 2 3 5 2 8 3" xfId="40361"/>
    <cellStyle name="Heading 2 2 3 5 2 8 3 2" xfId="40362"/>
    <cellStyle name="Heading 2 2 3 5 2 8 3 2 2" xfId="40363"/>
    <cellStyle name="Heading 2 2 3 5 2 8 3 3" xfId="40364"/>
    <cellStyle name="Heading 2 2 3 5 2 8 4" xfId="40365"/>
    <cellStyle name="Heading 2 2 3 5 2 8 4 2" xfId="40366"/>
    <cellStyle name="Heading 2 2 3 5 2 8 4 2 2" xfId="40367"/>
    <cellStyle name="Heading 2 2 3 5 2 8 4 3" xfId="40368"/>
    <cellStyle name="Heading 2 2 3 5 2 8 5" xfId="40369"/>
    <cellStyle name="Heading 2 2 3 5 2 8 5 2" xfId="40370"/>
    <cellStyle name="Heading 2 2 3 5 2 8 5 2 2" xfId="40371"/>
    <cellStyle name="Heading 2 2 3 5 2 8 5 3" xfId="40372"/>
    <cellStyle name="Heading 2 2 3 5 2 8 6" xfId="40373"/>
    <cellStyle name="Heading 2 2 3 5 2 8 6 2" xfId="40374"/>
    <cellStyle name="Heading 2 2 3 5 2 8 6 2 2" xfId="40375"/>
    <cellStyle name="Heading 2 2 3 5 2 8 6 3" xfId="40376"/>
    <cellStyle name="Heading 2 2 3 5 2 8 7" xfId="40377"/>
    <cellStyle name="Heading 2 2 3 5 2 8 7 2" xfId="40378"/>
    <cellStyle name="Heading 2 2 3 5 2 8 7 2 2" xfId="40379"/>
    <cellStyle name="Heading 2 2 3 5 2 8 7 3" xfId="40380"/>
    <cellStyle name="Heading 2 2 3 5 2 8 8" xfId="40381"/>
    <cellStyle name="Heading 2 2 3 5 2 8 8 2" xfId="40382"/>
    <cellStyle name="Heading 2 2 3 5 2 8 9" xfId="40383"/>
    <cellStyle name="Heading 2 2 3 5 2 9" xfId="40384"/>
    <cellStyle name="Heading 2 2 3 5 2 9 2" xfId="40385"/>
    <cellStyle name="Heading 2 2 3 5 2 9 2 2" xfId="40386"/>
    <cellStyle name="Heading 2 2 3 5 2 9 2 2 2" xfId="40387"/>
    <cellStyle name="Heading 2 2 3 5 2 9 2 3" xfId="40388"/>
    <cellStyle name="Heading 2 2 3 5 2 9 3" xfId="40389"/>
    <cellStyle name="Heading 2 2 3 5 2 9 3 2" xfId="40390"/>
    <cellStyle name="Heading 2 2 3 5 2 9 3 2 2" xfId="40391"/>
    <cellStyle name="Heading 2 2 3 5 2 9 3 3" xfId="40392"/>
    <cellStyle name="Heading 2 2 3 5 2 9 4" xfId="40393"/>
    <cellStyle name="Heading 2 2 3 5 2 9 4 2" xfId="40394"/>
    <cellStyle name="Heading 2 2 3 5 2 9 4 2 2" xfId="40395"/>
    <cellStyle name="Heading 2 2 3 5 2 9 4 3" xfId="40396"/>
    <cellStyle name="Heading 2 2 3 5 2 9 5" xfId="40397"/>
    <cellStyle name="Heading 2 2 3 5 2 9 5 2" xfId="40398"/>
    <cellStyle name="Heading 2 2 3 5 2 9 5 2 2" xfId="40399"/>
    <cellStyle name="Heading 2 2 3 5 2 9 5 3" xfId="40400"/>
    <cellStyle name="Heading 2 2 3 5 2 9 6" xfId="40401"/>
    <cellStyle name="Heading 2 2 3 5 2 9 6 2" xfId="40402"/>
    <cellStyle name="Heading 2 2 3 5 2 9 6 2 2" xfId="40403"/>
    <cellStyle name="Heading 2 2 3 5 2 9 6 3" xfId="40404"/>
    <cellStyle name="Heading 2 2 3 5 2 9 7" xfId="40405"/>
    <cellStyle name="Heading 2 2 3 5 2 9 7 2" xfId="40406"/>
    <cellStyle name="Heading 2 2 3 5 2 9 7 2 2" xfId="40407"/>
    <cellStyle name="Heading 2 2 3 5 2 9 7 3" xfId="40408"/>
    <cellStyle name="Heading 2 2 3 5 2 9 8" xfId="40409"/>
    <cellStyle name="Heading 2 2 3 5 2 9 8 2" xfId="40410"/>
    <cellStyle name="Heading 2 2 3 5 2 9 9" xfId="40411"/>
    <cellStyle name="Heading 2 2 3 5 3" xfId="40412"/>
    <cellStyle name="Heading 2 2 3 5 3 10" xfId="40413"/>
    <cellStyle name="Heading 2 2 3 5 3 10 2" xfId="40414"/>
    <cellStyle name="Heading 2 2 3 5 3 10 2 2" xfId="40415"/>
    <cellStyle name="Heading 2 2 3 5 3 10 3" xfId="40416"/>
    <cellStyle name="Heading 2 2 3 5 3 11" xfId="40417"/>
    <cellStyle name="Heading 2 2 3 5 3 11 2" xfId="40418"/>
    <cellStyle name="Heading 2 2 3 5 3 11 2 2" xfId="40419"/>
    <cellStyle name="Heading 2 2 3 5 3 11 3" xfId="40420"/>
    <cellStyle name="Heading 2 2 3 5 3 12" xfId="40421"/>
    <cellStyle name="Heading 2 2 3 5 3 12 2" xfId="40422"/>
    <cellStyle name="Heading 2 2 3 5 3 12 2 2" xfId="40423"/>
    <cellStyle name="Heading 2 2 3 5 3 12 3" xfId="40424"/>
    <cellStyle name="Heading 2 2 3 5 3 13" xfId="40425"/>
    <cellStyle name="Heading 2 2 3 5 3 13 2" xfId="40426"/>
    <cellStyle name="Heading 2 2 3 5 3 13 2 2" xfId="40427"/>
    <cellStyle name="Heading 2 2 3 5 3 13 3" xfId="40428"/>
    <cellStyle name="Heading 2 2 3 5 3 14" xfId="40429"/>
    <cellStyle name="Heading 2 2 3 5 3 14 2" xfId="40430"/>
    <cellStyle name="Heading 2 2 3 5 3 14 2 2" xfId="40431"/>
    <cellStyle name="Heading 2 2 3 5 3 14 3" xfId="40432"/>
    <cellStyle name="Heading 2 2 3 5 3 15" xfId="40433"/>
    <cellStyle name="Heading 2 2 3 5 3 15 2" xfId="40434"/>
    <cellStyle name="Heading 2 2 3 5 3 15 2 2" xfId="40435"/>
    <cellStyle name="Heading 2 2 3 5 3 15 3" xfId="40436"/>
    <cellStyle name="Heading 2 2 3 5 3 16" xfId="40437"/>
    <cellStyle name="Heading 2 2 3 5 3 16 2" xfId="40438"/>
    <cellStyle name="Heading 2 2 3 5 3 16 2 2" xfId="40439"/>
    <cellStyle name="Heading 2 2 3 5 3 16 3" xfId="40440"/>
    <cellStyle name="Heading 2 2 3 5 3 17" xfId="40441"/>
    <cellStyle name="Heading 2 2 3 5 3 17 2" xfId="40442"/>
    <cellStyle name="Heading 2 2 3 5 3 17 2 2" xfId="40443"/>
    <cellStyle name="Heading 2 2 3 5 3 17 3" xfId="40444"/>
    <cellStyle name="Heading 2 2 3 5 3 18" xfId="40445"/>
    <cellStyle name="Heading 2 2 3 5 3 18 2" xfId="40446"/>
    <cellStyle name="Heading 2 2 3 5 3 18 2 2" xfId="40447"/>
    <cellStyle name="Heading 2 2 3 5 3 18 3" xfId="40448"/>
    <cellStyle name="Heading 2 2 3 5 3 19" xfId="40449"/>
    <cellStyle name="Heading 2 2 3 5 3 19 2" xfId="40450"/>
    <cellStyle name="Heading 2 2 3 5 3 2" xfId="40451"/>
    <cellStyle name="Heading 2 2 3 5 3 2 2" xfId="40452"/>
    <cellStyle name="Heading 2 2 3 5 3 2 2 2" xfId="40453"/>
    <cellStyle name="Heading 2 2 3 5 3 2 2 2 2" xfId="40454"/>
    <cellStyle name="Heading 2 2 3 5 3 2 2 3" xfId="40455"/>
    <cellStyle name="Heading 2 2 3 5 3 2 3" xfId="40456"/>
    <cellStyle name="Heading 2 2 3 5 3 2 3 2" xfId="40457"/>
    <cellStyle name="Heading 2 2 3 5 3 2 3 2 2" xfId="40458"/>
    <cellStyle name="Heading 2 2 3 5 3 2 3 3" xfId="40459"/>
    <cellStyle name="Heading 2 2 3 5 3 2 4" xfId="40460"/>
    <cellStyle name="Heading 2 2 3 5 3 2 4 2" xfId="40461"/>
    <cellStyle name="Heading 2 2 3 5 3 2 4 2 2" xfId="40462"/>
    <cellStyle name="Heading 2 2 3 5 3 2 4 3" xfId="40463"/>
    <cellStyle name="Heading 2 2 3 5 3 2 5" xfId="40464"/>
    <cellStyle name="Heading 2 2 3 5 3 2 5 2" xfId="40465"/>
    <cellStyle name="Heading 2 2 3 5 3 2 5 2 2" xfId="40466"/>
    <cellStyle name="Heading 2 2 3 5 3 2 5 3" xfId="40467"/>
    <cellStyle name="Heading 2 2 3 5 3 2 6" xfId="40468"/>
    <cellStyle name="Heading 2 2 3 5 3 2 6 2" xfId="40469"/>
    <cellStyle name="Heading 2 2 3 5 3 2 6 2 2" xfId="40470"/>
    <cellStyle name="Heading 2 2 3 5 3 2 6 3" xfId="40471"/>
    <cellStyle name="Heading 2 2 3 5 3 2 7" xfId="40472"/>
    <cellStyle name="Heading 2 2 3 5 3 2 7 2" xfId="40473"/>
    <cellStyle name="Heading 2 2 3 5 3 2 7 2 2" xfId="40474"/>
    <cellStyle name="Heading 2 2 3 5 3 2 7 3" xfId="40475"/>
    <cellStyle name="Heading 2 2 3 5 3 2 8" xfId="40476"/>
    <cellStyle name="Heading 2 2 3 5 3 2 8 2" xfId="40477"/>
    <cellStyle name="Heading 2 2 3 5 3 2 9" xfId="40478"/>
    <cellStyle name="Heading 2 2 3 5 3 20" xfId="40479"/>
    <cellStyle name="Heading 2 2 3 5 3 20 2" xfId="40480"/>
    <cellStyle name="Heading 2 2 3 5 3 21" xfId="40481"/>
    <cellStyle name="Heading 2 2 3 5 3 21 2" xfId="40482"/>
    <cellStyle name="Heading 2 2 3 5 3 22" xfId="40483"/>
    <cellStyle name="Heading 2 2 3 5 3 3" xfId="40484"/>
    <cellStyle name="Heading 2 2 3 5 3 3 2" xfId="40485"/>
    <cellStyle name="Heading 2 2 3 5 3 3 2 2" xfId="40486"/>
    <cellStyle name="Heading 2 2 3 5 3 3 2 2 2" xfId="40487"/>
    <cellStyle name="Heading 2 2 3 5 3 3 2 3" xfId="40488"/>
    <cellStyle name="Heading 2 2 3 5 3 3 3" xfId="40489"/>
    <cellStyle name="Heading 2 2 3 5 3 3 3 2" xfId="40490"/>
    <cellStyle name="Heading 2 2 3 5 3 3 3 2 2" xfId="40491"/>
    <cellStyle name="Heading 2 2 3 5 3 3 3 3" xfId="40492"/>
    <cellStyle name="Heading 2 2 3 5 3 3 4" xfId="40493"/>
    <cellStyle name="Heading 2 2 3 5 3 3 4 2" xfId="40494"/>
    <cellStyle name="Heading 2 2 3 5 3 3 4 2 2" xfId="40495"/>
    <cellStyle name="Heading 2 2 3 5 3 3 4 3" xfId="40496"/>
    <cellStyle name="Heading 2 2 3 5 3 3 5" xfId="40497"/>
    <cellStyle name="Heading 2 2 3 5 3 3 5 2" xfId="40498"/>
    <cellStyle name="Heading 2 2 3 5 3 3 5 2 2" xfId="40499"/>
    <cellStyle name="Heading 2 2 3 5 3 3 5 3" xfId="40500"/>
    <cellStyle name="Heading 2 2 3 5 3 3 6" xfId="40501"/>
    <cellStyle name="Heading 2 2 3 5 3 3 6 2" xfId="40502"/>
    <cellStyle name="Heading 2 2 3 5 3 3 6 2 2" xfId="40503"/>
    <cellStyle name="Heading 2 2 3 5 3 3 6 3" xfId="40504"/>
    <cellStyle name="Heading 2 2 3 5 3 3 7" xfId="40505"/>
    <cellStyle name="Heading 2 2 3 5 3 3 7 2" xfId="40506"/>
    <cellStyle name="Heading 2 2 3 5 3 3 7 2 2" xfId="40507"/>
    <cellStyle name="Heading 2 2 3 5 3 3 7 3" xfId="40508"/>
    <cellStyle name="Heading 2 2 3 5 3 3 8" xfId="40509"/>
    <cellStyle name="Heading 2 2 3 5 3 3 8 2" xfId="40510"/>
    <cellStyle name="Heading 2 2 3 5 3 3 9" xfId="40511"/>
    <cellStyle name="Heading 2 2 3 5 3 4" xfId="40512"/>
    <cellStyle name="Heading 2 2 3 5 3 4 2" xfId="40513"/>
    <cellStyle name="Heading 2 2 3 5 3 4 2 2" xfId="40514"/>
    <cellStyle name="Heading 2 2 3 5 3 4 2 2 2" xfId="40515"/>
    <cellStyle name="Heading 2 2 3 5 3 4 2 3" xfId="40516"/>
    <cellStyle name="Heading 2 2 3 5 3 4 3" xfId="40517"/>
    <cellStyle name="Heading 2 2 3 5 3 4 3 2" xfId="40518"/>
    <cellStyle name="Heading 2 2 3 5 3 4 3 2 2" xfId="40519"/>
    <cellStyle name="Heading 2 2 3 5 3 4 3 3" xfId="40520"/>
    <cellStyle name="Heading 2 2 3 5 3 4 4" xfId="40521"/>
    <cellStyle name="Heading 2 2 3 5 3 4 4 2" xfId="40522"/>
    <cellStyle name="Heading 2 2 3 5 3 4 4 2 2" xfId="40523"/>
    <cellStyle name="Heading 2 2 3 5 3 4 4 3" xfId="40524"/>
    <cellStyle name="Heading 2 2 3 5 3 4 5" xfId="40525"/>
    <cellStyle name="Heading 2 2 3 5 3 4 5 2" xfId="40526"/>
    <cellStyle name="Heading 2 2 3 5 3 4 5 2 2" xfId="40527"/>
    <cellStyle name="Heading 2 2 3 5 3 4 5 3" xfId="40528"/>
    <cellStyle name="Heading 2 2 3 5 3 4 6" xfId="40529"/>
    <cellStyle name="Heading 2 2 3 5 3 4 6 2" xfId="40530"/>
    <cellStyle name="Heading 2 2 3 5 3 4 6 2 2" xfId="40531"/>
    <cellStyle name="Heading 2 2 3 5 3 4 6 3" xfId="40532"/>
    <cellStyle name="Heading 2 2 3 5 3 4 7" xfId="40533"/>
    <cellStyle name="Heading 2 2 3 5 3 4 7 2" xfId="40534"/>
    <cellStyle name="Heading 2 2 3 5 3 4 7 2 2" xfId="40535"/>
    <cellStyle name="Heading 2 2 3 5 3 4 7 3" xfId="40536"/>
    <cellStyle name="Heading 2 2 3 5 3 4 8" xfId="40537"/>
    <cellStyle name="Heading 2 2 3 5 3 4 8 2" xfId="40538"/>
    <cellStyle name="Heading 2 2 3 5 3 4 9" xfId="40539"/>
    <cellStyle name="Heading 2 2 3 5 3 5" xfId="40540"/>
    <cellStyle name="Heading 2 2 3 5 3 5 2" xfId="40541"/>
    <cellStyle name="Heading 2 2 3 5 3 5 2 2" xfId="40542"/>
    <cellStyle name="Heading 2 2 3 5 3 5 2 2 2" xfId="40543"/>
    <cellStyle name="Heading 2 2 3 5 3 5 2 3" xfId="40544"/>
    <cellStyle name="Heading 2 2 3 5 3 5 3" xfId="40545"/>
    <cellStyle name="Heading 2 2 3 5 3 5 3 2" xfId="40546"/>
    <cellStyle name="Heading 2 2 3 5 3 5 3 2 2" xfId="40547"/>
    <cellStyle name="Heading 2 2 3 5 3 5 3 3" xfId="40548"/>
    <cellStyle name="Heading 2 2 3 5 3 5 4" xfId="40549"/>
    <cellStyle name="Heading 2 2 3 5 3 5 4 2" xfId="40550"/>
    <cellStyle name="Heading 2 2 3 5 3 5 4 2 2" xfId="40551"/>
    <cellStyle name="Heading 2 2 3 5 3 5 4 3" xfId="40552"/>
    <cellStyle name="Heading 2 2 3 5 3 5 5" xfId="40553"/>
    <cellStyle name="Heading 2 2 3 5 3 5 5 2" xfId="40554"/>
    <cellStyle name="Heading 2 2 3 5 3 5 5 2 2" xfId="40555"/>
    <cellStyle name="Heading 2 2 3 5 3 5 5 3" xfId="40556"/>
    <cellStyle name="Heading 2 2 3 5 3 5 6" xfId="40557"/>
    <cellStyle name="Heading 2 2 3 5 3 5 6 2" xfId="40558"/>
    <cellStyle name="Heading 2 2 3 5 3 5 6 2 2" xfId="40559"/>
    <cellStyle name="Heading 2 2 3 5 3 5 6 3" xfId="40560"/>
    <cellStyle name="Heading 2 2 3 5 3 5 7" xfId="40561"/>
    <cellStyle name="Heading 2 2 3 5 3 5 7 2" xfId="40562"/>
    <cellStyle name="Heading 2 2 3 5 3 5 7 2 2" xfId="40563"/>
    <cellStyle name="Heading 2 2 3 5 3 5 7 3" xfId="40564"/>
    <cellStyle name="Heading 2 2 3 5 3 5 8" xfId="40565"/>
    <cellStyle name="Heading 2 2 3 5 3 5 8 2" xfId="40566"/>
    <cellStyle name="Heading 2 2 3 5 3 5 9" xfId="40567"/>
    <cellStyle name="Heading 2 2 3 5 3 6" xfId="40568"/>
    <cellStyle name="Heading 2 2 3 5 3 6 2" xfId="40569"/>
    <cellStyle name="Heading 2 2 3 5 3 6 2 2" xfId="40570"/>
    <cellStyle name="Heading 2 2 3 5 3 6 2 2 2" xfId="40571"/>
    <cellStyle name="Heading 2 2 3 5 3 6 2 3" xfId="40572"/>
    <cellStyle name="Heading 2 2 3 5 3 6 3" xfId="40573"/>
    <cellStyle name="Heading 2 2 3 5 3 6 3 2" xfId="40574"/>
    <cellStyle name="Heading 2 2 3 5 3 6 3 2 2" xfId="40575"/>
    <cellStyle name="Heading 2 2 3 5 3 6 3 3" xfId="40576"/>
    <cellStyle name="Heading 2 2 3 5 3 6 4" xfId="40577"/>
    <cellStyle name="Heading 2 2 3 5 3 6 4 2" xfId="40578"/>
    <cellStyle name="Heading 2 2 3 5 3 6 4 2 2" xfId="40579"/>
    <cellStyle name="Heading 2 2 3 5 3 6 4 3" xfId="40580"/>
    <cellStyle name="Heading 2 2 3 5 3 6 5" xfId="40581"/>
    <cellStyle name="Heading 2 2 3 5 3 6 5 2" xfId="40582"/>
    <cellStyle name="Heading 2 2 3 5 3 6 5 2 2" xfId="40583"/>
    <cellStyle name="Heading 2 2 3 5 3 6 5 3" xfId="40584"/>
    <cellStyle name="Heading 2 2 3 5 3 6 6" xfId="40585"/>
    <cellStyle name="Heading 2 2 3 5 3 6 6 2" xfId="40586"/>
    <cellStyle name="Heading 2 2 3 5 3 6 6 2 2" xfId="40587"/>
    <cellStyle name="Heading 2 2 3 5 3 6 6 3" xfId="40588"/>
    <cellStyle name="Heading 2 2 3 5 3 6 7" xfId="40589"/>
    <cellStyle name="Heading 2 2 3 5 3 6 7 2" xfId="40590"/>
    <cellStyle name="Heading 2 2 3 5 3 6 7 2 2" xfId="40591"/>
    <cellStyle name="Heading 2 2 3 5 3 6 7 3" xfId="40592"/>
    <cellStyle name="Heading 2 2 3 5 3 6 8" xfId="40593"/>
    <cellStyle name="Heading 2 2 3 5 3 6 8 2" xfId="40594"/>
    <cellStyle name="Heading 2 2 3 5 3 6 9" xfId="40595"/>
    <cellStyle name="Heading 2 2 3 5 3 7" xfId="40596"/>
    <cellStyle name="Heading 2 2 3 5 3 7 2" xfId="40597"/>
    <cellStyle name="Heading 2 2 3 5 3 7 2 2" xfId="40598"/>
    <cellStyle name="Heading 2 2 3 5 3 7 2 2 2" xfId="40599"/>
    <cellStyle name="Heading 2 2 3 5 3 7 2 3" xfId="40600"/>
    <cellStyle name="Heading 2 2 3 5 3 7 3" xfId="40601"/>
    <cellStyle name="Heading 2 2 3 5 3 7 3 2" xfId="40602"/>
    <cellStyle name="Heading 2 2 3 5 3 7 3 2 2" xfId="40603"/>
    <cellStyle name="Heading 2 2 3 5 3 7 3 3" xfId="40604"/>
    <cellStyle name="Heading 2 2 3 5 3 7 4" xfId="40605"/>
    <cellStyle name="Heading 2 2 3 5 3 7 4 2" xfId="40606"/>
    <cellStyle name="Heading 2 2 3 5 3 7 4 2 2" xfId="40607"/>
    <cellStyle name="Heading 2 2 3 5 3 7 4 3" xfId="40608"/>
    <cellStyle name="Heading 2 2 3 5 3 7 5" xfId="40609"/>
    <cellStyle name="Heading 2 2 3 5 3 7 5 2" xfId="40610"/>
    <cellStyle name="Heading 2 2 3 5 3 7 5 2 2" xfId="40611"/>
    <cellStyle name="Heading 2 2 3 5 3 7 5 3" xfId="40612"/>
    <cellStyle name="Heading 2 2 3 5 3 7 6" xfId="40613"/>
    <cellStyle name="Heading 2 2 3 5 3 7 6 2" xfId="40614"/>
    <cellStyle name="Heading 2 2 3 5 3 7 6 2 2" xfId="40615"/>
    <cellStyle name="Heading 2 2 3 5 3 7 6 3" xfId="40616"/>
    <cellStyle name="Heading 2 2 3 5 3 7 7" xfId="40617"/>
    <cellStyle name="Heading 2 2 3 5 3 7 7 2" xfId="40618"/>
    <cellStyle name="Heading 2 2 3 5 3 7 7 2 2" xfId="40619"/>
    <cellStyle name="Heading 2 2 3 5 3 7 7 3" xfId="40620"/>
    <cellStyle name="Heading 2 2 3 5 3 7 8" xfId="40621"/>
    <cellStyle name="Heading 2 2 3 5 3 7 8 2" xfId="40622"/>
    <cellStyle name="Heading 2 2 3 5 3 7 9" xfId="40623"/>
    <cellStyle name="Heading 2 2 3 5 3 8" xfId="40624"/>
    <cellStyle name="Heading 2 2 3 5 3 8 2" xfId="40625"/>
    <cellStyle name="Heading 2 2 3 5 3 8 2 2" xfId="40626"/>
    <cellStyle name="Heading 2 2 3 5 3 8 2 2 2" xfId="40627"/>
    <cellStyle name="Heading 2 2 3 5 3 8 2 3" xfId="40628"/>
    <cellStyle name="Heading 2 2 3 5 3 8 3" xfId="40629"/>
    <cellStyle name="Heading 2 2 3 5 3 8 3 2" xfId="40630"/>
    <cellStyle name="Heading 2 2 3 5 3 8 3 2 2" xfId="40631"/>
    <cellStyle name="Heading 2 2 3 5 3 8 3 3" xfId="40632"/>
    <cellStyle name="Heading 2 2 3 5 3 8 4" xfId="40633"/>
    <cellStyle name="Heading 2 2 3 5 3 8 4 2" xfId="40634"/>
    <cellStyle name="Heading 2 2 3 5 3 8 4 2 2" xfId="40635"/>
    <cellStyle name="Heading 2 2 3 5 3 8 4 3" xfId="40636"/>
    <cellStyle name="Heading 2 2 3 5 3 8 5" xfId="40637"/>
    <cellStyle name="Heading 2 2 3 5 3 8 5 2" xfId="40638"/>
    <cellStyle name="Heading 2 2 3 5 3 8 5 2 2" xfId="40639"/>
    <cellStyle name="Heading 2 2 3 5 3 8 5 3" xfId="40640"/>
    <cellStyle name="Heading 2 2 3 5 3 8 6" xfId="40641"/>
    <cellStyle name="Heading 2 2 3 5 3 8 6 2" xfId="40642"/>
    <cellStyle name="Heading 2 2 3 5 3 8 6 2 2" xfId="40643"/>
    <cellStyle name="Heading 2 2 3 5 3 8 6 3" xfId="40644"/>
    <cellStyle name="Heading 2 2 3 5 3 8 7" xfId="40645"/>
    <cellStyle name="Heading 2 2 3 5 3 8 7 2" xfId="40646"/>
    <cellStyle name="Heading 2 2 3 5 3 8 7 2 2" xfId="40647"/>
    <cellStyle name="Heading 2 2 3 5 3 8 7 3" xfId="40648"/>
    <cellStyle name="Heading 2 2 3 5 3 8 8" xfId="40649"/>
    <cellStyle name="Heading 2 2 3 5 3 8 8 2" xfId="40650"/>
    <cellStyle name="Heading 2 2 3 5 3 8 9" xfId="40651"/>
    <cellStyle name="Heading 2 2 3 5 3 9" xfId="40652"/>
    <cellStyle name="Heading 2 2 3 5 3 9 2" xfId="40653"/>
    <cellStyle name="Heading 2 2 3 5 3 9 2 2" xfId="40654"/>
    <cellStyle name="Heading 2 2 3 5 3 9 3" xfId="40655"/>
    <cellStyle name="Heading 2 2 3 5 4" xfId="40656"/>
    <cellStyle name="Heading 2 2 3 5 4 2" xfId="40657"/>
    <cellStyle name="Heading 2 2 3 5 4 2 2" xfId="40658"/>
    <cellStyle name="Heading 2 2 3 5 4 3" xfId="40659"/>
    <cellStyle name="Heading 2 2 3 5 5" xfId="40660"/>
    <cellStyle name="Heading 2 2 3 5 5 2" xfId="40661"/>
    <cellStyle name="Heading 2 2 3 5 6" xfId="40662"/>
    <cellStyle name="Heading 2 2 3 6" xfId="40663"/>
    <cellStyle name="Heading 2 2 3 6 2" xfId="40664"/>
    <cellStyle name="Heading 2 2 3 6 2 10" xfId="40665"/>
    <cellStyle name="Heading 2 2 3 6 2 10 2" xfId="40666"/>
    <cellStyle name="Heading 2 2 3 6 2 10 2 2" xfId="40667"/>
    <cellStyle name="Heading 2 2 3 6 2 10 3" xfId="40668"/>
    <cellStyle name="Heading 2 2 3 6 2 11" xfId="40669"/>
    <cellStyle name="Heading 2 2 3 6 2 11 2" xfId="40670"/>
    <cellStyle name="Heading 2 2 3 6 2 11 2 2" xfId="40671"/>
    <cellStyle name="Heading 2 2 3 6 2 11 3" xfId="40672"/>
    <cellStyle name="Heading 2 2 3 6 2 12" xfId="40673"/>
    <cellStyle name="Heading 2 2 3 6 2 12 2" xfId="40674"/>
    <cellStyle name="Heading 2 2 3 6 2 12 2 2" xfId="40675"/>
    <cellStyle name="Heading 2 2 3 6 2 12 3" xfId="40676"/>
    <cellStyle name="Heading 2 2 3 6 2 13" xfId="40677"/>
    <cellStyle name="Heading 2 2 3 6 2 13 2" xfId="40678"/>
    <cellStyle name="Heading 2 2 3 6 2 13 2 2" xfId="40679"/>
    <cellStyle name="Heading 2 2 3 6 2 13 3" xfId="40680"/>
    <cellStyle name="Heading 2 2 3 6 2 14" xfId="40681"/>
    <cellStyle name="Heading 2 2 3 6 2 14 2" xfId="40682"/>
    <cellStyle name="Heading 2 2 3 6 2 14 2 2" xfId="40683"/>
    <cellStyle name="Heading 2 2 3 6 2 14 3" xfId="40684"/>
    <cellStyle name="Heading 2 2 3 6 2 15" xfId="40685"/>
    <cellStyle name="Heading 2 2 3 6 2 15 2" xfId="40686"/>
    <cellStyle name="Heading 2 2 3 6 2 15 2 2" xfId="40687"/>
    <cellStyle name="Heading 2 2 3 6 2 15 3" xfId="40688"/>
    <cellStyle name="Heading 2 2 3 6 2 16" xfId="40689"/>
    <cellStyle name="Heading 2 2 3 6 2 16 2" xfId="40690"/>
    <cellStyle name="Heading 2 2 3 6 2 16 2 2" xfId="40691"/>
    <cellStyle name="Heading 2 2 3 6 2 16 3" xfId="40692"/>
    <cellStyle name="Heading 2 2 3 6 2 17" xfId="40693"/>
    <cellStyle name="Heading 2 2 3 6 2 17 2" xfId="40694"/>
    <cellStyle name="Heading 2 2 3 6 2 17 2 2" xfId="40695"/>
    <cellStyle name="Heading 2 2 3 6 2 17 3" xfId="40696"/>
    <cellStyle name="Heading 2 2 3 6 2 18" xfId="40697"/>
    <cellStyle name="Heading 2 2 3 6 2 18 2" xfId="40698"/>
    <cellStyle name="Heading 2 2 3 6 2 18 2 2" xfId="40699"/>
    <cellStyle name="Heading 2 2 3 6 2 18 3" xfId="40700"/>
    <cellStyle name="Heading 2 2 3 6 2 19" xfId="40701"/>
    <cellStyle name="Heading 2 2 3 6 2 19 2" xfId="40702"/>
    <cellStyle name="Heading 2 2 3 6 2 19 2 2" xfId="40703"/>
    <cellStyle name="Heading 2 2 3 6 2 19 3" xfId="40704"/>
    <cellStyle name="Heading 2 2 3 6 2 2" xfId="40705"/>
    <cellStyle name="Heading 2 2 3 6 2 2 10" xfId="40706"/>
    <cellStyle name="Heading 2 2 3 6 2 2 10 2" xfId="40707"/>
    <cellStyle name="Heading 2 2 3 6 2 2 10 2 2" xfId="40708"/>
    <cellStyle name="Heading 2 2 3 6 2 2 10 3" xfId="40709"/>
    <cellStyle name="Heading 2 2 3 6 2 2 11" xfId="40710"/>
    <cellStyle name="Heading 2 2 3 6 2 2 11 2" xfId="40711"/>
    <cellStyle name="Heading 2 2 3 6 2 2 11 2 2" xfId="40712"/>
    <cellStyle name="Heading 2 2 3 6 2 2 11 3" xfId="40713"/>
    <cellStyle name="Heading 2 2 3 6 2 2 12" xfId="40714"/>
    <cellStyle name="Heading 2 2 3 6 2 2 12 2" xfId="40715"/>
    <cellStyle name="Heading 2 2 3 6 2 2 12 2 2" xfId="40716"/>
    <cellStyle name="Heading 2 2 3 6 2 2 12 3" xfId="40717"/>
    <cellStyle name="Heading 2 2 3 6 2 2 13" xfId="40718"/>
    <cellStyle name="Heading 2 2 3 6 2 2 13 2" xfId="40719"/>
    <cellStyle name="Heading 2 2 3 6 2 2 13 2 2" xfId="40720"/>
    <cellStyle name="Heading 2 2 3 6 2 2 13 3" xfId="40721"/>
    <cellStyle name="Heading 2 2 3 6 2 2 14" xfId="40722"/>
    <cellStyle name="Heading 2 2 3 6 2 2 14 2" xfId="40723"/>
    <cellStyle name="Heading 2 2 3 6 2 2 14 2 2" xfId="40724"/>
    <cellStyle name="Heading 2 2 3 6 2 2 14 3" xfId="40725"/>
    <cellStyle name="Heading 2 2 3 6 2 2 15" xfId="40726"/>
    <cellStyle name="Heading 2 2 3 6 2 2 15 2" xfId="40727"/>
    <cellStyle name="Heading 2 2 3 6 2 2 15 2 2" xfId="40728"/>
    <cellStyle name="Heading 2 2 3 6 2 2 15 3" xfId="40729"/>
    <cellStyle name="Heading 2 2 3 6 2 2 16" xfId="40730"/>
    <cellStyle name="Heading 2 2 3 6 2 2 16 2" xfId="40731"/>
    <cellStyle name="Heading 2 2 3 6 2 2 16 2 2" xfId="40732"/>
    <cellStyle name="Heading 2 2 3 6 2 2 16 3" xfId="40733"/>
    <cellStyle name="Heading 2 2 3 6 2 2 17" xfId="40734"/>
    <cellStyle name="Heading 2 2 3 6 2 2 17 2" xfId="40735"/>
    <cellStyle name="Heading 2 2 3 6 2 2 17 2 2" xfId="40736"/>
    <cellStyle name="Heading 2 2 3 6 2 2 17 3" xfId="40737"/>
    <cellStyle name="Heading 2 2 3 6 2 2 18" xfId="40738"/>
    <cellStyle name="Heading 2 2 3 6 2 2 18 2" xfId="40739"/>
    <cellStyle name="Heading 2 2 3 6 2 2 18 2 2" xfId="40740"/>
    <cellStyle name="Heading 2 2 3 6 2 2 18 3" xfId="40741"/>
    <cellStyle name="Heading 2 2 3 6 2 2 19" xfId="40742"/>
    <cellStyle name="Heading 2 2 3 6 2 2 19 2" xfId="40743"/>
    <cellStyle name="Heading 2 2 3 6 2 2 2" xfId="40744"/>
    <cellStyle name="Heading 2 2 3 6 2 2 2 2" xfId="40745"/>
    <cellStyle name="Heading 2 2 3 6 2 2 2 2 2" xfId="40746"/>
    <cellStyle name="Heading 2 2 3 6 2 2 2 2 2 2" xfId="40747"/>
    <cellStyle name="Heading 2 2 3 6 2 2 2 2 3" xfId="40748"/>
    <cellStyle name="Heading 2 2 3 6 2 2 2 3" xfId="40749"/>
    <cellStyle name="Heading 2 2 3 6 2 2 2 3 2" xfId="40750"/>
    <cellStyle name="Heading 2 2 3 6 2 2 2 3 2 2" xfId="40751"/>
    <cellStyle name="Heading 2 2 3 6 2 2 2 3 3" xfId="40752"/>
    <cellStyle name="Heading 2 2 3 6 2 2 2 4" xfId="40753"/>
    <cellStyle name="Heading 2 2 3 6 2 2 2 4 2" xfId="40754"/>
    <cellStyle name="Heading 2 2 3 6 2 2 2 4 2 2" xfId="40755"/>
    <cellStyle name="Heading 2 2 3 6 2 2 2 4 3" xfId="40756"/>
    <cellStyle name="Heading 2 2 3 6 2 2 2 5" xfId="40757"/>
    <cellStyle name="Heading 2 2 3 6 2 2 2 5 2" xfId="40758"/>
    <cellStyle name="Heading 2 2 3 6 2 2 2 5 2 2" xfId="40759"/>
    <cellStyle name="Heading 2 2 3 6 2 2 2 5 3" xfId="40760"/>
    <cellStyle name="Heading 2 2 3 6 2 2 2 6" xfId="40761"/>
    <cellStyle name="Heading 2 2 3 6 2 2 2 6 2" xfId="40762"/>
    <cellStyle name="Heading 2 2 3 6 2 2 2 6 2 2" xfId="40763"/>
    <cellStyle name="Heading 2 2 3 6 2 2 2 6 3" xfId="40764"/>
    <cellStyle name="Heading 2 2 3 6 2 2 2 7" xfId="40765"/>
    <cellStyle name="Heading 2 2 3 6 2 2 2 7 2" xfId="40766"/>
    <cellStyle name="Heading 2 2 3 6 2 2 2 7 2 2" xfId="40767"/>
    <cellStyle name="Heading 2 2 3 6 2 2 2 7 3" xfId="40768"/>
    <cellStyle name="Heading 2 2 3 6 2 2 2 8" xfId="40769"/>
    <cellStyle name="Heading 2 2 3 6 2 2 2 8 2" xfId="40770"/>
    <cellStyle name="Heading 2 2 3 6 2 2 2 9" xfId="40771"/>
    <cellStyle name="Heading 2 2 3 6 2 2 20" xfId="40772"/>
    <cellStyle name="Heading 2 2 3 6 2 2 20 2" xfId="40773"/>
    <cellStyle name="Heading 2 2 3 6 2 2 21" xfId="40774"/>
    <cellStyle name="Heading 2 2 3 6 2 2 21 2" xfId="40775"/>
    <cellStyle name="Heading 2 2 3 6 2 2 22" xfId="40776"/>
    <cellStyle name="Heading 2 2 3 6 2 2 3" xfId="40777"/>
    <cellStyle name="Heading 2 2 3 6 2 2 3 2" xfId="40778"/>
    <cellStyle name="Heading 2 2 3 6 2 2 3 2 2" xfId="40779"/>
    <cellStyle name="Heading 2 2 3 6 2 2 3 2 2 2" xfId="40780"/>
    <cellStyle name="Heading 2 2 3 6 2 2 3 2 3" xfId="40781"/>
    <cellStyle name="Heading 2 2 3 6 2 2 3 3" xfId="40782"/>
    <cellStyle name="Heading 2 2 3 6 2 2 3 3 2" xfId="40783"/>
    <cellStyle name="Heading 2 2 3 6 2 2 3 3 2 2" xfId="40784"/>
    <cellStyle name="Heading 2 2 3 6 2 2 3 3 3" xfId="40785"/>
    <cellStyle name="Heading 2 2 3 6 2 2 3 4" xfId="40786"/>
    <cellStyle name="Heading 2 2 3 6 2 2 3 4 2" xfId="40787"/>
    <cellStyle name="Heading 2 2 3 6 2 2 3 4 2 2" xfId="40788"/>
    <cellStyle name="Heading 2 2 3 6 2 2 3 4 3" xfId="40789"/>
    <cellStyle name="Heading 2 2 3 6 2 2 3 5" xfId="40790"/>
    <cellStyle name="Heading 2 2 3 6 2 2 3 5 2" xfId="40791"/>
    <cellStyle name="Heading 2 2 3 6 2 2 3 5 2 2" xfId="40792"/>
    <cellStyle name="Heading 2 2 3 6 2 2 3 5 3" xfId="40793"/>
    <cellStyle name="Heading 2 2 3 6 2 2 3 6" xfId="40794"/>
    <cellStyle name="Heading 2 2 3 6 2 2 3 6 2" xfId="40795"/>
    <cellStyle name="Heading 2 2 3 6 2 2 3 6 2 2" xfId="40796"/>
    <cellStyle name="Heading 2 2 3 6 2 2 3 6 3" xfId="40797"/>
    <cellStyle name="Heading 2 2 3 6 2 2 3 7" xfId="40798"/>
    <cellStyle name="Heading 2 2 3 6 2 2 3 7 2" xfId="40799"/>
    <cellStyle name="Heading 2 2 3 6 2 2 3 7 2 2" xfId="40800"/>
    <cellStyle name="Heading 2 2 3 6 2 2 3 7 3" xfId="40801"/>
    <cellStyle name="Heading 2 2 3 6 2 2 3 8" xfId="40802"/>
    <cellStyle name="Heading 2 2 3 6 2 2 3 8 2" xfId="40803"/>
    <cellStyle name="Heading 2 2 3 6 2 2 3 9" xfId="40804"/>
    <cellStyle name="Heading 2 2 3 6 2 2 4" xfId="40805"/>
    <cellStyle name="Heading 2 2 3 6 2 2 4 2" xfId="40806"/>
    <cellStyle name="Heading 2 2 3 6 2 2 4 2 2" xfId="40807"/>
    <cellStyle name="Heading 2 2 3 6 2 2 4 2 2 2" xfId="40808"/>
    <cellStyle name="Heading 2 2 3 6 2 2 4 2 3" xfId="40809"/>
    <cellStyle name="Heading 2 2 3 6 2 2 4 3" xfId="40810"/>
    <cellStyle name="Heading 2 2 3 6 2 2 4 3 2" xfId="40811"/>
    <cellStyle name="Heading 2 2 3 6 2 2 4 3 2 2" xfId="40812"/>
    <cellStyle name="Heading 2 2 3 6 2 2 4 3 3" xfId="40813"/>
    <cellStyle name="Heading 2 2 3 6 2 2 4 4" xfId="40814"/>
    <cellStyle name="Heading 2 2 3 6 2 2 4 4 2" xfId="40815"/>
    <cellStyle name="Heading 2 2 3 6 2 2 4 4 2 2" xfId="40816"/>
    <cellStyle name="Heading 2 2 3 6 2 2 4 4 3" xfId="40817"/>
    <cellStyle name="Heading 2 2 3 6 2 2 4 5" xfId="40818"/>
    <cellStyle name="Heading 2 2 3 6 2 2 4 5 2" xfId="40819"/>
    <cellStyle name="Heading 2 2 3 6 2 2 4 5 2 2" xfId="40820"/>
    <cellStyle name="Heading 2 2 3 6 2 2 4 5 3" xfId="40821"/>
    <cellStyle name="Heading 2 2 3 6 2 2 4 6" xfId="40822"/>
    <cellStyle name="Heading 2 2 3 6 2 2 4 6 2" xfId="40823"/>
    <cellStyle name="Heading 2 2 3 6 2 2 4 6 2 2" xfId="40824"/>
    <cellStyle name="Heading 2 2 3 6 2 2 4 6 3" xfId="40825"/>
    <cellStyle name="Heading 2 2 3 6 2 2 4 7" xfId="40826"/>
    <cellStyle name="Heading 2 2 3 6 2 2 4 7 2" xfId="40827"/>
    <cellStyle name="Heading 2 2 3 6 2 2 4 7 2 2" xfId="40828"/>
    <cellStyle name="Heading 2 2 3 6 2 2 4 7 3" xfId="40829"/>
    <cellStyle name="Heading 2 2 3 6 2 2 4 8" xfId="40830"/>
    <cellStyle name="Heading 2 2 3 6 2 2 4 8 2" xfId="40831"/>
    <cellStyle name="Heading 2 2 3 6 2 2 4 9" xfId="40832"/>
    <cellStyle name="Heading 2 2 3 6 2 2 5" xfId="40833"/>
    <cellStyle name="Heading 2 2 3 6 2 2 5 2" xfId="40834"/>
    <cellStyle name="Heading 2 2 3 6 2 2 5 2 2" xfId="40835"/>
    <cellStyle name="Heading 2 2 3 6 2 2 5 2 2 2" xfId="40836"/>
    <cellStyle name="Heading 2 2 3 6 2 2 5 2 3" xfId="40837"/>
    <cellStyle name="Heading 2 2 3 6 2 2 5 3" xfId="40838"/>
    <cellStyle name="Heading 2 2 3 6 2 2 5 3 2" xfId="40839"/>
    <cellStyle name="Heading 2 2 3 6 2 2 5 3 2 2" xfId="40840"/>
    <cellStyle name="Heading 2 2 3 6 2 2 5 3 3" xfId="40841"/>
    <cellStyle name="Heading 2 2 3 6 2 2 5 4" xfId="40842"/>
    <cellStyle name="Heading 2 2 3 6 2 2 5 4 2" xfId="40843"/>
    <cellStyle name="Heading 2 2 3 6 2 2 5 4 2 2" xfId="40844"/>
    <cellStyle name="Heading 2 2 3 6 2 2 5 4 3" xfId="40845"/>
    <cellStyle name="Heading 2 2 3 6 2 2 5 5" xfId="40846"/>
    <cellStyle name="Heading 2 2 3 6 2 2 5 5 2" xfId="40847"/>
    <cellStyle name="Heading 2 2 3 6 2 2 5 5 2 2" xfId="40848"/>
    <cellStyle name="Heading 2 2 3 6 2 2 5 5 3" xfId="40849"/>
    <cellStyle name="Heading 2 2 3 6 2 2 5 6" xfId="40850"/>
    <cellStyle name="Heading 2 2 3 6 2 2 5 6 2" xfId="40851"/>
    <cellStyle name="Heading 2 2 3 6 2 2 5 6 2 2" xfId="40852"/>
    <cellStyle name="Heading 2 2 3 6 2 2 5 6 3" xfId="40853"/>
    <cellStyle name="Heading 2 2 3 6 2 2 5 7" xfId="40854"/>
    <cellStyle name="Heading 2 2 3 6 2 2 5 7 2" xfId="40855"/>
    <cellStyle name="Heading 2 2 3 6 2 2 5 7 2 2" xfId="40856"/>
    <cellStyle name="Heading 2 2 3 6 2 2 5 7 3" xfId="40857"/>
    <cellStyle name="Heading 2 2 3 6 2 2 5 8" xfId="40858"/>
    <cellStyle name="Heading 2 2 3 6 2 2 5 8 2" xfId="40859"/>
    <cellStyle name="Heading 2 2 3 6 2 2 5 9" xfId="40860"/>
    <cellStyle name="Heading 2 2 3 6 2 2 6" xfId="40861"/>
    <cellStyle name="Heading 2 2 3 6 2 2 6 2" xfId="40862"/>
    <cellStyle name="Heading 2 2 3 6 2 2 6 2 2" xfId="40863"/>
    <cellStyle name="Heading 2 2 3 6 2 2 6 2 2 2" xfId="40864"/>
    <cellStyle name="Heading 2 2 3 6 2 2 6 2 3" xfId="40865"/>
    <cellStyle name="Heading 2 2 3 6 2 2 6 3" xfId="40866"/>
    <cellStyle name="Heading 2 2 3 6 2 2 6 3 2" xfId="40867"/>
    <cellStyle name="Heading 2 2 3 6 2 2 6 3 2 2" xfId="40868"/>
    <cellStyle name="Heading 2 2 3 6 2 2 6 3 3" xfId="40869"/>
    <cellStyle name="Heading 2 2 3 6 2 2 6 4" xfId="40870"/>
    <cellStyle name="Heading 2 2 3 6 2 2 6 4 2" xfId="40871"/>
    <cellStyle name="Heading 2 2 3 6 2 2 6 4 2 2" xfId="40872"/>
    <cellStyle name="Heading 2 2 3 6 2 2 6 4 3" xfId="40873"/>
    <cellStyle name="Heading 2 2 3 6 2 2 6 5" xfId="40874"/>
    <cellStyle name="Heading 2 2 3 6 2 2 6 5 2" xfId="40875"/>
    <cellStyle name="Heading 2 2 3 6 2 2 6 5 2 2" xfId="40876"/>
    <cellStyle name="Heading 2 2 3 6 2 2 6 5 3" xfId="40877"/>
    <cellStyle name="Heading 2 2 3 6 2 2 6 6" xfId="40878"/>
    <cellStyle name="Heading 2 2 3 6 2 2 6 6 2" xfId="40879"/>
    <cellStyle name="Heading 2 2 3 6 2 2 6 6 2 2" xfId="40880"/>
    <cellStyle name="Heading 2 2 3 6 2 2 6 6 3" xfId="40881"/>
    <cellStyle name="Heading 2 2 3 6 2 2 6 7" xfId="40882"/>
    <cellStyle name="Heading 2 2 3 6 2 2 6 7 2" xfId="40883"/>
    <cellStyle name="Heading 2 2 3 6 2 2 6 7 2 2" xfId="40884"/>
    <cellStyle name="Heading 2 2 3 6 2 2 6 7 3" xfId="40885"/>
    <cellStyle name="Heading 2 2 3 6 2 2 6 8" xfId="40886"/>
    <cellStyle name="Heading 2 2 3 6 2 2 6 8 2" xfId="40887"/>
    <cellStyle name="Heading 2 2 3 6 2 2 6 9" xfId="40888"/>
    <cellStyle name="Heading 2 2 3 6 2 2 7" xfId="40889"/>
    <cellStyle name="Heading 2 2 3 6 2 2 7 2" xfId="40890"/>
    <cellStyle name="Heading 2 2 3 6 2 2 7 2 2" xfId="40891"/>
    <cellStyle name="Heading 2 2 3 6 2 2 7 2 2 2" xfId="40892"/>
    <cellStyle name="Heading 2 2 3 6 2 2 7 2 3" xfId="40893"/>
    <cellStyle name="Heading 2 2 3 6 2 2 7 3" xfId="40894"/>
    <cellStyle name="Heading 2 2 3 6 2 2 7 3 2" xfId="40895"/>
    <cellStyle name="Heading 2 2 3 6 2 2 7 3 2 2" xfId="40896"/>
    <cellStyle name="Heading 2 2 3 6 2 2 7 3 3" xfId="40897"/>
    <cellStyle name="Heading 2 2 3 6 2 2 7 4" xfId="40898"/>
    <cellStyle name="Heading 2 2 3 6 2 2 7 4 2" xfId="40899"/>
    <cellStyle name="Heading 2 2 3 6 2 2 7 4 2 2" xfId="40900"/>
    <cellStyle name="Heading 2 2 3 6 2 2 7 4 3" xfId="40901"/>
    <cellStyle name="Heading 2 2 3 6 2 2 7 5" xfId="40902"/>
    <cellStyle name="Heading 2 2 3 6 2 2 7 5 2" xfId="40903"/>
    <cellStyle name="Heading 2 2 3 6 2 2 7 5 2 2" xfId="40904"/>
    <cellStyle name="Heading 2 2 3 6 2 2 7 5 3" xfId="40905"/>
    <cellStyle name="Heading 2 2 3 6 2 2 7 6" xfId="40906"/>
    <cellStyle name="Heading 2 2 3 6 2 2 7 6 2" xfId="40907"/>
    <cellStyle name="Heading 2 2 3 6 2 2 7 6 2 2" xfId="40908"/>
    <cellStyle name="Heading 2 2 3 6 2 2 7 6 3" xfId="40909"/>
    <cellStyle name="Heading 2 2 3 6 2 2 7 7" xfId="40910"/>
    <cellStyle name="Heading 2 2 3 6 2 2 7 7 2" xfId="40911"/>
    <cellStyle name="Heading 2 2 3 6 2 2 7 7 2 2" xfId="40912"/>
    <cellStyle name="Heading 2 2 3 6 2 2 7 7 3" xfId="40913"/>
    <cellStyle name="Heading 2 2 3 6 2 2 7 8" xfId="40914"/>
    <cellStyle name="Heading 2 2 3 6 2 2 7 8 2" xfId="40915"/>
    <cellStyle name="Heading 2 2 3 6 2 2 7 9" xfId="40916"/>
    <cellStyle name="Heading 2 2 3 6 2 2 8" xfId="40917"/>
    <cellStyle name="Heading 2 2 3 6 2 2 8 2" xfId="40918"/>
    <cellStyle name="Heading 2 2 3 6 2 2 8 2 2" xfId="40919"/>
    <cellStyle name="Heading 2 2 3 6 2 2 8 2 2 2" xfId="40920"/>
    <cellStyle name="Heading 2 2 3 6 2 2 8 2 3" xfId="40921"/>
    <cellStyle name="Heading 2 2 3 6 2 2 8 3" xfId="40922"/>
    <cellStyle name="Heading 2 2 3 6 2 2 8 3 2" xfId="40923"/>
    <cellStyle name="Heading 2 2 3 6 2 2 8 3 2 2" xfId="40924"/>
    <cellStyle name="Heading 2 2 3 6 2 2 8 3 3" xfId="40925"/>
    <cellStyle name="Heading 2 2 3 6 2 2 8 4" xfId="40926"/>
    <cellStyle name="Heading 2 2 3 6 2 2 8 4 2" xfId="40927"/>
    <cellStyle name="Heading 2 2 3 6 2 2 8 4 2 2" xfId="40928"/>
    <cellStyle name="Heading 2 2 3 6 2 2 8 4 3" xfId="40929"/>
    <cellStyle name="Heading 2 2 3 6 2 2 8 5" xfId="40930"/>
    <cellStyle name="Heading 2 2 3 6 2 2 8 5 2" xfId="40931"/>
    <cellStyle name="Heading 2 2 3 6 2 2 8 5 2 2" xfId="40932"/>
    <cellStyle name="Heading 2 2 3 6 2 2 8 5 3" xfId="40933"/>
    <cellStyle name="Heading 2 2 3 6 2 2 8 6" xfId="40934"/>
    <cellStyle name="Heading 2 2 3 6 2 2 8 6 2" xfId="40935"/>
    <cellStyle name="Heading 2 2 3 6 2 2 8 6 2 2" xfId="40936"/>
    <cellStyle name="Heading 2 2 3 6 2 2 8 6 3" xfId="40937"/>
    <cellStyle name="Heading 2 2 3 6 2 2 8 7" xfId="40938"/>
    <cellStyle name="Heading 2 2 3 6 2 2 8 7 2" xfId="40939"/>
    <cellStyle name="Heading 2 2 3 6 2 2 8 7 2 2" xfId="40940"/>
    <cellStyle name="Heading 2 2 3 6 2 2 8 7 3" xfId="40941"/>
    <cellStyle name="Heading 2 2 3 6 2 2 8 8" xfId="40942"/>
    <cellStyle name="Heading 2 2 3 6 2 2 8 8 2" xfId="40943"/>
    <cellStyle name="Heading 2 2 3 6 2 2 8 9" xfId="40944"/>
    <cellStyle name="Heading 2 2 3 6 2 2 9" xfId="40945"/>
    <cellStyle name="Heading 2 2 3 6 2 2 9 2" xfId="40946"/>
    <cellStyle name="Heading 2 2 3 6 2 2 9 2 2" xfId="40947"/>
    <cellStyle name="Heading 2 2 3 6 2 2 9 3" xfId="40948"/>
    <cellStyle name="Heading 2 2 3 6 2 20" xfId="40949"/>
    <cellStyle name="Heading 2 2 3 6 2 20 2" xfId="40950"/>
    <cellStyle name="Heading 2 2 3 6 2 21" xfId="40951"/>
    <cellStyle name="Heading 2 2 3 6 2 21 2" xfId="40952"/>
    <cellStyle name="Heading 2 2 3 6 2 22" xfId="40953"/>
    <cellStyle name="Heading 2 2 3 6 2 22 2" xfId="40954"/>
    <cellStyle name="Heading 2 2 3 6 2 23" xfId="40955"/>
    <cellStyle name="Heading 2 2 3 6 2 3" xfId="40956"/>
    <cellStyle name="Heading 2 2 3 6 2 3 2" xfId="40957"/>
    <cellStyle name="Heading 2 2 3 6 2 3 2 2" xfId="40958"/>
    <cellStyle name="Heading 2 2 3 6 2 3 2 2 2" xfId="40959"/>
    <cellStyle name="Heading 2 2 3 6 2 3 2 3" xfId="40960"/>
    <cellStyle name="Heading 2 2 3 6 2 3 3" xfId="40961"/>
    <cellStyle name="Heading 2 2 3 6 2 3 3 2" xfId="40962"/>
    <cellStyle name="Heading 2 2 3 6 2 3 3 2 2" xfId="40963"/>
    <cellStyle name="Heading 2 2 3 6 2 3 3 3" xfId="40964"/>
    <cellStyle name="Heading 2 2 3 6 2 3 4" xfId="40965"/>
    <cellStyle name="Heading 2 2 3 6 2 3 4 2" xfId="40966"/>
    <cellStyle name="Heading 2 2 3 6 2 3 4 2 2" xfId="40967"/>
    <cellStyle name="Heading 2 2 3 6 2 3 4 3" xfId="40968"/>
    <cellStyle name="Heading 2 2 3 6 2 3 5" xfId="40969"/>
    <cellStyle name="Heading 2 2 3 6 2 3 5 2" xfId="40970"/>
    <cellStyle name="Heading 2 2 3 6 2 3 5 2 2" xfId="40971"/>
    <cellStyle name="Heading 2 2 3 6 2 3 5 3" xfId="40972"/>
    <cellStyle name="Heading 2 2 3 6 2 3 6" xfId="40973"/>
    <cellStyle name="Heading 2 2 3 6 2 3 6 2" xfId="40974"/>
    <cellStyle name="Heading 2 2 3 6 2 3 6 2 2" xfId="40975"/>
    <cellStyle name="Heading 2 2 3 6 2 3 6 3" xfId="40976"/>
    <cellStyle name="Heading 2 2 3 6 2 3 7" xfId="40977"/>
    <cellStyle name="Heading 2 2 3 6 2 3 7 2" xfId="40978"/>
    <cellStyle name="Heading 2 2 3 6 2 3 7 2 2" xfId="40979"/>
    <cellStyle name="Heading 2 2 3 6 2 3 7 3" xfId="40980"/>
    <cellStyle name="Heading 2 2 3 6 2 3 8" xfId="40981"/>
    <cellStyle name="Heading 2 2 3 6 2 3 8 2" xfId="40982"/>
    <cellStyle name="Heading 2 2 3 6 2 3 9" xfId="40983"/>
    <cellStyle name="Heading 2 2 3 6 2 4" xfId="40984"/>
    <cellStyle name="Heading 2 2 3 6 2 4 2" xfId="40985"/>
    <cellStyle name="Heading 2 2 3 6 2 4 2 2" xfId="40986"/>
    <cellStyle name="Heading 2 2 3 6 2 4 2 2 2" xfId="40987"/>
    <cellStyle name="Heading 2 2 3 6 2 4 2 3" xfId="40988"/>
    <cellStyle name="Heading 2 2 3 6 2 4 3" xfId="40989"/>
    <cellStyle name="Heading 2 2 3 6 2 4 3 2" xfId="40990"/>
    <cellStyle name="Heading 2 2 3 6 2 4 3 2 2" xfId="40991"/>
    <cellStyle name="Heading 2 2 3 6 2 4 3 3" xfId="40992"/>
    <cellStyle name="Heading 2 2 3 6 2 4 4" xfId="40993"/>
    <cellStyle name="Heading 2 2 3 6 2 4 4 2" xfId="40994"/>
    <cellStyle name="Heading 2 2 3 6 2 4 4 2 2" xfId="40995"/>
    <cellStyle name="Heading 2 2 3 6 2 4 4 3" xfId="40996"/>
    <cellStyle name="Heading 2 2 3 6 2 4 5" xfId="40997"/>
    <cellStyle name="Heading 2 2 3 6 2 4 5 2" xfId="40998"/>
    <cellStyle name="Heading 2 2 3 6 2 4 5 2 2" xfId="40999"/>
    <cellStyle name="Heading 2 2 3 6 2 4 5 3" xfId="41000"/>
    <cellStyle name="Heading 2 2 3 6 2 4 6" xfId="41001"/>
    <cellStyle name="Heading 2 2 3 6 2 4 6 2" xfId="41002"/>
    <cellStyle name="Heading 2 2 3 6 2 4 6 2 2" xfId="41003"/>
    <cellStyle name="Heading 2 2 3 6 2 4 6 3" xfId="41004"/>
    <cellStyle name="Heading 2 2 3 6 2 4 7" xfId="41005"/>
    <cellStyle name="Heading 2 2 3 6 2 4 7 2" xfId="41006"/>
    <cellStyle name="Heading 2 2 3 6 2 4 7 2 2" xfId="41007"/>
    <cellStyle name="Heading 2 2 3 6 2 4 7 3" xfId="41008"/>
    <cellStyle name="Heading 2 2 3 6 2 4 8" xfId="41009"/>
    <cellStyle name="Heading 2 2 3 6 2 4 8 2" xfId="41010"/>
    <cellStyle name="Heading 2 2 3 6 2 4 9" xfId="41011"/>
    <cellStyle name="Heading 2 2 3 6 2 5" xfId="41012"/>
    <cellStyle name="Heading 2 2 3 6 2 5 2" xfId="41013"/>
    <cellStyle name="Heading 2 2 3 6 2 5 2 2" xfId="41014"/>
    <cellStyle name="Heading 2 2 3 6 2 5 2 2 2" xfId="41015"/>
    <cellStyle name="Heading 2 2 3 6 2 5 2 3" xfId="41016"/>
    <cellStyle name="Heading 2 2 3 6 2 5 3" xfId="41017"/>
    <cellStyle name="Heading 2 2 3 6 2 5 3 2" xfId="41018"/>
    <cellStyle name="Heading 2 2 3 6 2 5 3 2 2" xfId="41019"/>
    <cellStyle name="Heading 2 2 3 6 2 5 3 3" xfId="41020"/>
    <cellStyle name="Heading 2 2 3 6 2 5 4" xfId="41021"/>
    <cellStyle name="Heading 2 2 3 6 2 5 4 2" xfId="41022"/>
    <cellStyle name="Heading 2 2 3 6 2 5 4 2 2" xfId="41023"/>
    <cellStyle name="Heading 2 2 3 6 2 5 4 3" xfId="41024"/>
    <cellStyle name="Heading 2 2 3 6 2 5 5" xfId="41025"/>
    <cellStyle name="Heading 2 2 3 6 2 5 5 2" xfId="41026"/>
    <cellStyle name="Heading 2 2 3 6 2 5 5 2 2" xfId="41027"/>
    <cellStyle name="Heading 2 2 3 6 2 5 5 3" xfId="41028"/>
    <cellStyle name="Heading 2 2 3 6 2 5 6" xfId="41029"/>
    <cellStyle name="Heading 2 2 3 6 2 5 6 2" xfId="41030"/>
    <cellStyle name="Heading 2 2 3 6 2 5 6 2 2" xfId="41031"/>
    <cellStyle name="Heading 2 2 3 6 2 5 6 3" xfId="41032"/>
    <cellStyle name="Heading 2 2 3 6 2 5 7" xfId="41033"/>
    <cellStyle name="Heading 2 2 3 6 2 5 7 2" xfId="41034"/>
    <cellStyle name="Heading 2 2 3 6 2 5 7 2 2" xfId="41035"/>
    <cellStyle name="Heading 2 2 3 6 2 5 7 3" xfId="41036"/>
    <cellStyle name="Heading 2 2 3 6 2 5 8" xfId="41037"/>
    <cellStyle name="Heading 2 2 3 6 2 5 8 2" xfId="41038"/>
    <cellStyle name="Heading 2 2 3 6 2 5 9" xfId="41039"/>
    <cellStyle name="Heading 2 2 3 6 2 6" xfId="41040"/>
    <cellStyle name="Heading 2 2 3 6 2 6 2" xfId="41041"/>
    <cellStyle name="Heading 2 2 3 6 2 6 2 2" xfId="41042"/>
    <cellStyle name="Heading 2 2 3 6 2 6 2 2 2" xfId="41043"/>
    <cellStyle name="Heading 2 2 3 6 2 6 2 3" xfId="41044"/>
    <cellStyle name="Heading 2 2 3 6 2 6 3" xfId="41045"/>
    <cellStyle name="Heading 2 2 3 6 2 6 3 2" xfId="41046"/>
    <cellStyle name="Heading 2 2 3 6 2 6 3 2 2" xfId="41047"/>
    <cellStyle name="Heading 2 2 3 6 2 6 3 3" xfId="41048"/>
    <cellStyle name="Heading 2 2 3 6 2 6 4" xfId="41049"/>
    <cellStyle name="Heading 2 2 3 6 2 6 4 2" xfId="41050"/>
    <cellStyle name="Heading 2 2 3 6 2 6 4 2 2" xfId="41051"/>
    <cellStyle name="Heading 2 2 3 6 2 6 4 3" xfId="41052"/>
    <cellStyle name="Heading 2 2 3 6 2 6 5" xfId="41053"/>
    <cellStyle name="Heading 2 2 3 6 2 6 5 2" xfId="41054"/>
    <cellStyle name="Heading 2 2 3 6 2 6 5 2 2" xfId="41055"/>
    <cellStyle name="Heading 2 2 3 6 2 6 5 3" xfId="41056"/>
    <cellStyle name="Heading 2 2 3 6 2 6 6" xfId="41057"/>
    <cellStyle name="Heading 2 2 3 6 2 6 6 2" xfId="41058"/>
    <cellStyle name="Heading 2 2 3 6 2 6 6 2 2" xfId="41059"/>
    <cellStyle name="Heading 2 2 3 6 2 6 6 3" xfId="41060"/>
    <cellStyle name="Heading 2 2 3 6 2 6 7" xfId="41061"/>
    <cellStyle name="Heading 2 2 3 6 2 6 7 2" xfId="41062"/>
    <cellStyle name="Heading 2 2 3 6 2 6 7 2 2" xfId="41063"/>
    <cellStyle name="Heading 2 2 3 6 2 6 7 3" xfId="41064"/>
    <cellStyle name="Heading 2 2 3 6 2 6 8" xfId="41065"/>
    <cellStyle name="Heading 2 2 3 6 2 6 8 2" xfId="41066"/>
    <cellStyle name="Heading 2 2 3 6 2 6 9" xfId="41067"/>
    <cellStyle name="Heading 2 2 3 6 2 7" xfId="41068"/>
    <cellStyle name="Heading 2 2 3 6 2 7 2" xfId="41069"/>
    <cellStyle name="Heading 2 2 3 6 2 7 2 2" xfId="41070"/>
    <cellStyle name="Heading 2 2 3 6 2 7 2 2 2" xfId="41071"/>
    <cellStyle name="Heading 2 2 3 6 2 7 2 3" xfId="41072"/>
    <cellStyle name="Heading 2 2 3 6 2 7 3" xfId="41073"/>
    <cellStyle name="Heading 2 2 3 6 2 7 3 2" xfId="41074"/>
    <cellStyle name="Heading 2 2 3 6 2 7 3 2 2" xfId="41075"/>
    <cellStyle name="Heading 2 2 3 6 2 7 3 3" xfId="41076"/>
    <cellStyle name="Heading 2 2 3 6 2 7 4" xfId="41077"/>
    <cellStyle name="Heading 2 2 3 6 2 7 4 2" xfId="41078"/>
    <cellStyle name="Heading 2 2 3 6 2 7 4 2 2" xfId="41079"/>
    <cellStyle name="Heading 2 2 3 6 2 7 4 3" xfId="41080"/>
    <cellStyle name="Heading 2 2 3 6 2 7 5" xfId="41081"/>
    <cellStyle name="Heading 2 2 3 6 2 7 5 2" xfId="41082"/>
    <cellStyle name="Heading 2 2 3 6 2 7 5 2 2" xfId="41083"/>
    <cellStyle name="Heading 2 2 3 6 2 7 5 3" xfId="41084"/>
    <cellStyle name="Heading 2 2 3 6 2 7 6" xfId="41085"/>
    <cellStyle name="Heading 2 2 3 6 2 7 6 2" xfId="41086"/>
    <cellStyle name="Heading 2 2 3 6 2 7 6 2 2" xfId="41087"/>
    <cellStyle name="Heading 2 2 3 6 2 7 6 3" xfId="41088"/>
    <cellStyle name="Heading 2 2 3 6 2 7 7" xfId="41089"/>
    <cellStyle name="Heading 2 2 3 6 2 7 7 2" xfId="41090"/>
    <cellStyle name="Heading 2 2 3 6 2 7 7 2 2" xfId="41091"/>
    <cellStyle name="Heading 2 2 3 6 2 7 7 3" xfId="41092"/>
    <cellStyle name="Heading 2 2 3 6 2 7 8" xfId="41093"/>
    <cellStyle name="Heading 2 2 3 6 2 7 8 2" xfId="41094"/>
    <cellStyle name="Heading 2 2 3 6 2 7 9" xfId="41095"/>
    <cellStyle name="Heading 2 2 3 6 2 8" xfId="41096"/>
    <cellStyle name="Heading 2 2 3 6 2 8 2" xfId="41097"/>
    <cellStyle name="Heading 2 2 3 6 2 8 2 2" xfId="41098"/>
    <cellStyle name="Heading 2 2 3 6 2 8 2 2 2" xfId="41099"/>
    <cellStyle name="Heading 2 2 3 6 2 8 2 3" xfId="41100"/>
    <cellStyle name="Heading 2 2 3 6 2 8 3" xfId="41101"/>
    <cellStyle name="Heading 2 2 3 6 2 8 3 2" xfId="41102"/>
    <cellStyle name="Heading 2 2 3 6 2 8 3 2 2" xfId="41103"/>
    <cellStyle name="Heading 2 2 3 6 2 8 3 3" xfId="41104"/>
    <cellStyle name="Heading 2 2 3 6 2 8 4" xfId="41105"/>
    <cellStyle name="Heading 2 2 3 6 2 8 4 2" xfId="41106"/>
    <cellStyle name="Heading 2 2 3 6 2 8 4 2 2" xfId="41107"/>
    <cellStyle name="Heading 2 2 3 6 2 8 4 3" xfId="41108"/>
    <cellStyle name="Heading 2 2 3 6 2 8 5" xfId="41109"/>
    <cellStyle name="Heading 2 2 3 6 2 8 5 2" xfId="41110"/>
    <cellStyle name="Heading 2 2 3 6 2 8 5 2 2" xfId="41111"/>
    <cellStyle name="Heading 2 2 3 6 2 8 5 3" xfId="41112"/>
    <cellStyle name="Heading 2 2 3 6 2 8 6" xfId="41113"/>
    <cellStyle name="Heading 2 2 3 6 2 8 6 2" xfId="41114"/>
    <cellStyle name="Heading 2 2 3 6 2 8 6 2 2" xfId="41115"/>
    <cellStyle name="Heading 2 2 3 6 2 8 6 3" xfId="41116"/>
    <cellStyle name="Heading 2 2 3 6 2 8 7" xfId="41117"/>
    <cellStyle name="Heading 2 2 3 6 2 8 7 2" xfId="41118"/>
    <cellStyle name="Heading 2 2 3 6 2 8 7 2 2" xfId="41119"/>
    <cellStyle name="Heading 2 2 3 6 2 8 7 3" xfId="41120"/>
    <cellStyle name="Heading 2 2 3 6 2 8 8" xfId="41121"/>
    <cellStyle name="Heading 2 2 3 6 2 8 8 2" xfId="41122"/>
    <cellStyle name="Heading 2 2 3 6 2 8 9" xfId="41123"/>
    <cellStyle name="Heading 2 2 3 6 2 9" xfId="41124"/>
    <cellStyle name="Heading 2 2 3 6 2 9 2" xfId="41125"/>
    <cellStyle name="Heading 2 2 3 6 2 9 2 2" xfId="41126"/>
    <cellStyle name="Heading 2 2 3 6 2 9 2 2 2" xfId="41127"/>
    <cellStyle name="Heading 2 2 3 6 2 9 2 3" xfId="41128"/>
    <cellStyle name="Heading 2 2 3 6 2 9 3" xfId="41129"/>
    <cellStyle name="Heading 2 2 3 6 2 9 3 2" xfId="41130"/>
    <cellStyle name="Heading 2 2 3 6 2 9 3 2 2" xfId="41131"/>
    <cellStyle name="Heading 2 2 3 6 2 9 3 3" xfId="41132"/>
    <cellStyle name="Heading 2 2 3 6 2 9 4" xfId="41133"/>
    <cellStyle name="Heading 2 2 3 6 2 9 4 2" xfId="41134"/>
    <cellStyle name="Heading 2 2 3 6 2 9 4 2 2" xfId="41135"/>
    <cellStyle name="Heading 2 2 3 6 2 9 4 3" xfId="41136"/>
    <cellStyle name="Heading 2 2 3 6 2 9 5" xfId="41137"/>
    <cellStyle name="Heading 2 2 3 6 2 9 5 2" xfId="41138"/>
    <cellStyle name="Heading 2 2 3 6 2 9 5 2 2" xfId="41139"/>
    <cellStyle name="Heading 2 2 3 6 2 9 5 3" xfId="41140"/>
    <cellStyle name="Heading 2 2 3 6 2 9 6" xfId="41141"/>
    <cellStyle name="Heading 2 2 3 6 2 9 6 2" xfId="41142"/>
    <cellStyle name="Heading 2 2 3 6 2 9 6 2 2" xfId="41143"/>
    <cellStyle name="Heading 2 2 3 6 2 9 6 3" xfId="41144"/>
    <cellStyle name="Heading 2 2 3 6 2 9 7" xfId="41145"/>
    <cellStyle name="Heading 2 2 3 6 2 9 7 2" xfId="41146"/>
    <cellStyle name="Heading 2 2 3 6 2 9 7 2 2" xfId="41147"/>
    <cellStyle name="Heading 2 2 3 6 2 9 7 3" xfId="41148"/>
    <cellStyle name="Heading 2 2 3 6 2 9 8" xfId="41149"/>
    <cellStyle name="Heading 2 2 3 6 2 9 8 2" xfId="41150"/>
    <cellStyle name="Heading 2 2 3 6 2 9 9" xfId="41151"/>
    <cellStyle name="Heading 2 2 3 6 3" xfId="41152"/>
    <cellStyle name="Heading 2 2 3 6 3 10" xfId="41153"/>
    <cellStyle name="Heading 2 2 3 6 3 10 2" xfId="41154"/>
    <cellStyle name="Heading 2 2 3 6 3 10 2 2" xfId="41155"/>
    <cellStyle name="Heading 2 2 3 6 3 10 3" xfId="41156"/>
    <cellStyle name="Heading 2 2 3 6 3 11" xfId="41157"/>
    <cellStyle name="Heading 2 2 3 6 3 11 2" xfId="41158"/>
    <cellStyle name="Heading 2 2 3 6 3 11 2 2" xfId="41159"/>
    <cellStyle name="Heading 2 2 3 6 3 11 3" xfId="41160"/>
    <cellStyle name="Heading 2 2 3 6 3 12" xfId="41161"/>
    <cellStyle name="Heading 2 2 3 6 3 12 2" xfId="41162"/>
    <cellStyle name="Heading 2 2 3 6 3 12 2 2" xfId="41163"/>
    <cellStyle name="Heading 2 2 3 6 3 12 3" xfId="41164"/>
    <cellStyle name="Heading 2 2 3 6 3 13" xfId="41165"/>
    <cellStyle name="Heading 2 2 3 6 3 13 2" xfId="41166"/>
    <cellStyle name="Heading 2 2 3 6 3 13 2 2" xfId="41167"/>
    <cellStyle name="Heading 2 2 3 6 3 13 3" xfId="41168"/>
    <cellStyle name="Heading 2 2 3 6 3 14" xfId="41169"/>
    <cellStyle name="Heading 2 2 3 6 3 14 2" xfId="41170"/>
    <cellStyle name="Heading 2 2 3 6 3 14 2 2" xfId="41171"/>
    <cellStyle name="Heading 2 2 3 6 3 14 3" xfId="41172"/>
    <cellStyle name="Heading 2 2 3 6 3 15" xfId="41173"/>
    <cellStyle name="Heading 2 2 3 6 3 15 2" xfId="41174"/>
    <cellStyle name="Heading 2 2 3 6 3 15 2 2" xfId="41175"/>
    <cellStyle name="Heading 2 2 3 6 3 15 3" xfId="41176"/>
    <cellStyle name="Heading 2 2 3 6 3 16" xfId="41177"/>
    <cellStyle name="Heading 2 2 3 6 3 16 2" xfId="41178"/>
    <cellStyle name="Heading 2 2 3 6 3 16 2 2" xfId="41179"/>
    <cellStyle name="Heading 2 2 3 6 3 16 3" xfId="41180"/>
    <cellStyle name="Heading 2 2 3 6 3 17" xfId="41181"/>
    <cellStyle name="Heading 2 2 3 6 3 17 2" xfId="41182"/>
    <cellStyle name="Heading 2 2 3 6 3 17 2 2" xfId="41183"/>
    <cellStyle name="Heading 2 2 3 6 3 17 3" xfId="41184"/>
    <cellStyle name="Heading 2 2 3 6 3 18" xfId="41185"/>
    <cellStyle name="Heading 2 2 3 6 3 18 2" xfId="41186"/>
    <cellStyle name="Heading 2 2 3 6 3 18 2 2" xfId="41187"/>
    <cellStyle name="Heading 2 2 3 6 3 18 3" xfId="41188"/>
    <cellStyle name="Heading 2 2 3 6 3 19" xfId="41189"/>
    <cellStyle name="Heading 2 2 3 6 3 19 2" xfId="41190"/>
    <cellStyle name="Heading 2 2 3 6 3 2" xfId="41191"/>
    <cellStyle name="Heading 2 2 3 6 3 2 2" xfId="41192"/>
    <cellStyle name="Heading 2 2 3 6 3 2 2 2" xfId="41193"/>
    <cellStyle name="Heading 2 2 3 6 3 2 2 2 2" xfId="41194"/>
    <cellStyle name="Heading 2 2 3 6 3 2 2 3" xfId="41195"/>
    <cellStyle name="Heading 2 2 3 6 3 2 3" xfId="41196"/>
    <cellStyle name="Heading 2 2 3 6 3 2 3 2" xfId="41197"/>
    <cellStyle name="Heading 2 2 3 6 3 2 3 2 2" xfId="41198"/>
    <cellStyle name="Heading 2 2 3 6 3 2 3 3" xfId="41199"/>
    <cellStyle name="Heading 2 2 3 6 3 2 4" xfId="41200"/>
    <cellStyle name="Heading 2 2 3 6 3 2 4 2" xfId="41201"/>
    <cellStyle name="Heading 2 2 3 6 3 2 4 2 2" xfId="41202"/>
    <cellStyle name="Heading 2 2 3 6 3 2 4 3" xfId="41203"/>
    <cellStyle name="Heading 2 2 3 6 3 2 5" xfId="41204"/>
    <cellStyle name="Heading 2 2 3 6 3 2 5 2" xfId="41205"/>
    <cellStyle name="Heading 2 2 3 6 3 2 5 2 2" xfId="41206"/>
    <cellStyle name="Heading 2 2 3 6 3 2 5 3" xfId="41207"/>
    <cellStyle name="Heading 2 2 3 6 3 2 6" xfId="41208"/>
    <cellStyle name="Heading 2 2 3 6 3 2 6 2" xfId="41209"/>
    <cellStyle name="Heading 2 2 3 6 3 2 6 2 2" xfId="41210"/>
    <cellStyle name="Heading 2 2 3 6 3 2 6 3" xfId="41211"/>
    <cellStyle name="Heading 2 2 3 6 3 2 7" xfId="41212"/>
    <cellStyle name="Heading 2 2 3 6 3 2 7 2" xfId="41213"/>
    <cellStyle name="Heading 2 2 3 6 3 2 7 2 2" xfId="41214"/>
    <cellStyle name="Heading 2 2 3 6 3 2 7 3" xfId="41215"/>
    <cellStyle name="Heading 2 2 3 6 3 2 8" xfId="41216"/>
    <cellStyle name="Heading 2 2 3 6 3 2 8 2" xfId="41217"/>
    <cellStyle name="Heading 2 2 3 6 3 2 9" xfId="41218"/>
    <cellStyle name="Heading 2 2 3 6 3 20" xfId="41219"/>
    <cellStyle name="Heading 2 2 3 6 3 20 2" xfId="41220"/>
    <cellStyle name="Heading 2 2 3 6 3 21" xfId="41221"/>
    <cellStyle name="Heading 2 2 3 6 3 21 2" xfId="41222"/>
    <cellStyle name="Heading 2 2 3 6 3 22" xfId="41223"/>
    <cellStyle name="Heading 2 2 3 6 3 3" xfId="41224"/>
    <cellStyle name="Heading 2 2 3 6 3 3 2" xfId="41225"/>
    <cellStyle name="Heading 2 2 3 6 3 3 2 2" xfId="41226"/>
    <cellStyle name="Heading 2 2 3 6 3 3 2 2 2" xfId="41227"/>
    <cellStyle name="Heading 2 2 3 6 3 3 2 3" xfId="41228"/>
    <cellStyle name="Heading 2 2 3 6 3 3 3" xfId="41229"/>
    <cellStyle name="Heading 2 2 3 6 3 3 3 2" xfId="41230"/>
    <cellStyle name="Heading 2 2 3 6 3 3 3 2 2" xfId="41231"/>
    <cellStyle name="Heading 2 2 3 6 3 3 3 3" xfId="41232"/>
    <cellStyle name="Heading 2 2 3 6 3 3 4" xfId="41233"/>
    <cellStyle name="Heading 2 2 3 6 3 3 4 2" xfId="41234"/>
    <cellStyle name="Heading 2 2 3 6 3 3 4 2 2" xfId="41235"/>
    <cellStyle name="Heading 2 2 3 6 3 3 4 3" xfId="41236"/>
    <cellStyle name="Heading 2 2 3 6 3 3 5" xfId="41237"/>
    <cellStyle name="Heading 2 2 3 6 3 3 5 2" xfId="41238"/>
    <cellStyle name="Heading 2 2 3 6 3 3 5 2 2" xfId="41239"/>
    <cellStyle name="Heading 2 2 3 6 3 3 5 3" xfId="41240"/>
    <cellStyle name="Heading 2 2 3 6 3 3 6" xfId="41241"/>
    <cellStyle name="Heading 2 2 3 6 3 3 6 2" xfId="41242"/>
    <cellStyle name="Heading 2 2 3 6 3 3 6 2 2" xfId="41243"/>
    <cellStyle name="Heading 2 2 3 6 3 3 6 3" xfId="41244"/>
    <cellStyle name="Heading 2 2 3 6 3 3 7" xfId="41245"/>
    <cellStyle name="Heading 2 2 3 6 3 3 7 2" xfId="41246"/>
    <cellStyle name="Heading 2 2 3 6 3 3 7 2 2" xfId="41247"/>
    <cellStyle name="Heading 2 2 3 6 3 3 7 3" xfId="41248"/>
    <cellStyle name="Heading 2 2 3 6 3 3 8" xfId="41249"/>
    <cellStyle name="Heading 2 2 3 6 3 3 8 2" xfId="41250"/>
    <cellStyle name="Heading 2 2 3 6 3 3 9" xfId="41251"/>
    <cellStyle name="Heading 2 2 3 6 3 4" xfId="41252"/>
    <cellStyle name="Heading 2 2 3 6 3 4 2" xfId="41253"/>
    <cellStyle name="Heading 2 2 3 6 3 4 2 2" xfId="41254"/>
    <cellStyle name="Heading 2 2 3 6 3 4 2 2 2" xfId="41255"/>
    <cellStyle name="Heading 2 2 3 6 3 4 2 3" xfId="41256"/>
    <cellStyle name="Heading 2 2 3 6 3 4 3" xfId="41257"/>
    <cellStyle name="Heading 2 2 3 6 3 4 3 2" xfId="41258"/>
    <cellStyle name="Heading 2 2 3 6 3 4 3 2 2" xfId="41259"/>
    <cellStyle name="Heading 2 2 3 6 3 4 3 3" xfId="41260"/>
    <cellStyle name="Heading 2 2 3 6 3 4 4" xfId="41261"/>
    <cellStyle name="Heading 2 2 3 6 3 4 4 2" xfId="41262"/>
    <cellStyle name="Heading 2 2 3 6 3 4 4 2 2" xfId="41263"/>
    <cellStyle name="Heading 2 2 3 6 3 4 4 3" xfId="41264"/>
    <cellStyle name="Heading 2 2 3 6 3 4 5" xfId="41265"/>
    <cellStyle name="Heading 2 2 3 6 3 4 5 2" xfId="41266"/>
    <cellStyle name="Heading 2 2 3 6 3 4 5 2 2" xfId="41267"/>
    <cellStyle name="Heading 2 2 3 6 3 4 5 3" xfId="41268"/>
    <cellStyle name="Heading 2 2 3 6 3 4 6" xfId="41269"/>
    <cellStyle name="Heading 2 2 3 6 3 4 6 2" xfId="41270"/>
    <cellStyle name="Heading 2 2 3 6 3 4 6 2 2" xfId="41271"/>
    <cellStyle name="Heading 2 2 3 6 3 4 6 3" xfId="41272"/>
    <cellStyle name="Heading 2 2 3 6 3 4 7" xfId="41273"/>
    <cellStyle name="Heading 2 2 3 6 3 4 7 2" xfId="41274"/>
    <cellStyle name="Heading 2 2 3 6 3 4 7 2 2" xfId="41275"/>
    <cellStyle name="Heading 2 2 3 6 3 4 7 3" xfId="41276"/>
    <cellStyle name="Heading 2 2 3 6 3 4 8" xfId="41277"/>
    <cellStyle name="Heading 2 2 3 6 3 4 8 2" xfId="41278"/>
    <cellStyle name="Heading 2 2 3 6 3 4 9" xfId="41279"/>
    <cellStyle name="Heading 2 2 3 6 3 5" xfId="41280"/>
    <cellStyle name="Heading 2 2 3 6 3 5 2" xfId="41281"/>
    <cellStyle name="Heading 2 2 3 6 3 5 2 2" xfId="41282"/>
    <cellStyle name="Heading 2 2 3 6 3 5 2 2 2" xfId="41283"/>
    <cellStyle name="Heading 2 2 3 6 3 5 2 3" xfId="41284"/>
    <cellStyle name="Heading 2 2 3 6 3 5 3" xfId="41285"/>
    <cellStyle name="Heading 2 2 3 6 3 5 3 2" xfId="41286"/>
    <cellStyle name="Heading 2 2 3 6 3 5 3 2 2" xfId="41287"/>
    <cellStyle name="Heading 2 2 3 6 3 5 3 3" xfId="41288"/>
    <cellStyle name="Heading 2 2 3 6 3 5 4" xfId="41289"/>
    <cellStyle name="Heading 2 2 3 6 3 5 4 2" xfId="41290"/>
    <cellStyle name="Heading 2 2 3 6 3 5 4 2 2" xfId="41291"/>
    <cellStyle name="Heading 2 2 3 6 3 5 4 3" xfId="41292"/>
    <cellStyle name="Heading 2 2 3 6 3 5 5" xfId="41293"/>
    <cellStyle name="Heading 2 2 3 6 3 5 5 2" xfId="41294"/>
    <cellStyle name="Heading 2 2 3 6 3 5 5 2 2" xfId="41295"/>
    <cellStyle name="Heading 2 2 3 6 3 5 5 3" xfId="41296"/>
    <cellStyle name="Heading 2 2 3 6 3 5 6" xfId="41297"/>
    <cellStyle name="Heading 2 2 3 6 3 5 6 2" xfId="41298"/>
    <cellStyle name="Heading 2 2 3 6 3 5 6 2 2" xfId="41299"/>
    <cellStyle name="Heading 2 2 3 6 3 5 6 3" xfId="41300"/>
    <cellStyle name="Heading 2 2 3 6 3 5 7" xfId="41301"/>
    <cellStyle name="Heading 2 2 3 6 3 5 7 2" xfId="41302"/>
    <cellStyle name="Heading 2 2 3 6 3 5 7 2 2" xfId="41303"/>
    <cellStyle name="Heading 2 2 3 6 3 5 7 3" xfId="41304"/>
    <cellStyle name="Heading 2 2 3 6 3 5 8" xfId="41305"/>
    <cellStyle name="Heading 2 2 3 6 3 5 8 2" xfId="41306"/>
    <cellStyle name="Heading 2 2 3 6 3 5 9" xfId="41307"/>
    <cellStyle name="Heading 2 2 3 6 3 6" xfId="41308"/>
    <cellStyle name="Heading 2 2 3 6 3 6 2" xfId="41309"/>
    <cellStyle name="Heading 2 2 3 6 3 6 2 2" xfId="41310"/>
    <cellStyle name="Heading 2 2 3 6 3 6 2 2 2" xfId="41311"/>
    <cellStyle name="Heading 2 2 3 6 3 6 2 3" xfId="41312"/>
    <cellStyle name="Heading 2 2 3 6 3 6 3" xfId="41313"/>
    <cellStyle name="Heading 2 2 3 6 3 6 3 2" xfId="41314"/>
    <cellStyle name="Heading 2 2 3 6 3 6 3 2 2" xfId="41315"/>
    <cellStyle name="Heading 2 2 3 6 3 6 3 3" xfId="41316"/>
    <cellStyle name="Heading 2 2 3 6 3 6 4" xfId="41317"/>
    <cellStyle name="Heading 2 2 3 6 3 6 4 2" xfId="41318"/>
    <cellStyle name="Heading 2 2 3 6 3 6 4 2 2" xfId="41319"/>
    <cellStyle name="Heading 2 2 3 6 3 6 4 3" xfId="41320"/>
    <cellStyle name="Heading 2 2 3 6 3 6 5" xfId="41321"/>
    <cellStyle name="Heading 2 2 3 6 3 6 5 2" xfId="41322"/>
    <cellStyle name="Heading 2 2 3 6 3 6 5 2 2" xfId="41323"/>
    <cellStyle name="Heading 2 2 3 6 3 6 5 3" xfId="41324"/>
    <cellStyle name="Heading 2 2 3 6 3 6 6" xfId="41325"/>
    <cellStyle name="Heading 2 2 3 6 3 6 6 2" xfId="41326"/>
    <cellStyle name="Heading 2 2 3 6 3 6 6 2 2" xfId="41327"/>
    <cellStyle name="Heading 2 2 3 6 3 6 6 3" xfId="41328"/>
    <cellStyle name="Heading 2 2 3 6 3 6 7" xfId="41329"/>
    <cellStyle name="Heading 2 2 3 6 3 6 7 2" xfId="41330"/>
    <cellStyle name="Heading 2 2 3 6 3 6 7 2 2" xfId="41331"/>
    <cellStyle name="Heading 2 2 3 6 3 6 7 3" xfId="41332"/>
    <cellStyle name="Heading 2 2 3 6 3 6 8" xfId="41333"/>
    <cellStyle name="Heading 2 2 3 6 3 6 8 2" xfId="41334"/>
    <cellStyle name="Heading 2 2 3 6 3 6 9" xfId="41335"/>
    <cellStyle name="Heading 2 2 3 6 3 7" xfId="41336"/>
    <cellStyle name="Heading 2 2 3 6 3 7 2" xfId="41337"/>
    <cellStyle name="Heading 2 2 3 6 3 7 2 2" xfId="41338"/>
    <cellStyle name="Heading 2 2 3 6 3 7 2 2 2" xfId="41339"/>
    <cellStyle name="Heading 2 2 3 6 3 7 2 3" xfId="41340"/>
    <cellStyle name="Heading 2 2 3 6 3 7 3" xfId="41341"/>
    <cellStyle name="Heading 2 2 3 6 3 7 3 2" xfId="41342"/>
    <cellStyle name="Heading 2 2 3 6 3 7 3 2 2" xfId="41343"/>
    <cellStyle name="Heading 2 2 3 6 3 7 3 3" xfId="41344"/>
    <cellStyle name="Heading 2 2 3 6 3 7 4" xfId="41345"/>
    <cellStyle name="Heading 2 2 3 6 3 7 4 2" xfId="41346"/>
    <cellStyle name="Heading 2 2 3 6 3 7 4 2 2" xfId="41347"/>
    <cellStyle name="Heading 2 2 3 6 3 7 4 3" xfId="41348"/>
    <cellStyle name="Heading 2 2 3 6 3 7 5" xfId="41349"/>
    <cellStyle name="Heading 2 2 3 6 3 7 5 2" xfId="41350"/>
    <cellStyle name="Heading 2 2 3 6 3 7 5 2 2" xfId="41351"/>
    <cellStyle name="Heading 2 2 3 6 3 7 5 3" xfId="41352"/>
    <cellStyle name="Heading 2 2 3 6 3 7 6" xfId="41353"/>
    <cellStyle name="Heading 2 2 3 6 3 7 6 2" xfId="41354"/>
    <cellStyle name="Heading 2 2 3 6 3 7 6 2 2" xfId="41355"/>
    <cellStyle name="Heading 2 2 3 6 3 7 6 3" xfId="41356"/>
    <cellStyle name="Heading 2 2 3 6 3 7 7" xfId="41357"/>
    <cellStyle name="Heading 2 2 3 6 3 7 7 2" xfId="41358"/>
    <cellStyle name="Heading 2 2 3 6 3 7 7 2 2" xfId="41359"/>
    <cellStyle name="Heading 2 2 3 6 3 7 7 3" xfId="41360"/>
    <cellStyle name="Heading 2 2 3 6 3 7 8" xfId="41361"/>
    <cellStyle name="Heading 2 2 3 6 3 7 8 2" xfId="41362"/>
    <cellStyle name="Heading 2 2 3 6 3 7 9" xfId="41363"/>
    <cellStyle name="Heading 2 2 3 6 3 8" xfId="41364"/>
    <cellStyle name="Heading 2 2 3 6 3 8 2" xfId="41365"/>
    <cellStyle name="Heading 2 2 3 6 3 8 2 2" xfId="41366"/>
    <cellStyle name="Heading 2 2 3 6 3 8 2 2 2" xfId="41367"/>
    <cellStyle name="Heading 2 2 3 6 3 8 2 3" xfId="41368"/>
    <cellStyle name="Heading 2 2 3 6 3 8 3" xfId="41369"/>
    <cellStyle name="Heading 2 2 3 6 3 8 3 2" xfId="41370"/>
    <cellStyle name="Heading 2 2 3 6 3 8 3 2 2" xfId="41371"/>
    <cellStyle name="Heading 2 2 3 6 3 8 3 3" xfId="41372"/>
    <cellStyle name="Heading 2 2 3 6 3 8 4" xfId="41373"/>
    <cellStyle name="Heading 2 2 3 6 3 8 4 2" xfId="41374"/>
    <cellStyle name="Heading 2 2 3 6 3 8 4 2 2" xfId="41375"/>
    <cellStyle name="Heading 2 2 3 6 3 8 4 3" xfId="41376"/>
    <cellStyle name="Heading 2 2 3 6 3 8 5" xfId="41377"/>
    <cellStyle name="Heading 2 2 3 6 3 8 5 2" xfId="41378"/>
    <cellStyle name="Heading 2 2 3 6 3 8 5 2 2" xfId="41379"/>
    <cellStyle name="Heading 2 2 3 6 3 8 5 3" xfId="41380"/>
    <cellStyle name="Heading 2 2 3 6 3 8 6" xfId="41381"/>
    <cellStyle name="Heading 2 2 3 6 3 8 6 2" xfId="41382"/>
    <cellStyle name="Heading 2 2 3 6 3 8 6 2 2" xfId="41383"/>
    <cellStyle name="Heading 2 2 3 6 3 8 6 3" xfId="41384"/>
    <cellStyle name="Heading 2 2 3 6 3 8 7" xfId="41385"/>
    <cellStyle name="Heading 2 2 3 6 3 8 7 2" xfId="41386"/>
    <cellStyle name="Heading 2 2 3 6 3 8 7 2 2" xfId="41387"/>
    <cellStyle name="Heading 2 2 3 6 3 8 7 3" xfId="41388"/>
    <cellStyle name="Heading 2 2 3 6 3 8 8" xfId="41389"/>
    <cellStyle name="Heading 2 2 3 6 3 8 8 2" xfId="41390"/>
    <cellStyle name="Heading 2 2 3 6 3 8 9" xfId="41391"/>
    <cellStyle name="Heading 2 2 3 6 3 9" xfId="41392"/>
    <cellStyle name="Heading 2 2 3 6 3 9 2" xfId="41393"/>
    <cellStyle name="Heading 2 2 3 6 3 9 2 2" xfId="41394"/>
    <cellStyle name="Heading 2 2 3 6 3 9 3" xfId="41395"/>
    <cellStyle name="Heading 2 2 3 6 4" xfId="41396"/>
    <cellStyle name="Heading 2 2 3 6 4 2" xfId="41397"/>
    <cellStyle name="Heading 2 2 3 6 4 2 2" xfId="41398"/>
    <cellStyle name="Heading 2 2 3 6 4 3" xfId="41399"/>
    <cellStyle name="Heading 2 2 3 6 5" xfId="41400"/>
    <cellStyle name="Heading 2 2 3 6 5 2" xfId="41401"/>
    <cellStyle name="Heading 2 2 3 6 6" xfId="41402"/>
    <cellStyle name="Heading 2 2 3 7" xfId="41403"/>
    <cellStyle name="Heading 2 2 3 7 2" xfId="41404"/>
    <cellStyle name="Heading 2 2 3 7 2 10" xfId="41405"/>
    <cellStyle name="Heading 2 2 3 7 2 10 2" xfId="41406"/>
    <cellStyle name="Heading 2 2 3 7 2 10 2 2" xfId="41407"/>
    <cellStyle name="Heading 2 2 3 7 2 10 3" xfId="41408"/>
    <cellStyle name="Heading 2 2 3 7 2 11" xfId="41409"/>
    <cellStyle name="Heading 2 2 3 7 2 11 2" xfId="41410"/>
    <cellStyle name="Heading 2 2 3 7 2 11 2 2" xfId="41411"/>
    <cellStyle name="Heading 2 2 3 7 2 11 3" xfId="41412"/>
    <cellStyle name="Heading 2 2 3 7 2 12" xfId="41413"/>
    <cellStyle name="Heading 2 2 3 7 2 12 2" xfId="41414"/>
    <cellStyle name="Heading 2 2 3 7 2 12 2 2" xfId="41415"/>
    <cellStyle name="Heading 2 2 3 7 2 12 3" xfId="41416"/>
    <cellStyle name="Heading 2 2 3 7 2 13" xfId="41417"/>
    <cellStyle name="Heading 2 2 3 7 2 13 2" xfId="41418"/>
    <cellStyle name="Heading 2 2 3 7 2 13 2 2" xfId="41419"/>
    <cellStyle name="Heading 2 2 3 7 2 13 3" xfId="41420"/>
    <cellStyle name="Heading 2 2 3 7 2 14" xfId="41421"/>
    <cellStyle name="Heading 2 2 3 7 2 14 2" xfId="41422"/>
    <cellStyle name="Heading 2 2 3 7 2 14 2 2" xfId="41423"/>
    <cellStyle name="Heading 2 2 3 7 2 14 3" xfId="41424"/>
    <cellStyle name="Heading 2 2 3 7 2 15" xfId="41425"/>
    <cellStyle name="Heading 2 2 3 7 2 15 2" xfId="41426"/>
    <cellStyle name="Heading 2 2 3 7 2 15 2 2" xfId="41427"/>
    <cellStyle name="Heading 2 2 3 7 2 15 3" xfId="41428"/>
    <cellStyle name="Heading 2 2 3 7 2 16" xfId="41429"/>
    <cellStyle name="Heading 2 2 3 7 2 16 2" xfId="41430"/>
    <cellStyle name="Heading 2 2 3 7 2 16 2 2" xfId="41431"/>
    <cellStyle name="Heading 2 2 3 7 2 16 3" xfId="41432"/>
    <cellStyle name="Heading 2 2 3 7 2 17" xfId="41433"/>
    <cellStyle name="Heading 2 2 3 7 2 17 2" xfId="41434"/>
    <cellStyle name="Heading 2 2 3 7 2 17 2 2" xfId="41435"/>
    <cellStyle name="Heading 2 2 3 7 2 17 3" xfId="41436"/>
    <cellStyle name="Heading 2 2 3 7 2 18" xfId="41437"/>
    <cellStyle name="Heading 2 2 3 7 2 18 2" xfId="41438"/>
    <cellStyle name="Heading 2 2 3 7 2 18 2 2" xfId="41439"/>
    <cellStyle name="Heading 2 2 3 7 2 18 3" xfId="41440"/>
    <cellStyle name="Heading 2 2 3 7 2 19" xfId="41441"/>
    <cellStyle name="Heading 2 2 3 7 2 19 2" xfId="41442"/>
    <cellStyle name="Heading 2 2 3 7 2 19 2 2" xfId="41443"/>
    <cellStyle name="Heading 2 2 3 7 2 19 3" xfId="41444"/>
    <cellStyle name="Heading 2 2 3 7 2 2" xfId="41445"/>
    <cellStyle name="Heading 2 2 3 7 2 2 10" xfId="41446"/>
    <cellStyle name="Heading 2 2 3 7 2 2 10 2" xfId="41447"/>
    <cellStyle name="Heading 2 2 3 7 2 2 10 2 2" xfId="41448"/>
    <cellStyle name="Heading 2 2 3 7 2 2 10 3" xfId="41449"/>
    <cellStyle name="Heading 2 2 3 7 2 2 11" xfId="41450"/>
    <cellStyle name="Heading 2 2 3 7 2 2 11 2" xfId="41451"/>
    <cellStyle name="Heading 2 2 3 7 2 2 11 2 2" xfId="41452"/>
    <cellStyle name="Heading 2 2 3 7 2 2 11 3" xfId="41453"/>
    <cellStyle name="Heading 2 2 3 7 2 2 12" xfId="41454"/>
    <cellStyle name="Heading 2 2 3 7 2 2 12 2" xfId="41455"/>
    <cellStyle name="Heading 2 2 3 7 2 2 12 2 2" xfId="41456"/>
    <cellStyle name="Heading 2 2 3 7 2 2 12 3" xfId="41457"/>
    <cellStyle name="Heading 2 2 3 7 2 2 13" xfId="41458"/>
    <cellStyle name="Heading 2 2 3 7 2 2 13 2" xfId="41459"/>
    <cellStyle name="Heading 2 2 3 7 2 2 13 2 2" xfId="41460"/>
    <cellStyle name="Heading 2 2 3 7 2 2 13 3" xfId="41461"/>
    <cellStyle name="Heading 2 2 3 7 2 2 14" xfId="41462"/>
    <cellStyle name="Heading 2 2 3 7 2 2 14 2" xfId="41463"/>
    <cellStyle name="Heading 2 2 3 7 2 2 14 2 2" xfId="41464"/>
    <cellStyle name="Heading 2 2 3 7 2 2 14 3" xfId="41465"/>
    <cellStyle name="Heading 2 2 3 7 2 2 15" xfId="41466"/>
    <cellStyle name="Heading 2 2 3 7 2 2 15 2" xfId="41467"/>
    <cellStyle name="Heading 2 2 3 7 2 2 15 2 2" xfId="41468"/>
    <cellStyle name="Heading 2 2 3 7 2 2 15 3" xfId="41469"/>
    <cellStyle name="Heading 2 2 3 7 2 2 16" xfId="41470"/>
    <cellStyle name="Heading 2 2 3 7 2 2 16 2" xfId="41471"/>
    <cellStyle name="Heading 2 2 3 7 2 2 16 2 2" xfId="41472"/>
    <cellStyle name="Heading 2 2 3 7 2 2 16 3" xfId="41473"/>
    <cellStyle name="Heading 2 2 3 7 2 2 17" xfId="41474"/>
    <cellStyle name="Heading 2 2 3 7 2 2 17 2" xfId="41475"/>
    <cellStyle name="Heading 2 2 3 7 2 2 17 2 2" xfId="41476"/>
    <cellStyle name="Heading 2 2 3 7 2 2 17 3" xfId="41477"/>
    <cellStyle name="Heading 2 2 3 7 2 2 18" xfId="41478"/>
    <cellStyle name="Heading 2 2 3 7 2 2 18 2" xfId="41479"/>
    <cellStyle name="Heading 2 2 3 7 2 2 18 2 2" xfId="41480"/>
    <cellStyle name="Heading 2 2 3 7 2 2 18 3" xfId="41481"/>
    <cellStyle name="Heading 2 2 3 7 2 2 19" xfId="41482"/>
    <cellStyle name="Heading 2 2 3 7 2 2 19 2" xfId="41483"/>
    <cellStyle name="Heading 2 2 3 7 2 2 2" xfId="41484"/>
    <cellStyle name="Heading 2 2 3 7 2 2 2 2" xfId="41485"/>
    <cellStyle name="Heading 2 2 3 7 2 2 2 2 2" xfId="41486"/>
    <cellStyle name="Heading 2 2 3 7 2 2 2 2 2 2" xfId="41487"/>
    <cellStyle name="Heading 2 2 3 7 2 2 2 2 3" xfId="41488"/>
    <cellStyle name="Heading 2 2 3 7 2 2 2 3" xfId="41489"/>
    <cellStyle name="Heading 2 2 3 7 2 2 2 3 2" xfId="41490"/>
    <cellStyle name="Heading 2 2 3 7 2 2 2 3 2 2" xfId="41491"/>
    <cellStyle name="Heading 2 2 3 7 2 2 2 3 3" xfId="41492"/>
    <cellStyle name="Heading 2 2 3 7 2 2 2 4" xfId="41493"/>
    <cellStyle name="Heading 2 2 3 7 2 2 2 4 2" xfId="41494"/>
    <cellStyle name="Heading 2 2 3 7 2 2 2 4 2 2" xfId="41495"/>
    <cellStyle name="Heading 2 2 3 7 2 2 2 4 3" xfId="41496"/>
    <cellStyle name="Heading 2 2 3 7 2 2 2 5" xfId="41497"/>
    <cellStyle name="Heading 2 2 3 7 2 2 2 5 2" xfId="41498"/>
    <cellStyle name="Heading 2 2 3 7 2 2 2 5 2 2" xfId="41499"/>
    <cellStyle name="Heading 2 2 3 7 2 2 2 5 3" xfId="41500"/>
    <cellStyle name="Heading 2 2 3 7 2 2 2 6" xfId="41501"/>
    <cellStyle name="Heading 2 2 3 7 2 2 2 6 2" xfId="41502"/>
    <cellStyle name="Heading 2 2 3 7 2 2 2 6 2 2" xfId="41503"/>
    <cellStyle name="Heading 2 2 3 7 2 2 2 6 3" xfId="41504"/>
    <cellStyle name="Heading 2 2 3 7 2 2 2 7" xfId="41505"/>
    <cellStyle name="Heading 2 2 3 7 2 2 2 7 2" xfId="41506"/>
    <cellStyle name="Heading 2 2 3 7 2 2 2 7 2 2" xfId="41507"/>
    <cellStyle name="Heading 2 2 3 7 2 2 2 7 3" xfId="41508"/>
    <cellStyle name="Heading 2 2 3 7 2 2 2 8" xfId="41509"/>
    <cellStyle name="Heading 2 2 3 7 2 2 2 8 2" xfId="41510"/>
    <cellStyle name="Heading 2 2 3 7 2 2 2 9" xfId="41511"/>
    <cellStyle name="Heading 2 2 3 7 2 2 20" xfId="41512"/>
    <cellStyle name="Heading 2 2 3 7 2 2 20 2" xfId="41513"/>
    <cellStyle name="Heading 2 2 3 7 2 2 21" xfId="41514"/>
    <cellStyle name="Heading 2 2 3 7 2 2 21 2" xfId="41515"/>
    <cellStyle name="Heading 2 2 3 7 2 2 22" xfId="41516"/>
    <cellStyle name="Heading 2 2 3 7 2 2 3" xfId="41517"/>
    <cellStyle name="Heading 2 2 3 7 2 2 3 2" xfId="41518"/>
    <cellStyle name="Heading 2 2 3 7 2 2 3 2 2" xfId="41519"/>
    <cellStyle name="Heading 2 2 3 7 2 2 3 2 2 2" xfId="41520"/>
    <cellStyle name="Heading 2 2 3 7 2 2 3 2 3" xfId="41521"/>
    <cellStyle name="Heading 2 2 3 7 2 2 3 3" xfId="41522"/>
    <cellStyle name="Heading 2 2 3 7 2 2 3 3 2" xfId="41523"/>
    <cellStyle name="Heading 2 2 3 7 2 2 3 3 2 2" xfId="41524"/>
    <cellStyle name="Heading 2 2 3 7 2 2 3 3 3" xfId="41525"/>
    <cellStyle name="Heading 2 2 3 7 2 2 3 4" xfId="41526"/>
    <cellStyle name="Heading 2 2 3 7 2 2 3 4 2" xfId="41527"/>
    <cellStyle name="Heading 2 2 3 7 2 2 3 4 2 2" xfId="41528"/>
    <cellStyle name="Heading 2 2 3 7 2 2 3 4 3" xfId="41529"/>
    <cellStyle name="Heading 2 2 3 7 2 2 3 5" xfId="41530"/>
    <cellStyle name="Heading 2 2 3 7 2 2 3 5 2" xfId="41531"/>
    <cellStyle name="Heading 2 2 3 7 2 2 3 5 2 2" xfId="41532"/>
    <cellStyle name="Heading 2 2 3 7 2 2 3 5 3" xfId="41533"/>
    <cellStyle name="Heading 2 2 3 7 2 2 3 6" xfId="41534"/>
    <cellStyle name="Heading 2 2 3 7 2 2 3 6 2" xfId="41535"/>
    <cellStyle name="Heading 2 2 3 7 2 2 3 6 2 2" xfId="41536"/>
    <cellStyle name="Heading 2 2 3 7 2 2 3 6 3" xfId="41537"/>
    <cellStyle name="Heading 2 2 3 7 2 2 3 7" xfId="41538"/>
    <cellStyle name="Heading 2 2 3 7 2 2 3 7 2" xfId="41539"/>
    <cellStyle name="Heading 2 2 3 7 2 2 3 7 2 2" xfId="41540"/>
    <cellStyle name="Heading 2 2 3 7 2 2 3 7 3" xfId="41541"/>
    <cellStyle name="Heading 2 2 3 7 2 2 3 8" xfId="41542"/>
    <cellStyle name="Heading 2 2 3 7 2 2 3 8 2" xfId="41543"/>
    <cellStyle name="Heading 2 2 3 7 2 2 3 9" xfId="41544"/>
    <cellStyle name="Heading 2 2 3 7 2 2 4" xfId="41545"/>
    <cellStyle name="Heading 2 2 3 7 2 2 4 2" xfId="41546"/>
    <cellStyle name="Heading 2 2 3 7 2 2 4 2 2" xfId="41547"/>
    <cellStyle name="Heading 2 2 3 7 2 2 4 2 2 2" xfId="41548"/>
    <cellStyle name="Heading 2 2 3 7 2 2 4 2 3" xfId="41549"/>
    <cellStyle name="Heading 2 2 3 7 2 2 4 3" xfId="41550"/>
    <cellStyle name="Heading 2 2 3 7 2 2 4 3 2" xfId="41551"/>
    <cellStyle name="Heading 2 2 3 7 2 2 4 3 2 2" xfId="41552"/>
    <cellStyle name="Heading 2 2 3 7 2 2 4 3 3" xfId="41553"/>
    <cellStyle name="Heading 2 2 3 7 2 2 4 4" xfId="41554"/>
    <cellStyle name="Heading 2 2 3 7 2 2 4 4 2" xfId="41555"/>
    <cellStyle name="Heading 2 2 3 7 2 2 4 4 2 2" xfId="41556"/>
    <cellStyle name="Heading 2 2 3 7 2 2 4 4 3" xfId="41557"/>
    <cellStyle name="Heading 2 2 3 7 2 2 4 5" xfId="41558"/>
    <cellStyle name="Heading 2 2 3 7 2 2 4 5 2" xfId="41559"/>
    <cellStyle name="Heading 2 2 3 7 2 2 4 5 2 2" xfId="41560"/>
    <cellStyle name="Heading 2 2 3 7 2 2 4 5 3" xfId="41561"/>
    <cellStyle name="Heading 2 2 3 7 2 2 4 6" xfId="41562"/>
    <cellStyle name="Heading 2 2 3 7 2 2 4 6 2" xfId="41563"/>
    <cellStyle name="Heading 2 2 3 7 2 2 4 6 2 2" xfId="41564"/>
    <cellStyle name="Heading 2 2 3 7 2 2 4 6 3" xfId="41565"/>
    <cellStyle name="Heading 2 2 3 7 2 2 4 7" xfId="41566"/>
    <cellStyle name="Heading 2 2 3 7 2 2 4 7 2" xfId="41567"/>
    <cellStyle name="Heading 2 2 3 7 2 2 4 7 2 2" xfId="41568"/>
    <cellStyle name="Heading 2 2 3 7 2 2 4 7 3" xfId="41569"/>
    <cellStyle name="Heading 2 2 3 7 2 2 4 8" xfId="41570"/>
    <cellStyle name="Heading 2 2 3 7 2 2 4 8 2" xfId="41571"/>
    <cellStyle name="Heading 2 2 3 7 2 2 4 9" xfId="41572"/>
    <cellStyle name="Heading 2 2 3 7 2 2 5" xfId="41573"/>
    <cellStyle name="Heading 2 2 3 7 2 2 5 2" xfId="41574"/>
    <cellStyle name="Heading 2 2 3 7 2 2 5 2 2" xfId="41575"/>
    <cellStyle name="Heading 2 2 3 7 2 2 5 2 2 2" xfId="41576"/>
    <cellStyle name="Heading 2 2 3 7 2 2 5 2 3" xfId="41577"/>
    <cellStyle name="Heading 2 2 3 7 2 2 5 3" xfId="41578"/>
    <cellStyle name="Heading 2 2 3 7 2 2 5 3 2" xfId="41579"/>
    <cellStyle name="Heading 2 2 3 7 2 2 5 3 2 2" xfId="41580"/>
    <cellStyle name="Heading 2 2 3 7 2 2 5 3 3" xfId="41581"/>
    <cellStyle name="Heading 2 2 3 7 2 2 5 4" xfId="41582"/>
    <cellStyle name="Heading 2 2 3 7 2 2 5 4 2" xfId="41583"/>
    <cellStyle name="Heading 2 2 3 7 2 2 5 4 2 2" xfId="41584"/>
    <cellStyle name="Heading 2 2 3 7 2 2 5 4 3" xfId="41585"/>
    <cellStyle name="Heading 2 2 3 7 2 2 5 5" xfId="41586"/>
    <cellStyle name="Heading 2 2 3 7 2 2 5 5 2" xfId="41587"/>
    <cellStyle name="Heading 2 2 3 7 2 2 5 5 2 2" xfId="41588"/>
    <cellStyle name="Heading 2 2 3 7 2 2 5 5 3" xfId="41589"/>
    <cellStyle name="Heading 2 2 3 7 2 2 5 6" xfId="41590"/>
    <cellStyle name="Heading 2 2 3 7 2 2 5 6 2" xfId="41591"/>
    <cellStyle name="Heading 2 2 3 7 2 2 5 6 2 2" xfId="41592"/>
    <cellStyle name="Heading 2 2 3 7 2 2 5 6 3" xfId="41593"/>
    <cellStyle name="Heading 2 2 3 7 2 2 5 7" xfId="41594"/>
    <cellStyle name="Heading 2 2 3 7 2 2 5 7 2" xfId="41595"/>
    <cellStyle name="Heading 2 2 3 7 2 2 5 7 2 2" xfId="41596"/>
    <cellStyle name="Heading 2 2 3 7 2 2 5 7 3" xfId="41597"/>
    <cellStyle name="Heading 2 2 3 7 2 2 5 8" xfId="41598"/>
    <cellStyle name="Heading 2 2 3 7 2 2 5 8 2" xfId="41599"/>
    <cellStyle name="Heading 2 2 3 7 2 2 5 9" xfId="41600"/>
    <cellStyle name="Heading 2 2 3 7 2 2 6" xfId="41601"/>
    <cellStyle name="Heading 2 2 3 7 2 2 6 2" xfId="41602"/>
    <cellStyle name="Heading 2 2 3 7 2 2 6 2 2" xfId="41603"/>
    <cellStyle name="Heading 2 2 3 7 2 2 6 2 2 2" xfId="41604"/>
    <cellStyle name="Heading 2 2 3 7 2 2 6 2 3" xfId="41605"/>
    <cellStyle name="Heading 2 2 3 7 2 2 6 3" xfId="41606"/>
    <cellStyle name="Heading 2 2 3 7 2 2 6 3 2" xfId="41607"/>
    <cellStyle name="Heading 2 2 3 7 2 2 6 3 2 2" xfId="41608"/>
    <cellStyle name="Heading 2 2 3 7 2 2 6 3 3" xfId="41609"/>
    <cellStyle name="Heading 2 2 3 7 2 2 6 4" xfId="41610"/>
    <cellStyle name="Heading 2 2 3 7 2 2 6 4 2" xfId="41611"/>
    <cellStyle name="Heading 2 2 3 7 2 2 6 4 2 2" xfId="41612"/>
    <cellStyle name="Heading 2 2 3 7 2 2 6 4 3" xfId="41613"/>
    <cellStyle name="Heading 2 2 3 7 2 2 6 5" xfId="41614"/>
    <cellStyle name="Heading 2 2 3 7 2 2 6 5 2" xfId="41615"/>
    <cellStyle name="Heading 2 2 3 7 2 2 6 5 2 2" xfId="41616"/>
    <cellStyle name="Heading 2 2 3 7 2 2 6 5 3" xfId="41617"/>
    <cellStyle name="Heading 2 2 3 7 2 2 6 6" xfId="41618"/>
    <cellStyle name="Heading 2 2 3 7 2 2 6 6 2" xfId="41619"/>
    <cellStyle name="Heading 2 2 3 7 2 2 6 6 2 2" xfId="41620"/>
    <cellStyle name="Heading 2 2 3 7 2 2 6 6 3" xfId="41621"/>
    <cellStyle name="Heading 2 2 3 7 2 2 6 7" xfId="41622"/>
    <cellStyle name="Heading 2 2 3 7 2 2 6 7 2" xfId="41623"/>
    <cellStyle name="Heading 2 2 3 7 2 2 6 7 2 2" xfId="41624"/>
    <cellStyle name="Heading 2 2 3 7 2 2 6 7 3" xfId="41625"/>
    <cellStyle name="Heading 2 2 3 7 2 2 6 8" xfId="41626"/>
    <cellStyle name="Heading 2 2 3 7 2 2 6 8 2" xfId="41627"/>
    <cellStyle name="Heading 2 2 3 7 2 2 6 9" xfId="41628"/>
    <cellStyle name="Heading 2 2 3 7 2 2 7" xfId="41629"/>
    <cellStyle name="Heading 2 2 3 7 2 2 7 2" xfId="41630"/>
    <cellStyle name="Heading 2 2 3 7 2 2 7 2 2" xfId="41631"/>
    <cellStyle name="Heading 2 2 3 7 2 2 7 2 2 2" xfId="41632"/>
    <cellStyle name="Heading 2 2 3 7 2 2 7 2 3" xfId="41633"/>
    <cellStyle name="Heading 2 2 3 7 2 2 7 3" xfId="41634"/>
    <cellStyle name="Heading 2 2 3 7 2 2 7 3 2" xfId="41635"/>
    <cellStyle name="Heading 2 2 3 7 2 2 7 3 2 2" xfId="41636"/>
    <cellStyle name="Heading 2 2 3 7 2 2 7 3 3" xfId="41637"/>
    <cellStyle name="Heading 2 2 3 7 2 2 7 4" xfId="41638"/>
    <cellStyle name="Heading 2 2 3 7 2 2 7 4 2" xfId="41639"/>
    <cellStyle name="Heading 2 2 3 7 2 2 7 4 2 2" xfId="41640"/>
    <cellStyle name="Heading 2 2 3 7 2 2 7 4 3" xfId="41641"/>
    <cellStyle name="Heading 2 2 3 7 2 2 7 5" xfId="41642"/>
    <cellStyle name="Heading 2 2 3 7 2 2 7 5 2" xfId="41643"/>
    <cellStyle name="Heading 2 2 3 7 2 2 7 5 2 2" xfId="41644"/>
    <cellStyle name="Heading 2 2 3 7 2 2 7 5 3" xfId="41645"/>
    <cellStyle name="Heading 2 2 3 7 2 2 7 6" xfId="41646"/>
    <cellStyle name="Heading 2 2 3 7 2 2 7 6 2" xfId="41647"/>
    <cellStyle name="Heading 2 2 3 7 2 2 7 6 2 2" xfId="41648"/>
    <cellStyle name="Heading 2 2 3 7 2 2 7 6 3" xfId="41649"/>
    <cellStyle name="Heading 2 2 3 7 2 2 7 7" xfId="41650"/>
    <cellStyle name="Heading 2 2 3 7 2 2 7 7 2" xfId="41651"/>
    <cellStyle name="Heading 2 2 3 7 2 2 7 7 2 2" xfId="41652"/>
    <cellStyle name="Heading 2 2 3 7 2 2 7 7 3" xfId="41653"/>
    <cellStyle name="Heading 2 2 3 7 2 2 7 8" xfId="41654"/>
    <cellStyle name="Heading 2 2 3 7 2 2 7 8 2" xfId="41655"/>
    <cellStyle name="Heading 2 2 3 7 2 2 7 9" xfId="41656"/>
    <cellStyle name="Heading 2 2 3 7 2 2 8" xfId="41657"/>
    <cellStyle name="Heading 2 2 3 7 2 2 8 2" xfId="41658"/>
    <cellStyle name="Heading 2 2 3 7 2 2 8 2 2" xfId="41659"/>
    <cellStyle name="Heading 2 2 3 7 2 2 8 2 2 2" xfId="41660"/>
    <cellStyle name="Heading 2 2 3 7 2 2 8 2 3" xfId="41661"/>
    <cellStyle name="Heading 2 2 3 7 2 2 8 3" xfId="41662"/>
    <cellStyle name="Heading 2 2 3 7 2 2 8 3 2" xfId="41663"/>
    <cellStyle name="Heading 2 2 3 7 2 2 8 3 2 2" xfId="41664"/>
    <cellStyle name="Heading 2 2 3 7 2 2 8 3 3" xfId="41665"/>
    <cellStyle name="Heading 2 2 3 7 2 2 8 4" xfId="41666"/>
    <cellStyle name="Heading 2 2 3 7 2 2 8 4 2" xfId="41667"/>
    <cellStyle name="Heading 2 2 3 7 2 2 8 4 2 2" xfId="41668"/>
    <cellStyle name="Heading 2 2 3 7 2 2 8 4 3" xfId="41669"/>
    <cellStyle name="Heading 2 2 3 7 2 2 8 5" xfId="41670"/>
    <cellStyle name="Heading 2 2 3 7 2 2 8 5 2" xfId="41671"/>
    <cellStyle name="Heading 2 2 3 7 2 2 8 5 2 2" xfId="41672"/>
    <cellStyle name="Heading 2 2 3 7 2 2 8 5 3" xfId="41673"/>
    <cellStyle name="Heading 2 2 3 7 2 2 8 6" xfId="41674"/>
    <cellStyle name="Heading 2 2 3 7 2 2 8 6 2" xfId="41675"/>
    <cellStyle name="Heading 2 2 3 7 2 2 8 6 2 2" xfId="41676"/>
    <cellStyle name="Heading 2 2 3 7 2 2 8 6 3" xfId="41677"/>
    <cellStyle name="Heading 2 2 3 7 2 2 8 7" xfId="41678"/>
    <cellStyle name="Heading 2 2 3 7 2 2 8 7 2" xfId="41679"/>
    <cellStyle name="Heading 2 2 3 7 2 2 8 7 2 2" xfId="41680"/>
    <cellStyle name="Heading 2 2 3 7 2 2 8 7 3" xfId="41681"/>
    <cellStyle name="Heading 2 2 3 7 2 2 8 8" xfId="41682"/>
    <cellStyle name="Heading 2 2 3 7 2 2 8 8 2" xfId="41683"/>
    <cellStyle name="Heading 2 2 3 7 2 2 8 9" xfId="41684"/>
    <cellStyle name="Heading 2 2 3 7 2 2 9" xfId="41685"/>
    <cellStyle name="Heading 2 2 3 7 2 2 9 2" xfId="41686"/>
    <cellStyle name="Heading 2 2 3 7 2 2 9 2 2" xfId="41687"/>
    <cellStyle name="Heading 2 2 3 7 2 2 9 3" xfId="41688"/>
    <cellStyle name="Heading 2 2 3 7 2 20" xfId="41689"/>
    <cellStyle name="Heading 2 2 3 7 2 20 2" xfId="41690"/>
    <cellStyle name="Heading 2 2 3 7 2 21" xfId="41691"/>
    <cellStyle name="Heading 2 2 3 7 2 21 2" xfId="41692"/>
    <cellStyle name="Heading 2 2 3 7 2 22" xfId="41693"/>
    <cellStyle name="Heading 2 2 3 7 2 22 2" xfId="41694"/>
    <cellStyle name="Heading 2 2 3 7 2 23" xfId="41695"/>
    <cellStyle name="Heading 2 2 3 7 2 3" xfId="41696"/>
    <cellStyle name="Heading 2 2 3 7 2 3 2" xfId="41697"/>
    <cellStyle name="Heading 2 2 3 7 2 3 2 2" xfId="41698"/>
    <cellStyle name="Heading 2 2 3 7 2 3 2 2 2" xfId="41699"/>
    <cellStyle name="Heading 2 2 3 7 2 3 2 3" xfId="41700"/>
    <cellStyle name="Heading 2 2 3 7 2 3 3" xfId="41701"/>
    <cellStyle name="Heading 2 2 3 7 2 3 3 2" xfId="41702"/>
    <cellStyle name="Heading 2 2 3 7 2 3 3 2 2" xfId="41703"/>
    <cellStyle name="Heading 2 2 3 7 2 3 3 3" xfId="41704"/>
    <cellStyle name="Heading 2 2 3 7 2 3 4" xfId="41705"/>
    <cellStyle name="Heading 2 2 3 7 2 3 4 2" xfId="41706"/>
    <cellStyle name="Heading 2 2 3 7 2 3 4 2 2" xfId="41707"/>
    <cellStyle name="Heading 2 2 3 7 2 3 4 3" xfId="41708"/>
    <cellStyle name="Heading 2 2 3 7 2 3 5" xfId="41709"/>
    <cellStyle name="Heading 2 2 3 7 2 3 5 2" xfId="41710"/>
    <cellStyle name="Heading 2 2 3 7 2 3 5 2 2" xfId="41711"/>
    <cellStyle name="Heading 2 2 3 7 2 3 5 3" xfId="41712"/>
    <cellStyle name="Heading 2 2 3 7 2 3 6" xfId="41713"/>
    <cellStyle name="Heading 2 2 3 7 2 3 6 2" xfId="41714"/>
    <cellStyle name="Heading 2 2 3 7 2 3 6 2 2" xfId="41715"/>
    <cellStyle name="Heading 2 2 3 7 2 3 6 3" xfId="41716"/>
    <cellStyle name="Heading 2 2 3 7 2 3 7" xfId="41717"/>
    <cellStyle name="Heading 2 2 3 7 2 3 7 2" xfId="41718"/>
    <cellStyle name="Heading 2 2 3 7 2 3 7 2 2" xfId="41719"/>
    <cellStyle name="Heading 2 2 3 7 2 3 7 3" xfId="41720"/>
    <cellStyle name="Heading 2 2 3 7 2 3 8" xfId="41721"/>
    <cellStyle name="Heading 2 2 3 7 2 3 8 2" xfId="41722"/>
    <cellStyle name="Heading 2 2 3 7 2 3 9" xfId="41723"/>
    <cellStyle name="Heading 2 2 3 7 2 4" xfId="41724"/>
    <cellStyle name="Heading 2 2 3 7 2 4 2" xfId="41725"/>
    <cellStyle name="Heading 2 2 3 7 2 4 2 2" xfId="41726"/>
    <cellStyle name="Heading 2 2 3 7 2 4 2 2 2" xfId="41727"/>
    <cellStyle name="Heading 2 2 3 7 2 4 2 3" xfId="41728"/>
    <cellStyle name="Heading 2 2 3 7 2 4 3" xfId="41729"/>
    <cellStyle name="Heading 2 2 3 7 2 4 3 2" xfId="41730"/>
    <cellStyle name="Heading 2 2 3 7 2 4 3 2 2" xfId="41731"/>
    <cellStyle name="Heading 2 2 3 7 2 4 3 3" xfId="41732"/>
    <cellStyle name="Heading 2 2 3 7 2 4 4" xfId="41733"/>
    <cellStyle name="Heading 2 2 3 7 2 4 4 2" xfId="41734"/>
    <cellStyle name="Heading 2 2 3 7 2 4 4 2 2" xfId="41735"/>
    <cellStyle name="Heading 2 2 3 7 2 4 4 3" xfId="41736"/>
    <cellStyle name="Heading 2 2 3 7 2 4 5" xfId="41737"/>
    <cellStyle name="Heading 2 2 3 7 2 4 5 2" xfId="41738"/>
    <cellStyle name="Heading 2 2 3 7 2 4 5 2 2" xfId="41739"/>
    <cellStyle name="Heading 2 2 3 7 2 4 5 3" xfId="41740"/>
    <cellStyle name="Heading 2 2 3 7 2 4 6" xfId="41741"/>
    <cellStyle name="Heading 2 2 3 7 2 4 6 2" xfId="41742"/>
    <cellStyle name="Heading 2 2 3 7 2 4 6 2 2" xfId="41743"/>
    <cellStyle name="Heading 2 2 3 7 2 4 6 3" xfId="41744"/>
    <cellStyle name="Heading 2 2 3 7 2 4 7" xfId="41745"/>
    <cellStyle name="Heading 2 2 3 7 2 4 7 2" xfId="41746"/>
    <cellStyle name="Heading 2 2 3 7 2 4 7 2 2" xfId="41747"/>
    <cellStyle name="Heading 2 2 3 7 2 4 7 3" xfId="41748"/>
    <cellStyle name="Heading 2 2 3 7 2 4 8" xfId="41749"/>
    <cellStyle name="Heading 2 2 3 7 2 4 8 2" xfId="41750"/>
    <cellStyle name="Heading 2 2 3 7 2 4 9" xfId="41751"/>
    <cellStyle name="Heading 2 2 3 7 2 5" xfId="41752"/>
    <cellStyle name="Heading 2 2 3 7 2 5 2" xfId="41753"/>
    <cellStyle name="Heading 2 2 3 7 2 5 2 2" xfId="41754"/>
    <cellStyle name="Heading 2 2 3 7 2 5 2 2 2" xfId="41755"/>
    <cellStyle name="Heading 2 2 3 7 2 5 2 3" xfId="41756"/>
    <cellStyle name="Heading 2 2 3 7 2 5 3" xfId="41757"/>
    <cellStyle name="Heading 2 2 3 7 2 5 3 2" xfId="41758"/>
    <cellStyle name="Heading 2 2 3 7 2 5 3 2 2" xfId="41759"/>
    <cellStyle name="Heading 2 2 3 7 2 5 3 3" xfId="41760"/>
    <cellStyle name="Heading 2 2 3 7 2 5 4" xfId="41761"/>
    <cellStyle name="Heading 2 2 3 7 2 5 4 2" xfId="41762"/>
    <cellStyle name="Heading 2 2 3 7 2 5 4 2 2" xfId="41763"/>
    <cellStyle name="Heading 2 2 3 7 2 5 4 3" xfId="41764"/>
    <cellStyle name="Heading 2 2 3 7 2 5 5" xfId="41765"/>
    <cellStyle name="Heading 2 2 3 7 2 5 5 2" xfId="41766"/>
    <cellStyle name="Heading 2 2 3 7 2 5 5 2 2" xfId="41767"/>
    <cellStyle name="Heading 2 2 3 7 2 5 5 3" xfId="41768"/>
    <cellStyle name="Heading 2 2 3 7 2 5 6" xfId="41769"/>
    <cellStyle name="Heading 2 2 3 7 2 5 6 2" xfId="41770"/>
    <cellStyle name="Heading 2 2 3 7 2 5 6 2 2" xfId="41771"/>
    <cellStyle name="Heading 2 2 3 7 2 5 6 3" xfId="41772"/>
    <cellStyle name="Heading 2 2 3 7 2 5 7" xfId="41773"/>
    <cellStyle name="Heading 2 2 3 7 2 5 7 2" xfId="41774"/>
    <cellStyle name="Heading 2 2 3 7 2 5 7 2 2" xfId="41775"/>
    <cellStyle name="Heading 2 2 3 7 2 5 7 3" xfId="41776"/>
    <cellStyle name="Heading 2 2 3 7 2 5 8" xfId="41777"/>
    <cellStyle name="Heading 2 2 3 7 2 5 8 2" xfId="41778"/>
    <cellStyle name="Heading 2 2 3 7 2 5 9" xfId="41779"/>
    <cellStyle name="Heading 2 2 3 7 2 6" xfId="41780"/>
    <cellStyle name="Heading 2 2 3 7 2 6 2" xfId="41781"/>
    <cellStyle name="Heading 2 2 3 7 2 6 2 2" xfId="41782"/>
    <cellStyle name="Heading 2 2 3 7 2 6 2 2 2" xfId="41783"/>
    <cellStyle name="Heading 2 2 3 7 2 6 2 3" xfId="41784"/>
    <cellStyle name="Heading 2 2 3 7 2 6 3" xfId="41785"/>
    <cellStyle name="Heading 2 2 3 7 2 6 3 2" xfId="41786"/>
    <cellStyle name="Heading 2 2 3 7 2 6 3 2 2" xfId="41787"/>
    <cellStyle name="Heading 2 2 3 7 2 6 3 3" xfId="41788"/>
    <cellStyle name="Heading 2 2 3 7 2 6 4" xfId="41789"/>
    <cellStyle name="Heading 2 2 3 7 2 6 4 2" xfId="41790"/>
    <cellStyle name="Heading 2 2 3 7 2 6 4 2 2" xfId="41791"/>
    <cellStyle name="Heading 2 2 3 7 2 6 4 3" xfId="41792"/>
    <cellStyle name="Heading 2 2 3 7 2 6 5" xfId="41793"/>
    <cellStyle name="Heading 2 2 3 7 2 6 5 2" xfId="41794"/>
    <cellStyle name="Heading 2 2 3 7 2 6 5 2 2" xfId="41795"/>
    <cellStyle name="Heading 2 2 3 7 2 6 5 3" xfId="41796"/>
    <cellStyle name="Heading 2 2 3 7 2 6 6" xfId="41797"/>
    <cellStyle name="Heading 2 2 3 7 2 6 6 2" xfId="41798"/>
    <cellStyle name="Heading 2 2 3 7 2 6 6 2 2" xfId="41799"/>
    <cellStyle name="Heading 2 2 3 7 2 6 6 3" xfId="41800"/>
    <cellStyle name="Heading 2 2 3 7 2 6 7" xfId="41801"/>
    <cellStyle name="Heading 2 2 3 7 2 6 7 2" xfId="41802"/>
    <cellStyle name="Heading 2 2 3 7 2 6 7 2 2" xfId="41803"/>
    <cellStyle name="Heading 2 2 3 7 2 6 7 3" xfId="41804"/>
    <cellStyle name="Heading 2 2 3 7 2 6 8" xfId="41805"/>
    <cellStyle name="Heading 2 2 3 7 2 6 8 2" xfId="41806"/>
    <cellStyle name="Heading 2 2 3 7 2 6 9" xfId="41807"/>
    <cellStyle name="Heading 2 2 3 7 2 7" xfId="41808"/>
    <cellStyle name="Heading 2 2 3 7 2 7 2" xfId="41809"/>
    <cellStyle name="Heading 2 2 3 7 2 7 2 2" xfId="41810"/>
    <cellStyle name="Heading 2 2 3 7 2 7 2 2 2" xfId="41811"/>
    <cellStyle name="Heading 2 2 3 7 2 7 2 3" xfId="41812"/>
    <cellStyle name="Heading 2 2 3 7 2 7 3" xfId="41813"/>
    <cellStyle name="Heading 2 2 3 7 2 7 3 2" xfId="41814"/>
    <cellStyle name="Heading 2 2 3 7 2 7 3 2 2" xfId="41815"/>
    <cellStyle name="Heading 2 2 3 7 2 7 3 3" xfId="41816"/>
    <cellStyle name="Heading 2 2 3 7 2 7 4" xfId="41817"/>
    <cellStyle name="Heading 2 2 3 7 2 7 4 2" xfId="41818"/>
    <cellStyle name="Heading 2 2 3 7 2 7 4 2 2" xfId="41819"/>
    <cellStyle name="Heading 2 2 3 7 2 7 4 3" xfId="41820"/>
    <cellStyle name="Heading 2 2 3 7 2 7 5" xfId="41821"/>
    <cellStyle name="Heading 2 2 3 7 2 7 5 2" xfId="41822"/>
    <cellStyle name="Heading 2 2 3 7 2 7 5 2 2" xfId="41823"/>
    <cellStyle name="Heading 2 2 3 7 2 7 5 3" xfId="41824"/>
    <cellStyle name="Heading 2 2 3 7 2 7 6" xfId="41825"/>
    <cellStyle name="Heading 2 2 3 7 2 7 6 2" xfId="41826"/>
    <cellStyle name="Heading 2 2 3 7 2 7 6 2 2" xfId="41827"/>
    <cellStyle name="Heading 2 2 3 7 2 7 6 3" xfId="41828"/>
    <cellStyle name="Heading 2 2 3 7 2 7 7" xfId="41829"/>
    <cellStyle name="Heading 2 2 3 7 2 7 7 2" xfId="41830"/>
    <cellStyle name="Heading 2 2 3 7 2 7 7 2 2" xfId="41831"/>
    <cellStyle name="Heading 2 2 3 7 2 7 7 3" xfId="41832"/>
    <cellStyle name="Heading 2 2 3 7 2 7 8" xfId="41833"/>
    <cellStyle name="Heading 2 2 3 7 2 7 8 2" xfId="41834"/>
    <cellStyle name="Heading 2 2 3 7 2 7 9" xfId="41835"/>
    <cellStyle name="Heading 2 2 3 7 2 8" xfId="41836"/>
    <cellStyle name="Heading 2 2 3 7 2 8 2" xfId="41837"/>
    <cellStyle name="Heading 2 2 3 7 2 8 2 2" xfId="41838"/>
    <cellStyle name="Heading 2 2 3 7 2 8 2 2 2" xfId="41839"/>
    <cellStyle name="Heading 2 2 3 7 2 8 2 3" xfId="41840"/>
    <cellStyle name="Heading 2 2 3 7 2 8 3" xfId="41841"/>
    <cellStyle name="Heading 2 2 3 7 2 8 3 2" xfId="41842"/>
    <cellStyle name="Heading 2 2 3 7 2 8 3 2 2" xfId="41843"/>
    <cellStyle name="Heading 2 2 3 7 2 8 3 3" xfId="41844"/>
    <cellStyle name="Heading 2 2 3 7 2 8 4" xfId="41845"/>
    <cellStyle name="Heading 2 2 3 7 2 8 4 2" xfId="41846"/>
    <cellStyle name="Heading 2 2 3 7 2 8 4 2 2" xfId="41847"/>
    <cellStyle name="Heading 2 2 3 7 2 8 4 3" xfId="41848"/>
    <cellStyle name="Heading 2 2 3 7 2 8 5" xfId="41849"/>
    <cellStyle name="Heading 2 2 3 7 2 8 5 2" xfId="41850"/>
    <cellStyle name="Heading 2 2 3 7 2 8 5 2 2" xfId="41851"/>
    <cellStyle name="Heading 2 2 3 7 2 8 5 3" xfId="41852"/>
    <cellStyle name="Heading 2 2 3 7 2 8 6" xfId="41853"/>
    <cellStyle name="Heading 2 2 3 7 2 8 6 2" xfId="41854"/>
    <cellStyle name="Heading 2 2 3 7 2 8 6 2 2" xfId="41855"/>
    <cellStyle name="Heading 2 2 3 7 2 8 6 3" xfId="41856"/>
    <cellStyle name="Heading 2 2 3 7 2 8 7" xfId="41857"/>
    <cellStyle name="Heading 2 2 3 7 2 8 7 2" xfId="41858"/>
    <cellStyle name="Heading 2 2 3 7 2 8 7 2 2" xfId="41859"/>
    <cellStyle name="Heading 2 2 3 7 2 8 7 3" xfId="41860"/>
    <cellStyle name="Heading 2 2 3 7 2 8 8" xfId="41861"/>
    <cellStyle name="Heading 2 2 3 7 2 8 8 2" xfId="41862"/>
    <cellStyle name="Heading 2 2 3 7 2 8 9" xfId="41863"/>
    <cellStyle name="Heading 2 2 3 7 2 9" xfId="41864"/>
    <cellStyle name="Heading 2 2 3 7 2 9 2" xfId="41865"/>
    <cellStyle name="Heading 2 2 3 7 2 9 2 2" xfId="41866"/>
    <cellStyle name="Heading 2 2 3 7 2 9 2 2 2" xfId="41867"/>
    <cellStyle name="Heading 2 2 3 7 2 9 2 3" xfId="41868"/>
    <cellStyle name="Heading 2 2 3 7 2 9 3" xfId="41869"/>
    <cellStyle name="Heading 2 2 3 7 2 9 3 2" xfId="41870"/>
    <cellStyle name="Heading 2 2 3 7 2 9 3 2 2" xfId="41871"/>
    <cellStyle name="Heading 2 2 3 7 2 9 3 3" xfId="41872"/>
    <cellStyle name="Heading 2 2 3 7 2 9 4" xfId="41873"/>
    <cellStyle name="Heading 2 2 3 7 2 9 4 2" xfId="41874"/>
    <cellStyle name="Heading 2 2 3 7 2 9 4 2 2" xfId="41875"/>
    <cellStyle name="Heading 2 2 3 7 2 9 4 3" xfId="41876"/>
    <cellStyle name="Heading 2 2 3 7 2 9 5" xfId="41877"/>
    <cellStyle name="Heading 2 2 3 7 2 9 5 2" xfId="41878"/>
    <cellStyle name="Heading 2 2 3 7 2 9 5 2 2" xfId="41879"/>
    <cellStyle name="Heading 2 2 3 7 2 9 5 3" xfId="41880"/>
    <cellStyle name="Heading 2 2 3 7 2 9 6" xfId="41881"/>
    <cellStyle name="Heading 2 2 3 7 2 9 6 2" xfId="41882"/>
    <cellStyle name="Heading 2 2 3 7 2 9 6 2 2" xfId="41883"/>
    <cellStyle name="Heading 2 2 3 7 2 9 6 3" xfId="41884"/>
    <cellStyle name="Heading 2 2 3 7 2 9 7" xfId="41885"/>
    <cellStyle name="Heading 2 2 3 7 2 9 7 2" xfId="41886"/>
    <cellStyle name="Heading 2 2 3 7 2 9 7 2 2" xfId="41887"/>
    <cellStyle name="Heading 2 2 3 7 2 9 7 3" xfId="41888"/>
    <cellStyle name="Heading 2 2 3 7 2 9 8" xfId="41889"/>
    <cellStyle name="Heading 2 2 3 7 2 9 8 2" xfId="41890"/>
    <cellStyle name="Heading 2 2 3 7 2 9 9" xfId="41891"/>
    <cellStyle name="Heading 2 2 3 7 3" xfId="41892"/>
    <cellStyle name="Heading 2 2 3 7 3 10" xfId="41893"/>
    <cellStyle name="Heading 2 2 3 7 3 10 2" xfId="41894"/>
    <cellStyle name="Heading 2 2 3 7 3 10 2 2" xfId="41895"/>
    <cellStyle name="Heading 2 2 3 7 3 10 3" xfId="41896"/>
    <cellStyle name="Heading 2 2 3 7 3 11" xfId="41897"/>
    <cellStyle name="Heading 2 2 3 7 3 11 2" xfId="41898"/>
    <cellStyle name="Heading 2 2 3 7 3 11 2 2" xfId="41899"/>
    <cellStyle name="Heading 2 2 3 7 3 11 3" xfId="41900"/>
    <cellStyle name="Heading 2 2 3 7 3 12" xfId="41901"/>
    <cellStyle name="Heading 2 2 3 7 3 12 2" xfId="41902"/>
    <cellStyle name="Heading 2 2 3 7 3 12 2 2" xfId="41903"/>
    <cellStyle name="Heading 2 2 3 7 3 12 3" xfId="41904"/>
    <cellStyle name="Heading 2 2 3 7 3 13" xfId="41905"/>
    <cellStyle name="Heading 2 2 3 7 3 13 2" xfId="41906"/>
    <cellStyle name="Heading 2 2 3 7 3 13 2 2" xfId="41907"/>
    <cellStyle name="Heading 2 2 3 7 3 13 3" xfId="41908"/>
    <cellStyle name="Heading 2 2 3 7 3 14" xfId="41909"/>
    <cellStyle name="Heading 2 2 3 7 3 14 2" xfId="41910"/>
    <cellStyle name="Heading 2 2 3 7 3 14 2 2" xfId="41911"/>
    <cellStyle name="Heading 2 2 3 7 3 14 3" xfId="41912"/>
    <cellStyle name="Heading 2 2 3 7 3 15" xfId="41913"/>
    <cellStyle name="Heading 2 2 3 7 3 15 2" xfId="41914"/>
    <cellStyle name="Heading 2 2 3 7 3 15 2 2" xfId="41915"/>
    <cellStyle name="Heading 2 2 3 7 3 15 3" xfId="41916"/>
    <cellStyle name="Heading 2 2 3 7 3 16" xfId="41917"/>
    <cellStyle name="Heading 2 2 3 7 3 16 2" xfId="41918"/>
    <cellStyle name="Heading 2 2 3 7 3 16 2 2" xfId="41919"/>
    <cellStyle name="Heading 2 2 3 7 3 16 3" xfId="41920"/>
    <cellStyle name="Heading 2 2 3 7 3 17" xfId="41921"/>
    <cellStyle name="Heading 2 2 3 7 3 17 2" xfId="41922"/>
    <cellStyle name="Heading 2 2 3 7 3 17 2 2" xfId="41923"/>
    <cellStyle name="Heading 2 2 3 7 3 17 3" xfId="41924"/>
    <cellStyle name="Heading 2 2 3 7 3 18" xfId="41925"/>
    <cellStyle name="Heading 2 2 3 7 3 18 2" xfId="41926"/>
    <cellStyle name="Heading 2 2 3 7 3 18 2 2" xfId="41927"/>
    <cellStyle name="Heading 2 2 3 7 3 18 3" xfId="41928"/>
    <cellStyle name="Heading 2 2 3 7 3 19" xfId="41929"/>
    <cellStyle name="Heading 2 2 3 7 3 19 2" xfId="41930"/>
    <cellStyle name="Heading 2 2 3 7 3 2" xfId="41931"/>
    <cellStyle name="Heading 2 2 3 7 3 2 2" xfId="41932"/>
    <cellStyle name="Heading 2 2 3 7 3 2 2 2" xfId="41933"/>
    <cellStyle name="Heading 2 2 3 7 3 2 2 2 2" xfId="41934"/>
    <cellStyle name="Heading 2 2 3 7 3 2 2 3" xfId="41935"/>
    <cellStyle name="Heading 2 2 3 7 3 2 3" xfId="41936"/>
    <cellStyle name="Heading 2 2 3 7 3 2 3 2" xfId="41937"/>
    <cellStyle name="Heading 2 2 3 7 3 2 3 2 2" xfId="41938"/>
    <cellStyle name="Heading 2 2 3 7 3 2 3 3" xfId="41939"/>
    <cellStyle name="Heading 2 2 3 7 3 2 4" xfId="41940"/>
    <cellStyle name="Heading 2 2 3 7 3 2 4 2" xfId="41941"/>
    <cellStyle name="Heading 2 2 3 7 3 2 4 2 2" xfId="41942"/>
    <cellStyle name="Heading 2 2 3 7 3 2 4 3" xfId="41943"/>
    <cellStyle name="Heading 2 2 3 7 3 2 5" xfId="41944"/>
    <cellStyle name="Heading 2 2 3 7 3 2 5 2" xfId="41945"/>
    <cellStyle name="Heading 2 2 3 7 3 2 5 2 2" xfId="41946"/>
    <cellStyle name="Heading 2 2 3 7 3 2 5 3" xfId="41947"/>
    <cellStyle name="Heading 2 2 3 7 3 2 6" xfId="41948"/>
    <cellStyle name="Heading 2 2 3 7 3 2 6 2" xfId="41949"/>
    <cellStyle name="Heading 2 2 3 7 3 2 6 2 2" xfId="41950"/>
    <cellStyle name="Heading 2 2 3 7 3 2 6 3" xfId="41951"/>
    <cellStyle name="Heading 2 2 3 7 3 2 7" xfId="41952"/>
    <cellStyle name="Heading 2 2 3 7 3 2 7 2" xfId="41953"/>
    <cellStyle name="Heading 2 2 3 7 3 2 7 2 2" xfId="41954"/>
    <cellStyle name="Heading 2 2 3 7 3 2 7 3" xfId="41955"/>
    <cellStyle name="Heading 2 2 3 7 3 2 8" xfId="41956"/>
    <cellStyle name="Heading 2 2 3 7 3 2 8 2" xfId="41957"/>
    <cellStyle name="Heading 2 2 3 7 3 2 9" xfId="41958"/>
    <cellStyle name="Heading 2 2 3 7 3 20" xfId="41959"/>
    <cellStyle name="Heading 2 2 3 7 3 20 2" xfId="41960"/>
    <cellStyle name="Heading 2 2 3 7 3 21" xfId="41961"/>
    <cellStyle name="Heading 2 2 3 7 3 21 2" xfId="41962"/>
    <cellStyle name="Heading 2 2 3 7 3 22" xfId="41963"/>
    <cellStyle name="Heading 2 2 3 7 3 3" xfId="41964"/>
    <cellStyle name="Heading 2 2 3 7 3 3 2" xfId="41965"/>
    <cellStyle name="Heading 2 2 3 7 3 3 2 2" xfId="41966"/>
    <cellStyle name="Heading 2 2 3 7 3 3 2 2 2" xfId="41967"/>
    <cellStyle name="Heading 2 2 3 7 3 3 2 3" xfId="41968"/>
    <cellStyle name="Heading 2 2 3 7 3 3 3" xfId="41969"/>
    <cellStyle name="Heading 2 2 3 7 3 3 3 2" xfId="41970"/>
    <cellStyle name="Heading 2 2 3 7 3 3 3 2 2" xfId="41971"/>
    <cellStyle name="Heading 2 2 3 7 3 3 3 3" xfId="41972"/>
    <cellStyle name="Heading 2 2 3 7 3 3 4" xfId="41973"/>
    <cellStyle name="Heading 2 2 3 7 3 3 4 2" xfId="41974"/>
    <cellStyle name="Heading 2 2 3 7 3 3 4 2 2" xfId="41975"/>
    <cellStyle name="Heading 2 2 3 7 3 3 4 3" xfId="41976"/>
    <cellStyle name="Heading 2 2 3 7 3 3 5" xfId="41977"/>
    <cellStyle name="Heading 2 2 3 7 3 3 5 2" xfId="41978"/>
    <cellStyle name="Heading 2 2 3 7 3 3 5 2 2" xfId="41979"/>
    <cellStyle name="Heading 2 2 3 7 3 3 5 3" xfId="41980"/>
    <cellStyle name="Heading 2 2 3 7 3 3 6" xfId="41981"/>
    <cellStyle name="Heading 2 2 3 7 3 3 6 2" xfId="41982"/>
    <cellStyle name="Heading 2 2 3 7 3 3 6 2 2" xfId="41983"/>
    <cellStyle name="Heading 2 2 3 7 3 3 6 3" xfId="41984"/>
    <cellStyle name="Heading 2 2 3 7 3 3 7" xfId="41985"/>
    <cellStyle name="Heading 2 2 3 7 3 3 7 2" xfId="41986"/>
    <cellStyle name="Heading 2 2 3 7 3 3 7 2 2" xfId="41987"/>
    <cellStyle name="Heading 2 2 3 7 3 3 7 3" xfId="41988"/>
    <cellStyle name="Heading 2 2 3 7 3 3 8" xfId="41989"/>
    <cellStyle name="Heading 2 2 3 7 3 3 8 2" xfId="41990"/>
    <cellStyle name="Heading 2 2 3 7 3 3 9" xfId="41991"/>
    <cellStyle name="Heading 2 2 3 7 3 4" xfId="41992"/>
    <cellStyle name="Heading 2 2 3 7 3 4 2" xfId="41993"/>
    <cellStyle name="Heading 2 2 3 7 3 4 2 2" xfId="41994"/>
    <cellStyle name="Heading 2 2 3 7 3 4 2 2 2" xfId="41995"/>
    <cellStyle name="Heading 2 2 3 7 3 4 2 3" xfId="41996"/>
    <cellStyle name="Heading 2 2 3 7 3 4 3" xfId="41997"/>
    <cellStyle name="Heading 2 2 3 7 3 4 3 2" xfId="41998"/>
    <cellStyle name="Heading 2 2 3 7 3 4 3 2 2" xfId="41999"/>
    <cellStyle name="Heading 2 2 3 7 3 4 3 3" xfId="42000"/>
    <cellStyle name="Heading 2 2 3 7 3 4 4" xfId="42001"/>
    <cellStyle name="Heading 2 2 3 7 3 4 4 2" xfId="42002"/>
    <cellStyle name="Heading 2 2 3 7 3 4 4 2 2" xfId="42003"/>
    <cellStyle name="Heading 2 2 3 7 3 4 4 3" xfId="42004"/>
    <cellStyle name="Heading 2 2 3 7 3 4 5" xfId="42005"/>
    <cellStyle name="Heading 2 2 3 7 3 4 5 2" xfId="42006"/>
    <cellStyle name="Heading 2 2 3 7 3 4 5 2 2" xfId="42007"/>
    <cellStyle name="Heading 2 2 3 7 3 4 5 3" xfId="42008"/>
    <cellStyle name="Heading 2 2 3 7 3 4 6" xfId="42009"/>
    <cellStyle name="Heading 2 2 3 7 3 4 6 2" xfId="42010"/>
    <cellStyle name="Heading 2 2 3 7 3 4 6 2 2" xfId="42011"/>
    <cellStyle name="Heading 2 2 3 7 3 4 6 3" xfId="42012"/>
    <cellStyle name="Heading 2 2 3 7 3 4 7" xfId="42013"/>
    <cellStyle name="Heading 2 2 3 7 3 4 7 2" xfId="42014"/>
    <cellStyle name="Heading 2 2 3 7 3 4 7 2 2" xfId="42015"/>
    <cellStyle name="Heading 2 2 3 7 3 4 7 3" xfId="42016"/>
    <cellStyle name="Heading 2 2 3 7 3 4 8" xfId="42017"/>
    <cellStyle name="Heading 2 2 3 7 3 4 8 2" xfId="42018"/>
    <cellStyle name="Heading 2 2 3 7 3 4 9" xfId="42019"/>
    <cellStyle name="Heading 2 2 3 7 3 5" xfId="42020"/>
    <cellStyle name="Heading 2 2 3 7 3 5 2" xfId="42021"/>
    <cellStyle name="Heading 2 2 3 7 3 5 2 2" xfId="42022"/>
    <cellStyle name="Heading 2 2 3 7 3 5 2 2 2" xfId="42023"/>
    <cellStyle name="Heading 2 2 3 7 3 5 2 3" xfId="42024"/>
    <cellStyle name="Heading 2 2 3 7 3 5 3" xfId="42025"/>
    <cellStyle name="Heading 2 2 3 7 3 5 3 2" xfId="42026"/>
    <cellStyle name="Heading 2 2 3 7 3 5 3 2 2" xfId="42027"/>
    <cellStyle name="Heading 2 2 3 7 3 5 3 3" xfId="42028"/>
    <cellStyle name="Heading 2 2 3 7 3 5 4" xfId="42029"/>
    <cellStyle name="Heading 2 2 3 7 3 5 4 2" xfId="42030"/>
    <cellStyle name="Heading 2 2 3 7 3 5 4 2 2" xfId="42031"/>
    <cellStyle name="Heading 2 2 3 7 3 5 4 3" xfId="42032"/>
    <cellStyle name="Heading 2 2 3 7 3 5 5" xfId="42033"/>
    <cellStyle name="Heading 2 2 3 7 3 5 5 2" xfId="42034"/>
    <cellStyle name="Heading 2 2 3 7 3 5 5 2 2" xfId="42035"/>
    <cellStyle name="Heading 2 2 3 7 3 5 5 3" xfId="42036"/>
    <cellStyle name="Heading 2 2 3 7 3 5 6" xfId="42037"/>
    <cellStyle name="Heading 2 2 3 7 3 5 6 2" xfId="42038"/>
    <cellStyle name="Heading 2 2 3 7 3 5 6 2 2" xfId="42039"/>
    <cellStyle name="Heading 2 2 3 7 3 5 6 3" xfId="42040"/>
    <cellStyle name="Heading 2 2 3 7 3 5 7" xfId="42041"/>
    <cellStyle name="Heading 2 2 3 7 3 5 7 2" xfId="42042"/>
    <cellStyle name="Heading 2 2 3 7 3 5 7 2 2" xfId="42043"/>
    <cellStyle name="Heading 2 2 3 7 3 5 7 3" xfId="42044"/>
    <cellStyle name="Heading 2 2 3 7 3 5 8" xfId="42045"/>
    <cellStyle name="Heading 2 2 3 7 3 5 8 2" xfId="42046"/>
    <cellStyle name="Heading 2 2 3 7 3 5 9" xfId="42047"/>
    <cellStyle name="Heading 2 2 3 7 3 6" xfId="42048"/>
    <cellStyle name="Heading 2 2 3 7 3 6 2" xfId="42049"/>
    <cellStyle name="Heading 2 2 3 7 3 6 2 2" xfId="42050"/>
    <cellStyle name="Heading 2 2 3 7 3 6 2 2 2" xfId="42051"/>
    <cellStyle name="Heading 2 2 3 7 3 6 2 3" xfId="42052"/>
    <cellStyle name="Heading 2 2 3 7 3 6 3" xfId="42053"/>
    <cellStyle name="Heading 2 2 3 7 3 6 3 2" xfId="42054"/>
    <cellStyle name="Heading 2 2 3 7 3 6 3 2 2" xfId="42055"/>
    <cellStyle name="Heading 2 2 3 7 3 6 3 3" xfId="42056"/>
    <cellStyle name="Heading 2 2 3 7 3 6 4" xfId="42057"/>
    <cellStyle name="Heading 2 2 3 7 3 6 4 2" xfId="42058"/>
    <cellStyle name="Heading 2 2 3 7 3 6 4 2 2" xfId="42059"/>
    <cellStyle name="Heading 2 2 3 7 3 6 4 3" xfId="42060"/>
    <cellStyle name="Heading 2 2 3 7 3 6 5" xfId="42061"/>
    <cellStyle name="Heading 2 2 3 7 3 6 5 2" xfId="42062"/>
    <cellStyle name="Heading 2 2 3 7 3 6 5 2 2" xfId="42063"/>
    <cellStyle name="Heading 2 2 3 7 3 6 5 3" xfId="42064"/>
    <cellStyle name="Heading 2 2 3 7 3 6 6" xfId="42065"/>
    <cellStyle name="Heading 2 2 3 7 3 6 6 2" xfId="42066"/>
    <cellStyle name="Heading 2 2 3 7 3 6 6 2 2" xfId="42067"/>
    <cellStyle name="Heading 2 2 3 7 3 6 6 3" xfId="42068"/>
    <cellStyle name="Heading 2 2 3 7 3 6 7" xfId="42069"/>
    <cellStyle name="Heading 2 2 3 7 3 6 7 2" xfId="42070"/>
    <cellStyle name="Heading 2 2 3 7 3 6 7 2 2" xfId="42071"/>
    <cellStyle name="Heading 2 2 3 7 3 6 7 3" xfId="42072"/>
    <cellStyle name="Heading 2 2 3 7 3 6 8" xfId="42073"/>
    <cellStyle name="Heading 2 2 3 7 3 6 8 2" xfId="42074"/>
    <cellStyle name="Heading 2 2 3 7 3 6 9" xfId="42075"/>
    <cellStyle name="Heading 2 2 3 7 3 7" xfId="42076"/>
    <cellStyle name="Heading 2 2 3 7 3 7 2" xfId="42077"/>
    <cellStyle name="Heading 2 2 3 7 3 7 2 2" xfId="42078"/>
    <cellStyle name="Heading 2 2 3 7 3 7 2 2 2" xfId="42079"/>
    <cellStyle name="Heading 2 2 3 7 3 7 2 3" xfId="42080"/>
    <cellStyle name="Heading 2 2 3 7 3 7 3" xfId="42081"/>
    <cellStyle name="Heading 2 2 3 7 3 7 3 2" xfId="42082"/>
    <cellStyle name="Heading 2 2 3 7 3 7 3 2 2" xfId="42083"/>
    <cellStyle name="Heading 2 2 3 7 3 7 3 3" xfId="42084"/>
    <cellStyle name="Heading 2 2 3 7 3 7 4" xfId="42085"/>
    <cellStyle name="Heading 2 2 3 7 3 7 4 2" xfId="42086"/>
    <cellStyle name="Heading 2 2 3 7 3 7 4 2 2" xfId="42087"/>
    <cellStyle name="Heading 2 2 3 7 3 7 4 3" xfId="42088"/>
    <cellStyle name="Heading 2 2 3 7 3 7 5" xfId="42089"/>
    <cellStyle name="Heading 2 2 3 7 3 7 5 2" xfId="42090"/>
    <cellStyle name="Heading 2 2 3 7 3 7 5 2 2" xfId="42091"/>
    <cellStyle name="Heading 2 2 3 7 3 7 5 3" xfId="42092"/>
    <cellStyle name="Heading 2 2 3 7 3 7 6" xfId="42093"/>
    <cellStyle name="Heading 2 2 3 7 3 7 6 2" xfId="42094"/>
    <cellStyle name="Heading 2 2 3 7 3 7 6 2 2" xfId="42095"/>
    <cellStyle name="Heading 2 2 3 7 3 7 6 3" xfId="42096"/>
    <cellStyle name="Heading 2 2 3 7 3 7 7" xfId="42097"/>
    <cellStyle name="Heading 2 2 3 7 3 7 7 2" xfId="42098"/>
    <cellStyle name="Heading 2 2 3 7 3 7 7 2 2" xfId="42099"/>
    <cellStyle name="Heading 2 2 3 7 3 7 7 3" xfId="42100"/>
    <cellStyle name="Heading 2 2 3 7 3 7 8" xfId="42101"/>
    <cellStyle name="Heading 2 2 3 7 3 7 8 2" xfId="42102"/>
    <cellStyle name="Heading 2 2 3 7 3 7 9" xfId="42103"/>
    <cellStyle name="Heading 2 2 3 7 3 8" xfId="42104"/>
    <cellStyle name="Heading 2 2 3 7 3 8 2" xfId="42105"/>
    <cellStyle name="Heading 2 2 3 7 3 8 2 2" xfId="42106"/>
    <cellStyle name="Heading 2 2 3 7 3 8 2 2 2" xfId="42107"/>
    <cellStyle name="Heading 2 2 3 7 3 8 2 3" xfId="42108"/>
    <cellStyle name="Heading 2 2 3 7 3 8 3" xfId="42109"/>
    <cellStyle name="Heading 2 2 3 7 3 8 3 2" xfId="42110"/>
    <cellStyle name="Heading 2 2 3 7 3 8 3 2 2" xfId="42111"/>
    <cellStyle name="Heading 2 2 3 7 3 8 3 3" xfId="42112"/>
    <cellStyle name="Heading 2 2 3 7 3 8 4" xfId="42113"/>
    <cellStyle name="Heading 2 2 3 7 3 8 4 2" xfId="42114"/>
    <cellStyle name="Heading 2 2 3 7 3 8 4 2 2" xfId="42115"/>
    <cellStyle name="Heading 2 2 3 7 3 8 4 3" xfId="42116"/>
    <cellStyle name="Heading 2 2 3 7 3 8 5" xfId="42117"/>
    <cellStyle name="Heading 2 2 3 7 3 8 5 2" xfId="42118"/>
    <cellStyle name="Heading 2 2 3 7 3 8 5 2 2" xfId="42119"/>
    <cellStyle name="Heading 2 2 3 7 3 8 5 3" xfId="42120"/>
    <cellStyle name="Heading 2 2 3 7 3 8 6" xfId="42121"/>
    <cellStyle name="Heading 2 2 3 7 3 8 6 2" xfId="42122"/>
    <cellStyle name="Heading 2 2 3 7 3 8 6 2 2" xfId="42123"/>
    <cellStyle name="Heading 2 2 3 7 3 8 6 3" xfId="42124"/>
    <cellStyle name="Heading 2 2 3 7 3 8 7" xfId="42125"/>
    <cellStyle name="Heading 2 2 3 7 3 8 7 2" xfId="42126"/>
    <cellStyle name="Heading 2 2 3 7 3 8 7 2 2" xfId="42127"/>
    <cellStyle name="Heading 2 2 3 7 3 8 7 3" xfId="42128"/>
    <cellStyle name="Heading 2 2 3 7 3 8 8" xfId="42129"/>
    <cellStyle name="Heading 2 2 3 7 3 8 8 2" xfId="42130"/>
    <cellStyle name="Heading 2 2 3 7 3 8 9" xfId="42131"/>
    <cellStyle name="Heading 2 2 3 7 3 9" xfId="42132"/>
    <cellStyle name="Heading 2 2 3 7 3 9 2" xfId="42133"/>
    <cellStyle name="Heading 2 2 3 7 3 9 2 2" xfId="42134"/>
    <cellStyle name="Heading 2 2 3 7 3 9 3" xfId="42135"/>
    <cellStyle name="Heading 2 2 3 7 4" xfId="42136"/>
    <cellStyle name="Heading 2 2 3 7 4 2" xfId="42137"/>
    <cellStyle name="Heading 2 2 3 7 4 2 2" xfId="42138"/>
    <cellStyle name="Heading 2 2 3 7 4 3" xfId="42139"/>
    <cellStyle name="Heading 2 2 3 7 5" xfId="42140"/>
    <cellStyle name="Heading 2 2 3 7 5 2" xfId="42141"/>
    <cellStyle name="Heading 2 2 3 7 6" xfId="42142"/>
    <cellStyle name="Heading 2 2 3 8" xfId="42143"/>
    <cellStyle name="Heading 2 2 3 8 10" xfId="42144"/>
    <cellStyle name="Heading 2 2 3 8 10 2" xfId="42145"/>
    <cellStyle name="Heading 2 2 3 8 10 2 2" xfId="42146"/>
    <cellStyle name="Heading 2 2 3 8 10 3" xfId="42147"/>
    <cellStyle name="Heading 2 2 3 8 11" xfId="42148"/>
    <cellStyle name="Heading 2 2 3 8 11 2" xfId="42149"/>
    <cellStyle name="Heading 2 2 3 8 11 2 2" xfId="42150"/>
    <cellStyle name="Heading 2 2 3 8 11 3" xfId="42151"/>
    <cellStyle name="Heading 2 2 3 8 12" xfId="42152"/>
    <cellStyle name="Heading 2 2 3 8 12 2" xfId="42153"/>
    <cellStyle name="Heading 2 2 3 8 12 2 2" xfId="42154"/>
    <cellStyle name="Heading 2 2 3 8 12 3" xfId="42155"/>
    <cellStyle name="Heading 2 2 3 8 13" xfId="42156"/>
    <cellStyle name="Heading 2 2 3 8 13 2" xfId="42157"/>
    <cellStyle name="Heading 2 2 3 8 13 2 2" xfId="42158"/>
    <cellStyle name="Heading 2 2 3 8 13 3" xfId="42159"/>
    <cellStyle name="Heading 2 2 3 8 14" xfId="42160"/>
    <cellStyle name="Heading 2 2 3 8 14 2" xfId="42161"/>
    <cellStyle name="Heading 2 2 3 8 14 2 2" xfId="42162"/>
    <cellStyle name="Heading 2 2 3 8 14 3" xfId="42163"/>
    <cellStyle name="Heading 2 2 3 8 15" xfId="42164"/>
    <cellStyle name="Heading 2 2 3 8 15 2" xfId="42165"/>
    <cellStyle name="Heading 2 2 3 8 15 2 2" xfId="42166"/>
    <cellStyle name="Heading 2 2 3 8 15 3" xfId="42167"/>
    <cellStyle name="Heading 2 2 3 8 16" xfId="42168"/>
    <cellStyle name="Heading 2 2 3 8 16 2" xfId="42169"/>
    <cellStyle name="Heading 2 2 3 8 16 2 2" xfId="42170"/>
    <cellStyle name="Heading 2 2 3 8 16 3" xfId="42171"/>
    <cellStyle name="Heading 2 2 3 8 17" xfId="42172"/>
    <cellStyle name="Heading 2 2 3 8 17 2" xfId="42173"/>
    <cellStyle name="Heading 2 2 3 8 17 2 2" xfId="42174"/>
    <cellStyle name="Heading 2 2 3 8 17 3" xfId="42175"/>
    <cellStyle name="Heading 2 2 3 8 18" xfId="42176"/>
    <cellStyle name="Heading 2 2 3 8 18 2" xfId="42177"/>
    <cellStyle name="Heading 2 2 3 8 18 2 2" xfId="42178"/>
    <cellStyle name="Heading 2 2 3 8 18 3" xfId="42179"/>
    <cellStyle name="Heading 2 2 3 8 19" xfId="42180"/>
    <cellStyle name="Heading 2 2 3 8 19 2" xfId="42181"/>
    <cellStyle name="Heading 2 2 3 8 19 2 2" xfId="42182"/>
    <cellStyle name="Heading 2 2 3 8 19 3" xfId="42183"/>
    <cellStyle name="Heading 2 2 3 8 2" xfId="42184"/>
    <cellStyle name="Heading 2 2 3 8 2 10" xfId="42185"/>
    <cellStyle name="Heading 2 2 3 8 2 10 2" xfId="42186"/>
    <cellStyle name="Heading 2 2 3 8 2 10 2 2" xfId="42187"/>
    <cellStyle name="Heading 2 2 3 8 2 10 3" xfId="42188"/>
    <cellStyle name="Heading 2 2 3 8 2 11" xfId="42189"/>
    <cellStyle name="Heading 2 2 3 8 2 11 2" xfId="42190"/>
    <cellStyle name="Heading 2 2 3 8 2 11 2 2" xfId="42191"/>
    <cellStyle name="Heading 2 2 3 8 2 11 3" xfId="42192"/>
    <cellStyle name="Heading 2 2 3 8 2 12" xfId="42193"/>
    <cellStyle name="Heading 2 2 3 8 2 12 2" xfId="42194"/>
    <cellStyle name="Heading 2 2 3 8 2 12 2 2" xfId="42195"/>
    <cellStyle name="Heading 2 2 3 8 2 12 3" xfId="42196"/>
    <cellStyle name="Heading 2 2 3 8 2 13" xfId="42197"/>
    <cellStyle name="Heading 2 2 3 8 2 13 2" xfId="42198"/>
    <cellStyle name="Heading 2 2 3 8 2 13 2 2" xfId="42199"/>
    <cellStyle name="Heading 2 2 3 8 2 13 3" xfId="42200"/>
    <cellStyle name="Heading 2 2 3 8 2 14" xfId="42201"/>
    <cellStyle name="Heading 2 2 3 8 2 14 2" xfId="42202"/>
    <cellStyle name="Heading 2 2 3 8 2 14 2 2" xfId="42203"/>
    <cellStyle name="Heading 2 2 3 8 2 14 3" xfId="42204"/>
    <cellStyle name="Heading 2 2 3 8 2 15" xfId="42205"/>
    <cellStyle name="Heading 2 2 3 8 2 15 2" xfId="42206"/>
    <cellStyle name="Heading 2 2 3 8 2 15 2 2" xfId="42207"/>
    <cellStyle name="Heading 2 2 3 8 2 15 3" xfId="42208"/>
    <cellStyle name="Heading 2 2 3 8 2 16" xfId="42209"/>
    <cellStyle name="Heading 2 2 3 8 2 16 2" xfId="42210"/>
    <cellStyle name="Heading 2 2 3 8 2 16 2 2" xfId="42211"/>
    <cellStyle name="Heading 2 2 3 8 2 16 3" xfId="42212"/>
    <cellStyle name="Heading 2 2 3 8 2 17" xfId="42213"/>
    <cellStyle name="Heading 2 2 3 8 2 17 2" xfId="42214"/>
    <cellStyle name="Heading 2 2 3 8 2 17 2 2" xfId="42215"/>
    <cellStyle name="Heading 2 2 3 8 2 17 3" xfId="42216"/>
    <cellStyle name="Heading 2 2 3 8 2 18" xfId="42217"/>
    <cellStyle name="Heading 2 2 3 8 2 18 2" xfId="42218"/>
    <cellStyle name="Heading 2 2 3 8 2 18 2 2" xfId="42219"/>
    <cellStyle name="Heading 2 2 3 8 2 18 3" xfId="42220"/>
    <cellStyle name="Heading 2 2 3 8 2 19" xfId="42221"/>
    <cellStyle name="Heading 2 2 3 8 2 19 2" xfId="42222"/>
    <cellStyle name="Heading 2 2 3 8 2 2" xfId="42223"/>
    <cellStyle name="Heading 2 2 3 8 2 2 2" xfId="42224"/>
    <cellStyle name="Heading 2 2 3 8 2 2 2 2" xfId="42225"/>
    <cellStyle name="Heading 2 2 3 8 2 2 2 2 2" xfId="42226"/>
    <cellStyle name="Heading 2 2 3 8 2 2 2 3" xfId="42227"/>
    <cellStyle name="Heading 2 2 3 8 2 2 3" xfId="42228"/>
    <cellStyle name="Heading 2 2 3 8 2 2 3 2" xfId="42229"/>
    <cellStyle name="Heading 2 2 3 8 2 2 3 2 2" xfId="42230"/>
    <cellStyle name="Heading 2 2 3 8 2 2 3 3" xfId="42231"/>
    <cellStyle name="Heading 2 2 3 8 2 2 4" xfId="42232"/>
    <cellStyle name="Heading 2 2 3 8 2 2 4 2" xfId="42233"/>
    <cellStyle name="Heading 2 2 3 8 2 2 4 2 2" xfId="42234"/>
    <cellStyle name="Heading 2 2 3 8 2 2 4 3" xfId="42235"/>
    <cellStyle name="Heading 2 2 3 8 2 2 5" xfId="42236"/>
    <cellStyle name="Heading 2 2 3 8 2 2 5 2" xfId="42237"/>
    <cellStyle name="Heading 2 2 3 8 2 2 5 2 2" xfId="42238"/>
    <cellStyle name="Heading 2 2 3 8 2 2 5 3" xfId="42239"/>
    <cellStyle name="Heading 2 2 3 8 2 2 6" xfId="42240"/>
    <cellStyle name="Heading 2 2 3 8 2 2 6 2" xfId="42241"/>
    <cellStyle name="Heading 2 2 3 8 2 2 6 2 2" xfId="42242"/>
    <cellStyle name="Heading 2 2 3 8 2 2 6 3" xfId="42243"/>
    <cellStyle name="Heading 2 2 3 8 2 2 7" xfId="42244"/>
    <cellStyle name="Heading 2 2 3 8 2 2 7 2" xfId="42245"/>
    <cellStyle name="Heading 2 2 3 8 2 2 7 2 2" xfId="42246"/>
    <cellStyle name="Heading 2 2 3 8 2 2 7 3" xfId="42247"/>
    <cellStyle name="Heading 2 2 3 8 2 2 8" xfId="42248"/>
    <cellStyle name="Heading 2 2 3 8 2 2 8 2" xfId="42249"/>
    <cellStyle name="Heading 2 2 3 8 2 2 9" xfId="42250"/>
    <cellStyle name="Heading 2 2 3 8 2 20" xfId="42251"/>
    <cellStyle name="Heading 2 2 3 8 2 20 2" xfId="42252"/>
    <cellStyle name="Heading 2 2 3 8 2 21" xfId="42253"/>
    <cellStyle name="Heading 2 2 3 8 2 21 2" xfId="42254"/>
    <cellStyle name="Heading 2 2 3 8 2 22" xfId="42255"/>
    <cellStyle name="Heading 2 2 3 8 2 3" xfId="42256"/>
    <cellStyle name="Heading 2 2 3 8 2 3 2" xfId="42257"/>
    <cellStyle name="Heading 2 2 3 8 2 3 2 2" xfId="42258"/>
    <cellStyle name="Heading 2 2 3 8 2 3 2 2 2" xfId="42259"/>
    <cellStyle name="Heading 2 2 3 8 2 3 2 3" xfId="42260"/>
    <cellStyle name="Heading 2 2 3 8 2 3 3" xfId="42261"/>
    <cellStyle name="Heading 2 2 3 8 2 3 3 2" xfId="42262"/>
    <cellStyle name="Heading 2 2 3 8 2 3 3 2 2" xfId="42263"/>
    <cellStyle name="Heading 2 2 3 8 2 3 3 3" xfId="42264"/>
    <cellStyle name="Heading 2 2 3 8 2 3 4" xfId="42265"/>
    <cellStyle name="Heading 2 2 3 8 2 3 4 2" xfId="42266"/>
    <cellStyle name="Heading 2 2 3 8 2 3 4 2 2" xfId="42267"/>
    <cellStyle name="Heading 2 2 3 8 2 3 4 3" xfId="42268"/>
    <cellStyle name="Heading 2 2 3 8 2 3 5" xfId="42269"/>
    <cellStyle name="Heading 2 2 3 8 2 3 5 2" xfId="42270"/>
    <cellStyle name="Heading 2 2 3 8 2 3 5 2 2" xfId="42271"/>
    <cellStyle name="Heading 2 2 3 8 2 3 5 3" xfId="42272"/>
    <cellStyle name="Heading 2 2 3 8 2 3 6" xfId="42273"/>
    <cellStyle name="Heading 2 2 3 8 2 3 6 2" xfId="42274"/>
    <cellStyle name="Heading 2 2 3 8 2 3 6 2 2" xfId="42275"/>
    <cellStyle name="Heading 2 2 3 8 2 3 6 3" xfId="42276"/>
    <cellStyle name="Heading 2 2 3 8 2 3 7" xfId="42277"/>
    <cellStyle name="Heading 2 2 3 8 2 3 7 2" xfId="42278"/>
    <cellStyle name="Heading 2 2 3 8 2 3 7 2 2" xfId="42279"/>
    <cellStyle name="Heading 2 2 3 8 2 3 7 3" xfId="42280"/>
    <cellStyle name="Heading 2 2 3 8 2 3 8" xfId="42281"/>
    <cellStyle name="Heading 2 2 3 8 2 3 8 2" xfId="42282"/>
    <cellStyle name="Heading 2 2 3 8 2 3 9" xfId="42283"/>
    <cellStyle name="Heading 2 2 3 8 2 4" xfId="42284"/>
    <cellStyle name="Heading 2 2 3 8 2 4 2" xfId="42285"/>
    <cellStyle name="Heading 2 2 3 8 2 4 2 2" xfId="42286"/>
    <cellStyle name="Heading 2 2 3 8 2 4 2 2 2" xfId="42287"/>
    <cellStyle name="Heading 2 2 3 8 2 4 2 3" xfId="42288"/>
    <cellStyle name="Heading 2 2 3 8 2 4 3" xfId="42289"/>
    <cellStyle name="Heading 2 2 3 8 2 4 3 2" xfId="42290"/>
    <cellStyle name="Heading 2 2 3 8 2 4 3 2 2" xfId="42291"/>
    <cellStyle name="Heading 2 2 3 8 2 4 3 3" xfId="42292"/>
    <cellStyle name="Heading 2 2 3 8 2 4 4" xfId="42293"/>
    <cellStyle name="Heading 2 2 3 8 2 4 4 2" xfId="42294"/>
    <cellStyle name="Heading 2 2 3 8 2 4 4 2 2" xfId="42295"/>
    <cellStyle name="Heading 2 2 3 8 2 4 4 3" xfId="42296"/>
    <cellStyle name="Heading 2 2 3 8 2 4 5" xfId="42297"/>
    <cellStyle name="Heading 2 2 3 8 2 4 5 2" xfId="42298"/>
    <cellStyle name="Heading 2 2 3 8 2 4 5 2 2" xfId="42299"/>
    <cellStyle name="Heading 2 2 3 8 2 4 5 3" xfId="42300"/>
    <cellStyle name="Heading 2 2 3 8 2 4 6" xfId="42301"/>
    <cellStyle name="Heading 2 2 3 8 2 4 6 2" xfId="42302"/>
    <cellStyle name="Heading 2 2 3 8 2 4 6 2 2" xfId="42303"/>
    <cellStyle name="Heading 2 2 3 8 2 4 6 3" xfId="42304"/>
    <cellStyle name="Heading 2 2 3 8 2 4 7" xfId="42305"/>
    <cellStyle name="Heading 2 2 3 8 2 4 7 2" xfId="42306"/>
    <cellStyle name="Heading 2 2 3 8 2 4 7 2 2" xfId="42307"/>
    <cellStyle name="Heading 2 2 3 8 2 4 7 3" xfId="42308"/>
    <cellStyle name="Heading 2 2 3 8 2 4 8" xfId="42309"/>
    <cellStyle name="Heading 2 2 3 8 2 4 8 2" xfId="42310"/>
    <cellStyle name="Heading 2 2 3 8 2 4 9" xfId="42311"/>
    <cellStyle name="Heading 2 2 3 8 2 5" xfId="42312"/>
    <cellStyle name="Heading 2 2 3 8 2 5 2" xfId="42313"/>
    <cellStyle name="Heading 2 2 3 8 2 5 2 2" xfId="42314"/>
    <cellStyle name="Heading 2 2 3 8 2 5 2 2 2" xfId="42315"/>
    <cellStyle name="Heading 2 2 3 8 2 5 2 3" xfId="42316"/>
    <cellStyle name="Heading 2 2 3 8 2 5 3" xfId="42317"/>
    <cellStyle name="Heading 2 2 3 8 2 5 3 2" xfId="42318"/>
    <cellStyle name="Heading 2 2 3 8 2 5 3 2 2" xfId="42319"/>
    <cellStyle name="Heading 2 2 3 8 2 5 3 3" xfId="42320"/>
    <cellStyle name="Heading 2 2 3 8 2 5 4" xfId="42321"/>
    <cellStyle name="Heading 2 2 3 8 2 5 4 2" xfId="42322"/>
    <cellStyle name="Heading 2 2 3 8 2 5 4 2 2" xfId="42323"/>
    <cellStyle name="Heading 2 2 3 8 2 5 4 3" xfId="42324"/>
    <cellStyle name="Heading 2 2 3 8 2 5 5" xfId="42325"/>
    <cellStyle name="Heading 2 2 3 8 2 5 5 2" xfId="42326"/>
    <cellStyle name="Heading 2 2 3 8 2 5 5 2 2" xfId="42327"/>
    <cellStyle name="Heading 2 2 3 8 2 5 5 3" xfId="42328"/>
    <cellStyle name="Heading 2 2 3 8 2 5 6" xfId="42329"/>
    <cellStyle name="Heading 2 2 3 8 2 5 6 2" xfId="42330"/>
    <cellStyle name="Heading 2 2 3 8 2 5 6 2 2" xfId="42331"/>
    <cellStyle name="Heading 2 2 3 8 2 5 6 3" xfId="42332"/>
    <cellStyle name="Heading 2 2 3 8 2 5 7" xfId="42333"/>
    <cellStyle name="Heading 2 2 3 8 2 5 7 2" xfId="42334"/>
    <cellStyle name="Heading 2 2 3 8 2 5 7 2 2" xfId="42335"/>
    <cellStyle name="Heading 2 2 3 8 2 5 7 3" xfId="42336"/>
    <cellStyle name="Heading 2 2 3 8 2 5 8" xfId="42337"/>
    <cellStyle name="Heading 2 2 3 8 2 5 8 2" xfId="42338"/>
    <cellStyle name="Heading 2 2 3 8 2 5 9" xfId="42339"/>
    <cellStyle name="Heading 2 2 3 8 2 6" xfId="42340"/>
    <cellStyle name="Heading 2 2 3 8 2 6 2" xfId="42341"/>
    <cellStyle name="Heading 2 2 3 8 2 6 2 2" xfId="42342"/>
    <cellStyle name="Heading 2 2 3 8 2 6 2 2 2" xfId="42343"/>
    <cellStyle name="Heading 2 2 3 8 2 6 2 3" xfId="42344"/>
    <cellStyle name="Heading 2 2 3 8 2 6 3" xfId="42345"/>
    <cellStyle name="Heading 2 2 3 8 2 6 3 2" xfId="42346"/>
    <cellStyle name="Heading 2 2 3 8 2 6 3 2 2" xfId="42347"/>
    <cellStyle name="Heading 2 2 3 8 2 6 3 3" xfId="42348"/>
    <cellStyle name="Heading 2 2 3 8 2 6 4" xfId="42349"/>
    <cellStyle name="Heading 2 2 3 8 2 6 4 2" xfId="42350"/>
    <cellStyle name="Heading 2 2 3 8 2 6 4 2 2" xfId="42351"/>
    <cellStyle name="Heading 2 2 3 8 2 6 4 3" xfId="42352"/>
    <cellStyle name="Heading 2 2 3 8 2 6 5" xfId="42353"/>
    <cellStyle name="Heading 2 2 3 8 2 6 5 2" xfId="42354"/>
    <cellStyle name="Heading 2 2 3 8 2 6 5 2 2" xfId="42355"/>
    <cellStyle name="Heading 2 2 3 8 2 6 5 3" xfId="42356"/>
    <cellStyle name="Heading 2 2 3 8 2 6 6" xfId="42357"/>
    <cellStyle name="Heading 2 2 3 8 2 6 6 2" xfId="42358"/>
    <cellStyle name="Heading 2 2 3 8 2 6 6 2 2" xfId="42359"/>
    <cellStyle name="Heading 2 2 3 8 2 6 6 3" xfId="42360"/>
    <cellStyle name="Heading 2 2 3 8 2 6 7" xfId="42361"/>
    <cellStyle name="Heading 2 2 3 8 2 6 7 2" xfId="42362"/>
    <cellStyle name="Heading 2 2 3 8 2 6 7 2 2" xfId="42363"/>
    <cellStyle name="Heading 2 2 3 8 2 6 7 3" xfId="42364"/>
    <cellStyle name="Heading 2 2 3 8 2 6 8" xfId="42365"/>
    <cellStyle name="Heading 2 2 3 8 2 6 8 2" xfId="42366"/>
    <cellStyle name="Heading 2 2 3 8 2 6 9" xfId="42367"/>
    <cellStyle name="Heading 2 2 3 8 2 7" xfId="42368"/>
    <cellStyle name="Heading 2 2 3 8 2 7 2" xfId="42369"/>
    <cellStyle name="Heading 2 2 3 8 2 7 2 2" xfId="42370"/>
    <cellStyle name="Heading 2 2 3 8 2 7 2 2 2" xfId="42371"/>
    <cellStyle name="Heading 2 2 3 8 2 7 2 3" xfId="42372"/>
    <cellStyle name="Heading 2 2 3 8 2 7 3" xfId="42373"/>
    <cellStyle name="Heading 2 2 3 8 2 7 3 2" xfId="42374"/>
    <cellStyle name="Heading 2 2 3 8 2 7 3 2 2" xfId="42375"/>
    <cellStyle name="Heading 2 2 3 8 2 7 3 3" xfId="42376"/>
    <cellStyle name="Heading 2 2 3 8 2 7 4" xfId="42377"/>
    <cellStyle name="Heading 2 2 3 8 2 7 4 2" xfId="42378"/>
    <cellStyle name="Heading 2 2 3 8 2 7 4 2 2" xfId="42379"/>
    <cellStyle name="Heading 2 2 3 8 2 7 4 3" xfId="42380"/>
    <cellStyle name="Heading 2 2 3 8 2 7 5" xfId="42381"/>
    <cellStyle name="Heading 2 2 3 8 2 7 5 2" xfId="42382"/>
    <cellStyle name="Heading 2 2 3 8 2 7 5 2 2" xfId="42383"/>
    <cellStyle name="Heading 2 2 3 8 2 7 5 3" xfId="42384"/>
    <cellStyle name="Heading 2 2 3 8 2 7 6" xfId="42385"/>
    <cellStyle name="Heading 2 2 3 8 2 7 6 2" xfId="42386"/>
    <cellStyle name="Heading 2 2 3 8 2 7 6 2 2" xfId="42387"/>
    <cellStyle name="Heading 2 2 3 8 2 7 6 3" xfId="42388"/>
    <cellStyle name="Heading 2 2 3 8 2 7 7" xfId="42389"/>
    <cellStyle name="Heading 2 2 3 8 2 7 7 2" xfId="42390"/>
    <cellStyle name="Heading 2 2 3 8 2 7 7 2 2" xfId="42391"/>
    <cellStyle name="Heading 2 2 3 8 2 7 7 3" xfId="42392"/>
    <cellStyle name="Heading 2 2 3 8 2 7 8" xfId="42393"/>
    <cellStyle name="Heading 2 2 3 8 2 7 8 2" xfId="42394"/>
    <cellStyle name="Heading 2 2 3 8 2 7 9" xfId="42395"/>
    <cellStyle name="Heading 2 2 3 8 2 8" xfId="42396"/>
    <cellStyle name="Heading 2 2 3 8 2 8 2" xfId="42397"/>
    <cellStyle name="Heading 2 2 3 8 2 8 2 2" xfId="42398"/>
    <cellStyle name="Heading 2 2 3 8 2 8 2 2 2" xfId="42399"/>
    <cellStyle name="Heading 2 2 3 8 2 8 2 3" xfId="42400"/>
    <cellStyle name="Heading 2 2 3 8 2 8 3" xfId="42401"/>
    <cellStyle name="Heading 2 2 3 8 2 8 3 2" xfId="42402"/>
    <cellStyle name="Heading 2 2 3 8 2 8 3 2 2" xfId="42403"/>
    <cellStyle name="Heading 2 2 3 8 2 8 3 3" xfId="42404"/>
    <cellStyle name="Heading 2 2 3 8 2 8 4" xfId="42405"/>
    <cellStyle name="Heading 2 2 3 8 2 8 4 2" xfId="42406"/>
    <cellStyle name="Heading 2 2 3 8 2 8 4 2 2" xfId="42407"/>
    <cellStyle name="Heading 2 2 3 8 2 8 4 3" xfId="42408"/>
    <cellStyle name="Heading 2 2 3 8 2 8 5" xfId="42409"/>
    <cellStyle name="Heading 2 2 3 8 2 8 5 2" xfId="42410"/>
    <cellStyle name="Heading 2 2 3 8 2 8 5 2 2" xfId="42411"/>
    <cellStyle name="Heading 2 2 3 8 2 8 5 3" xfId="42412"/>
    <cellStyle name="Heading 2 2 3 8 2 8 6" xfId="42413"/>
    <cellStyle name="Heading 2 2 3 8 2 8 6 2" xfId="42414"/>
    <cellStyle name="Heading 2 2 3 8 2 8 6 2 2" xfId="42415"/>
    <cellStyle name="Heading 2 2 3 8 2 8 6 3" xfId="42416"/>
    <cellStyle name="Heading 2 2 3 8 2 8 7" xfId="42417"/>
    <cellStyle name="Heading 2 2 3 8 2 8 7 2" xfId="42418"/>
    <cellStyle name="Heading 2 2 3 8 2 8 7 2 2" xfId="42419"/>
    <cellStyle name="Heading 2 2 3 8 2 8 7 3" xfId="42420"/>
    <cellStyle name="Heading 2 2 3 8 2 8 8" xfId="42421"/>
    <cellStyle name="Heading 2 2 3 8 2 8 8 2" xfId="42422"/>
    <cellStyle name="Heading 2 2 3 8 2 8 9" xfId="42423"/>
    <cellStyle name="Heading 2 2 3 8 2 9" xfId="42424"/>
    <cellStyle name="Heading 2 2 3 8 2 9 2" xfId="42425"/>
    <cellStyle name="Heading 2 2 3 8 2 9 2 2" xfId="42426"/>
    <cellStyle name="Heading 2 2 3 8 2 9 3" xfId="42427"/>
    <cellStyle name="Heading 2 2 3 8 20" xfId="42428"/>
    <cellStyle name="Heading 2 2 3 8 20 2" xfId="42429"/>
    <cellStyle name="Heading 2 2 3 8 21" xfId="42430"/>
    <cellStyle name="Heading 2 2 3 8 21 2" xfId="42431"/>
    <cellStyle name="Heading 2 2 3 8 22" xfId="42432"/>
    <cellStyle name="Heading 2 2 3 8 22 2" xfId="42433"/>
    <cellStyle name="Heading 2 2 3 8 23" xfId="42434"/>
    <cellStyle name="Heading 2 2 3 8 3" xfId="42435"/>
    <cellStyle name="Heading 2 2 3 8 3 2" xfId="42436"/>
    <cellStyle name="Heading 2 2 3 8 3 2 2" xfId="42437"/>
    <cellStyle name="Heading 2 2 3 8 3 2 2 2" xfId="42438"/>
    <cellStyle name="Heading 2 2 3 8 3 2 3" xfId="42439"/>
    <cellStyle name="Heading 2 2 3 8 3 3" xfId="42440"/>
    <cellStyle name="Heading 2 2 3 8 3 3 2" xfId="42441"/>
    <cellStyle name="Heading 2 2 3 8 3 3 2 2" xfId="42442"/>
    <cellStyle name="Heading 2 2 3 8 3 3 3" xfId="42443"/>
    <cellStyle name="Heading 2 2 3 8 3 4" xfId="42444"/>
    <cellStyle name="Heading 2 2 3 8 3 4 2" xfId="42445"/>
    <cellStyle name="Heading 2 2 3 8 3 4 2 2" xfId="42446"/>
    <cellStyle name="Heading 2 2 3 8 3 4 3" xfId="42447"/>
    <cellStyle name="Heading 2 2 3 8 3 5" xfId="42448"/>
    <cellStyle name="Heading 2 2 3 8 3 5 2" xfId="42449"/>
    <cellStyle name="Heading 2 2 3 8 3 5 2 2" xfId="42450"/>
    <cellStyle name="Heading 2 2 3 8 3 5 3" xfId="42451"/>
    <cellStyle name="Heading 2 2 3 8 3 6" xfId="42452"/>
    <cellStyle name="Heading 2 2 3 8 3 6 2" xfId="42453"/>
    <cellStyle name="Heading 2 2 3 8 3 6 2 2" xfId="42454"/>
    <cellStyle name="Heading 2 2 3 8 3 6 3" xfId="42455"/>
    <cellStyle name="Heading 2 2 3 8 3 7" xfId="42456"/>
    <cellStyle name="Heading 2 2 3 8 3 7 2" xfId="42457"/>
    <cellStyle name="Heading 2 2 3 8 3 7 2 2" xfId="42458"/>
    <cellStyle name="Heading 2 2 3 8 3 7 3" xfId="42459"/>
    <cellStyle name="Heading 2 2 3 8 3 8" xfId="42460"/>
    <cellStyle name="Heading 2 2 3 8 3 8 2" xfId="42461"/>
    <cellStyle name="Heading 2 2 3 8 3 9" xfId="42462"/>
    <cellStyle name="Heading 2 2 3 8 4" xfId="42463"/>
    <cellStyle name="Heading 2 2 3 8 4 2" xfId="42464"/>
    <cellStyle name="Heading 2 2 3 8 4 2 2" xfId="42465"/>
    <cellStyle name="Heading 2 2 3 8 4 2 2 2" xfId="42466"/>
    <cellStyle name="Heading 2 2 3 8 4 2 3" xfId="42467"/>
    <cellStyle name="Heading 2 2 3 8 4 3" xfId="42468"/>
    <cellStyle name="Heading 2 2 3 8 4 3 2" xfId="42469"/>
    <cellStyle name="Heading 2 2 3 8 4 3 2 2" xfId="42470"/>
    <cellStyle name="Heading 2 2 3 8 4 3 3" xfId="42471"/>
    <cellStyle name="Heading 2 2 3 8 4 4" xfId="42472"/>
    <cellStyle name="Heading 2 2 3 8 4 4 2" xfId="42473"/>
    <cellStyle name="Heading 2 2 3 8 4 4 2 2" xfId="42474"/>
    <cellStyle name="Heading 2 2 3 8 4 4 3" xfId="42475"/>
    <cellStyle name="Heading 2 2 3 8 4 5" xfId="42476"/>
    <cellStyle name="Heading 2 2 3 8 4 5 2" xfId="42477"/>
    <cellStyle name="Heading 2 2 3 8 4 5 2 2" xfId="42478"/>
    <cellStyle name="Heading 2 2 3 8 4 5 3" xfId="42479"/>
    <cellStyle name="Heading 2 2 3 8 4 6" xfId="42480"/>
    <cellStyle name="Heading 2 2 3 8 4 6 2" xfId="42481"/>
    <cellStyle name="Heading 2 2 3 8 4 6 2 2" xfId="42482"/>
    <cellStyle name="Heading 2 2 3 8 4 6 3" xfId="42483"/>
    <cellStyle name="Heading 2 2 3 8 4 7" xfId="42484"/>
    <cellStyle name="Heading 2 2 3 8 4 7 2" xfId="42485"/>
    <cellStyle name="Heading 2 2 3 8 4 7 2 2" xfId="42486"/>
    <cellStyle name="Heading 2 2 3 8 4 7 3" xfId="42487"/>
    <cellStyle name="Heading 2 2 3 8 4 8" xfId="42488"/>
    <cellStyle name="Heading 2 2 3 8 4 8 2" xfId="42489"/>
    <cellStyle name="Heading 2 2 3 8 4 9" xfId="42490"/>
    <cellStyle name="Heading 2 2 3 8 5" xfId="42491"/>
    <cellStyle name="Heading 2 2 3 8 5 2" xfId="42492"/>
    <cellStyle name="Heading 2 2 3 8 5 2 2" xfId="42493"/>
    <cellStyle name="Heading 2 2 3 8 5 2 2 2" xfId="42494"/>
    <cellStyle name="Heading 2 2 3 8 5 2 3" xfId="42495"/>
    <cellStyle name="Heading 2 2 3 8 5 3" xfId="42496"/>
    <cellStyle name="Heading 2 2 3 8 5 3 2" xfId="42497"/>
    <cellStyle name="Heading 2 2 3 8 5 3 2 2" xfId="42498"/>
    <cellStyle name="Heading 2 2 3 8 5 3 3" xfId="42499"/>
    <cellStyle name="Heading 2 2 3 8 5 4" xfId="42500"/>
    <cellStyle name="Heading 2 2 3 8 5 4 2" xfId="42501"/>
    <cellStyle name="Heading 2 2 3 8 5 4 2 2" xfId="42502"/>
    <cellStyle name="Heading 2 2 3 8 5 4 3" xfId="42503"/>
    <cellStyle name="Heading 2 2 3 8 5 5" xfId="42504"/>
    <cellStyle name="Heading 2 2 3 8 5 5 2" xfId="42505"/>
    <cellStyle name="Heading 2 2 3 8 5 5 2 2" xfId="42506"/>
    <cellStyle name="Heading 2 2 3 8 5 5 3" xfId="42507"/>
    <cellStyle name="Heading 2 2 3 8 5 6" xfId="42508"/>
    <cellStyle name="Heading 2 2 3 8 5 6 2" xfId="42509"/>
    <cellStyle name="Heading 2 2 3 8 5 6 2 2" xfId="42510"/>
    <cellStyle name="Heading 2 2 3 8 5 6 3" xfId="42511"/>
    <cellStyle name="Heading 2 2 3 8 5 7" xfId="42512"/>
    <cellStyle name="Heading 2 2 3 8 5 7 2" xfId="42513"/>
    <cellStyle name="Heading 2 2 3 8 5 7 2 2" xfId="42514"/>
    <cellStyle name="Heading 2 2 3 8 5 7 3" xfId="42515"/>
    <cellStyle name="Heading 2 2 3 8 5 8" xfId="42516"/>
    <cellStyle name="Heading 2 2 3 8 5 8 2" xfId="42517"/>
    <cellStyle name="Heading 2 2 3 8 5 9" xfId="42518"/>
    <cellStyle name="Heading 2 2 3 8 6" xfId="42519"/>
    <cellStyle name="Heading 2 2 3 8 6 2" xfId="42520"/>
    <cellStyle name="Heading 2 2 3 8 6 2 2" xfId="42521"/>
    <cellStyle name="Heading 2 2 3 8 6 2 2 2" xfId="42522"/>
    <cellStyle name="Heading 2 2 3 8 6 2 3" xfId="42523"/>
    <cellStyle name="Heading 2 2 3 8 6 3" xfId="42524"/>
    <cellStyle name="Heading 2 2 3 8 6 3 2" xfId="42525"/>
    <cellStyle name="Heading 2 2 3 8 6 3 2 2" xfId="42526"/>
    <cellStyle name="Heading 2 2 3 8 6 3 3" xfId="42527"/>
    <cellStyle name="Heading 2 2 3 8 6 4" xfId="42528"/>
    <cellStyle name="Heading 2 2 3 8 6 4 2" xfId="42529"/>
    <cellStyle name="Heading 2 2 3 8 6 4 2 2" xfId="42530"/>
    <cellStyle name="Heading 2 2 3 8 6 4 3" xfId="42531"/>
    <cellStyle name="Heading 2 2 3 8 6 5" xfId="42532"/>
    <cellStyle name="Heading 2 2 3 8 6 5 2" xfId="42533"/>
    <cellStyle name="Heading 2 2 3 8 6 5 2 2" xfId="42534"/>
    <cellStyle name="Heading 2 2 3 8 6 5 3" xfId="42535"/>
    <cellStyle name="Heading 2 2 3 8 6 6" xfId="42536"/>
    <cellStyle name="Heading 2 2 3 8 6 6 2" xfId="42537"/>
    <cellStyle name="Heading 2 2 3 8 6 6 2 2" xfId="42538"/>
    <cellStyle name="Heading 2 2 3 8 6 6 3" xfId="42539"/>
    <cellStyle name="Heading 2 2 3 8 6 7" xfId="42540"/>
    <cellStyle name="Heading 2 2 3 8 6 7 2" xfId="42541"/>
    <cellStyle name="Heading 2 2 3 8 6 7 2 2" xfId="42542"/>
    <cellStyle name="Heading 2 2 3 8 6 7 3" xfId="42543"/>
    <cellStyle name="Heading 2 2 3 8 6 8" xfId="42544"/>
    <cellStyle name="Heading 2 2 3 8 6 8 2" xfId="42545"/>
    <cellStyle name="Heading 2 2 3 8 6 9" xfId="42546"/>
    <cellStyle name="Heading 2 2 3 8 7" xfId="42547"/>
    <cellStyle name="Heading 2 2 3 8 7 2" xfId="42548"/>
    <cellStyle name="Heading 2 2 3 8 7 2 2" xfId="42549"/>
    <cellStyle name="Heading 2 2 3 8 7 2 2 2" xfId="42550"/>
    <cellStyle name="Heading 2 2 3 8 7 2 3" xfId="42551"/>
    <cellStyle name="Heading 2 2 3 8 7 3" xfId="42552"/>
    <cellStyle name="Heading 2 2 3 8 7 3 2" xfId="42553"/>
    <cellStyle name="Heading 2 2 3 8 7 3 2 2" xfId="42554"/>
    <cellStyle name="Heading 2 2 3 8 7 3 3" xfId="42555"/>
    <cellStyle name="Heading 2 2 3 8 7 4" xfId="42556"/>
    <cellStyle name="Heading 2 2 3 8 7 4 2" xfId="42557"/>
    <cellStyle name="Heading 2 2 3 8 7 4 2 2" xfId="42558"/>
    <cellStyle name="Heading 2 2 3 8 7 4 3" xfId="42559"/>
    <cellStyle name="Heading 2 2 3 8 7 5" xfId="42560"/>
    <cellStyle name="Heading 2 2 3 8 7 5 2" xfId="42561"/>
    <cellStyle name="Heading 2 2 3 8 7 5 2 2" xfId="42562"/>
    <cellStyle name="Heading 2 2 3 8 7 5 3" xfId="42563"/>
    <cellStyle name="Heading 2 2 3 8 7 6" xfId="42564"/>
    <cellStyle name="Heading 2 2 3 8 7 6 2" xfId="42565"/>
    <cellStyle name="Heading 2 2 3 8 7 6 2 2" xfId="42566"/>
    <cellStyle name="Heading 2 2 3 8 7 6 3" xfId="42567"/>
    <cellStyle name="Heading 2 2 3 8 7 7" xfId="42568"/>
    <cellStyle name="Heading 2 2 3 8 7 7 2" xfId="42569"/>
    <cellStyle name="Heading 2 2 3 8 7 7 2 2" xfId="42570"/>
    <cellStyle name="Heading 2 2 3 8 7 7 3" xfId="42571"/>
    <cellStyle name="Heading 2 2 3 8 7 8" xfId="42572"/>
    <cellStyle name="Heading 2 2 3 8 7 8 2" xfId="42573"/>
    <cellStyle name="Heading 2 2 3 8 7 9" xfId="42574"/>
    <cellStyle name="Heading 2 2 3 8 8" xfId="42575"/>
    <cellStyle name="Heading 2 2 3 8 8 2" xfId="42576"/>
    <cellStyle name="Heading 2 2 3 8 8 2 2" xfId="42577"/>
    <cellStyle name="Heading 2 2 3 8 8 2 2 2" xfId="42578"/>
    <cellStyle name="Heading 2 2 3 8 8 2 3" xfId="42579"/>
    <cellStyle name="Heading 2 2 3 8 8 3" xfId="42580"/>
    <cellStyle name="Heading 2 2 3 8 8 3 2" xfId="42581"/>
    <cellStyle name="Heading 2 2 3 8 8 3 2 2" xfId="42582"/>
    <cellStyle name="Heading 2 2 3 8 8 3 3" xfId="42583"/>
    <cellStyle name="Heading 2 2 3 8 8 4" xfId="42584"/>
    <cellStyle name="Heading 2 2 3 8 8 4 2" xfId="42585"/>
    <cellStyle name="Heading 2 2 3 8 8 4 2 2" xfId="42586"/>
    <cellStyle name="Heading 2 2 3 8 8 4 3" xfId="42587"/>
    <cellStyle name="Heading 2 2 3 8 8 5" xfId="42588"/>
    <cellStyle name="Heading 2 2 3 8 8 5 2" xfId="42589"/>
    <cellStyle name="Heading 2 2 3 8 8 5 2 2" xfId="42590"/>
    <cellStyle name="Heading 2 2 3 8 8 5 3" xfId="42591"/>
    <cellStyle name="Heading 2 2 3 8 8 6" xfId="42592"/>
    <cellStyle name="Heading 2 2 3 8 8 6 2" xfId="42593"/>
    <cellStyle name="Heading 2 2 3 8 8 6 2 2" xfId="42594"/>
    <cellStyle name="Heading 2 2 3 8 8 6 3" xfId="42595"/>
    <cellStyle name="Heading 2 2 3 8 8 7" xfId="42596"/>
    <cellStyle name="Heading 2 2 3 8 8 7 2" xfId="42597"/>
    <cellStyle name="Heading 2 2 3 8 8 7 2 2" xfId="42598"/>
    <cellStyle name="Heading 2 2 3 8 8 7 3" xfId="42599"/>
    <cellStyle name="Heading 2 2 3 8 8 8" xfId="42600"/>
    <cellStyle name="Heading 2 2 3 8 8 8 2" xfId="42601"/>
    <cellStyle name="Heading 2 2 3 8 8 9" xfId="42602"/>
    <cellStyle name="Heading 2 2 3 8 9" xfId="42603"/>
    <cellStyle name="Heading 2 2 3 8 9 2" xfId="42604"/>
    <cellStyle name="Heading 2 2 3 8 9 2 2" xfId="42605"/>
    <cellStyle name="Heading 2 2 3 8 9 2 2 2" xfId="42606"/>
    <cellStyle name="Heading 2 2 3 8 9 2 3" xfId="42607"/>
    <cellStyle name="Heading 2 2 3 8 9 3" xfId="42608"/>
    <cellStyle name="Heading 2 2 3 8 9 3 2" xfId="42609"/>
    <cellStyle name="Heading 2 2 3 8 9 3 2 2" xfId="42610"/>
    <cellStyle name="Heading 2 2 3 8 9 3 3" xfId="42611"/>
    <cellStyle name="Heading 2 2 3 8 9 4" xfId="42612"/>
    <cellStyle name="Heading 2 2 3 8 9 4 2" xfId="42613"/>
    <cellStyle name="Heading 2 2 3 8 9 4 2 2" xfId="42614"/>
    <cellStyle name="Heading 2 2 3 8 9 4 3" xfId="42615"/>
    <cellStyle name="Heading 2 2 3 8 9 5" xfId="42616"/>
    <cellStyle name="Heading 2 2 3 8 9 5 2" xfId="42617"/>
    <cellStyle name="Heading 2 2 3 8 9 5 2 2" xfId="42618"/>
    <cellStyle name="Heading 2 2 3 8 9 5 3" xfId="42619"/>
    <cellStyle name="Heading 2 2 3 8 9 6" xfId="42620"/>
    <cellStyle name="Heading 2 2 3 8 9 6 2" xfId="42621"/>
    <cellStyle name="Heading 2 2 3 8 9 6 2 2" xfId="42622"/>
    <cellStyle name="Heading 2 2 3 8 9 6 3" xfId="42623"/>
    <cellStyle name="Heading 2 2 3 8 9 7" xfId="42624"/>
    <cellStyle name="Heading 2 2 3 8 9 7 2" xfId="42625"/>
    <cellStyle name="Heading 2 2 3 8 9 7 2 2" xfId="42626"/>
    <cellStyle name="Heading 2 2 3 8 9 7 3" xfId="42627"/>
    <cellStyle name="Heading 2 2 3 8 9 8" xfId="42628"/>
    <cellStyle name="Heading 2 2 3 8 9 8 2" xfId="42629"/>
    <cellStyle name="Heading 2 2 3 8 9 9" xfId="42630"/>
    <cellStyle name="Heading 2 2 3 9" xfId="42631"/>
    <cellStyle name="Heading 2 2 3 9 2" xfId="42632"/>
    <cellStyle name="Heading 2 2 3 9 2 2" xfId="42633"/>
    <cellStyle name="Heading 2 2 3 9 3" xfId="42634"/>
    <cellStyle name="Heading 2 2 3 9 3 2" xfId="42635"/>
    <cellStyle name="Heading 2 2 3 9 4" xfId="42636"/>
    <cellStyle name="Heading 2 2 3 9 4 2" xfId="42637"/>
    <cellStyle name="Heading 2 2 3 9 5" xfId="42638"/>
    <cellStyle name="Heading 2 2 4" xfId="42639"/>
    <cellStyle name="Heading 2 2 4 2" xfId="42640"/>
    <cellStyle name="Heading 2 2 4 3" xfId="42641"/>
    <cellStyle name="Heading 2 2 4 3 10" xfId="42642"/>
    <cellStyle name="Heading 2 2 4 3 10 2" xfId="42643"/>
    <cellStyle name="Heading 2 2 4 3 10 2 2" xfId="42644"/>
    <cellStyle name="Heading 2 2 4 3 10 3" xfId="42645"/>
    <cellStyle name="Heading 2 2 4 3 11" xfId="42646"/>
    <cellStyle name="Heading 2 2 4 3 11 2" xfId="42647"/>
    <cellStyle name="Heading 2 2 4 3 11 2 2" xfId="42648"/>
    <cellStyle name="Heading 2 2 4 3 11 3" xfId="42649"/>
    <cellStyle name="Heading 2 2 4 3 12" xfId="42650"/>
    <cellStyle name="Heading 2 2 4 3 12 2" xfId="42651"/>
    <cellStyle name="Heading 2 2 4 3 12 2 2" xfId="42652"/>
    <cellStyle name="Heading 2 2 4 3 12 3" xfId="42653"/>
    <cellStyle name="Heading 2 2 4 3 13" xfId="42654"/>
    <cellStyle name="Heading 2 2 4 3 13 2" xfId="42655"/>
    <cellStyle name="Heading 2 2 4 3 13 2 2" xfId="42656"/>
    <cellStyle name="Heading 2 2 4 3 13 3" xfId="42657"/>
    <cellStyle name="Heading 2 2 4 3 14" xfId="42658"/>
    <cellStyle name="Heading 2 2 4 3 14 2" xfId="42659"/>
    <cellStyle name="Heading 2 2 4 3 14 2 2" xfId="42660"/>
    <cellStyle name="Heading 2 2 4 3 14 3" xfId="42661"/>
    <cellStyle name="Heading 2 2 4 3 15" xfId="42662"/>
    <cellStyle name="Heading 2 2 4 3 15 2" xfId="42663"/>
    <cellStyle name="Heading 2 2 4 3 15 2 2" xfId="42664"/>
    <cellStyle name="Heading 2 2 4 3 15 3" xfId="42665"/>
    <cellStyle name="Heading 2 2 4 3 16" xfId="42666"/>
    <cellStyle name="Heading 2 2 4 3 16 2" xfId="42667"/>
    <cellStyle name="Heading 2 2 4 3 16 2 2" xfId="42668"/>
    <cellStyle name="Heading 2 2 4 3 16 3" xfId="42669"/>
    <cellStyle name="Heading 2 2 4 3 17" xfId="42670"/>
    <cellStyle name="Heading 2 2 4 3 17 2" xfId="42671"/>
    <cellStyle name="Heading 2 2 4 3 17 2 2" xfId="42672"/>
    <cellStyle name="Heading 2 2 4 3 17 3" xfId="42673"/>
    <cellStyle name="Heading 2 2 4 3 18" xfId="42674"/>
    <cellStyle name="Heading 2 2 4 3 18 2" xfId="42675"/>
    <cellStyle name="Heading 2 2 4 3 18 2 2" xfId="42676"/>
    <cellStyle name="Heading 2 2 4 3 18 3" xfId="42677"/>
    <cellStyle name="Heading 2 2 4 3 19" xfId="42678"/>
    <cellStyle name="Heading 2 2 4 3 19 2" xfId="42679"/>
    <cellStyle name="Heading 2 2 4 3 19 2 2" xfId="42680"/>
    <cellStyle name="Heading 2 2 4 3 19 3" xfId="42681"/>
    <cellStyle name="Heading 2 2 4 3 2" xfId="42682"/>
    <cellStyle name="Heading 2 2 4 3 2 10" xfId="42683"/>
    <cellStyle name="Heading 2 2 4 3 2 10 2" xfId="42684"/>
    <cellStyle name="Heading 2 2 4 3 2 10 2 2" xfId="42685"/>
    <cellStyle name="Heading 2 2 4 3 2 10 3" xfId="42686"/>
    <cellStyle name="Heading 2 2 4 3 2 11" xfId="42687"/>
    <cellStyle name="Heading 2 2 4 3 2 11 2" xfId="42688"/>
    <cellStyle name="Heading 2 2 4 3 2 11 2 2" xfId="42689"/>
    <cellStyle name="Heading 2 2 4 3 2 11 3" xfId="42690"/>
    <cellStyle name="Heading 2 2 4 3 2 12" xfId="42691"/>
    <cellStyle name="Heading 2 2 4 3 2 12 2" xfId="42692"/>
    <cellStyle name="Heading 2 2 4 3 2 12 2 2" xfId="42693"/>
    <cellStyle name="Heading 2 2 4 3 2 12 3" xfId="42694"/>
    <cellStyle name="Heading 2 2 4 3 2 13" xfId="42695"/>
    <cellStyle name="Heading 2 2 4 3 2 13 2" xfId="42696"/>
    <cellStyle name="Heading 2 2 4 3 2 13 2 2" xfId="42697"/>
    <cellStyle name="Heading 2 2 4 3 2 13 3" xfId="42698"/>
    <cellStyle name="Heading 2 2 4 3 2 14" xfId="42699"/>
    <cellStyle name="Heading 2 2 4 3 2 14 2" xfId="42700"/>
    <cellStyle name="Heading 2 2 4 3 2 14 2 2" xfId="42701"/>
    <cellStyle name="Heading 2 2 4 3 2 14 3" xfId="42702"/>
    <cellStyle name="Heading 2 2 4 3 2 15" xfId="42703"/>
    <cellStyle name="Heading 2 2 4 3 2 15 2" xfId="42704"/>
    <cellStyle name="Heading 2 2 4 3 2 15 2 2" xfId="42705"/>
    <cellStyle name="Heading 2 2 4 3 2 15 3" xfId="42706"/>
    <cellStyle name="Heading 2 2 4 3 2 16" xfId="42707"/>
    <cellStyle name="Heading 2 2 4 3 2 16 2" xfId="42708"/>
    <cellStyle name="Heading 2 2 4 3 2 16 2 2" xfId="42709"/>
    <cellStyle name="Heading 2 2 4 3 2 16 3" xfId="42710"/>
    <cellStyle name="Heading 2 2 4 3 2 17" xfId="42711"/>
    <cellStyle name="Heading 2 2 4 3 2 17 2" xfId="42712"/>
    <cellStyle name="Heading 2 2 4 3 2 17 2 2" xfId="42713"/>
    <cellStyle name="Heading 2 2 4 3 2 17 3" xfId="42714"/>
    <cellStyle name="Heading 2 2 4 3 2 18" xfId="42715"/>
    <cellStyle name="Heading 2 2 4 3 2 18 2" xfId="42716"/>
    <cellStyle name="Heading 2 2 4 3 2 18 2 2" xfId="42717"/>
    <cellStyle name="Heading 2 2 4 3 2 18 3" xfId="42718"/>
    <cellStyle name="Heading 2 2 4 3 2 19" xfId="42719"/>
    <cellStyle name="Heading 2 2 4 3 2 19 2" xfId="42720"/>
    <cellStyle name="Heading 2 2 4 3 2 2" xfId="42721"/>
    <cellStyle name="Heading 2 2 4 3 2 2 2" xfId="42722"/>
    <cellStyle name="Heading 2 2 4 3 2 2 2 2" xfId="42723"/>
    <cellStyle name="Heading 2 2 4 3 2 2 2 2 2" xfId="42724"/>
    <cellStyle name="Heading 2 2 4 3 2 2 2 3" xfId="42725"/>
    <cellStyle name="Heading 2 2 4 3 2 2 3" xfId="42726"/>
    <cellStyle name="Heading 2 2 4 3 2 2 3 2" xfId="42727"/>
    <cellStyle name="Heading 2 2 4 3 2 2 3 2 2" xfId="42728"/>
    <cellStyle name="Heading 2 2 4 3 2 2 3 3" xfId="42729"/>
    <cellStyle name="Heading 2 2 4 3 2 2 4" xfId="42730"/>
    <cellStyle name="Heading 2 2 4 3 2 2 4 2" xfId="42731"/>
    <cellStyle name="Heading 2 2 4 3 2 2 4 2 2" xfId="42732"/>
    <cellStyle name="Heading 2 2 4 3 2 2 4 3" xfId="42733"/>
    <cellStyle name="Heading 2 2 4 3 2 2 5" xfId="42734"/>
    <cellStyle name="Heading 2 2 4 3 2 2 5 2" xfId="42735"/>
    <cellStyle name="Heading 2 2 4 3 2 2 5 2 2" xfId="42736"/>
    <cellStyle name="Heading 2 2 4 3 2 2 5 3" xfId="42737"/>
    <cellStyle name="Heading 2 2 4 3 2 2 6" xfId="42738"/>
    <cellStyle name="Heading 2 2 4 3 2 2 6 2" xfId="42739"/>
    <cellStyle name="Heading 2 2 4 3 2 2 6 2 2" xfId="42740"/>
    <cellStyle name="Heading 2 2 4 3 2 2 6 3" xfId="42741"/>
    <cellStyle name="Heading 2 2 4 3 2 2 7" xfId="42742"/>
    <cellStyle name="Heading 2 2 4 3 2 2 7 2" xfId="42743"/>
    <cellStyle name="Heading 2 2 4 3 2 2 7 2 2" xfId="42744"/>
    <cellStyle name="Heading 2 2 4 3 2 2 7 3" xfId="42745"/>
    <cellStyle name="Heading 2 2 4 3 2 2 8" xfId="42746"/>
    <cellStyle name="Heading 2 2 4 3 2 2 8 2" xfId="42747"/>
    <cellStyle name="Heading 2 2 4 3 2 2 9" xfId="42748"/>
    <cellStyle name="Heading 2 2 4 3 2 20" xfId="42749"/>
    <cellStyle name="Heading 2 2 4 3 2 20 2" xfId="42750"/>
    <cellStyle name="Heading 2 2 4 3 2 21" xfId="42751"/>
    <cellStyle name="Heading 2 2 4 3 2 21 2" xfId="42752"/>
    <cellStyle name="Heading 2 2 4 3 2 22" xfId="42753"/>
    <cellStyle name="Heading 2 2 4 3 2 3" xfId="42754"/>
    <cellStyle name="Heading 2 2 4 3 2 3 2" xfId="42755"/>
    <cellStyle name="Heading 2 2 4 3 2 3 2 2" xfId="42756"/>
    <cellStyle name="Heading 2 2 4 3 2 3 2 2 2" xfId="42757"/>
    <cellStyle name="Heading 2 2 4 3 2 3 2 3" xfId="42758"/>
    <cellStyle name="Heading 2 2 4 3 2 3 3" xfId="42759"/>
    <cellStyle name="Heading 2 2 4 3 2 3 3 2" xfId="42760"/>
    <cellStyle name="Heading 2 2 4 3 2 3 3 2 2" xfId="42761"/>
    <cellStyle name="Heading 2 2 4 3 2 3 3 3" xfId="42762"/>
    <cellStyle name="Heading 2 2 4 3 2 3 4" xfId="42763"/>
    <cellStyle name="Heading 2 2 4 3 2 3 4 2" xfId="42764"/>
    <cellStyle name="Heading 2 2 4 3 2 3 4 2 2" xfId="42765"/>
    <cellStyle name="Heading 2 2 4 3 2 3 4 3" xfId="42766"/>
    <cellStyle name="Heading 2 2 4 3 2 3 5" xfId="42767"/>
    <cellStyle name="Heading 2 2 4 3 2 3 5 2" xfId="42768"/>
    <cellStyle name="Heading 2 2 4 3 2 3 5 2 2" xfId="42769"/>
    <cellStyle name="Heading 2 2 4 3 2 3 5 3" xfId="42770"/>
    <cellStyle name="Heading 2 2 4 3 2 3 6" xfId="42771"/>
    <cellStyle name="Heading 2 2 4 3 2 3 6 2" xfId="42772"/>
    <cellStyle name="Heading 2 2 4 3 2 3 6 2 2" xfId="42773"/>
    <cellStyle name="Heading 2 2 4 3 2 3 6 3" xfId="42774"/>
    <cellStyle name="Heading 2 2 4 3 2 3 7" xfId="42775"/>
    <cellStyle name="Heading 2 2 4 3 2 3 7 2" xfId="42776"/>
    <cellStyle name="Heading 2 2 4 3 2 3 7 2 2" xfId="42777"/>
    <cellStyle name="Heading 2 2 4 3 2 3 7 3" xfId="42778"/>
    <cellStyle name="Heading 2 2 4 3 2 3 8" xfId="42779"/>
    <cellStyle name="Heading 2 2 4 3 2 3 8 2" xfId="42780"/>
    <cellStyle name="Heading 2 2 4 3 2 3 9" xfId="42781"/>
    <cellStyle name="Heading 2 2 4 3 2 4" xfId="42782"/>
    <cellStyle name="Heading 2 2 4 3 2 4 2" xfId="42783"/>
    <cellStyle name="Heading 2 2 4 3 2 4 2 2" xfId="42784"/>
    <cellStyle name="Heading 2 2 4 3 2 4 2 2 2" xfId="42785"/>
    <cellStyle name="Heading 2 2 4 3 2 4 2 3" xfId="42786"/>
    <cellStyle name="Heading 2 2 4 3 2 4 3" xfId="42787"/>
    <cellStyle name="Heading 2 2 4 3 2 4 3 2" xfId="42788"/>
    <cellStyle name="Heading 2 2 4 3 2 4 3 2 2" xfId="42789"/>
    <cellStyle name="Heading 2 2 4 3 2 4 3 3" xfId="42790"/>
    <cellStyle name="Heading 2 2 4 3 2 4 4" xfId="42791"/>
    <cellStyle name="Heading 2 2 4 3 2 4 4 2" xfId="42792"/>
    <cellStyle name="Heading 2 2 4 3 2 4 4 2 2" xfId="42793"/>
    <cellStyle name="Heading 2 2 4 3 2 4 4 3" xfId="42794"/>
    <cellStyle name="Heading 2 2 4 3 2 4 5" xfId="42795"/>
    <cellStyle name="Heading 2 2 4 3 2 4 5 2" xfId="42796"/>
    <cellStyle name="Heading 2 2 4 3 2 4 5 2 2" xfId="42797"/>
    <cellStyle name="Heading 2 2 4 3 2 4 5 3" xfId="42798"/>
    <cellStyle name="Heading 2 2 4 3 2 4 6" xfId="42799"/>
    <cellStyle name="Heading 2 2 4 3 2 4 6 2" xfId="42800"/>
    <cellStyle name="Heading 2 2 4 3 2 4 6 2 2" xfId="42801"/>
    <cellStyle name="Heading 2 2 4 3 2 4 6 3" xfId="42802"/>
    <cellStyle name="Heading 2 2 4 3 2 4 7" xfId="42803"/>
    <cellStyle name="Heading 2 2 4 3 2 4 7 2" xfId="42804"/>
    <cellStyle name="Heading 2 2 4 3 2 4 7 2 2" xfId="42805"/>
    <cellStyle name="Heading 2 2 4 3 2 4 7 3" xfId="42806"/>
    <cellStyle name="Heading 2 2 4 3 2 4 8" xfId="42807"/>
    <cellStyle name="Heading 2 2 4 3 2 4 8 2" xfId="42808"/>
    <cellStyle name="Heading 2 2 4 3 2 4 9" xfId="42809"/>
    <cellStyle name="Heading 2 2 4 3 2 5" xfId="42810"/>
    <cellStyle name="Heading 2 2 4 3 2 5 2" xfId="42811"/>
    <cellStyle name="Heading 2 2 4 3 2 5 2 2" xfId="42812"/>
    <cellStyle name="Heading 2 2 4 3 2 5 2 2 2" xfId="42813"/>
    <cellStyle name="Heading 2 2 4 3 2 5 2 3" xfId="42814"/>
    <cellStyle name="Heading 2 2 4 3 2 5 3" xfId="42815"/>
    <cellStyle name="Heading 2 2 4 3 2 5 3 2" xfId="42816"/>
    <cellStyle name="Heading 2 2 4 3 2 5 3 2 2" xfId="42817"/>
    <cellStyle name="Heading 2 2 4 3 2 5 3 3" xfId="42818"/>
    <cellStyle name="Heading 2 2 4 3 2 5 4" xfId="42819"/>
    <cellStyle name="Heading 2 2 4 3 2 5 4 2" xfId="42820"/>
    <cellStyle name="Heading 2 2 4 3 2 5 4 2 2" xfId="42821"/>
    <cellStyle name="Heading 2 2 4 3 2 5 4 3" xfId="42822"/>
    <cellStyle name="Heading 2 2 4 3 2 5 5" xfId="42823"/>
    <cellStyle name="Heading 2 2 4 3 2 5 5 2" xfId="42824"/>
    <cellStyle name="Heading 2 2 4 3 2 5 5 2 2" xfId="42825"/>
    <cellStyle name="Heading 2 2 4 3 2 5 5 3" xfId="42826"/>
    <cellStyle name="Heading 2 2 4 3 2 5 6" xfId="42827"/>
    <cellStyle name="Heading 2 2 4 3 2 5 6 2" xfId="42828"/>
    <cellStyle name="Heading 2 2 4 3 2 5 6 2 2" xfId="42829"/>
    <cellStyle name="Heading 2 2 4 3 2 5 6 3" xfId="42830"/>
    <cellStyle name="Heading 2 2 4 3 2 5 7" xfId="42831"/>
    <cellStyle name="Heading 2 2 4 3 2 5 7 2" xfId="42832"/>
    <cellStyle name="Heading 2 2 4 3 2 5 7 2 2" xfId="42833"/>
    <cellStyle name="Heading 2 2 4 3 2 5 7 3" xfId="42834"/>
    <cellStyle name="Heading 2 2 4 3 2 5 8" xfId="42835"/>
    <cellStyle name="Heading 2 2 4 3 2 5 8 2" xfId="42836"/>
    <cellStyle name="Heading 2 2 4 3 2 5 9" xfId="42837"/>
    <cellStyle name="Heading 2 2 4 3 2 6" xfId="42838"/>
    <cellStyle name="Heading 2 2 4 3 2 6 2" xfId="42839"/>
    <cellStyle name="Heading 2 2 4 3 2 6 2 2" xfId="42840"/>
    <cellStyle name="Heading 2 2 4 3 2 6 2 2 2" xfId="42841"/>
    <cellStyle name="Heading 2 2 4 3 2 6 2 3" xfId="42842"/>
    <cellStyle name="Heading 2 2 4 3 2 6 3" xfId="42843"/>
    <cellStyle name="Heading 2 2 4 3 2 6 3 2" xfId="42844"/>
    <cellStyle name="Heading 2 2 4 3 2 6 3 2 2" xfId="42845"/>
    <cellStyle name="Heading 2 2 4 3 2 6 3 3" xfId="42846"/>
    <cellStyle name="Heading 2 2 4 3 2 6 4" xfId="42847"/>
    <cellStyle name="Heading 2 2 4 3 2 6 4 2" xfId="42848"/>
    <cellStyle name="Heading 2 2 4 3 2 6 4 2 2" xfId="42849"/>
    <cellStyle name="Heading 2 2 4 3 2 6 4 3" xfId="42850"/>
    <cellStyle name="Heading 2 2 4 3 2 6 5" xfId="42851"/>
    <cellStyle name="Heading 2 2 4 3 2 6 5 2" xfId="42852"/>
    <cellStyle name="Heading 2 2 4 3 2 6 5 2 2" xfId="42853"/>
    <cellStyle name="Heading 2 2 4 3 2 6 5 3" xfId="42854"/>
    <cellStyle name="Heading 2 2 4 3 2 6 6" xfId="42855"/>
    <cellStyle name="Heading 2 2 4 3 2 6 6 2" xfId="42856"/>
    <cellStyle name="Heading 2 2 4 3 2 6 6 2 2" xfId="42857"/>
    <cellStyle name="Heading 2 2 4 3 2 6 6 3" xfId="42858"/>
    <cellStyle name="Heading 2 2 4 3 2 6 7" xfId="42859"/>
    <cellStyle name="Heading 2 2 4 3 2 6 7 2" xfId="42860"/>
    <cellStyle name="Heading 2 2 4 3 2 6 7 2 2" xfId="42861"/>
    <cellStyle name="Heading 2 2 4 3 2 6 7 3" xfId="42862"/>
    <cellStyle name="Heading 2 2 4 3 2 6 8" xfId="42863"/>
    <cellStyle name="Heading 2 2 4 3 2 6 8 2" xfId="42864"/>
    <cellStyle name="Heading 2 2 4 3 2 6 9" xfId="42865"/>
    <cellStyle name="Heading 2 2 4 3 2 7" xfId="42866"/>
    <cellStyle name="Heading 2 2 4 3 2 7 2" xfId="42867"/>
    <cellStyle name="Heading 2 2 4 3 2 7 2 2" xfId="42868"/>
    <cellStyle name="Heading 2 2 4 3 2 7 2 2 2" xfId="42869"/>
    <cellStyle name="Heading 2 2 4 3 2 7 2 3" xfId="42870"/>
    <cellStyle name="Heading 2 2 4 3 2 7 3" xfId="42871"/>
    <cellStyle name="Heading 2 2 4 3 2 7 3 2" xfId="42872"/>
    <cellStyle name="Heading 2 2 4 3 2 7 3 2 2" xfId="42873"/>
    <cellStyle name="Heading 2 2 4 3 2 7 3 3" xfId="42874"/>
    <cellStyle name="Heading 2 2 4 3 2 7 4" xfId="42875"/>
    <cellStyle name="Heading 2 2 4 3 2 7 4 2" xfId="42876"/>
    <cellStyle name="Heading 2 2 4 3 2 7 4 2 2" xfId="42877"/>
    <cellStyle name="Heading 2 2 4 3 2 7 4 3" xfId="42878"/>
    <cellStyle name="Heading 2 2 4 3 2 7 5" xfId="42879"/>
    <cellStyle name="Heading 2 2 4 3 2 7 5 2" xfId="42880"/>
    <cellStyle name="Heading 2 2 4 3 2 7 5 2 2" xfId="42881"/>
    <cellStyle name="Heading 2 2 4 3 2 7 5 3" xfId="42882"/>
    <cellStyle name="Heading 2 2 4 3 2 7 6" xfId="42883"/>
    <cellStyle name="Heading 2 2 4 3 2 7 6 2" xfId="42884"/>
    <cellStyle name="Heading 2 2 4 3 2 7 6 2 2" xfId="42885"/>
    <cellStyle name="Heading 2 2 4 3 2 7 6 3" xfId="42886"/>
    <cellStyle name="Heading 2 2 4 3 2 7 7" xfId="42887"/>
    <cellStyle name="Heading 2 2 4 3 2 7 7 2" xfId="42888"/>
    <cellStyle name="Heading 2 2 4 3 2 7 7 2 2" xfId="42889"/>
    <cellStyle name="Heading 2 2 4 3 2 7 7 3" xfId="42890"/>
    <cellStyle name="Heading 2 2 4 3 2 7 8" xfId="42891"/>
    <cellStyle name="Heading 2 2 4 3 2 7 8 2" xfId="42892"/>
    <cellStyle name="Heading 2 2 4 3 2 7 9" xfId="42893"/>
    <cellStyle name="Heading 2 2 4 3 2 8" xfId="42894"/>
    <cellStyle name="Heading 2 2 4 3 2 8 2" xfId="42895"/>
    <cellStyle name="Heading 2 2 4 3 2 8 2 2" xfId="42896"/>
    <cellStyle name="Heading 2 2 4 3 2 8 2 2 2" xfId="42897"/>
    <cellStyle name="Heading 2 2 4 3 2 8 2 3" xfId="42898"/>
    <cellStyle name="Heading 2 2 4 3 2 8 3" xfId="42899"/>
    <cellStyle name="Heading 2 2 4 3 2 8 3 2" xfId="42900"/>
    <cellStyle name="Heading 2 2 4 3 2 8 3 2 2" xfId="42901"/>
    <cellStyle name="Heading 2 2 4 3 2 8 3 3" xfId="42902"/>
    <cellStyle name="Heading 2 2 4 3 2 8 4" xfId="42903"/>
    <cellStyle name="Heading 2 2 4 3 2 8 4 2" xfId="42904"/>
    <cellStyle name="Heading 2 2 4 3 2 8 4 2 2" xfId="42905"/>
    <cellStyle name="Heading 2 2 4 3 2 8 4 3" xfId="42906"/>
    <cellStyle name="Heading 2 2 4 3 2 8 5" xfId="42907"/>
    <cellStyle name="Heading 2 2 4 3 2 8 5 2" xfId="42908"/>
    <cellStyle name="Heading 2 2 4 3 2 8 5 2 2" xfId="42909"/>
    <cellStyle name="Heading 2 2 4 3 2 8 5 3" xfId="42910"/>
    <cellStyle name="Heading 2 2 4 3 2 8 6" xfId="42911"/>
    <cellStyle name="Heading 2 2 4 3 2 8 6 2" xfId="42912"/>
    <cellStyle name="Heading 2 2 4 3 2 8 6 2 2" xfId="42913"/>
    <cellStyle name="Heading 2 2 4 3 2 8 6 3" xfId="42914"/>
    <cellStyle name="Heading 2 2 4 3 2 8 7" xfId="42915"/>
    <cellStyle name="Heading 2 2 4 3 2 8 7 2" xfId="42916"/>
    <cellStyle name="Heading 2 2 4 3 2 8 7 2 2" xfId="42917"/>
    <cellStyle name="Heading 2 2 4 3 2 8 7 3" xfId="42918"/>
    <cellStyle name="Heading 2 2 4 3 2 8 8" xfId="42919"/>
    <cellStyle name="Heading 2 2 4 3 2 8 8 2" xfId="42920"/>
    <cellStyle name="Heading 2 2 4 3 2 8 9" xfId="42921"/>
    <cellStyle name="Heading 2 2 4 3 2 9" xfId="42922"/>
    <cellStyle name="Heading 2 2 4 3 2 9 2" xfId="42923"/>
    <cellStyle name="Heading 2 2 4 3 2 9 2 2" xfId="42924"/>
    <cellStyle name="Heading 2 2 4 3 2 9 3" xfId="42925"/>
    <cellStyle name="Heading 2 2 4 3 20" xfId="42926"/>
    <cellStyle name="Heading 2 2 4 3 20 2" xfId="42927"/>
    <cellStyle name="Heading 2 2 4 3 21" xfId="42928"/>
    <cellStyle name="Heading 2 2 4 3 21 2" xfId="42929"/>
    <cellStyle name="Heading 2 2 4 3 22" xfId="42930"/>
    <cellStyle name="Heading 2 2 4 3 22 2" xfId="42931"/>
    <cellStyle name="Heading 2 2 4 3 23" xfId="42932"/>
    <cellStyle name="Heading 2 2 4 3 3" xfId="42933"/>
    <cellStyle name="Heading 2 2 4 3 3 2" xfId="42934"/>
    <cellStyle name="Heading 2 2 4 3 3 2 2" xfId="42935"/>
    <cellStyle name="Heading 2 2 4 3 3 2 2 2" xfId="42936"/>
    <cellStyle name="Heading 2 2 4 3 3 2 3" xfId="42937"/>
    <cellStyle name="Heading 2 2 4 3 3 3" xfId="42938"/>
    <cellStyle name="Heading 2 2 4 3 3 3 2" xfId="42939"/>
    <cellStyle name="Heading 2 2 4 3 3 3 2 2" xfId="42940"/>
    <cellStyle name="Heading 2 2 4 3 3 3 3" xfId="42941"/>
    <cellStyle name="Heading 2 2 4 3 3 4" xfId="42942"/>
    <cellStyle name="Heading 2 2 4 3 3 4 2" xfId="42943"/>
    <cellStyle name="Heading 2 2 4 3 3 4 2 2" xfId="42944"/>
    <cellStyle name="Heading 2 2 4 3 3 4 3" xfId="42945"/>
    <cellStyle name="Heading 2 2 4 3 3 5" xfId="42946"/>
    <cellStyle name="Heading 2 2 4 3 3 5 2" xfId="42947"/>
    <cellStyle name="Heading 2 2 4 3 3 5 2 2" xfId="42948"/>
    <cellStyle name="Heading 2 2 4 3 3 5 3" xfId="42949"/>
    <cellStyle name="Heading 2 2 4 3 3 6" xfId="42950"/>
    <cellStyle name="Heading 2 2 4 3 3 6 2" xfId="42951"/>
    <cellStyle name="Heading 2 2 4 3 3 6 2 2" xfId="42952"/>
    <cellStyle name="Heading 2 2 4 3 3 6 3" xfId="42953"/>
    <cellStyle name="Heading 2 2 4 3 3 7" xfId="42954"/>
    <cellStyle name="Heading 2 2 4 3 3 7 2" xfId="42955"/>
    <cellStyle name="Heading 2 2 4 3 3 7 2 2" xfId="42956"/>
    <cellStyle name="Heading 2 2 4 3 3 7 3" xfId="42957"/>
    <cellStyle name="Heading 2 2 4 3 3 8" xfId="42958"/>
    <cellStyle name="Heading 2 2 4 3 3 8 2" xfId="42959"/>
    <cellStyle name="Heading 2 2 4 3 3 9" xfId="42960"/>
    <cellStyle name="Heading 2 2 4 3 4" xfId="42961"/>
    <cellStyle name="Heading 2 2 4 3 4 2" xfId="42962"/>
    <cellStyle name="Heading 2 2 4 3 4 2 2" xfId="42963"/>
    <cellStyle name="Heading 2 2 4 3 4 2 2 2" xfId="42964"/>
    <cellStyle name="Heading 2 2 4 3 4 2 3" xfId="42965"/>
    <cellStyle name="Heading 2 2 4 3 4 3" xfId="42966"/>
    <cellStyle name="Heading 2 2 4 3 4 3 2" xfId="42967"/>
    <cellStyle name="Heading 2 2 4 3 4 3 2 2" xfId="42968"/>
    <cellStyle name="Heading 2 2 4 3 4 3 3" xfId="42969"/>
    <cellStyle name="Heading 2 2 4 3 4 4" xfId="42970"/>
    <cellStyle name="Heading 2 2 4 3 4 4 2" xfId="42971"/>
    <cellStyle name="Heading 2 2 4 3 4 4 2 2" xfId="42972"/>
    <cellStyle name="Heading 2 2 4 3 4 4 3" xfId="42973"/>
    <cellStyle name="Heading 2 2 4 3 4 5" xfId="42974"/>
    <cellStyle name="Heading 2 2 4 3 4 5 2" xfId="42975"/>
    <cellStyle name="Heading 2 2 4 3 4 5 2 2" xfId="42976"/>
    <cellStyle name="Heading 2 2 4 3 4 5 3" xfId="42977"/>
    <cellStyle name="Heading 2 2 4 3 4 6" xfId="42978"/>
    <cellStyle name="Heading 2 2 4 3 4 6 2" xfId="42979"/>
    <cellStyle name="Heading 2 2 4 3 4 6 2 2" xfId="42980"/>
    <cellStyle name="Heading 2 2 4 3 4 6 3" xfId="42981"/>
    <cellStyle name="Heading 2 2 4 3 4 7" xfId="42982"/>
    <cellStyle name="Heading 2 2 4 3 4 7 2" xfId="42983"/>
    <cellStyle name="Heading 2 2 4 3 4 7 2 2" xfId="42984"/>
    <cellStyle name="Heading 2 2 4 3 4 7 3" xfId="42985"/>
    <cellStyle name="Heading 2 2 4 3 4 8" xfId="42986"/>
    <cellStyle name="Heading 2 2 4 3 4 8 2" xfId="42987"/>
    <cellStyle name="Heading 2 2 4 3 4 9" xfId="42988"/>
    <cellStyle name="Heading 2 2 4 3 5" xfId="42989"/>
    <cellStyle name="Heading 2 2 4 3 5 2" xfId="42990"/>
    <cellStyle name="Heading 2 2 4 3 5 2 2" xfId="42991"/>
    <cellStyle name="Heading 2 2 4 3 5 2 2 2" xfId="42992"/>
    <cellStyle name="Heading 2 2 4 3 5 2 3" xfId="42993"/>
    <cellStyle name="Heading 2 2 4 3 5 3" xfId="42994"/>
    <cellStyle name="Heading 2 2 4 3 5 3 2" xfId="42995"/>
    <cellStyle name="Heading 2 2 4 3 5 3 2 2" xfId="42996"/>
    <cellStyle name="Heading 2 2 4 3 5 3 3" xfId="42997"/>
    <cellStyle name="Heading 2 2 4 3 5 4" xfId="42998"/>
    <cellStyle name="Heading 2 2 4 3 5 4 2" xfId="42999"/>
    <cellStyle name="Heading 2 2 4 3 5 4 2 2" xfId="43000"/>
    <cellStyle name="Heading 2 2 4 3 5 4 3" xfId="43001"/>
    <cellStyle name="Heading 2 2 4 3 5 5" xfId="43002"/>
    <cellStyle name="Heading 2 2 4 3 5 5 2" xfId="43003"/>
    <cellStyle name="Heading 2 2 4 3 5 5 2 2" xfId="43004"/>
    <cellStyle name="Heading 2 2 4 3 5 5 3" xfId="43005"/>
    <cellStyle name="Heading 2 2 4 3 5 6" xfId="43006"/>
    <cellStyle name="Heading 2 2 4 3 5 6 2" xfId="43007"/>
    <cellStyle name="Heading 2 2 4 3 5 6 2 2" xfId="43008"/>
    <cellStyle name="Heading 2 2 4 3 5 6 3" xfId="43009"/>
    <cellStyle name="Heading 2 2 4 3 5 7" xfId="43010"/>
    <cellStyle name="Heading 2 2 4 3 5 7 2" xfId="43011"/>
    <cellStyle name="Heading 2 2 4 3 5 7 2 2" xfId="43012"/>
    <cellStyle name="Heading 2 2 4 3 5 7 3" xfId="43013"/>
    <cellStyle name="Heading 2 2 4 3 5 8" xfId="43014"/>
    <cellStyle name="Heading 2 2 4 3 5 8 2" xfId="43015"/>
    <cellStyle name="Heading 2 2 4 3 5 9" xfId="43016"/>
    <cellStyle name="Heading 2 2 4 3 6" xfId="43017"/>
    <cellStyle name="Heading 2 2 4 3 6 2" xfId="43018"/>
    <cellStyle name="Heading 2 2 4 3 6 2 2" xfId="43019"/>
    <cellStyle name="Heading 2 2 4 3 6 2 2 2" xfId="43020"/>
    <cellStyle name="Heading 2 2 4 3 6 2 3" xfId="43021"/>
    <cellStyle name="Heading 2 2 4 3 6 3" xfId="43022"/>
    <cellStyle name="Heading 2 2 4 3 6 3 2" xfId="43023"/>
    <cellStyle name="Heading 2 2 4 3 6 3 2 2" xfId="43024"/>
    <cellStyle name="Heading 2 2 4 3 6 3 3" xfId="43025"/>
    <cellStyle name="Heading 2 2 4 3 6 4" xfId="43026"/>
    <cellStyle name="Heading 2 2 4 3 6 4 2" xfId="43027"/>
    <cellStyle name="Heading 2 2 4 3 6 4 2 2" xfId="43028"/>
    <cellStyle name="Heading 2 2 4 3 6 4 3" xfId="43029"/>
    <cellStyle name="Heading 2 2 4 3 6 5" xfId="43030"/>
    <cellStyle name="Heading 2 2 4 3 6 5 2" xfId="43031"/>
    <cellStyle name="Heading 2 2 4 3 6 5 2 2" xfId="43032"/>
    <cellStyle name="Heading 2 2 4 3 6 5 3" xfId="43033"/>
    <cellStyle name="Heading 2 2 4 3 6 6" xfId="43034"/>
    <cellStyle name="Heading 2 2 4 3 6 6 2" xfId="43035"/>
    <cellStyle name="Heading 2 2 4 3 6 6 2 2" xfId="43036"/>
    <cellStyle name="Heading 2 2 4 3 6 6 3" xfId="43037"/>
    <cellStyle name="Heading 2 2 4 3 6 7" xfId="43038"/>
    <cellStyle name="Heading 2 2 4 3 6 7 2" xfId="43039"/>
    <cellStyle name="Heading 2 2 4 3 6 7 2 2" xfId="43040"/>
    <cellStyle name="Heading 2 2 4 3 6 7 3" xfId="43041"/>
    <cellStyle name="Heading 2 2 4 3 6 8" xfId="43042"/>
    <cellStyle name="Heading 2 2 4 3 6 8 2" xfId="43043"/>
    <cellStyle name="Heading 2 2 4 3 6 9" xfId="43044"/>
    <cellStyle name="Heading 2 2 4 3 7" xfId="43045"/>
    <cellStyle name="Heading 2 2 4 3 7 2" xfId="43046"/>
    <cellStyle name="Heading 2 2 4 3 7 2 2" xfId="43047"/>
    <cellStyle name="Heading 2 2 4 3 7 2 2 2" xfId="43048"/>
    <cellStyle name="Heading 2 2 4 3 7 2 3" xfId="43049"/>
    <cellStyle name="Heading 2 2 4 3 7 3" xfId="43050"/>
    <cellStyle name="Heading 2 2 4 3 7 3 2" xfId="43051"/>
    <cellStyle name="Heading 2 2 4 3 7 3 2 2" xfId="43052"/>
    <cellStyle name="Heading 2 2 4 3 7 3 3" xfId="43053"/>
    <cellStyle name="Heading 2 2 4 3 7 4" xfId="43054"/>
    <cellStyle name="Heading 2 2 4 3 7 4 2" xfId="43055"/>
    <cellStyle name="Heading 2 2 4 3 7 4 2 2" xfId="43056"/>
    <cellStyle name="Heading 2 2 4 3 7 4 3" xfId="43057"/>
    <cellStyle name="Heading 2 2 4 3 7 5" xfId="43058"/>
    <cellStyle name="Heading 2 2 4 3 7 5 2" xfId="43059"/>
    <cellStyle name="Heading 2 2 4 3 7 5 2 2" xfId="43060"/>
    <cellStyle name="Heading 2 2 4 3 7 5 3" xfId="43061"/>
    <cellStyle name="Heading 2 2 4 3 7 6" xfId="43062"/>
    <cellStyle name="Heading 2 2 4 3 7 6 2" xfId="43063"/>
    <cellStyle name="Heading 2 2 4 3 7 6 2 2" xfId="43064"/>
    <cellStyle name="Heading 2 2 4 3 7 6 3" xfId="43065"/>
    <cellStyle name="Heading 2 2 4 3 7 7" xfId="43066"/>
    <cellStyle name="Heading 2 2 4 3 7 7 2" xfId="43067"/>
    <cellStyle name="Heading 2 2 4 3 7 7 2 2" xfId="43068"/>
    <cellStyle name="Heading 2 2 4 3 7 7 3" xfId="43069"/>
    <cellStyle name="Heading 2 2 4 3 7 8" xfId="43070"/>
    <cellStyle name="Heading 2 2 4 3 7 8 2" xfId="43071"/>
    <cellStyle name="Heading 2 2 4 3 7 9" xfId="43072"/>
    <cellStyle name="Heading 2 2 4 3 8" xfId="43073"/>
    <cellStyle name="Heading 2 2 4 3 8 2" xfId="43074"/>
    <cellStyle name="Heading 2 2 4 3 8 2 2" xfId="43075"/>
    <cellStyle name="Heading 2 2 4 3 8 2 2 2" xfId="43076"/>
    <cellStyle name="Heading 2 2 4 3 8 2 3" xfId="43077"/>
    <cellStyle name="Heading 2 2 4 3 8 3" xfId="43078"/>
    <cellStyle name="Heading 2 2 4 3 8 3 2" xfId="43079"/>
    <cellStyle name="Heading 2 2 4 3 8 3 2 2" xfId="43080"/>
    <cellStyle name="Heading 2 2 4 3 8 3 3" xfId="43081"/>
    <cellStyle name="Heading 2 2 4 3 8 4" xfId="43082"/>
    <cellStyle name="Heading 2 2 4 3 8 4 2" xfId="43083"/>
    <cellStyle name="Heading 2 2 4 3 8 4 2 2" xfId="43084"/>
    <cellStyle name="Heading 2 2 4 3 8 4 3" xfId="43085"/>
    <cellStyle name="Heading 2 2 4 3 8 5" xfId="43086"/>
    <cellStyle name="Heading 2 2 4 3 8 5 2" xfId="43087"/>
    <cellStyle name="Heading 2 2 4 3 8 5 2 2" xfId="43088"/>
    <cellStyle name="Heading 2 2 4 3 8 5 3" xfId="43089"/>
    <cellStyle name="Heading 2 2 4 3 8 6" xfId="43090"/>
    <cellStyle name="Heading 2 2 4 3 8 6 2" xfId="43091"/>
    <cellStyle name="Heading 2 2 4 3 8 6 2 2" xfId="43092"/>
    <cellStyle name="Heading 2 2 4 3 8 6 3" xfId="43093"/>
    <cellStyle name="Heading 2 2 4 3 8 7" xfId="43094"/>
    <cellStyle name="Heading 2 2 4 3 8 7 2" xfId="43095"/>
    <cellStyle name="Heading 2 2 4 3 8 7 2 2" xfId="43096"/>
    <cellStyle name="Heading 2 2 4 3 8 7 3" xfId="43097"/>
    <cellStyle name="Heading 2 2 4 3 8 8" xfId="43098"/>
    <cellStyle name="Heading 2 2 4 3 8 8 2" xfId="43099"/>
    <cellStyle name="Heading 2 2 4 3 8 9" xfId="43100"/>
    <cellStyle name="Heading 2 2 4 3 9" xfId="43101"/>
    <cellStyle name="Heading 2 2 4 3 9 2" xfId="43102"/>
    <cellStyle name="Heading 2 2 4 3 9 2 2" xfId="43103"/>
    <cellStyle name="Heading 2 2 4 3 9 2 2 2" xfId="43104"/>
    <cellStyle name="Heading 2 2 4 3 9 2 3" xfId="43105"/>
    <cellStyle name="Heading 2 2 4 3 9 3" xfId="43106"/>
    <cellStyle name="Heading 2 2 4 3 9 3 2" xfId="43107"/>
    <cellStyle name="Heading 2 2 4 3 9 3 2 2" xfId="43108"/>
    <cellStyle name="Heading 2 2 4 3 9 3 3" xfId="43109"/>
    <cellStyle name="Heading 2 2 4 3 9 4" xfId="43110"/>
    <cellStyle name="Heading 2 2 4 3 9 4 2" xfId="43111"/>
    <cellStyle name="Heading 2 2 4 3 9 4 2 2" xfId="43112"/>
    <cellStyle name="Heading 2 2 4 3 9 4 3" xfId="43113"/>
    <cellStyle name="Heading 2 2 4 3 9 5" xfId="43114"/>
    <cellStyle name="Heading 2 2 4 3 9 5 2" xfId="43115"/>
    <cellStyle name="Heading 2 2 4 3 9 5 2 2" xfId="43116"/>
    <cellStyle name="Heading 2 2 4 3 9 5 3" xfId="43117"/>
    <cellStyle name="Heading 2 2 4 3 9 6" xfId="43118"/>
    <cellStyle name="Heading 2 2 4 3 9 6 2" xfId="43119"/>
    <cellStyle name="Heading 2 2 4 3 9 6 2 2" xfId="43120"/>
    <cellStyle name="Heading 2 2 4 3 9 6 3" xfId="43121"/>
    <cellStyle name="Heading 2 2 4 3 9 7" xfId="43122"/>
    <cellStyle name="Heading 2 2 4 3 9 7 2" xfId="43123"/>
    <cellStyle name="Heading 2 2 4 3 9 7 2 2" xfId="43124"/>
    <cellStyle name="Heading 2 2 4 3 9 7 3" xfId="43125"/>
    <cellStyle name="Heading 2 2 4 3 9 8" xfId="43126"/>
    <cellStyle name="Heading 2 2 4 3 9 8 2" xfId="43127"/>
    <cellStyle name="Heading 2 2 4 3 9 9" xfId="43128"/>
    <cellStyle name="Heading 2 2 4 4" xfId="43129"/>
    <cellStyle name="Heading 2 2 4 4 10" xfId="43130"/>
    <cellStyle name="Heading 2 2 4 4 10 2" xfId="43131"/>
    <cellStyle name="Heading 2 2 4 4 10 2 2" xfId="43132"/>
    <cellStyle name="Heading 2 2 4 4 10 3" xfId="43133"/>
    <cellStyle name="Heading 2 2 4 4 11" xfId="43134"/>
    <cellStyle name="Heading 2 2 4 4 11 2" xfId="43135"/>
    <cellStyle name="Heading 2 2 4 4 11 2 2" xfId="43136"/>
    <cellStyle name="Heading 2 2 4 4 11 3" xfId="43137"/>
    <cellStyle name="Heading 2 2 4 4 12" xfId="43138"/>
    <cellStyle name="Heading 2 2 4 4 12 2" xfId="43139"/>
    <cellStyle name="Heading 2 2 4 4 12 2 2" xfId="43140"/>
    <cellStyle name="Heading 2 2 4 4 12 3" xfId="43141"/>
    <cellStyle name="Heading 2 2 4 4 13" xfId="43142"/>
    <cellStyle name="Heading 2 2 4 4 13 2" xfId="43143"/>
    <cellStyle name="Heading 2 2 4 4 13 2 2" xfId="43144"/>
    <cellStyle name="Heading 2 2 4 4 13 3" xfId="43145"/>
    <cellStyle name="Heading 2 2 4 4 14" xfId="43146"/>
    <cellStyle name="Heading 2 2 4 4 14 2" xfId="43147"/>
    <cellStyle name="Heading 2 2 4 4 14 2 2" xfId="43148"/>
    <cellStyle name="Heading 2 2 4 4 14 3" xfId="43149"/>
    <cellStyle name="Heading 2 2 4 4 15" xfId="43150"/>
    <cellStyle name="Heading 2 2 4 4 15 2" xfId="43151"/>
    <cellStyle name="Heading 2 2 4 4 15 2 2" xfId="43152"/>
    <cellStyle name="Heading 2 2 4 4 15 3" xfId="43153"/>
    <cellStyle name="Heading 2 2 4 4 16" xfId="43154"/>
    <cellStyle name="Heading 2 2 4 4 16 2" xfId="43155"/>
    <cellStyle name="Heading 2 2 4 4 16 2 2" xfId="43156"/>
    <cellStyle name="Heading 2 2 4 4 16 3" xfId="43157"/>
    <cellStyle name="Heading 2 2 4 4 17" xfId="43158"/>
    <cellStyle name="Heading 2 2 4 4 17 2" xfId="43159"/>
    <cellStyle name="Heading 2 2 4 4 17 2 2" xfId="43160"/>
    <cellStyle name="Heading 2 2 4 4 17 3" xfId="43161"/>
    <cellStyle name="Heading 2 2 4 4 18" xfId="43162"/>
    <cellStyle name="Heading 2 2 4 4 18 2" xfId="43163"/>
    <cellStyle name="Heading 2 2 4 4 18 2 2" xfId="43164"/>
    <cellStyle name="Heading 2 2 4 4 18 3" xfId="43165"/>
    <cellStyle name="Heading 2 2 4 4 19" xfId="43166"/>
    <cellStyle name="Heading 2 2 4 4 19 2" xfId="43167"/>
    <cellStyle name="Heading 2 2 4 4 2" xfId="43168"/>
    <cellStyle name="Heading 2 2 4 4 2 2" xfId="43169"/>
    <cellStyle name="Heading 2 2 4 4 2 2 2" xfId="43170"/>
    <cellStyle name="Heading 2 2 4 4 2 2 2 2" xfId="43171"/>
    <cellStyle name="Heading 2 2 4 4 2 2 3" xfId="43172"/>
    <cellStyle name="Heading 2 2 4 4 2 3" xfId="43173"/>
    <cellStyle name="Heading 2 2 4 4 2 3 2" xfId="43174"/>
    <cellStyle name="Heading 2 2 4 4 2 3 2 2" xfId="43175"/>
    <cellStyle name="Heading 2 2 4 4 2 3 3" xfId="43176"/>
    <cellStyle name="Heading 2 2 4 4 2 4" xfId="43177"/>
    <cellStyle name="Heading 2 2 4 4 2 4 2" xfId="43178"/>
    <cellStyle name="Heading 2 2 4 4 2 4 2 2" xfId="43179"/>
    <cellStyle name="Heading 2 2 4 4 2 4 3" xfId="43180"/>
    <cellStyle name="Heading 2 2 4 4 2 5" xfId="43181"/>
    <cellStyle name="Heading 2 2 4 4 2 5 2" xfId="43182"/>
    <cellStyle name="Heading 2 2 4 4 2 5 2 2" xfId="43183"/>
    <cellStyle name="Heading 2 2 4 4 2 5 3" xfId="43184"/>
    <cellStyle name="Heading 2 2 4 4 2 6" xfId="43185"/>
    <cellStyle name="Heading 2 2 4 4 2 6 2" xfId="43186"/>
    <cellStyle name="Heading 2 2 4 4 2 6 2 2" xfId="43187"/>
    <cellStyle name="Heading 2 2 4 4 2 6 3" xfId="43188"/>
    <cellStyle name="Heading 2 2 4 4 2 7" xfId="43189"/>
    <cellStyle name="Heading 2 2 4 4 2 7 2" xfId="43190"/>
    <cellStyle name="Heading 2 2 4 4 2 7 2 2" xfId="43191"/>
    <cellStyle name="Heading 2 2 4 4 2 7 3" xfId="43192"/>
    <cellStyle name="Heading 2 2 4 4 2 8" xfId="43193"/>
    <cellStyle name="Heading 2 2 4 4 2 8 2" xfId="43194"/>
    <cellStyle name="Heading 2 2 4 4 2 9" xfId="43195"/>
    <cellStyle name="Heading 2 2 4 4 20" xfId="43196"/>
    <cellStyle name="Heading 2 2 4 4 20 2" xfId="43197"/>
    <cellStyle name="Heading 2 2 4 4 21" xfId="43198"/>
    <cellStyle name="Heading 2 2 4 4 21 2" xfId="43199"/>
    <cellStyle name="Heading 2 2 4 4 22" xfId="43200"/>
    <cellStyle name="Heading 2 2 4 4 3" xfId="43201"/>
    <cellStyle name="Heading 2 2 4 4 3 2" xfId="43202"/>
    <cellStyle name="Heading 2 2 4 4 3 2 2" xfId="43203"/>
    <cellStyle name="Heading 2 2 4 4 3 2 2 2" xfId="43204"/>
    <cellStyle name="Heading 2 2 4 4 3 2 3" xfId="43205"/>
    <cellStyle name="Heading 2 2 4 4 3 3" xfId="43206"/>
    <cellStyle name="Heading 2 2 4 4 3 3 2" xfId="43207"/>
    <cellStyle name="Heading 2 2 4 4 3 3 2 2" xfId="43208"/>
    <cellStyle name="Heading 2 2 4 4 3 3 3" xfId="43209"/>
    <cellStyle name="Heading 2 2 4 4 3 4" xfId="43210"/>
    <cellStyle name="Heading 2 2 4 4 3 4 2" xfId="43211"/>
    <cellStyle name="Heading 2 2 4 4 3 4 2 2" xfId="43212"/>
    <cellStyle name="Heading 2 2 4 4 3 4 3" xfId="43213"/>
    <cellStyle name="Heading 2 2 4 4 3 5" xfId="43214"/>
    <cellStyle name="Heading 2 2 4 4 3 5 2" xfId="43215"/>
    <cellStyle name="Heading 2 2 4 4 3 5 2 2" xfId="43216"/>
    <cellStyle name="Heading 2 2 4 4 3 5 3" xfId="43217"/>
    <cellStyle name="Heading 2 2 4 4 3 6" xfId="43218"/>
    <cellStyle name="Heading 2 2 4 4 3 6 2" xfId="43219"/>
    <cellStyle name="Heading 2 2 4 4 3 6 2 2" xfId="43220"/>
    <cellStyle name="Heading 2 2 4 4 3 6 3" xfId="43221"/>
    <cellStyle name="Heading 2 2 4 4 3 7" xfId="43222"/>
    <cellStyle name="Heading 2 2 4 4 3 7 2" xfId="43223"/>
    <cellStyle name="Heading 2 2 4 4 3 7 2 2" xfId="43224"/>
    <cellStyle name="Heading 2 2 4 4 3 7 3" xfId="43225"/>
    <cellStyle name="Heading 2 2 4 4 3 8" xfId="43226"/>
    <cellStyle name="Heading 2 2 4 4 3 8 2" xfId="43227"/>
    <cellStyle name="Heading 2 2 4 4 3 9" xfId="43228"/>
    <cellStyle name="Heading 2 2 4 4 4" xfId="43229"/>
    <cellStyle name="Heading 2 2 4 4 4 2" xfId="43230"/>
    <cellStyle name="Heading 2 2 4 4 4 2 2" xfId="43231"/>
    <cellStyle name="Heading 2 2 4 4 4 2 2 2" xfId="43232"/>
    <cellStyle name="Heading 2 2 4 4 4 2 3" xfId="43233"/>
    <cellStyle name="Heading 2 2 4 4 4 3" xfId="43234"/>
    <cellStyle name="Heading 2 2 4 4 4 3 2" xfId="43235"/>
    <cellStyle name="Heading 2 2 4 4 4 3 2 2" xfId="43236"/>
    <cellStyle name="Heading 2 2 4 4 4 3 3" xfId="43237"/>
    <cellStyle name="Heading 2 2 4 4 4 4" xfId="43238"/>
    <cellStyle name="Heading 2 2 4 4 4 4 2" xfId="43239"/>
    <cellStyle name="Heading 2 2 4 4 4 4 2 2" xfId="43240"/>
    <cellStyle name="Heading 2 2 4 4 4 4 3" xfId="43241"/>
    <cellStyle name="Heading 2 2 4 4 4 5" xfId="43242"/>
    <cellStyle name="Heading 2 2 4 4 4 5 2" xfId="43243"/>
    <cellStyle name="Heading 2 2 4 4 4 5 2 2" xfId="43244"/>
    <cellStyle name="Heading 2 2 4 4 4 5 3" xfId="43245"/>
    <cellStyle name="Heading 2 2 4 4 4 6" xfId="43246"/>
    <cellStyle name="Heading 2 2 4 4 4 6 2" xfId="43247"/>
    <cellStyle name="Heading 2 2 4 4 4 6 2 2" xfId="43248"/>
    <cellStyle name="Heading 2 2 4 4 4 6 3" xfId="43249"/>
    <cellStyle name="Heading 2 2 4 4 4 7" xfId="43250"/>
    <cellStyle name="Heading 2 2 4 4 4 7 2" xfId="43251"/>
    <cellStyle name="Heading 2 2 4 4 4 7 2 2" xfId="43252"/>
    <cellStyle name="Heading 2 2 4 4 4 7 3" xfId="43253"/>
    <cellStyle name="Heading 2 2 4 4 4 8" xfId="43254"/>
    <cellStyle name="Heading 2 2 4 4 4 8 2" xfId="43255"/>
    <cellStyle name="Heading 2 2 4 4 4 9" xfId="43256"/>
    <cellStyle name="Heading 2 2 4 4 5" xfId="43257"/>
    <cellStyle name="Heading 2 2 4 4 5 2" xfId="43258"/>
    <cellStyle name="Heading 2 2 4 4 5 2 2" xfId="43259"/>
    <cellStyle name="Heading 2 2 4 4 5 2 2 2" xfId="43260"/>
    <cellStyle name="Heading 2 2 4 4 5 2 3" xfId="43261"/>
    <cellStyle name="Heading 2 2 4 4 5 3" xfId="43262"/>
    <cellStyle name="Heading 2 2 4 4 5 3 2" xfId="43263"/>
    <cellStyle name="Heading 2 2 4 4 5 3 2 2" xfId="43264"/>
    <cellStyle name="Heading 2 2 4 4 5 3 3" xfId="43265"/>
    <cellStyle name="Heading 2 2 4 4 5 4" xfId="43266"/>
    <cellStyle name="Heading 2 2 4 4 5 4 2" xfId="43267"/>
    <cellStyle name="Heading 2 2 4 4 5 4 2 2" xfId="43268"/>
    <cellStyle name="Heading 2 2 4 4 5 4 3" xfId="43269"/>
    <cellStyle name="Heading 2 2 4 4 5 5" xfId="43270"/>
    <cellStyle name="Heading 2 2 4 4 5 5 2" xfId="43271"/>
    <cellStyle name="Heading 2 2 4 4 5 5 2 2" xfId="43272"/>
    <cellStyle name="Heading 2 2 4 4 5 5 3" xfId="43273"/>
    <cellStyle name="Heading 2 2 4 4 5 6" xfId="43274"/>
    <cellStyle name="Heading 2 2 4 4 5 6 2" xfId="43275"/>
    <cellStyle name="Heading 2 2 4 4 5 6 2 2" xfId="43276"/>
    <cellStyle name="Heading 2 2 4 4 5 6 3" xfId="43277"/>
    <cellStyle name="Heading 2 2 4 4 5 7" xfId="43278"/>
    <cellStyle name="Heading 2 2 4 4 5 7 2" xfId="43279"/>
    <cellStyle name="Heading 2 2 4 4 5 7 2 2" xfId="43280"/>
    <cellStyle name="Heading 2 2 4 4 5 7 3" xfId="43281"/>
    <cellStyle name="Heading 2 2 4 4 5 8" xfId="43282"/>
    <cellStyle name="Heading 2 2 4 4 5 8 2" xfId="43283"/>
    <cellStyle name="Heading 2 2 4 4 5 9" xfId="43284"/>
    <cellStyle name="Heading 2 2 4 4 6" xfId="43285"/>
    <cellStyle name="Heading 2 2 4 4 6 2" xfId="43286"/>
    <cellStyle name="Heading 2 2 4 4 6 2 2" xfId="43287"/>
    <cellStyle name="Heading 2 2 4 4 6 2 2 2" xfId="43288"/>
    <cellStyle name="Heading 2 2 4 4 6 2 3" xfId="43289"/>
    <cellStyle name="Heading 2 2 4 4 6 3" xfId="43290"/>
    <cellStyle name="Heading 2 2 4 4 6 3 2" xfId="43291"/>
    <cellStyle name="Heading 2 2 4 4 6 3 2 2" xfId="43292"/>
    <cellStyle name="Heading 2 2 4 4 6 3 3" xfId="43293"/>
    <cellStyle name="Heading 2 2 4 4 6 4" xfId="43294"/>
    <cellStyle name="Heading 2 2 4 4 6 4 2" xfId="43295"/>
    <cellStyle name="Heading 2 2 4 4 6 4 2 2" xfId="43296"/>
    <cellStyle name="Heading 2 2 4 4 6 4 3" xfId="43297"/>
    <cellStyle name="Heading 2 2 4 4 6 5" xfId="43298"/>
    <cellStyle name="Heading 2 2 4 4 6 5 2" xfId="43299"/>
    <cellStyle name="Heading 2 2 4 4 6 5 2 2" xfId="43300"/>
    <cellStyle name="Heading 2 2 4 4 6 5 3" xfId="43301"/>
    <cellStyle name="Heading 2 2 4 4 6 6" xfId="43302"/>
    <cellStyle name="Heading 2 2 4 4 6 6 2" xfId="43303"/>
    <cellStyle name="Heading 2 2 4 4 6 6 2 2" xfId="43304"/>
    <cellStyle name="Heading 2 2 4 4 6 6 3" xfId="43305"/>
    <cellStyle name="Heading 2 2 4 4 6 7" xfId="43306"/>
    <cellStyle name="Heading 2 2 4 4 6 7 2" xfId="43307"/>
    <cellStyle name="Heading 2 2 4 4 6 7 2 2" xfId="43308"/>
    <cellStyle name="Heading 2 2 4 4 6 7 3" xfId="43309"/>
    <cellStyle name="Heading 2 2 4 4 6 8" xfId="43310"/>
    <cellStyle name="Heading 2 2 4 4 6 8 2" xfId="43311"/>
    <cellStyle name="Heading 2 2 4 4 6 9" xfId="43312"/>
    <cellStyle name="Heading 2 2 4 4 7" xfId="43313"/>
    <cellStyle name="Heading 2 2 4 4 7 2" xfId="43314"/>
    <cellStyle name="Heading 2 2 4 4 7 2 2" xfId="43315"/>
    <cellStyle name="Heading 2 2 4 4 7 2 2 2" xfId="43316"/>
    <cellStyle name="Heading 2 2 4 4 7 2 3" xfId="43317"/>
    <cellStyle name="Heading 2 2 4 4 7 3" xfId="43318"/>
    <cellStyle name="Heading 2 2 4 4 7 3 2" xfId="43319"/>
    <cellStyle name="Heading 2 2 4 4 7 3 2 2" xfId="43320"/>
    <cellStyle name="Heading 2 2 4 4 7 3 3" xfId="43321"/>
    <cellStyle name="Heading 2 2 4 4 7 4" xfId="43322"/>
    <cellStyle name="Heading 2 2 4 4 7 4 2" xfId="43323"/>
    <cellStyle name="Heading 2 2 4 4 7 4 2 2" xfId="43324"/>
    <cellStyle name="Heading 2 2 4 4 7 4 3" xfId="43325"/>
    <cellStyle name="Heading 2 2 4 4 7 5" xfId="43326"/>
    <cellStyle name="Heading 2 2 4 4 7 5 2" xfId="43327"/>
    <cellStyle name="Heading 2 2 4 4 7 5 2 2" xfId="43328"/>
    <cellStyle name="Heading 2 2 4 4 7 5 3" xfId="43329"/>
    <cellStyle name="Heading 2 2 4 4 7 6" xfId="43330"/>
    <cellStyle name="Heading 2 2 4 4 7 6 2" xfId="43331"/>
    <cellStyle name="Heading 2 2 4 4 7 6 2 2" xfId="43332"/>
    <cellStyle name="Heading 2 2 4 4 7 6 3" xfId="43333"/>
    <cellStyle name="Heading 2 2 4 4 7 7" xfId="43334"/>
    <cellStyle name="Heading 2 2 4 4 7 7 2" xfId="43335"/>
    <cellStyle name="Heading 2 2 4 4 7 7 2 2" xfId="43336"/>
    <cellStyle name="Heading 2 2 4 4 7 7 3" xfId="43337"/>
    <cellStyle name="Heading 2 2 4 4 7 8" xfId="43338"/>
    <cellStyle name="Heading 2 2 4 4 7 8 2" xfId="43339"/>
    <cellStyle name="Heading 2 2 4 4 7 9" xfId="43340"/>
    <cellStyle name="Heading 2 2 4 4 8" xfId="43341"/>
    <cellStyle name="Heading 2 2 4 4 8 2" xfId="43342"/>
    <cellStyle name="Heading 2 2 4 4 8 2 2" xfId="43343"/>
    <cellStyle name="Heading 2 2 4 4 8 2 2 2" xfId="43344"/>
    <cellStyle name="Heading 2 2 4 4 8 2 3" xfId="43345"/>
    <cellStyle name="Heading 2 2 4 4 8 3" xfId="43346"/>
    <cellStyle name="Heading 2 2 4 4 8 3 2" xfId="43347"/>
    <cellStyle name="Heading 2 2 4 4 8 3 2 2" xfId="43348"/>
    <cellStyle name="Heading 2 2 4 4 8 3 3" xfId="43349"/>
    <cellStyle name="Heading 2 2 4 4 8 4" xfId="43350"/>
    <cellStyle name="Heading 2 2 4 4 8 4 2" xfId="43351"/>
    <cellStyle name="Heading 2 2 4 4 8 4 2 2" xfId="43352"/>
    <cellStyle name="Heading 2 2 4 4 8 4 3" xfId="43353"/>
    <cellStyle name="Heading 2 2 4 4 8 5" xfId="43354"/>
    <cellStyle name="Heading 2 2 4 4 8 5 2" xfId="43355"/>
    <cellStyle name="Heading 2 2 4 4 8 5 2 2" xfId="43356"/>
    <cellStyle name="Heading 2 2 4 4 8 5 3" xfId="43357"/>
    <cellStyle name="Heading 2 2 4 4 8 6" xfId="43358"/>
    <cellStyle name="Heading 2 2 4 4 8 6 2" xfId="43359"/>
    <cellStyle name="Heading 2 2 4 4 8 6 2 2" xfId="43360"/>
    <cellStyle name="Heading 2 2 4 4 8 6 3" xfId="43361"/>
    <cellStyle name="Heading 2 2 4 4 8 7" xfId="43362"/>
    <cellStyle name="Heading 2 2 4 4 8 7 2" xfId="43363"/>
    <cellStyle name="Heading 2 2 4 4 8 7 2 2" xfId="43364"/>
    <cellStyle name="Heading 2 2 4 4 8 7 3" xfId="43365"/>
    <cellStyle name="Heading 2 2 4 4 8 8" xfId="43366"/>
    <cellStyle name="Heading 2 2 4 4 8 8 2" xfId="43367"/>
    <cellStyle name="Heading 2 2 4 4 8 9" xfId="43368"/>
    <cellStyle name="Heading 2 2 4 4 9" xfId="43369"/>
    <cellStyle name="Heading 2 2 4 4 9 2" xfId="43370"/>
    <cellStyle name="Heading 2 2 4 4 9 2 2" xfId="43371"/>
    <cellStyle name="Heading 2 2 4 4 9 3" xfId="43372"/>
    <cellStyle name="Heading 2 2 4 5" xfId="43373"/>
    <cellStyle name="Heading 2 2 4 5 2" xfId="43374"/>
    <cellStyle name="Heading 2 2 4 5 2 2" xfId="43375"/>
    <cellStyle name="Heading 2 2 4 5 3" xfId="43376"/>
    <cellStyle name="Heading 2 2 4 6" xfId="43377"/>
    <cellStyle name="Heading 2 2 4 6 2" xfId="43378"/>
    <cellStyle name="Heading 2 2 4 7" xfId="43379"/>
    <cellStyle name="Heading 2 2 5" xfId="43380"/>
    <cellStyle name="Heading 2 2 5 2" xfId="43381"/>
    <cellStyle name="Heading 2 2 5 2 10" xfId="43382"/>
    <cellStyle name="Heading 2 2 5 2 10 2" xfId="43383"/>
    <cellStyle name="Heading 2 2 5 2 10 2 2" xfId="43384"/>
    <cellStyle name="Heading 2 2 5 2 10 3" xfId="43385"/>
    <cellStyle name="Heading 2 2 5 2 11" xfId="43386"/>
    <cellStyle name="Heading 2 2 5 2 11 2" xfId="43387"/>
    <cellStyle name="Heading 2 2 5 2 11 2 2" xfId="43388"/>
    <cellStyle name="Heading 2 2 5 2 11 3" xfId="43389"/>
    <cellStyle name="Heading 2 2 5 2 12" xfId="43390"/>
    <cellStyle name="Heading 2 2 5 2 12 2" xfId="43391"/>
    <cellStyle name="Heading 2 2 5 2 12 2 2" xfId="43392"/>
    <cellStyle name="Heading 2 2 5 2 12 3" xfId="43393"/>
    <cellStyle name="Heading 2 2 5 2 13" xfId="43394"/>
    <cellStyle name="Heading 2 2 5 2 13 2" xfId="43395"/>
    <cellStyle name="Heading 2 2 5 2 13 2 2" xfId="43396"/>
    <cellStyle name="Heading 2 2 5 2 13 3" xfId="43397"/>
    <cellStyle name="Heading 2 2 5 2 14" xfId="43398"/>
    <cellStyle name="Heading 2 2 5 2 14 2" xfId="43399"/>
    <cellStyle name="Heading 2 2 5 2 14 2 2" xfId="43400"/>
    <cellStyle name="Heading 2 2 5 2 14 3" xfId="43401"/>
    <cellStyle name="Heading 2 2 5 2 15" xfId="43402"/>
    <cellStyle name="Heading 2 2 5 2 15 2" xfId="43403"/>
    <cellStyle name="Heading 2 2 5 2 15 2 2" xfId="43404"/>
    <cellStyle name="Heading 2 2 5 2 15 3" xfId="43405"/>
    <cellStyle name="Heading 2 2 5 2 16" xfId="43406"/>
    <cellStyle name="Heading 2 2 5 2 16 2" xfId="43407"/>
    <cellStyle name="Heading 2 2 5 2 16 2 2" xfId="43408"/>
    <cellStyle name="Heading 2 2 5 2 16 3" xfId="43409"/>
    <cellStyle name="Heading 2 2 5 2 17" xfId="43410"/>
    <cellStyle name="Heading 2 2 5 2 17 2" xfId="43411"/>
    <cellStyle name="Heading 2 2 5 2 17 2 2" xfId="43412"/>
    <cellStyle name="Heading 2 2 5 2 17 3" xfId="43413"/>
    <cellStyle name="Heading 2 2 5 2 18" xfId="43414"/>
    <cellStyle name="Heading 2 2 5 2 18 2" xfId="43415"/>
    <cellStyle name="Heading 2 2 5 2 18 2 2" xfId="43416"/>
    <cellStyle name="Heading 2 2 5 2 18 3" xfId="43417"/>
    <cellStyle name="Heading 2 2 5 2 19" xfId="43418"/>
    <cellStyle name="Heading 2 2 5 2 19 2" xfId="43419"/>
    <cellStyle name="Heading 2 2 5 2 19 2 2" xfId="43420"/>
    <cellStyle name="Heading 2 2 5 2 19 3" xfId="43421"/>
    <cellStyle name="Heading 2 2 5 2 2" xfId="43422"/>
    <cellStyle name="Heading 2 2 5 2 2 10" xfId="43423"/>
    <cellStyle name="Heading 2 2 5 2 2 10 2" xfId="43424"/>
    <cellStyle name="Heading 2 2 5 2 2 10 2 2" xfId="43425"/>
    <cellStyle name="Heading 2 2 5 2 2 10 3" xfId="43426"/>
    <cellStyle name="Heading 2 2 5 2 2 11" xfId="43427"/>
    <cellStyle name="Heading 2 2 5 2 2 11 2" xfId="43428"/>
    <cellStyle name="Heading 2 2 5 2 2 11 2 2" xfId="43429"/>
    <cellStyle name="Heading 2 2 5 2 2 11 3" xfId="43430"/>
    <cellStyle name="Heading 2 2 5 2 2 12" xfId="43431"/>
    <cellStyle name="Heading 2 2 5 2 2 12 2" xfId="43432"/>
    <cellStyle name="Heading 2 2 5 2 2 12 2 2" xfId="43433"/>
    <cellStyle name="Heading 2 2 5 2 2 12 3" xfId="43434"/>
    <cellStyle name="Heading 2 2 5 2 2 13" xfId="43435"/>
    <cellStyle name="Heading 2 2 5 2 2 13 2" xfId="43436"/>
    <cellStyle name="Heading 2 2 5 2 2 13 2 2" xfId="43437"/>
    <cellStyle name="Heading 2 2 5 2 2 13 3" xfId="43438"/>
    <cellStyle name="Heading 2 2 5 2 2 14" xfId="43439"/>
    <cellStyle name="Heading 2 2 5 2 2 14 2" xfId="43440"/>
    <cellStyle name="Heading 2 2 5 2 2 14 2 2" xfId="43441"/>
    <cellStyle name="Heading 2 2 5 2 2 14 3" xfId="43442"/>
    <cellStyle name="Heading 2 2 5 2 2 15" xfId="43443"/>
    <cellStyle name="Heading 2 2 5 2 2 15 2" xfId="43444"/>
    <cellStyle name="Heading 2 2 5 2 2 15 2 2" xfId="43445"/>
    <cellStyle name="Heading 2 2 5 2 2 15 3" xfId="43446"/>
    <cellStyle name="Heading 2 2 5 2 2 16" xfId="43447"/>
    <cellStyle name="Heading 2 2 5 2 2 16 2" xfId="43448"/>
    <cellStyle name="Heading 2 2 5 2 2 16 2 2" xfId="43449"/>
    <cellStyle name="Heading 2 2 5 2 2 16 3" xfId="43450"/>
    <cellStyle name="Heading 2 2 5 2 2 17" xfId="43451"/>
    <cellStyle name="Heading 2 2 5 2 2 17 2" xfId="43452"/>
    <cellStyle name="Heading 2 2 5 2 2 17 2 2" xfId="43453"/>
    <cellStyle name="Heading 2 2 5 2 2 17 3" xfId="43454"/>
    <cellStyle name="Heading 2 2 5 2 2 18" xfId="43455"/>
    <cellStyle name="Heading 2 2 5 2 2 18 2" xfId="43456"/>
    <cellStyle name="Heading 2 2 5 2 2 18 2 2" xfId="43457"/>
    <cellStyle name="Heading 2 2 5 2 2 18 3" xfId="43458"/>
    <cellStyle name="Heading 2 2 5 2 2 19" xfId="43459"/>
    <cellStyle name="Heading 2 2 5 2 2 19 2" xfId="43460"/>
    <cellStyle name="Heading 2 2 5 2 2 2" xfId="43461"/>
    <cellStyle name="Heading 2 2 5 2 2 2 2" xfId="43462"/>
    <cellStyle name="Heading 2 2 5 2 2 2 2 2" xfId="43463"/>
    <cellStyle name="Heading 2 2 5 2 2 2 2 2 2" xfId="43464"/>
    <cellStyle name="Heading 2 2 5 2 2 2 2 3" xfId="43465"/>
    <cellStyle name="Heading 2 2 5 2 2 2 3" xfId="43466"/>
    <cellStyle name="Heading 2 2 5 2 2 2 3 2" xfId="43467"/>
    <cellStyle name="Heading 2 2 5 2 2 2 3 2 2" xfId="43468"/>
    <cellStyle name="Heading 2 2 5 2 2 2 3 3" xfId="43469"/>
    <cellStyle name="Heading 2 2 5 2 2 2 4" xfId="43470"/>
    <cellStyle name="Heading 2 2 5 2 2 2 4 2" xfId="43471"/>
    <cellStyle name="Heading 2 2 5 2 2 2 4 2 2" xfId="43472"/>
    <cellStyle name="Heading 2 2 5 2 2 2 4 3" xfId="43473"/>
    <cellStyle name="Heading 2 2 5 2 2 2 5" xfId="43474"/>
    <cellStyle name="Heading 2 2 5 2 2 2 5 2" xfId="43475"/>
    <cellStyle name="Heading 2 2 5 2 2 2 5 2 2" xfId="43476"/>
    <cellStyle name="Heading 2 2 5 2 2 2 5 3" xfId="43477"/>
    <cellStyle name="Heading 2 2 5 2 2 2 6" xfId="43478"/>
    <cellStyle name="Heading 2 2 5 2 2 2 6 2" xfId="43479"/>
    <cellStyle name="Heading 2 2 5 2 2 2 6 2 2" xfId="43480"/>
    <cellStyle name="Heading 2 2 5 2 2 2 6 3" xfId="43481"/>
    <cellStyle name="Heading 2 2 5 2 2 2 7" xfId="43482"/>
    <cellStyle name="Heading 2 2 5 2 2 2 7 2" xfId="43483"/>
    <cellStyle name="Heading 2 2 5 2 2 2 7 2 2" xfId="43484"/>
    <cellStyle name="Heading 2 2 5 2 2 2 7 3" xfId="43485"/>
    <cellStyle name="Heading 2 2 5 2 2 2 8" xfId="43486"/>
    <cellStyle name="Heading 2 2 5 2 2 2 8 2" xfId="43487"/>
    <cellStyle name="Heading 2 2 5 2 2 2 9" xfId="43488"/>
    <cellStyle name="Heading 2 2 5 2 2 20" xfId="43489"/>
    <cellStyle name="Heading 2 2 5 2 2 20 2" xfId="43490"/>
    <cellStyle name="Heading 2 2 5 2 2 21" xfId="43491"/>
    <cellStyle name="Heading 2 2 5 2 2 21 2" xfId="43492"/>
    <cellStyle name="Heading 2 2 5 2 2 22" xfId="43493"/>
    <cellStyle name="Heading 2 2 5 2 2 3" xfId="43494"/>
    <cellStyle name="Heading 2 2 5 2 2 3 2" xfId="43495"/>
    <cellStyle name="Heading 2 2 5 2 2 3 2 2" xfId="43496"/>
    <cellStyle name="Heading 2 2 5 2 2 3 2 2 2" xfId="43497"/>
    <cellStyle name="Heading 2 2 5 2 2 3 2 3" xfId="43498"/>
    <cellStyle name="Heading 2 2 5 2 2 3 3" xfId="43499"/>
    <cellStyle name="Heading 2 2 5 2 2 3 3 2" xfId="43500"/>
    <cellStyle name="Heading 2 2 5 2 2 3 3 2 2" xfId="43501"/>
    <cellStyle name="Heading 2 2 5 2 2 3 3 3" xfId="43502"/>
    <cellStyle name="Heading 2 2 5 2 2 3 4" xfId="43503"/>
    <cellStyle name="Heading 2 2 5 2 2 3 4 2" xfId="43504"/>
    <cellStyle name="Heading 2 2 5 2 2 3 4 2 2" xfId="43505"/>
    <cellStyle name="Heading 2 2 5 2 2 3 4 3" xfId="43506"/>
    <cellStyle name="Heading 2 2 5 2 2 3 5" xfId="43507"/>
    <cellStyle name="Heading 2 2 5 2 2 3 5 2" xfId="43508"/>
    <cellStyle name="Heading 2 2 5 2 2 3 5 2 2" xfId="43509"/>
    <cellStyle name="Heading 2 2 5 2 2 3 5 3" xfId="43510"/>
    <cellStyle name="Heading 2 2 5 2 2 3 6" xfId="43511"/>
    <cellStyle name="Heading 2 2 5 2 2 3 6 2" xfId="43512"/>
    <cellStyle name="Heading 2 2 5 2 2 3 6 2 2" xfId="43513"/>
    <cellStyle name="Heading 2 2 5 2 2 3 6 3" xfId="43514"/>
    <cellStyle name="Heading 2 2 5 2 2 3 7" xfId="43515"/>
    <cellStyle name="Heading 2 2 5 2 2 3 7 2" xfId="43516"/>
    <cellStyle name="Heading 2 2 5 2 2 3 7 2 2" xfId="43517"/>
    <cellStyle name="Heading 2 2 5 2 2 3 7 3" xfId="43518"/>
    <cellStyle name="Heading 2 2 5 2 2 3 8" xfId="43519"/>
    <cellStyle name="Heading 2 2 5 2 2 3 8 2" xfId="43520"/>
    <cellStyle name="Heading 2 2 5 2 2 3 9" xfId="43521"/>
    <cellStyle name="Heading 2 2 5 2 2 4" xfId="43522"/>
    <cellStyle name="Heading 2 2 5 2 2 4 2" xfId="43523"/>
    <cellStyle name="Heading 2 2 5 2 2 4 2 2" xfId="43524"/>
    <cellStyle name="Heading 2 2 5 2 2 4 2 2 2" xfId="43525"/>
    <cellStyle name="Heading 2 2 5 2 2 4 2 3" xfId="43526"/>
    <cellStyle name="Heading 2 2 5 2 2 4 3" xfId="43527"/>
    <cellStyle name="Heading 2 2 5 2 2 4 3 2" xfId="43528"/>
    <cellStyle name="Heading 2 2 5 2 2 4 3 2 2" xfId="43529"/>
    <cellStyle name="Heading 2 2 5 2 2 4 3 3" xfId="43530"/>
    <cellStyle name="Heading 2 2 5 2 2 4 4" xfId="43531"/>
    <cellStyle name="Heading 2 2 5 2 2 4 4 2" xfId="43532"/>
    <cellStyle name="Heading 2 2 5 2 2 4 4 2 2" xfId="43533"/>
    <cellStyle name="Heading 2 2 5 2 2 4 4 3" xfId="43534"/>
    <cellStyle name="Heading 2 2 5 2 2 4 5" xfId="43535"/>
    <cellStyle name="Heading 2 2 5 2 2 4 5 2" xfId="43536"/>
    <cellStyle name="Heading 2 2 5 2 2 4 5 2 2" xfId="43537"/>
    <cellStyle name="Heading 2 2 5 2 2 4 5 3" xfId="43538"/>
    <cellStyle name="Heading 2 2 5 2 2 4 6" xfId="43539"/>
    <cellStyle name="Heading 2 2 5 2 2 4 6 2" xfId="43540"/>
    <cellStyle name="Heading 2 2 5 2 2 4 6 2 2" xfId="43541"/>
    <cellStyle name="Heading 2 2 5 2 2 4 6 3" xfId="43542"/>
    <cellStyle name="Heading 2 2 5 2 2 4 7" xfId="43543"/>
    <cellStyle name="Heading 2 2 5 2 2 4 7 2" xfId="43544"/>
    <cellStyle name="Heading 2 2 5 2 2 4 7 2 2" xfId="43545"/>
    <cellStyle name="Heading 2 2 5 2 2 4 7 3" xfId="43546"/>
    <cellStyle name="Heading 2 2 5 2 2 4 8" xfId="43547"/>
    <cellStyle name="Heading 2 2 5 2 2 4 8 2" xfId="43548"/>
    <cellStyle name="Heading 2 2 5 2 2 4 9" xfId="43549"/>
    <cellStyle name="Heading 2 2 5 2 2 5" xfId="43550"/>
    <cellStyle name="Heading 2 2 5 2 2 5 2" xfId="43551"/>
    <cellStyle name="Heading 2 2 5 2 2 5 2 2" xfId="43552"/>
    <cellStyle name="Heading 2 2 5 2 2 5 2 2 2" xfId="43553"/>
    <cellStyle name="Heading 2 2 5 2 2 5 2 3" xfId="43554"/>
    <cellStyle name="Heading 2 2 5 2 2 5 3" xfId="43555"/>
    <cellStyle name="Heading 2 2 5 2 2 5 3 2" xfId="43556"/>
    <cellStyle name="Heading 2 2 5 2 2 5 3 2 2" xfId="43557"/>
    <cellStyle name="Heading 2 2 5 2 2 5 3 3" xfId="43558"/>
    <cellStyle name="Heading 2 2 5 2 2 5 4" xfId="43559"/>
    <cellStyle name="Heading 2 2 5 2 2 5 4 2" xfId="43560"/>
    <cellStyle name="Heading 2 2 5 2 2 5 4 2 2" xfId="43561"/>
    <cellStyle name="Heading 2 2 5 2 2 5 4 3" xfId="43562"/>
    <cellStyle name="Heading 2 2 5 2 2 5 5" xfId="43563"/>
    <cellStyle name="Heading 2 2 5 2 2 5 5 2" xfId="43564"/>
    <cellStyle name="Heading 2 2 5 2 2 5 5 2 2" xfId="43565"/>
    <cellStyle name="Heading 2 2 5 2 2 5 5 3" xfId="43566"/>
    <cellStyle name="Heading 2 2 5 2 2 5 6" xfId="43567"/>
    <cellStyle name="Heading 2 2 5 2 2 5 6 2" xfId="43568"/>
    <cellStyle name="Heading 2 2 5 2 2 5 6 2 2" xfId="43569"/>
    <cellStyle name="Heading 2 2 5 2 2 5 6 3" xfId="43570"/>
    <cellStyle name="Heading 2 2 5 2 2 5 7" xfId="43571"/>
    <cellStyle name="Heading 2 2 5 2 2 5 7 2" xfId="43572"/>
    <cellStyle name="Heading 2 2 5 2 2 5 7 2 2" xfId="43573"/>
    <cellStyle name="Heading 2 2 5 2 2 5 7 3" xfId="43574"/>
    <cellStyle name="Heading 2 2 5 2 2 5 8" xfId="43575"/>
    <cellStyle name="Heading 2 2 5 2 2 5 8 2" xfId="43576"/>
    <cellStyle name="Heading 2 2 5 2 2 5 9" xfId="43577"/>
    <cellStyle name="Heading 2 2 5 2 2 6" xfId="43578"/>
    <cellStyle name="Heading 2 2 5 2 2 6 2" xfId="43579"/>
    <cellStyle name="Heading 2 2 5 2 2 6 2 2" xfId="43580"/>
    <cellStyle name="Heading 2 2 5 2 2 6 2 2 2" xfId="43581"/>
    <cellStyle name="Heading 2 2 5 2 2 6 2 3" xfId="43582"/>
    <cellStyle name="Heading 2 2 5 2 2 6 3" xfId="43583"/>
    <cellStyle name="Heading 2 2 5 2 2 6 3 2" xfId="43584"/>
    <cellStyle name="Heading 2 2 5 2 2 6 3 2 2" xfId="43585"/>
    <cellStyle name="Heading 2 2 5 2 2 6 3 3" xfId="43586"/>
    <cellStyle name="Heading 2 2 5 2 2 6 4" xfId="43587"/>
    <cellStyle name="Heading 2 2 5 2 2 6 4 2" xfId="43588"/>
    <cellStyle name="Heading 2 2 5 2 2 6 4 2 2" xfId="43589"/>
    <cellStyle name="Heading 2 2 5 2 2 6 4 3" xfId="43590"/>
    <cellStyle name="Heading 2 2 5 2 2 6 5" xfId="43591"/>
    <cellStyle name="Heading 2 2 5 2 2 6 5 2" xfId="43592"/>
    <cellStyle name="Heading 2 2 5 2 2 6 5 2 2" xfId="43593"/>
    <cellStyle name="Heading 2 2 5 2 2 6 5 3" xfId="43594"/>
    <cellStyle name="Heading 2 2 5 2 2 6 6" xfId="43595"/>
    <cellStyle name="Heading 2 2 5 2 2 6 6 2" xfId="43596"/>
    <cellStyle name="Heading 2 2 5 2 2 6 6 2 2" xfId="43597"/>
    <cellStyle name="Heading 2 2 5 2 2 6 6 3" xfId="43598"/>
    <cellStyle name="Heading 2 2 5 2 2 6 7" xfId="43599"/>
    <cellStyle name="Heading 2 2 5 2 2 6 7 2" xfId="43600"/>
    <cellStyle name="Heading 2 2 5 2 2 6 7 2 2" xfId="43601"/>
    <cellStyle name="Heading 2 2 5 2 2 6 7 3" xfId="43602"/>
    <cellStyle name="Heading 2 2 5 2 2 6 8" xfId="43603"/>
    <cellStyle name="Heading 2 2 5 2 2 6 8 2" xfId="43604"/>
    <cellStyle name="Heading 2 2 5 2 2 6 9" xfId="43605"/>
    <cellStyle name="Heading 2 2 5 2 2 7" xfId="43606"/>
    <cellStyle name="Heading 2 2 5 2 2 7 2" xfId="43607"/>
    <cellStyle name="Heading 2 2 5 2 2 7 2 2" xfId="43608"/>
    <cellStyle name="Heading 2 2 5 2 2 7 2 2 2" xfId="43609"/>
    <cellStyle name="Heading 2 2 5 2 2 7 2 3" xfId="43610"/>
    <cellStyle name="Heading 2 2 5 2 2 7 3" xfId="43611"/>
    <cellStyle name="Heading 2 2 5 2 2 7 3 2" xfId="43612"/>
    <cellStyle name="Heading 2 2 5 2 2 7 3 2 2" xfId="43613"/>
    <cellStyle name="Heading 2 2 5 2 2 7 3 3" xfId="43614"/>
    <cellStyle name="Heading 2 2 5 2 2 7 4" xfId="43615"/>
    <cellStyle name="Heading 2 2 5 2 2 7 4 2" xfId="43616"/>
    <cellStyle name="Heading 2 2 5 2 2 7 4 2 2" xfId="43617"/>
    <cellStyle name="Heading 2 2 5 2 2 7 4 3" xfId="43618"/>
    <cellStyle name="Heading 2 2 5 2 2 7 5" xfId="43619"/>
    <cellStyle name="Heading 2 2 5 2 2 7 5 2" xfId="43620"/>
    <cellStyle name="Heading 2 2 5 2 2 7 5 2 2" xfId="43621"/>
    <cellStyle name="Heading 2 2 5 2 2 7 5 3" xfId="43622"/>
    <cellStyle name="Heading 2 2 5 2 2 7 6" xfId="43623"/>
    <cellStyle name="Heading 2 2 5 2 2 7 6 2" xfId="43624"/>
    <cellStyle name="Heading 2 2 5 2 2 7 6 2 2" xfId="43625"/>
    <cellStyle name="Heading 2 2 5 2 2 7 6 3" xfId="43626"/>
    <cellStyle name="Heading 2 2 5 2 2 7 7" xfId="43627"/>
    <cellStyle name="Heading 2 2 5 2 2 7 7 2" xfId="43628"/>
    <cellStyle name="Heading 2 2 5 2 2 7 7 2 2" xfId="43629"/>
    <cellStyle name="Heading 2 2 5 2 2 7 7 3" xfId="43630"/>
    <cellStyle name="Heading 2 2 5 2 2 7 8" xfId="43631"/>
    <cellStyle name="Heading 2 2 5 2 2 7 8 2" xfId="43632"/>
    <cellStyle name="Heading 2 2 5 2 2 7 9" xfId="43633"/>
    <cellStyle name="Heading 2 2 5 2 2 8" xfId="43634"/>
    <cellStyle name="Heading 2 2 5 2 2 8 2" xfId="43635"/>
    <cellStyle name="Heading 2 2 5 2 2 8 2 2" xfId="43636"/>
    <cellStyle name="Heading 2 2 5 2 2 8 2 2 2" xfId="43637"/>
    <cellStyle name="Heading 2 2 5 2 2 8 2 3" xfId="43638"/>
    <cellStyle name="Heading 2 2 5 2 2 8 3" xfId="43639"/>
    <cellStyle name="Heading 2 2 5 2 2 8 3 2" xfId="43640"/>
    <cellStyle name="Heading 2 2 5 2 2 8 3 2 2" xfId="43641"/>
    <cellStyle name="Heading 2 2 5 2 2 8 3 3" xfId="43642"/>
    <cellStyle name="Heading 2 2 5 2 2 8 4" xfId="43643"/>
    <cellStyle name="Heading 2 2 5 2 2 8 4 2" xfId="43644"/>
    <cellStyle name="Heading 2 2 5 2 2 8 4 2 2" xfId="43645"/>
    <cellStyle name="Heading 2 2 5 2 2 8 4 3" xfId="43646"/>
    <cellStyle name="Heading 2 2 5 2 2 8 5" xfId="43647"/>
    <cellStyle name="Heading 2 2 5 2 2 8 5 2" xfId="43648"/>
    <cellStyle name="Heading 2 2 5 2 2 8 5 2 2" xfId="43649"/>
    <cellStyle name="Heading 2 2 5 2 2 8 5 3" xfId="43650"/>
    <cellStyle name="Heading 2 2 5 2 2 8 6" xfId="43651"/>
    <cellStyle name="Heading 2 2 5 2 2 8 6 2" xfId="43652"/>
    <cellStyle name="Heading 2 2 5 2 2 8 6 2 2" xfId="43653"/>
    <cellStyle name="Heading 2 2 5 2 2 8 6 3" xfId="43654"/>
    <cellStyle name="Heading 2 2 5 2 2 8 7" xfId="43655"/>
    <cellStyle name="Heading 2 2 5 2 2 8 7 2" xfId="43656"/>
    <cellStyle name="Heading 2 2 5 2 2 8 7 2 2" xfId="43657"/>
    <cellStyle name="Heading 2 2 5 2 2 8 7 3" xfId="43658"/>
    <cellStyle name="Heading 2 2 5 2 2 8 8" xfId="43659"/>
    <cellStyle name="Heading 2 2 5 2 2 8 8 2" xfId="43660"/>
    <cellStyle name="Heading 2 2 5 2 2 8 9" xfId="43661"/>
    <cellStyle name="Heading 2 2 5 2 2 9" xfId="43662"/>
    <cellStyle name="Heading 2 2 5 2 2 9 2" xfId="43663"/>
    <cellStyle name="Heading 2 2 5 2 2 9 2 2" xfId="43664"/>
    <cellStyle name="Heading 2 2 5 2 2 9 3" xfId="43665"/>
    <cellStyle name="Heading 2 2 5 2 20" xfId="43666"/>
    <cellStyle name="Heading 2 2 5 2 20 2" xfId="43667"/>
    <cellStyle name="Heading 2 2 5 2 21" xfId="43668"/>
    <cellStyle name="Heading 2 2 5 2 21 2" xfId="43669"/>
    <cellStyle name="Heading 2 2 5 2 22" xfId="43670"/>
    <cellStyle name="Heading 2 2 5 2 22 2" xfId="43671"/>
    <cellStyle name="Heading 2 2 5 2 23" xfId="43672"/>
    <cellStyle name="Heading 2 2 5 2 3" xfId="43673"/>
    <cellStyle name="Heading 2 2 5 2 3 2" xfId="43674"/>
    <cellStyle name="Heading 2 2 5 2 3 2 2" xfId="43675"/>
    <cellStyle name="Heading 2 2 5 2 3 2 2 2" xfId="43676"/>
    <cellStyle name="Heading 2 2 5 2 3 2 3" xfId="43677"/>
    <cellStyle name="Heading 2 2 5 2 3 3" xfId="43678"/>
    <cellStyle name="Heading 2 2 5 2 3 3 2" xfId="43679"/>
    <cellStyle name="Heading 2 2 5 2 3 3 2 2" xfId="43680"/>
    <cellStyle name="Heading 2 2 5 2 3 3 3" xfId="43681"/>
    <cellStyle name="Heading 2 2 5 2 3 4" xfId="43682"/>
    <cellStyle name="Heading 2 2 5 2 3 4 2" xfId="43683"/>
    <cellStyle name="Heading 2 2 5 2 3 4 2 2" xfId="43684"/>
    <cellStyle name="Heading 2 2 5 2 3 4 3" xfId="43685"/>
    <cellStyle name="Heading 2 2 5 2 3 5" xfId="43686"/>
    <cellStyle name="Heading 2 2 5 2 3 5 2" xfId="43687"/>
    <cellStyle name="Heading 2 2 5 2 3 5 2 2" xfId="43688"/>
    <cellStyle name="Heading 2 2 5 2 3 5 3" xfId="43689"/>
    <cellStyle name="Heading 2 2 5 2 3 6" xfId="43690"/>
    <cellStyle name="Heading 2 2 5 2 3 6 2" xfId="43691"/>
    <cellStyle name="Heading 2 2 5 2 3 6 2 2" xfId="43692"/>
    <cellStyle name="Heading 2 2 5 2 3 6 3" xfId="43693"/>
    <cellStyle name="Heading 2 2 5 2 3 7" xfId="43694"/>
    <cellStyle name="Heading 2 2 5 2 3 7 2" xfId="43695"/>
    <cellStyle name="Heading 2 2 5 2 3 7 2 2" xfId="43696"/>
    <cellStyle name="Heading 2 2 5 2 3 7 3" xfId="43697"/>
    <cellStyle name="Heading 2 2 5 2 3 8" xfId="43698"/>
    <cellStyle name="Heading 2 2 5 2 3 8 2" xfId="43699"/>
    <cellStyle name="Heading 2 2 5 2 3 9" xfId="43700"/>
    <cellStyle name="Heading 2 2 5 2 4" xfId="43701"/>
    <cellStyle name="Heading 2 2 5 2 4 2" xfId="43702"/>
    <cellStyle name="Heading 2 2 5 2 4 2 2" xfId="43703"/>
    <cellStyle name="Heading 2 2 5 2 4 2 2 2" xfId="43704"/>
    <cellStyle name="Heading 2 2 5 2 4 2 3" xfId="43705"/>
    <cellStyle name="Heading 2 2 5 2 4 3" xfId="43706"/>
    <cellStyle name="Heading 2 2 5 2 4 3 2" xfId="43707"/>
    <cellStyle name="Heading 2 2 5 2 4 3 2 2" xfId="43708"/>
    <cellStyle name="Heading 2 2 5 2 4 3 3" xfId="43709"/>
    <cellStyle name="Heading 2 2 5 2 4 4" xfId="43710"/>
    <cellStyle name="Heading 2 2 5 2 4 4 2" xfId="43711"/>
    <cellStyle name="Heading 2 2 5 2 4 4 2 2" xfId="43712"/>
    <cellStyle name="Heading 2 2 5 2 4 4 3" xfId="43713"/>
    <cellStyle name="Heading 2 2 5 2 4 5" xfId="43714"/>
    <cellStyle name="Heading 2 2 5 2 4 5 2" xfId="43715"/>
    <cellStyle name="Heading 2 2 5 2 4 5 2 2" xfId="43716"/>
    <cellStyle name="Heading 2 2 5 2 4 5 3" xfId="43717"/>
    <cellStyle name="Heading 2 2 5 2 4 6" xfId="43718"/>
    <cellStyle name="Heading 2 2 5 2 4 6 2" xfId="43719"/>
    <cellStyle name="Heading 2 2 5 2 4 6 2 2" xfId="43720"/>
    <cellStyle name="Heading 2 2 5 2 4 6 3" xfId="43721"/>
    <cellStyle name="Heading 2 2 5 2 4 7" xfId="43722"/>
    <cellStyle name="Heading 2 2 5 2 4 7 2" xfId="43723"/>
    <cellStyle name="Heading 2 2 5 2 4 7 2 2" xfId="43724"/>
    <cellStyle name="Heading 2 2 5 2 4 7 3" xfId="43725"/>
    <cellStyle name="Heading 2 2 5 2 4 8" xfId="43726"/>
    <cellStyle name="Heading 2 2 5 2 4 8 2" xfId="43727"/>
    <cellStyle name="Heading 2 2 5 2 4 9" xfId="43728"/>
    <cellStyle name="Heading 2 2 5 2 5" xfId="43729"/>
    <cellStyle name="Heading 2 2 5 2 5 2" xfId="43730"/>
    <cellStyle name="Heading 2 2 5 2 5 2 2" xfId="43731"/>
    <cellStyle name="Heading 2 2 5 2 5 2 2 2" xfId="43732"/>
    <cellStyle name="Heading 2 2 5 2 5 2 3" xfId="43733"/>
    <cellStyle name="Heading 2 2 5 2 5 3" xfId="43734"/>
    <cellStyle name="Heading 2 2 5 2 5 3 2" xfId="43735"/>
    <cellStyle name="Heading 2 2 5 2 5 3 2 2" xfId="43736"/>
    <cellStyle name="Heading 2 2 5 2 5 3 3" xfId="43737"/>
    <cellStyle name="Heading 2 2 5 2 5 4" xfId="43738"/>
    <cellStyle name="Heading 2 2 5 2 5 4 2" xfId="43739"/>
    <cellStyle name="Heading 2 2 5 2 5 4 2 2" xfId="43740"/>
    <cellStyle name="Heading 2 2 5 2 5 4 3" xfId="43741"/>
    <cellStyle name="Heading 2 2 5 2 5 5" xfId="43742"/>
    <cellStyle name="Heading 2 2 5 2 5 5 2" xfId="43743"/>
    <cellStyle name="Heading 2 2 5 2 5 5 2 2" xfId="43744"/>
    <cellStyle name="Heading 2 2 5 2 5 5 3" xfId="43745"/>
    <cellStyle name="Heading 2 2 5 2 5 6" xfId="43746"/>
    <cellStyle name="Heading 2 2 5 2 5 6 2" xfId="43747"/>
    <cellStyle name="Heading 2 2 5 2 5 6 2 2" xfId="43748"/>
    <cellStyle name="Heading 2 2 5 2 5 6 3" xfId="43749"/>
    <cellStyle name="Heading 2 2 5 2 5 7" xfId="43750"/>
    <cellStyle name="Heading 2 2 5 2 5 7 2" xfId="43751"/>
    <cellStyle name="Heading 2 2 5 2 5 7 2 2" xfId="43752"/>
    <cellStyle name="Heading 2 2 5 2 5 7 3" xfId="43753"/>
    <cellStyle name="Heading 2 2 5 2 5 8" xfId="43754"/>
    <cellStyle name="Heading 2 2 5 2 5 8 2" xfId="43755"/>
    <cellStyle name="Heading 2 2 5 2 5 9" xfId="43756"/>
    <cellStyle name="Heading 2 2 5 2 6" xfId="43757"/>
    <cellStyle name="Heading 2 2 5 2 6 2" xfId="43758"/>
    <cellStyle name="Heading 2 2 5 2 6 2 2" xfId="43759"/>
    <cellStyle name="Heading 2 2 5 2 6 2 2 2" xfId="43760"/>
    <cellStyle name="Heading 2 2 5 2 6 2 3" xfId="43761"/>
    <cellStyle name="Heading 2 2 5 2 6 3" xfId="43762"/>
    <cellStyle name="Heading 2 2 5 2 6 3 2" xfId="43763"/>
    <cellStyle name="Heading 2 2 5 2 6 3 2 2" xfId="43764"/>
    <cellStyle name="Heading 2 2 5 2 6 3 3" xfId="43765"/>
    <cellStyle name="Heading 2 2 5 2 6 4" xfId="43766"/>
    <cellStyle name="Heading 2 2 5 2 6 4 2" xfId="43767"/>
    <cellStyle name="Heading 2 2 5 2 6 4 2 2" xfId="43768"/>
    <cellStyle name="Heading 2 2 5 2 6 4 3" xfId="43769"/>
    <cellStyle name="Heading 2 2 5 2 6 5" xfId="43770"/>
    <cellStyle name="Heading 2 2 5 2 6 5 2" xfId="43771"/>
    <cellStyle name="Heading 2 2 5 2 6 5 2 2" xfId="43772"/>
    <cellStyle name="Heading 2 2 5 2 6 5 3" xfId="43773"/>
    <cellStyle name="Heading 2 2 5 2 6 6" xfId="43774"/>
    <cellStyle name="Heading 2 2 5 2 6 6 2" xfId="43775"/>
    <cellStyle name="Heading 2 2 5 2 6 6 2 2" xfId="43776"/>
    <cellStyle name="Heading 2 2 5 2 6 6 3" xfId="43777"/>
    <cellStyle name="Heading 2 2 5 2 6 7" xfId="43778"/>
    <cellStyle name="Heading 2 2 5 2 6 7 2" xfId="43779"/>
    <cellStyle name="Heading 2 2 5 2 6 7 2 2" xfId="43780"/>
    <cellStyle name="Heading 2 2 5 2 6 7 3" xfId="43781"/>
    <cellStyle name="Heading 2 2 5 2 6 8" xfId="43782"/>
    <cellStyle name="Heading 2 2 5 2 6 8 2" xfId="43783"/>
    <cellStyle name="Heading 2 2 5 2 6 9" xfId="43784"/>
    <cellStyle name="Heading 2 2 5 2 7" xfId="43785"/>
    <cellStyle name="Heading 2 2 5 2 7 2" xfId="43786"/>
    <cellStyle name="Heading 2 2 5 2 7 2 2" xfId="43787"/>
    <cellStyle name="Heading 2 2 5 2 7 2 2 2" xfId="43788"/>
    <cellStyle name="Heading 2 2 5 2 7 2 3" xfId="43789"/>
    <cellStyle name="Heading 2 2 5 2 7 3" xfId="43790"/>
    <cellStyle name="Heading 2 2 5 2 7 3 2" xfId="43791"/>
    <cellStyle name="Heading 2 2 5 2 7 3 2 2" xfId="43792"/>
    <cellStyle name="Heading 2 2 5 2 7 3 3" xfId="43793"/>
    <cellStyle name="Heading 2 2 5 2 7 4" xfId="43794"/>
    <cellStyle name="Heading 2 2 5 2 7 4 2" xfId="43795"/>
    <cellStyle name="Heading 2 2 5 2 7 4 2 2" xfId="43796"/>
    <cellStyle name="Heading 2 2 5 2 7 4 3" xfId="43797"/>
    <cellStyle name="Heading 2 2 5 2 7 5" xfId="43798"/>
    <cellStyle name="Heading 2 2 5 2 7 5 2" xfId="43799"/>
    <cellStyle name="Heading 2 2 5 2 7 5 2 2" xfId="43800"/>
    <cellStyle name="Heading 2 2 5 2 7 5 3" xfId="43801"/>
    <cellStyle name="Heading 2 2 5 2 7 6" xfId="43802"/>
    <cellStyle name="Heading 2 2 5 2 7 6 2" xfId="43803"/>
    <cellStyle name="Heading 2 2 5 2 7 6 2 2" xfId="43804"/>
    <cellStyle name="Heading 2 2 5 2 7 6 3" xfId="43805"/>
    <cellStyle name="Heading 2 2 5 2 7 7" xfId="43806"/>
    <cellStyle name="Heading 2 2 5 2 7 7 2" xfId="43807"/>
    <cellStyle name="Heading 2 2 5 2 7 7 2 2" xfId="43808"/>
    <cellStyle name="Heading 2 2 5 2 7 7 3" xfId="43809"/>
    <cellStyle name="Heading 2 2 5 2 7 8" xfId="43810"/>
    <cellStyle name="Heading 2 2 5 2 7 8 2" xfId="43811"/>
    <cellStyle name="Heading 2 2 5 2 7 9" xfId="43812"/>
    <cellStyle name="Heading 2 2 5 2 8" xfId="43813"/>
    <cellStyle name="Heading 2 2 5 2 8 2" xfId="43814"/>
    <cellStyle name="Heading 2 2 5 2 8 2 2" xfId="43815"/>
    <cellStyle name="Heading 2 2 5 2 8 2 2 2" xfId="43816"/>
    <cellStyle name="Heading 2 2 5 2 8 2 3" xfId="43817"/>
    <cellStyle name="Heading 2 2 5 2 8 3" xfId="43818"/>
    <cellStyle name="Heading 2 2 5 2 8 3 2" xfId="43819"/>
    <cellStyle name="Heading 2 2 5 2 8 3 2 2" xfId="43820"/>
    <cellStyle name="Heading 2 2 5 2 8 3 3" xfId="43821"/>
    <cellStyle name="Heading 2 2 5 2 8 4" xfId="43822"/>
    <cellStyle name="Heading 2 2 5 2 8 4 2" xfId="43823"/>
    <cellStyle name="Heading 2 2 5 2 8 4 2 2" xfId="43824"/>
    <cellStyle name="Heading 2 2 5 2 8 4 3" xfId="43825"/>
    <cellStyle name="Heading 2 2 5 2 8 5" xfId="43826"/>
    <cellStyle name="Heading 2 2 5 2 8 5 2" xfId="43827"/>
    <cellStyle name="Heading 2 2 5 2 8 5 2 2" xfId="43828"/>
    <cellStyle name="Heading 2 2 5 2 8 5 3" xfId="43829"/>
    <cellStyle name="Heading 2 2 5 2 8 6" xfId="43830"/>
    <cellStyle name="Heading 2 2 5 2 8 6 2" xfId="43831"/>
    <cellStyle name="Heading 2 2 5 2 8 6 2 2" xfId="43832"/>
    <cellStyle name="Heading 2 2 5 2 8 6 3" xfId="43833"/>
    <cellStyle name="Heading 2 2 5 2 8 7" xfId="43834"/>
    <cellStyle name="Heading 2 2 5 2 8 7 2" xfId="43835"/>
    <cellStyle name="Heading 2 2 5 2 8 7 2 2" xfId="43836"/>
    <cellStyle name="Heading 2 2 5 2 8 7 3" xfId="43837"/>
    <cellStyle name="Heading 2 2 5 2 8 8" xfId="43838"/>
    <cellStyle name="Heading 2 2 5 2 8 8 2" xfId="43839"/>
    <cellStyle name="Heading 2 2 5 2 8 9" xfId="43840"/>
    <cellStyle name="Heading 2 2 5 2 9" xfId="43841"/>
    <cellStyle name="Heading 2 2 5 2 9 2" xfId="43842"/>
    <cellStyle name="Heading 2 2 5 2 9 2 2" xfId="43843"/>
    <cellStyle name="Heading 2 2 5 2 9 2 2 2" xfId="43844"/>
    <cellStyle name="Heading 2 2 5 2 9 2 3" xfId="43845"/>
    <cellStyle name="Heading 2 2 5 2 9 3" xfId="43846"/>
    <cellStyle name="Heading 2 2 5 2 9 3 2" xfId="43847"/>
    <cellStyle name="Heading 2 2 5 2 9 3 2 2" xfId="43848"/>
    <cellStyle name="Heading 2 2 5 2 9 3 3" xfId="43849"/>
    <cellStyle name="Heading 2 2 5 2 9 4" xfId="43850"/>
    <cellStyle name="Heading 2 2 5 2 9 4 2" xfId="43851"/>
    <cellStyle name="Heading 2 2 5 2 9 4 2 2" xfId="43852"/>
    <cellStyle name="Heading 2 2 5 2 9 4 3" xfId="43853"/>
    <cellStyle name="Heading 2 2 5 2 9 5" xfId="43854"/>
    <cellStyle name="Heading 2 2 5 2 9 5 2" xfId="43855"/>
    <cellStyle name="Heading 2 2 5 2 9 5 2 2" xfId="43856"/>
    <cellStyle name="Heading 2 2 5 2 9 5 3" xfId="43857"/>
    <cellStyle name="Heading 2 2 5 2 9 6" xfId="43858"/>
    <cellStyle name="Heading 2 2 5 2 9 6 2" xfId="43859"/>
    <cellStyle name="Heading 2 2 5 2 9 6 2 2" xfId="43860"/>
    <cellStyle name="Heading 2 2 5 2 9 6 3" xfId="43861"/>
    <cellStyle name="Heading 2 2 5 2 9 7" xfId="43862"/>
    <cellStyle name="Heading 2 2 5 2 9 7 2" xfId="43863"/>
    <cellStyle name="Heading 2 2 5 2 9 7 2 2" xfId="43864"/>
    <cellStyle name="Heading 2 2 5 2 9 7 3" xfId="43865"/>
    <cellStyle name="Heading 2 2 5 2 9 8" xfId="43866"/>
    <cellStyle name="Heading 2 2 5 2 9 8 2" xfId="43867"/>
    <cellStyle name="Heading 2 2 5 2 9 9" xfId="43868"/>
    <cellStyle name="Heading 2 2 5 3" xfId="43869"/>
    <cellStyle name="Heading 2 2 5 3 10" xfId="43870"/>
    <cellStyle name="Heading 2 2 5 3 10 2" xfId="43871"/>
    <cellStyle name="Heading 2 2 5 3 10 2 2" xfId="43872"/>
    <cellStyle name="Heading 2 2 5 3 10 3" xfId="43873"/>
    <cellStyle name="Heading 2 2 5 3 11" xfId="43874"/>
    <cellStyle name="Heading 2 2 5 3 11 2" xfId="43875"/>
    <cellStyle name="Heading 2 2 5 3 11 2 2" xfId="43876"/>
    <cellStyle name="Heading 2 2 5 3 11 3" xfId="43877"/>
    <cellStyle name="Heading 2 2 5 3 12" xfId="43878"/>
    <cellStyle name="Heading 2 2 5 3 12 2" xfId="43879"/>
    <cellStyle name="Heading 2 2 5 3 12 2 2" xfId="43880"/>
    <cellStyle name="Heading 2 2 5 3 12 3" xfId="43881"/>
    <cellStyle name="Heading 2 2 5 3 13" xfId="43882"/>
    <cellStyle name="Heading 2 2 5 3 13 2" xfId="43883"/>
    <cellStyle name="Heading 2 2 5 3 13 2 2" xfId="43884"/>
    <cellStyle name="Heading 2 2 5 3 13 3" xfId="43885"/>
    <cellStyle name="Heading 2 2 5 3 14" xfId="43886"/>
    <cellStyle name="Heading 2 2 5 3 14 2" xfId="43887"/>
    <cellStyle name="Heading 2 2 5 3 14 2 2" xfId="43888"/>
    <cellStyle name="Heading 2 2 5 3 14 3" xfId="43889"/>
    <cellStyle name="Heading 2 2 5 3 15" xfId="43890"/>
    <cellStyle name="Heading 2 2 5 3 15 2" xfId="43891"/>
    <cellStyle name="Heading 2 2 5 3 15 2 2" xfId="43892"/>
    <cellStyle name="Heading 2 2 5 3 15 3" xfId="43893"/>
    <cellStyle name="Heading 2 2 5 3 16" xfId="43894"/>
    <cellStyle name="Heading 2 2 5 3 16 2" xfId="43895"/>
    <cellStyle name="Heading 2 2 5 3 16 2 2" xfId="43896"/>
    <cellStyle name="Heading 2 2 5 3 16 3" xfId="43897"/>
    <cellStyle name="Heading 2 2 5 3 17" xfId="43898"/>
    <cellStyle name="Heading 2 2 5 3 17 2" xfId="43899"/>
    <cellStyle name="Heading 2 2 5 3 17 2 2" xfId="43900"/>
    <cellStyle name="Heading 2 2 5 3 17 3" xfId="43901"/>
    <cellStyle name="Heading 2 2 5 3 18" xfId="43902"/>
    <cellStyle name="Heading 2 2 5 3 18 2" xfId="43903"/>
    <cellStyle name="Heading 2 2 5 3 18 2 2" xfId="43904"/>
    <cellStyle name="Heading 2 2 5 3 18 3" xfId="43905"/>
    <cellStyle name="Heading 2 2 5 3 19" xfId="43906"/>
    <cellStyle name="Heading 2 2 5 3 19 2" xfId="43907"/>
    <cellStyle name="Heading 2 2 5 3 2" xfId="43908"/>
    <cellStyle name="Heading 2 2 5 3 2 2" xfId="43909"/>
    <cellStyle name="Heading 2 2 5 3 2 2 2" xfId="43910"/>
    <cellStyle name="Heading 2 2 5 3 2 2 2 2" xfId="43911"/>
    <cellStyle name="Heading 2 2 5 3 2 2 3" xfId="43912"/>
    <cellStyle name="Heading 2 2 5 3 2 3" xfId="43913"/>
    <cellStyle name="Heading 2 2 5 3 2 3 2" xfId="43914"/>
    <cellStyle name="Heading 2 2 5 3 2 3 2 2" xfId="43915"/>
    <cellStyle name="Heading 2 2 5 3 2 3 3" xfId="43916"/>
    <cellStyle name="Heading 2 2 5 3 2 4" xfId="43917"/>
    <cellStyle name="Heading 2 2 5 3 2 4 2" xfId="43918"/>
    <cellStyle name="Heading 2 2 5 3 2 4 2 2" xfId="43919"/>
    <cellStyle name="Heading 2 2 5 3 2 4 3" xfId="43920"/>
    <cellStyle name="Heading 2 2 5 3 2 5" xfId="43921"/>
    <cellStyle name="Heading 2 2 5 3 2 5 2" xfId="43922"/>
    <cellStyle name="Heading 2 2 5 3 2 5 2 2" xfId="43923"/>
    <cellStyle name="Heading 2 2 5 3 2 5 3" xfId="43924"/>
    <cellStyle name="Heading 2 2 5 3 2 6" xfId="43925"/>
    <cellStyle name="Heading 2 2 5 3 2 6 2" xfId="43926"/>
    <cellStyle name="Heading 2 2 5 3 2 6 2 2" xfId="43927"/>
    <cellStyle name="Heading 2 2 5 3 2 6 3" xfId="43928"/>
    <cellStyle name="Heading 2 2 5 3 2 7" xfId="43929"/>
    <cellStyle name="Heading 2 2 5 3 2 7 2" xfId="43930"/>
    <cellStyle name="Heading 2 2 5 3 2 7 2 2" xfId="43931"/>
    <cellStyle name="Heading 2 2 5 3 2 7 3" xfId="43932"/>
    <cellStyle name="Heading 2 2 5 3 2 8" xfId="43933"/>
    <cellStyle name="Heading 2 2 5 3 2 8 2" xfId="43934"/>
    <cellStyle name="Heading 2 2 5 3 2 9" xfId="43935"/>
    <cellStyle name="Heading 2 2 5 3 20" xfId="43936"/>
    <cellStyle name="Heading 2 2 5 3 20 2" xfId="43937"/>
    <cellStyle name="Heading 2 2 5 3 21" xfId="43938"/>
    <cellStyle name="Heading 2 2 5 3 21 2" xfId="43939"/>
    <cellStyle name="Heading 2 2 5 3 22" xfId="43940"/>
    <cellStyle name="Heading 2 2 5 3 3" xfId="43941"/>
    <cellStyle name="Heading 2 2 5 3 3 2" xfId="43942"/>
    <cellStyle name="Heading 2 2 5 3 3 2 2" xfId="43943"/>
    <cellStyle name="Heading 2 2 5 3 3 2 2 2" xfId="43944"/>
    <cellStyle name="Heading 2 2 5 3 3 2 3" xfId="43945"/>
    <cellStyle name="Heading 2 2 5 3 3 3" xfId="43946"/>
    <cellStyle name="Heading 2 2 5 3 3 3 2" xfId="43947"/>
    <cellStyle name="Heading 2 2 5 3 3 3 2 2" xfId="43948"/>
    <cellStyle name="Heading 2 2 5 3 3 3 3" xfId="43949"/>
    <cellStyle name="Heading 2 2 5 3 3 4" xfId="43950"/>
    <cellStyle name="Heading 2 2 5 3 3 4 2" xfId="43951"/>
    <cellStyle name="Heading 2 2 5 3 3 4 2 2" xfId="43952"/>
    <cellStyle name="Heading 2 2 5 3 3 4 3" xfId="43953"/>
    <cellStyle name="Heading 2 2 5 3 3 5" xfId="43954"/>
    <cellStyle name="Heading 2 2 5 3 3 5 2" xfId="43955"/>
    <cellStyle name="Heading 2 2 5 3 3 5 2 2" xfId="43956"/>
    <cellStyle name="Heading 2 2 5 3 3 5 3" xfId="43957"/>
    <cellStyle name="Heading 2 2 5 3 3 6" xfId="43958"/>
    <cellStyle name="Heading 2 2 5 3 3 6 2" xfId="43959"/>
    <cellStyle name="Heading 2 2 5 3 3 6 2 2" xfId="43960"/>
    <cellStyle name="Heading 2 2 5 3 3 6 3" xfId="43961"/>
    <cellStyle name="Heading 2 2 5 3 3 7" xfId="43962"/>
    <cellStyle name="Heading 2 2 5 3 3 7 2" xfId="43963"/>
    <cellStyle name="Heading 2 2 5 3 3 7 2 2" xfId="43964"/>
    <cellStyle name="Heading 2 2 5 3 3 7 3" xfId="43965"/>
    <cellStyle name="Heading 2 2 5 3 3 8" xfId="43966"/>
    <cellStyle name="Heading 2 2 5 3 3 8 2" xfId="43967"/>
    <cellStyle name="Heading 2 2 5 3 3 9" xfId="43968"/>
    <cellStyle name="Heading 2 2 5 3 4" xfId="43969"/>
    <cellStyle name="Heading 2 2 5 3 4 2" xfId="43970"/>
    <cellStyle name="Heading 2 2 5 3 4 2 2" xfId="43971"/>
    <cellStyle name="Heading 2 2 5 3 4 2 2 2" xfId="43972"/>
    <cellStyle name="Heading 2 2 5 3 4 2 3" xfId="43973"/>
    <cellStyle name="Heading 2 2 5 3 4 3" xfId="43974"/>
    <cellStyle name="Heading 2 2 5 3 4 3 2" xfId="43975"/>
    <cellStyle name="Heading 2 2 5 3 4 3 2 2" xfId="43976"/>
    <cellStyle name="Heading 2 2 5 3 4 3 3" xfId="43977"/>
    <cellStyle name="Heading 2 2 5 3 4 4" xfId="43978"/>
    <cellStyle name="Heading 2 2 5 3 4 4 2" xfId="43979"/>
    <cellStyle name="Heading 2 2 5 3 4 4 2 2" xfId="43980"/>
    <cellStyle name="Heading 2 2 5 3 4 4 3" xfId="43981"/>
    <cellStyle name="Heading 2 2 5 3 4 5" xfId="43982"/>
    <cellStyle name="Heading 2 2 5 3 4 5 2" xfId="43983"/>
    <cellStyle name="Heading 2 2 5 3 4 5 2 2" xfId="43984"/>
    <cellStyle name="Heading 2 2 5 3 4 5 3" xfId="43985"/>
    <cellStyle name="Heading 2 2 5 3 4 6" xfId="43986"/>
    <cellStyle name="Heading 2 2 5 3 4 6 2" xfId="43987"/>
    <cellStyle name="Heading 2 2 5 3 4 6 2 2" xfId="43988"/>
    <cellStyle name="Heading 2 2 5 3 4 6 3" xfId="43989"/>
    <cellStyle name="Heading 2 2 5 3 4 7" xfId="43990"/>
    <cellStyle name="Heading 2 2 5 3 4 7 2" xfId="43991"/>
    <cellStyle name="Heading 2 2 5 3 4 7 2 2" xfId="43992"/>
    <cellStyle name="Heading 2 2 5 3 4 7 3" xfId="43993"/>
    <cellStyle name="Heading 2 2 5 3 4 8" xfId="43994"/>
    <cellStyle name="Heading 2 2 5 3 4 8 2" xfId="43995"/>
    <cellStyle name="Heading 2 2 5 3 4 9" xfId="43996"/>
    <cellStyle name="Heading 2 2 5 3 5" xfId="43997"/>
    <cellStyle name="Heading 2 2 5 3 5 2" xfId="43998"/>
    <cellStyle name="Heading 2 2 5 3 5 2 2" xfId="43999"/>
    <cellStyle name="Heading 2 2 5 3 5 2 2 2" xfId="44000"/>
    <cellStyle name="Heading 2 2 5 3 5 2 3" xfId="44001"/>
    <cellStyle name="Heading 2 2 5 3 5 3" xfId="44002"/>
    <cellStyle name="Heading 2 2 5 3 5 3 2" xfId="44003"/>
    <cellStyle name="Heading 2 2 5 3 5 3 2 2" xfId="44004"/>
    <cellStyle name="Heading 2 2 5 3 5 3 3" xfId="44005"/>
    <cellStyle name="Heading 2 2 5 3 5 4" xfId="44006"/>
    <cellStyle name="Heading 2 2 5 3 5 4 2" xfId="44007"/>
    <cellStyle name="Heading 2 2 5 3 5 4 2 2" xfId="44008"/>
    <cellStyle name="Heading 2 2 5 3 5 4 3" xfId="44009"/>
    <cellStyle name="Heading 2 2 5 3 5 5" xfId="44010"/>
    <cellStyle name="Heading 2 2 5 3 5 5 2" xfId="44011"/>
    <cellStyle name="Heading 2 2 5 3 5 5 2 2" xfId="44012"/>
    <cellStyle name="Heading 2 2 5 3 5 5 3" xfId="44013"/>
    <cellStyle name="Heading 2 2 5 3 5 6" xfId="44014"/>
    <cellStyle name="Heading 2 2 5 3 5 6 2" xfId="44015"/>
    <cellStyle name="Heading 2 2 5 3 5 6 2 2" xfId="44016"/>
    <cellStyle name="Heading 2 2 5 3 5 6 3" xfId="44017"/>
    <cellStyle name="Heading 2 2 5 3 5 7" xfId="44018"/>
    <cellStyle name="Heading 2 2 5 3 5 7 2" xfId="44019"/>
    <cellStyle name="Heading 2 2 5 3 5 7 2 2" xfId="44020"/>
    <cellStyle name="Heading 2 2 5 3 5 7 3" xfId="44021"/>
    <cellStyle name="Heading 2 2 5 3 5 8" xfId="44022"/>
    <cellStyle name="Heading 2 2 5 3 5 8 2" xfId="44023"/>
    <cellStyle name="Heading 2 2 5 3 5 9" xfId="44024"/>
    <cellStyle name="Heading 2 2 5 3 6" xfId="44025"/>
    <cellStyle name="Heading 2 2 5 3 6 2" xfId="44026"/>
    <cellStyle name="Heading 2 2 5 3 6 2 2" xfId="44027"/>
    <cellStyle name="Heading 2 2 5 3 6 2 2 2" xfId="44028"/>
    <cellStyle name="Heading 2 2 5 3 6 2 3" xfId="44029"/>
    <cellStyle name="Heading 2 2 5 3 6 3" xfId="44030"/>
    <cellStyle name="Heading 2 2 5 3 6 3 2" xfId="44031"/>
    <cellStyle name="Heading 2 2 5 3 6 3 2 2" xfId="44032"/>
    <cellStyle name="Heading 2 2 5 3 6 3 3" xfId="44033"/>
    <cellStyle name="Heading 2 2 5 3 6 4" xfId="44034"/>
    <cellStyle name="Heading 2 2 5 3 6 4 2" xfId="44035"/>
    <cellStyle name="Heading 2 2 5 3 6 4 2 2" xfId="44036"/>
    <cellStyle name="Heading 2 2 5 3 6 4 3" xfId="44037"/>
    <cellStyle name="Heading 2 2 5 3 6 5" xfId="44038"/>
    <cellStyle name="Heading 2 2 5 3 6 5 2" xfId="44039"/>
    <cellStyle name="Heading 2 2 5 3 6 5 2 2" xfId="44040"/>
    <cellStyle name="Heading 2 2 5 3 6 5 3" xfId="44041"/>
    <cellStyle name="Heading 2 2 5 3 6 6" xfId="44042"/>
    <cellStyle name="Heading 2 2 5 3 6 6 2" xfId="44043"/>
    <cellStyle name="Heading 2 2 5 3 6 6 2 2" xfId="44044"/>
    <cellStyle name="Heading 2 2 5 3 6 6 3" xfId="44045"/>
    <cellStyle name="Heading 2 2 5 3 6 7" xfId="44046"/>
    <cellStyle name="Heading 2 2 5 3 6 7 2" xfId="44047"/>
    <cellStyle name="Heading 2 2 5 3 6 7 2 2" xfId="44048"/>
    <cellStyle name="Heading 2 2 5 3 6 7 3" xfId="44049"/>
    <cellStyle name="Heading 2 2 5 3 6 8" xfId="44050"/>
    <cellStyle name="Heading 2 2 5 3 6 8 2" xfId="44051"/>
    <cellStyle name="Heading 2 2 5 3 6 9" xfId="44052"/>
    <cellStyle name="Heading 2 2 5 3 7" xfId="44053"/>
    <cellStyle name="Heading 2 2 5 3 7 2" xfId="44054"/>
    <cellStyle name="Heading 2 2 5 3 7 2 2" xfId="44055"/>
    <cellStyle name="Heading 2 2 5 3 7 2 2 2" xfId="44056"/>
    <cellStyle name="Heading 2 2 5 3 7 2 3" xfId="44057"/>
    <cellStyle name="Heading 2 2 5 3 7 3" xfId="44058"/>
    <cellStyle name="Heading 2 2 5 3 7 3 2" xfId="44059"/>
    <cellStyle name="Heading 2 2 5 3 7 3 2 2" xfId="44060"/>
    <cellStyle name="Heading 2 2 5 3 7 3 3" xfId="44061"/>
    <cellStyle name="Heading 2 2 5 3 7 4" xfId="44062"/>
    <cellStyle name="Heading 2 2 5 3 7 4 2" xfId="44063"/>
    <cellStyle name="Heading 2 2 5 3 7 4 2 2" xfId="44064"/>
    <cellStyle name="Heading 2 2 5 3 7 4 3" xfId="44065"/>
    <cellStyle name="Heading 2 2 5 3 7 5" xfId="44066"/>
    <cellStyle name="Heading 2 2 5 3 7 5 2" xfId="44067"/>
    <cellStyle name="Heading 2 2 5 3 7 5 2 2" xfId="44068"/>
    <cellStyle name="Heading 2 2 5 3 7 5 3" xfId="44069"/>
    <cellStyle name="Heading 2 2 5 3 7 6" xfId="44070"/>
    <cellStyle name="Heading 2 2 5 3 7 6 2" xfId="44071"/>
    <cellStyle name="Heading 2 2 5 3 7 6 2 2" xfId="44072"/>
    <cellStyle name="Heading 2 2 5 3 7 6 3" xfId="44073"/>
    <cellStyle name="Heading 2 2 5 3 7 7" xfId="44074"/>
    <cellStyle name="Heading 2 2 5 3 7 7 2" xfId="44075"/>
    <cellStyle name="Heading 2 2 5 3 7 7 2 2" xfId="44076"/>
    <cellStyle name="Heading 2 2 5 3 7 7 3" xfId="44077"/>
    <cellStyle name="Heading 2 2 5 3 7 8" xfId="44078"/>
    <cellStyle name="Heading 2 2 5 3 7 8 2" xfId="44079"/>
    <cellStyle name="Heading 2 2 5 3 7 9" xfId="44080"/>
    <cellStyle name="Heading 2 2 5 3 8" xfId="44081"/>
    <cellStyle name="Heading 2 2 5 3 8 2" xfId="44082"/>
    <cellStyle name="Heading 2 2 5 3 8 2 2" xfId="44083"/>
    <cellStyle name="Heading 2 2 5 3 8 2 2 2" xfId="44084"/>
    <cellStyle name="Heading 2 2 5 3 8 2 3" xfId="44085"/>
    <cellStyle name="Heading 2 2 5 3 8 3" xfId="44086"/>
    <cellStyle name="Heading 2 2 5 3 8 3 2" xfId="44087"/>
    <cellStyle name="Heading 2 2 5 3 8 3 2 2" xfId="44088"/>
    <cellStyle name="Heading 2 2 5 3 8 3 3" xfId="44089"/>
    <cellStyle name="Heading 2 2 5 3 8 4" xfId="44090"/>
    <cellStyle name="Heading 2 2 5 3 8 4 2" xfId="44091"/>
    <cellStyle name="Heading 2 2 5 3 8 4 2 2" xfId="44092"/>
    <cellStyle name="Heading 2 2 5 3 8 4 3" xfId="44093"/>
    <cellStyle name="Heading 2 2 5 3 8 5" xfId="44094"/>
    <cellStyle name="Heading 2 2 5 3 8 5 2" xfId="44095"/>
    <cellStyle name="Heading 2 2 5 3 8 5 2 2" xfId="44096"/>
    <cellStyle name="Heading 2 2 5 3 8 5 3" xfId="44097"/>
    <cellStyle name="Heading 2 2 5 3 8 6" xfId="44098"/>
    <cellStyle name="Heading 2 2 5 3 8 6 2" xfId="44099"/>
    <cellStyle name="Heading 2 2 5 3 8 6 2 2" xfId="44100"/>
    <cellStyle name="Heading 2 2 5 3 8 6 3" xfId="44101"/>
    <cellStyle name="Heading 2 2 5 3 8 7" xfId="44102"/>
    <cellStyle name="Heading 2 2 5 3 8 7 2" xfId="44103"/>
    <cellStyle name="Heading 2 2 5 3 8 7 2 2" xfId="44104"/>
    <cellStyle name="Heading 2 2 5 3 8 7 3" xfId="44105"/>
    <cellStyle name="Heading 2 2 5 3 8 8" xfId="44106"/>
    <cellStyle name="Heading 2 2 5 3 8 8 2" xfId="44107"/>
    <cellStyle name="Heading 2 2 5 3 8 9" xfId="44108"/>
    <cellStyle name="Heading 2 2 5 3 9" xfId="44109"/>
    <cellStyle name="Heading 2 2 5 3 9 2" xfId="44110"/>
    <cellStyle name="Heading 2 2 5 3 9 2 2" xfId="44111"/>
    <cellStyle name="Heading 2 2 5 3 9 3" xfId="44112"/>
    <cellStyle name="Heading 2 2 5 4" xfId="44113"/>
    <cellStyle name="Heading 2 2 5 4 2" xfId="44114"/>
    <cellStyle name="Heading 2 2 5 4 2 2" xfId="44115"/>
    <cellStyle name="Heading 2 2 5 4 3" xfId="44116"/>
    <cellStyle name="Heading 2 2 5 5" xfId="44117"/>
    <cellStyle name="Heading 2 2 5 5 2" xfId="44118"/>
    <cellStyle name="Heading 2 2 5 6" xfId="44119"/>
    <cellStyle name="Heading 2 2 6" xfId="44120"/>
    <cellStyle name="Heading 2 2 6 2" xfId="44121"/>
    <cellStyle name="Heading 2 2 6 2 10" xfId="44122"/>
    <cellStyle name="Heading 2 2 6 2 10 2" xfId="44123"/>
    <cellStyle name="Heading 2 2 6 2 10 2 2" xfId="44124"/>
    <cellStyle name="Heading 2 2 6 2 10 3" xfId="44125"/>
    <cellStyle name="Heading 2 2 6 2 11" xfId="44126"/>
    <cellStyle name="Heading 2 2 6 2 11 2" xfId="44127"/>
    <cellStyle name="Heading 2 2 6 2 11 2 2" xfId="44128"/>
    <cellStyle name="Heading 2 2 6 2 11 3" xfId="44129"/>
    <cellStyle name="Heading 2 2 6 2 12" xfId="44130"/>
    <cellStyle name="Heading 2 2 6 2 12 2" xfId="44131"/>
    <cellStyle name="Heading 2 2 6 2 12 2 2" xfId="44132"/>
    <cellStyle name="Heading 2 2 6 2 12 3" xfId="44133"/>
    <cellStyle name="Heading 2 2 6 2 13" xfId="44134"/>
    <cellStyle name="Heading 2 2 6 2 13 2" xfId="44135"/>
    <cellStyle name="Heading 2 2 6 2 13 2 2" xfId="44136"/>
    <cellStyle name="Heading 2 2 6 2 13 3" xfId="44137"/>
    <cellStyle name="Heading 2 2 6 2 14" xfId="44138"/>
    <cellStyle name="Heading 2 2 6 2 14 2" xfId="44139"/>
    <cellStyle name="Heading 2 2 6 2 14 2 2" xfId="44140"/>
    <cellStyle name="Heading 2 2 6 2 14 3" xfId="44141"/>
    <cellStyle name="Heading 2 2 6 2 15" xfId="44142"/>
    <cellStyle name="Heading 2 2 6 2 15 2" xfId="44143"/>
    <cellStyle name="Heading 2 2 6 2 15 2 2" xfId="44144"/>
    <cellStyle name="Heading 2 2 6 2 15 3" xfId="44145"/>
    <cellStyle name="Heading 2 2 6 2 16" xfId="44146"/>
    <cellStyle name="Heading 2 2 6 2 16 2" xfId="44147"/>
    <cellStyle name="Heading 2 2 6 2 16 2 2" xfId="44148"/>
    <cellStyle name="Heading 2 2 6 2 16 3" xfId="44149"/>
    <cellStyle name="Heading 2 2 6 2 17" xfId="44150"/>
    <cellStyle name="Heading 2 2 6 2 17 2" xfId="44151"/>
    <cellStyle name="Heading 2 2 6 2 17 2 2" xfId="44152"/>
    <cellStyle name="Heading 2 2 6 2 17 3" xfId="44153"/>
    <cellStyle name="Heading 2 2 6 2 18" xfId="44154"/>
    <cellStyle name="Heading 2 2 6 2 18 2" xfId="44155"/>
    <cellStyle name="Heading 2 2 6 2 18 2 2" xfId="44156"/>
    <cellStyle name="Heading 2 2 6 2 18 3" xfId="44157"/>
    <cellStyle name="Heading 2 2 6 2 19" xfId="44158"/>
    <cellStyle name="Heading 2 2 6 2 19 2" xfId="44159"/>
    <cellStyle name="Heading 2 2 6 2 19 2 2" xfId="44160"/>
    <cellStyle name="Heading 2 2 6 2 19 3" xfId="44161"/>
    <cellStyle name="Heading 2 2 6 2 2" xfId="44162"/>
    <cellStyle name="Heading 2 2 6 2 2 10" xfId="44163"/>
    <cellStyle name="Heading 2 2 6 2 2 10 2" xfId="44164"/>
    <cellStyle name="Heading 2 2 6 2 2 10 2 2" xfId="44165"/>
    <cellStyle name="Heading 2 2 6 2 2 10 3" xfId="44166"/>
    <cellStyle name="Heading 2 2 6 2 2 11" xfId="44167"/>
    <cellStyle name="Heading 2 2 6 2 2 11 2" xfId="44168"/>
    <cellStyle name="Heading 2 2 6 2 2 11 2 2" xfId="44169"/>
    <cellStyle name="Heading 2 2 6 2 2 11 3" xfId="44170"/>
    <cellStyle name="Heading 2 2 6 2 2 12" xfId="44171"/>
    <cellStyle name="Heading 2 2 6 2 2 12 2" xfId="44172"/>
    <cellStyle name="Heading 2 2 6 2 2 12 2 2" xfId="44173"/>
    <cellStyle name="Heading 2 2 6 2 2 12 3" xfId="44174"/>
    <cellStyle name="Heading 2 2 6 2 2 13" xfId="44175"/>
    <cellStyle name="Heading 2 2 6 2 2 13 2" xfId="44176"/>
    <cellStyle name="Heading 2 2 6 2 2 13 2 2" xfId="44177"/>
    <cellStyle name="Heading 2 2 6 2 2 13 3" xfId="44178"/>
    <cellStyle name="Heading 2 2 6 2 2 14" xfId="44179"/>
    <cellStyle name="Heading 2 2 6 2 2 14 2" xfId="44180"/>
    <cellStyle name="Heading 2 2 6 2 2 14 2 2" xfId="44181"/>
    <cellStyle name="Heading 2 2 6 2 2 14 3" xfId="44182"/>
    <cellStyle name="Heading 2 2 6 2 2 15" xfId="44183"/>
    <cellStyle name="Heading 2 2 6 2 2 15 2" xfId="44184"/>
    <cellStyle name="Heading 2 2 6 2 2 15 2 2" xfId="44185"/>
    <cellStyle name="Heading 2 2 6 2 2 15 3" xfId="44186"/>
    <cellStyle name="Heading 2 2 6 2 2 16" xfId="44187"/>
    <cellStyle name="Heading 2 2 6 2 2 16 2" xfId="44188"/>
    <cellStyle name="Heading 2 2 6 2 2 16 2 2" xfId="44189"/>
    <cellStyle name="Heading 2 2 6 2 2 16 3" xfId="44190"/>
    <cellStyle name="Heading 2 2 6 2 2 17" xfId="44191"/>
    <cellStyle name="Heading 2 2 6 2 2 17 2" xfId="44192"/>
    <cellStyle name="Heading 2 2 6 2 2 17 2 2" xfId="44193"/>
    <cellStyle name="Heading 2 2 6 2 2 17 3" xfId="44194"/>
    <cellStyle name="Heading 2 2 6 2 2 18" xfId="44195"/>
    <cellStyle name="Heading 2 2 6 2 2 18 2" xfId="44196"/>
    <cellStyle name="Heading 2 2 6 2 2 18 2 2" xfId="44197"/>
    <cellStyle name="Heading 2 2 6 2 2 18 3" xfId="44198"/>
    <cellStyle name="Heading 2 2 6 2 2 19" xfId="44199"/>
    <cellStyle name="Heading 2 2 6 2 2 19 2" xfId="44200"/>
    <cellStyle name="Heading 2 2 6 2 2 2" xfId="44201"/>
    <cellStyle name="Heading 2 2 6 2 2 2 2" xfId="44202"/>
    <cellStyle name="Heading 2 2 6 2 2 2 2 2" xfId="44203"/>
    <cellStyle name="Heading 2 2 6 2 2 2 2 2 2" xfId="44204"/>
    <cellStyle name="Heading 2 2 6 2 2 2 2 3" xfId="44205"/>
    <cellStyle name="Heading 2 2 6 2 2 2 3" xfId="44206"/>
    <cellStyle name="Heading 2 2 6 2 2 2 3 2" xfId="44207"/>
    <cellStyle name="Heading 2 2 6 2 2 2 3 2 2" xfId="44208"/>
    <cellStyle name="Heading 2 2 6 2 2 2 3 3" xfId="44209"/>
    <cellStyle name="Heading 2 2 6 2 2 2 4" xfId="44210"/>
    <cellStyle name="Heading 2 2 6 2 2 2 4 2" xfId="44211"/>
    <cellStyle name="Heading 2 2 6 2 2 2 4 2 2" xfId="44212"/>
    <cellStyle name="Heading 2 2 6 2 2 2 4 3" xfId="44213"/>
    <cellStyle name="Heading 2 2 6 2 2 2 5" xfId="44214"/>
    <cellStyle name="Heading 2 2 6 2 2 2 5 2" xfId="44215"/>
    <cellStyle name="Heading 2 2 6 2 2 2 5 2 2" xfId="44216"/>
    <cellStyle name="Heading 2 2 6 2 2 2 5 3" xfId="44217"/>
    <cellStyle name="Heading 2 2 6 2 2 2 6" xfId="44218"/>
    <cellStyle name="Heading 2 2 6 2 2 2 6 2" xfId="44219"/>
    <cellStyle name="Heading 2 2 6 2 2 2 6 2 2" xfId="44220"/>
    <cellStyle name="Heading 2 2 6 2 2 2 6 3" xfId="44221"/>
    <cellStyle name="Heading 2 2 6 2 2 2 7" xfId="44222"/>
    <cellStyle name="Heading 2 2 6 2 2 2 7 2" xfId="44223"/>
    <cellStyle name="Heading 2 2 6 2 2 2 7 2 2" xfId="44224"/>
    <cellStyle name="Heading 2 2 6 2 2 2 7 3" xfId="44225"/>
    <cellStyle name="Heading 2 2 6 2 2 2 8" xfId="44226"/>
    <cellStyle name="Heading 2 2 6 2 2 2 8 2" xfId="44227"/>
    <cellStyle name="Heading 2 2 6 2 2 2 9" xfId="44228"/>
    <cellStyle name="Heading 2 2 6 2 2 20" xfId="44229"/>
    <cellStyle name="Heading 2 2 6 2 2 20 2" xfId="44230"/>
    <cellStyle name="Heading 2 2 6 2 2 21" xfId="44231"/>
    <cellStyle name="Heading 2 2 6 2 2 21 2" xfId="44232"/>
    <cellStyle name="Heading 2 2 6 2 2 22" xfId="44233"/>
    <cellStyle name="Heading 2 2 6 2 2 3" xfId="44234"/>
    <cellStyle name="Heading 2 2 6 2 2 3 2" xfId="44235"/>
    <cellStyle name="Heading 2 2 6 2 2 3 2 2" xfId="44236"/>
    <cellStyle name="Heading 2 2 6 2 2 3 2 2 2" xfId="44237"/>
    <cellStyle name="Heading 2 2 6 2 2 3 2 3" xfId="44238"/>
    <cellStyle name="Heading 2 2 6 2 2 3 3" xfId="44239"/>
    <cellStyle name="Heading 2 2 6 2 2 3 3 2" xfId="44240"/>
    <cellStyle name="Heading 2 2 6 2 2 3 3 2 2" xfId="44241"/>
    <cellStyle name="Heading 2 2 6 2 2 3 3 3" xfId="44242"/>
    <cellStyle name="Heading 2 2 6 2 2 3 4" xfId="44243"/>
    <cellStyle name="Heading 2 2 6 2 2 3 4 2" xfId="44244"/>
    <cellStyle name="Heading 2 2 6 2 2 3 4 2 2" xfId="44245"/>
    <cellStyle name="Heading 2 2 6 2 2 3 4 3" xfId="44246"/>
    <cellStyle name="Heading 2 2 6 2 2 3 5" xfId="44247"/>
    <cellStyle name="Heading 2 2 6 2 2 3 5 2" xfId="44248"/>
    <cellStyle name="Heading 2 2 6 2 2 3 5 2 2" xfId="44249"/>
    <cellStyle name="Heading 2 2 6 2 2 3 5 3" xfId="44250"/>
    <cellStyle name="Heading 2 2 6 2 2 3 6" xfId="44251"/>
    <cellStyle name="Heading 2 2 6 2 2 3 6 2" xfId="44252"/>
    <cellStyle name="Heading 2 2 6 2 2 3 6 2 2" xfId="44253"/>
    <cellStyle name="Heading 2 2 6 2 2 3 6 3" xfId="44254"/>
    <cellStyle name="Heading 2 2 6 2 2 3 7" xfId="44255"/>
    <cellStyle name="Heading 2 2 6 2 2 3 7 2" xfId="44256"/>
    <cellStyle name="Heading 2 2 6 2 2 3 7 2 2" xfId="44257"/>
    <cellStyle name="Heading 2 2 6 2 2 3 7 3" xfId="44258"/>
    <cellStyle name="Heading 2 2 6 2 2 3 8" xfId="44259"/>
    <cellStyle name="Heading 2 2 6 2 2 3 8 2" xfId="44260"/>
    <cellStyle name="Heading 2 2 6 2 2 3 9" xfId="44261"/>
    <cellStyle name="Heading 2 2 6 2 2 4" xfId="44262"/>
    <cellStyle name="Heading 2 2 6 2 2 4 2" xfId="44263"/>
    <cellStyle name="Heading 2 2 6 2 2 4 2 2" xfId="44264"/>
    <cellStyle name="Heading 2 2 6 2 2 4 2 2 2" xfId="44265"/>
    <cellStyle name="Heading 2 2 6 2 2 4 2 3" xfId="44266"/>
    <cellStyle name="Heading 2 2 6 2 2 4 3" xfId="44267"/>
    <cellStyle name="Heading 2 2 6 2 2 4 3 2" xfId="44268"/>
    <cellStyle name="Heading 2 2 6 2 2 4 3 2 2" xfId="44269"/>
    <cellStyle name="Heading 2 2 6 2 2 4 3 3" xfId="44270"/>
    <cellStyle name="Heading 2 2 6 2 2 4 4" xfId="44271"/>
    <cellStyle name="Heading 2 2 6 2 2 4 4 2" xfId="44272"/>
    <cellStyle name="Heading 2 2 6 2 2 4 4 2 2" xfId="44273"/>
    <cellStyle name="Heading 2 2 6 2 2 4 4 3" xfId="44274"/>
    <cellStyle name="Heading 2 2 6 2 2 4 5" xfId="44275"/>
    <cellStyle name="Heading 2 2 6 2 2 4 5 2" xfId="44276"/>
    <cellStyle name="Heading 2 2 6 2 2 4 5 2 2" xfId="44277"/>
    <cellStyle name="Heading 2 2 6 2 2 4 5 3" xfId="44278"/>
    <cellStyle name="Heading 2 2 6 2 2 4 6" xfId="44279"/>
    <cellStyle name="Heading 2 2 6 2 2 4 6 2" xfId="44280"/>
    <cellStyle name="Heading 2 2 6 2 2 4 6 2 2" xfId="44281"/>
    <cellStyle name="Heading 2 2 6 2 2 4 6 3" xfId="44282"/>
    <cellStyle name="Heading 2 2 6 2 2 4 7" xfId="44283"/>
    <cellStyle name="Heading 2 2 6 2 2 4 7 2" xfId="44284"/>
    <cellStyle name="Heading 2 2 6 2 2 4 7 2 2" xfId="44285"/>
    <cellStyle name="Heading 2 2 6 2 2 4 7 3" xfId="44286"/>
    <cellStyle name="Heading 2 2 6 2 2 4 8" xfId="44287"/>
    <cellStyle name="Heading 2 2 6 2 2 4 8 2" xfId="44288"/>
    <cellStyle name="Heading 2 2 6 2 2 4 9" xfId="44289"/>
    <cellStyle name="Heading 2 2 6 2 2 5" xfId="44290"/>
    <cellStyle name="Heading 2 2 6 2 2 5 2" xfId="44291"/>
    <cellStyle name="Heading 2 2 6 2 2 5 2 2" xfId="44292"/>
    <cellStyle name="Heading 2 2 6 2 2 5 2 2 2" xfId="44293"/>
    <cellStyle name="Heading 2 2 6 2 2 5 2 3" xfId="44294"/>
    <cellStyle name="Heading 2 2 6 2 2 5 3" xfId="44295"/>
    <cellStyle name="Heading 2 2 6 2 2 5 3 2" xfId="44296"/>
    <cellStyle name="Heading 2 2 6 2 2 5 3 2 2" xfId="44297"/>
    <cellStyle name="Heading 2 2 6 2 2 5 3 3" xfId="44298"/>
    <cellStyle name="Heading 2 2 6 2 2 5 4" xfId="44299"/>
    <cellStyle name="Heading 2 2 6 2 2 5 4 2" xfId="44300"/>
    <cellStyle name="Heading 2 2 6 2 2 5 4 2 2" xfId="44301"/>
    <cellStyle name="Heading 2 2 6 2 2 5 4 3" xfId="44302"/>
    <cellStyle name="Heading 2 2 6 2 2 5 5" xfId="44303"/>
    <cellStyle name="Heading 2 2 6 2 2 5 5 2" xfId="44304"/>
    <cellStyle name="Heading 2 2 6 2 2 5 5 2 2" xfId="44305"/>
    <cellStyle name="Heading 2 2 6 2 2 5 5 3" xfId="44306"/>
    <cellStyle name="Heading 2 2 6 2 2 5 6" xfId="44307"/>
    <cellStyle name="Heading 2 2 6 2 2 5 6 2" xfId="44308"/>
    <cellStyle name="Heading 2 2 6 2 2 5 6 2 2" xfId="44309"/>
    <cellStyle name="Heading 2 2 6 2 2 5 6 3" xfId="44310"/>
    <cellStyle name="Heading 2 2 6 2 2 5 7" xfId="44311"/>
    <cellStyle name="Heading 2 2 6 2 2 5 7 2" xfId="44312"/>
    <cellStyle name="Heading 2 2 6 2 2 5 7 2 2" xfId="44313"/>
    <cellStyle name="Heading 2 2 6 2 2 5 7 3" xfId="44314"/>
    <cellStyle name="Heading 2 2 6 2 2 5 8" xfId="44315"/>
    <cellStyle name="Heading 2 2 6 2 2 5 8 2" xfId="44316"/>
    <cellStyle name="Heading 2 2 6 2 2 5 9" xfId="44317"/>
    <cellStyle name="Heading 2 2 6 2 2 6" xfId="44318"/>
    <cellStyle name="Heading 2 2 6 2 2 6 2" xfId="44319"/>
    <cellStyle name="Heading 2 2 6 2 2 6 2 2" xfId="44320"/>
    <cellStyle name="Heading 2 2 6 2 2 6 2 2 2" xfId="44321"/>
    <cellStyle name="Heading 2 2 6 2 2 6 2 3" xfId="44322"/>
    <cellStyle name="Heading 2 2 6 2 2 6 3" xfId="44323"/>
    <cellStyle name="Heading 2 2 6 2 2 6 3 2" xfId="44324"/>
    <cellStyle name="Heading 2 2 6 2 2 6 3 2 2" xfId="44325"/>
    <cellStyle name="Heading 2 2 6 2 2 6 3 3" xfId="44326"/>
    <cellStyle name="Heading 2 2 6 2 2 6 4" xfId="44327"/>
    <cellStyle name="Heading 2 2 6 2 2 6 4 2" xfId="44328"/>
    <cellStyle name="Heading 2 2 6 2 2 6 4 2 2" xfId="44329"/>
    <cellStyle name="Heading 2 2 6 2 2 6 4 3" xfId="44330"/>
    <cellStyle name="Heading 2 2 6 2 2 6 5" xfId="44331"/>
    <cellStyle name="Heading 2 2 6 2 2 6 5 2" xfId="44332"/>
    <cellStyle name="Heading 2 2 6 2 2 6 5 2 2" xfId="44333"/>
    <cellStyle name="Heading 2 2 6 2 2 6 5 3" xfId="44334"/>
    <cellStyle name="Heading 2 2 6 2 2 6 6" xfId="44335"/>
    <cellStyle name="Heading 2 2 6 2 2 6 6 2" xfId="44336"/>
    <cellStyle name="Heading 2 2 6 2 2 6 6 2 2" xfId="44337"/>
    <cellStyle name="Heading 2 2 6 2 2 6 6 3" xfId="44338"/>
    <cellStyle name="Heading 2 2 6 2 2 6 7" xfId="44339"/>
    <cellStyle name="Heading 2 2 6 2 2 6 7 2" xfId="44340"/>
    <cellStyle name="Heading 2 2 6 2 2 6 7 2 2" xfId="44341"/>
    <cellStyle name="Heading 2 2 6 2 2 6 7 3" xfId="44342"/>
    <cellStyle name="Heading 2 2 6 2 2 6 8" xfId="44343"/>
    <cellStyle name="Heading 2 2 6 2 2 6 8 2" xfId="44344"/>
    <cellStyle name="Heading 2 2 6 2 2 6 9" xfId="44345"/>
    <cellStyle name="Heading 2 2 6 2 2 7" xfId="44346"/>
    <cellStyle name="Heading 2 2 6 2 2 7 2" xfId="44347"/>
    <cellStyle name="Heading 2 2 6 2 2 7 2 2" xfId="44348"/>
    <cellStyle name="Heading 2 2 6 2 2 7 2 2 2" xfId="44349"/>
    <cellStyle name="Heading 2 2 6 2 2 7 2 3" xfId="44350"/>
    <cellStyle name="Heading 2 2 6 2 2 7 3" xfId="44351"/>
    <cellStyle name="Heading 2 2 6 2 2 7 3 2" xfId="44352"/>
    <cellStyle name="Heading 2 2 6 2 2 7 3 2 2" xfId="44353"/>
    <cellStyle name="Heading 2 2 6 2 2 7 3 3" xfId="44354"/>
    <cellStyle name="Heading 2 2 6 2 2 7 4" xfId="44355"/>
    <cellStyle name="Heading 2 2 6 2 2 7 4 2" xfId="44356"/>
    <cellStyle name="Heading 2 2 6 2 2 7 4 2 2" xfId="44357"/>
    <cellStyle name="Heading 2 2 6 2 2 7 4 3" xfId="44358"/>
    <cellStyle name="Heading 2 2 6 2 2 7 5" xfId="44359"/>
    <cellStyle name="Heading 2 2 6 2 2 7 5 2" xfId="44360"/>
    <cellStyle name="Heading 2 2 6 2 2 7 5 2 2" xfId="44361"/>
    <cellStyle name="Heading 2 2 6 2 2 7 5 3" xfId="44362"/>
    <cellStyle name="Heading 2 2 6 2 2 7 6" xfId="44363"/>
    <cellStyle name="Heading 2 2 6 2 2 7 6 2" xfId="44364"/>
    <cellStyle name="Heading 2 2 6 2 2 7 6 2 2" xfId="44365"/>
    <cellStyle name="Heading 2 2 6 2 2 7 6 3" xfId="44366"/>
    <cellStyle name="Heading 2 2 6 2 2 7 7" xfId="44367"/>
    <cellStyle name="Heading 2 2 6 2 2 7 7 2" xfId="44368"/>
    <cellStyle name="Heading 2 2 6 2 2 7 7 2 2" xfId="44369"/>
    <cellStyle name="Heading 2 2 6 2 2 7 7 3" xfId="44370"/>
    <cellStyle name="Heading 2 2 6 2 2 7 8" xfId="44371"/>
    <cellStyle name="Heading 2 2 6 2 2 7 8 2" xfId="44372"/>
    <cellStyle name="Heading 2 2 6 2 2 7 9" xfId="44373"/>
    <cellStyle name="Heading 2 2 6 2 2 8" xfId="44374"/>
    <cellStyle name="Heading 2 2 6 2 2 8 2" xfId="44375"/>
    <cellStyle name="Heading 2 2 6 2 2 8 2 2" xfId="44376"/>
    <cellStyle name="Heading 2 2 6 2 2 8 2 2 2" xfId="44377"/>
    <cellStyle name="Heading 2 2 6 2 2 8 2 3" xfId="44378"/>
    <cellStyle name="Heading 2 2 6 2 2 8 3" xfId="44379"/>
    <cellStyle name="Heading 2 2 6 2 2 8 3 2" xfId="44380"/>
    <cellStyle name="Heading 2 2 6 2 2 8 3 2 2" xfId="44381"/>
    <cellStyle name="Heading 2 2 6 2 2 8 3 3" xfId="44382"/>
    <cellStyle name="Heading 2 2 6 2 2 8 4" xfId="44383"/>
    <cellStyle name="Heading 2 2 6 2 2 8 4 2" xfId="44384"/>
    <cellStyle name="Heading 2 2 6 2 2 8 4 2 2" xfId="44385"/>
    <cellStyle name="Heading 2 2 6 2 2 8 4 3" xfId="44386"/>
    <cellStyle name="Heading 2 2 6 2 2 8 5" xfId="44387"/>
    <cellStyle name="Heading 2 2 6 2 2 8 5 2" xfId="44388"/>
    <cellStyle name="Heading 2 2 6 2 2 8 5 2 2" xfId="44389"/>
    <cellStyle name="Heading 2 2 6 2 2 8 5 3" xfId="44390"/>
    <cellStyle name="Heading 2 2 6 2 2 8 6" xfId="44391"/>
    <cellStyle name="Heading 2 2 6 2 2 8 6 2" xfId="44392"/>
    <cellStyle name="Heading 2 2 6 2 2 8 6 2 2" xfId="44393"/>
    <cellStyle name="Heading 2 2 6 2 2 8 6 3" xfId="44394"/>
    <cellStyle name="Heading 2 2 6 2 2 8 7" xfId="44395"/>
    <cellStyle name="Heading 2 2 6 2 2 8 7 2" xfId="44396"/>
    <cellStyle name="Heading 2 2 6 2 2 8 7 2 2" xfId="44397"/>
    <cellStyle name="Heading 2 2 6 2 2 8 7 3" xfId="44398"/>
    <cellStyle name="Heading 2 2 6 2 2 8 8" xfId="44399"/>
    <cellStyle name="Heading 2 2 6 2 2 8 8 2" xfId="44400"/>
    <cellStyle name="Heading 2 2 6 2 2 8 9" xfId="44401"/>
    <cellStyle name="Heading 2 2 6 2 2 9" xfId="44402"/>
    <cellStyle name="Heading 2 2 6 2 2 9 2" xfId="44403"/>
    <cellStyle name="Heading 2 2 6 2 2 9 2 2" xfId="44404"/>
    <cellStyle name="Heading 2 2 6 2 2 9 3" xfId="44405"/>
    <cellStyle name="Heading 2 2 6 2 20" xfId="44406"/>
    <cellStyle name="Heading 2 2 6 2 20 2" xfId="44407"/>
    <cellStyle name="Heading 2 2 6 2 21" xfId="44408"/>
    <cellStyle name="Heading 2 2 6 2 21 2" xfId="44409"/>
    <cellStyle name="Heading 2 2 6 2 22" xfId="44410"/>
    <cellStyle name="Heading 2 2 6 2 22 2" xfId="44411"/>
    <cellStyle name="Heading 2 2 6 2 23" xfId="44412"/>
    <cellStyle name="Heading 2 2 6 2 3" xfId="44413"/>
    <cellStyle name="Heading 2 2 6 2 3 2" xfId="44414"/>
    <cellStyle name="Heading 2 2 6 2 3 2 2" xfId="44415"/>
    <cellStyle name="Heading 2 2 6 2 3 2 2 2" xfId="44416"/>
    <cellStyle name="Heading 2 2 6 2 3 2 3" xfId="44417"/>
    <cellStyle name="Heading 2 2 6 2 3 3" xfId="44418"/>
    <cellStyle name="Heading 2 2 6 2 3 3 2" xfId="44419"/>
    <cellStyle name="Heading 2 2 6 2 3 3 2 2" xfId="44420"/>
    <cellStyle name="Heading 2 2 6 2 3 3 3" xfId="44421"/>
    <cellStyle name="Heading 2 2 6 2 3 4" xfId="44422"/>
    <cellStyle name="Heading 2 2 6 2 3 4 2" xfId="44423"/>
    <cellStyle name="Heading 2 2 6 2 3 4 2 2" xfId="44424"/>
    <cellStyle name="Heading 2 2 6 2 3 4 3" xfId="44425"/>
    <cellStyle name="Heading 2 2 6 2 3 5" xfId="44426"/>
    <cellStyle name="Heading 2 2 6 2 3 5 2" xfId="44427"/>
    <cellStyle name="Heading 2 2 6 2 3 5 2 2" xfId="44428"/>
    <cellStyle name="Heading 2 2 6 2 3 5 3" xfId="44429"/>
    <cellStyle name="Heading 2 2 6 2 3 6" xfId="44430"/>
    <cellStyle name="Heading 2 2 6 2 3 6 2" xfId="44431"/>
    <cellStyle name="Heading 2 2 6 2 3 6 2 2" xfId="44432"/>
    <cellStyle name="Heading 2 2 6 2 3 6 3" xfId="44433"/>
    <cellStyle name="Heading 2 2 6 2 3 7" xfId="44434"/>
    <cellStyle name="Heading 2 2 6 2 3 7 2" xfId="44435"/>
    <cellStyle name="Heading 2 2 6 2 3 7 2 2" xfId="44436"/>
    <cellStyle name="Heading 2 2 6 2 3 7 3" xfId="44437"/>
    <cellStyle name="Heading 2 2 6 2 3 8" xfId="44438"/>
    <cellStyle name="Heading 2 2 6 2 3 8 2" xfId="44439"/>
    <cellStyle name="Heading 2 2 6 2 3 9" xfId="44440"/>
    <cellStyle name="Heading 2 2 6 2 4" xfId="44441"/>
    <cellStyle name="Heading 2 2 6 2 4 2" xfId="44442"/>
    <cellStyle name="Heading 2 2 6 2 4 2 2" xfId="44443"/>
    <cellStyle name="Heading 2 2 6 2 4 2 2 2" xfId="44444"/>
    <cellStyle name="Heading 2 2 6 2 4 2 3" xfId="44445"/>
    <cellStyle name="Heading 2 2 6 2 4 3" xfId="44446"/>
    <cellStyle name="Heading 2 2 6 2 4 3 2" xfId="44447"/>
    <cellStyle name="Heading 2 2 6 2 4 3 2 2" xfId="44448"/>
    <cellStyle name="Heading 2 2 6 2 4 3 3" xfId="44449"/>
    <cellStyle name="Heading 2 2 6 2 4 4" xfId="44450"/>
    <cellStyle name="Heading 2 2 6 2 4 4 2" xfId="44451"/>
    <cellStyle name="Heading 2 2 6 2 4 4 2 2" xfId="44452"/>
    <cellStyle name="Heading 2 2 6 2 4 4 3" xfId="44453"/>
    <cellStyle name="Heading 2 2 6 2 4 5" xfId="44454"/>
    <cellStyle name="Heading 2 2 6 2 4 5 2" xfId="44455"/>
    <cellStyle name="Heading 2 2 6 2 4 5 2 2" xfId="44456"/>
    <cellStyle name="Heading 2 2 6 2 4 5 3" xfId="44457"/>
    <cellStyle name="Heading 2 2 6 2 4 6" xfId="44458"/>
    <cellStyle name="Heading 2 2 6 2 4 6 2" xfId="44459"/>
    <cellStyle name="Heading 2 2 6 2 4 6 2 2" xfId="44460"/>
    <cellStyle name="Heading 2 2 6 2 4 6 3" xfId="44461"/>
    <cellStyle name="Heading 2 2 6 2 4 7" xfId="44462"/>
    <cellStyle name="Heading 2 2 6 2 4 7 2" xfId="44463"/>
    <cellStyle name="Heading 2 2 6 2 4 7 2 2" xfId="44464"/>
    <cellStyle name="Heading 2 2 6 2 4 7 3" xfId="44465"/>
    <cellStyle name="Heading 2 2 6 2 4 8" xfId="44466"/>
    <cellStyle name="Heading 2 2 6 2 4 8 2" xfId="44467"/>
    <cellStyle name="Heading 2 2 6 2 4 9" xfId="44468"/>
    <cellStyle name="Heading 2 2 6 2 5" xfId="44469"/>
    <cellStyle name="Heading 2 2 6 2 5 2" xfId="44470"/>
    <cellStyle name="Heading 2 2 6 2 5 2 2" xfId="44471"/>
    <cellStyle name="Heading 2 2 6 2 5 2 2 2" xfId="44472"/>
    <cellStyle name="Heading 2 2 6 2 5 2 3" xfId="44473"/>
    <cellStyle name="Heading 2 2 6 2 5 3" xfId="44474"/>
    <cellStyle name="Heading 2 2 6 2 5 3 2" xfId="44475"/>
    <cellStyle name="Heading 2 2 6 2 5 3 2 2" xfId="44476"/>
    <cellStyle name="Heading 2 2 6 2 5 3 3" xfId="44477"/>
    <cellStyle name="Heading 2 2 6 2 5 4" xfId="44478"/>
    <cellStyle name="Heading 2 2 6 2 5 4 2" xfId="44479"/>
    <cellStyle name="Heading 2 2 6 2 5 4 2 2" xfId="44480"/>
    <cellStyle name="Heading 2 2 6 2 5 4 3" xfId="44481"/>
    <cellStyle name="Heading 2 2 6 2 5 5" xfId="44482"/>
    <cellStyle name="Heading 2 2 6 2 5 5 2" xfId="44483"/>
    <cellStyle name="Heading 2 2 6 2 5 5 2 2" xfId="44484"/>
    <cellStyle name="Heading 2 2 6 2 5 5 3" xfId="44485"/>
    <cellStyle name="Heading 2 2 6 2 5 6" xfId="44486"/>
    <cellStyle name="Heading 2 2 6 2 5 6 2" xfId="44487"/>
    <cellStyle name="Heading 2 2 6 2 5 6 2 2" xfId="44488"/>
    <cellStyle name="Heading 2 2 6 2 5 6 3" xfId="44489"/>
    <cellStyle name="Heading 2 2 6 2 5 7" xfId="44490"/>
    <cellStyle name="Heading 2 2 6 2 5 7 2" xfId="44491"/>
    <cellStyle name="Heading 2 2 6 2 5 7 2 2" xfId="44492"/>
    <cellStyle name="Heading 2 2 6 2 5 7 3" xfId="44493"/>
    <cellStyle name="Heading 2 2 6 2 5 8" xfId="44494"/>
    <cellStyle name="Heading 2 2 6 2 5 8 2" xfId="44495"/>
    <cellStyle name="Heading 2 2 6 2 5 9" xfId="44496"/>
    <cellStyle name="Heading 2 2 6 2 6" xfId="44497"/>
    <cellStyle name="Heading 2 2 6 2 6 2" xfId="44498"/>
    <cellStyle name="Heading 2 2 6 2 6 2 2" xfId="44499"/>
    <cellStyle name="Heading 2 2 6 2 6 2 2 2" xfId="44500"/>
    <cellStyle name="Heading 2 2 6 2 6 2 3" xfId="44501"/>
    <cellStyle name="Heading 2 2 6 2 6 3" xfId="44502"/>
    <cellStyle name="Heading 2 2 6 2 6 3 2" xfId="44503"/>
    <cellStyle name="Heading 2 2 6 2 6 3 2 2" xfId="44504"/>
    <cellStyle name="Heading 2 2 6 2 6 3 3" xfId="44505"/>
    <cellStyle name="Heading 2 2 6 2 6 4" xfId="44506"/>
    <cellStyle name="Heading 2 2 6 2 6 4 2" xfId="44507"/>
    <cellStyle name="Heading 2 2 6 2 6 4 2 2" xfId="44508"/>
    <cellStyle name="Heading 2 2 6 2 6 4 3" xfId="44509"/>
    <cellStyle name="Heading 2 2 6 2 6 5" xfId="44510"/>
    <cellStyle name="Heading 2 2 6 2 6 5 2" xfId="44511"/>
    <cellStyle name="Heading 2 2 6 2 6 5 2 2" xfId="44512"/>
    <cellStyle name="Heading 2 2 6 2 6 5 3" xfId="44513"/>
    <cellStyle name="Heading 2 2 6 2 6 6" xfId="44514"/>
    <cellStyle name="Heading 2 2 6 2 6 6 2" xfId="44515"/>
    <cellStyle name="Heading 2 2 6 2 6 6 2 2" xfId="44516"/>
    <cellStyle name="Heading 2 2 6 2 6 6 3" xfId="44517"/>
    <cellStyle name="Heading 2 2 6 2 6 7" xfId="44518"/>
    <cellStyle name="Heading 2 2 6 2 6 7 2" xfId="44519"/>
    <cellStyle name="Heading 2 2 6 2 6 7 2 2" xfId="44520"/>
    <cellStyle name="Heading 2 2 6 2 6 7 3" xfId="44521"/>
    <cellStyle name="Heading 2 2 6 2 6 8" xfId="44522"/>
    <cellStyle name="Heading 2 2 6 2 6 8 2" xfId="44523"/>
    <cellStyle name="Heading 2 2 6 2 6 9" xfId="44524"/>
    <cellStyle name="Heading 2 2 6 2 7" xfId="44525"/>
    <cellStyle name="Heading 2 2 6 2 7 2" xfId="44526"/>
    <cellStyle name="Heading 2 2 6 2 7 2 2" xfId="44527"/>
    <cellStyle name="Heading 2 2 6 2 7 2 2 2" xfId="44528"/>
    <cellStyle name="Heading 2 2 6 2 7 2 3" xfId="44529"/>
    <cellStyle name="Heading 2 2 6 2 7 3" xfId="44530"/>
    <cellStyle name="Heading 2 2 6 2 7 3 2" xfId="44531"/>
    <cellStyle name="Heading 2 2 6 2 7 3 2 2" xfId="44532"/>
    <cellStyle name="Heading 2 2 6 2 7 3 3" xfId="44533"/>
    <cellStyle name="Heading 2 2 6 2 7 4" xfId="44534"/>
    <cellStyle name="Heading 2 2 6 2 7 4 2" xfId="44535"/>
    <cellStyle name="Heading 2 2 6 2 7 4 2 2" xfId="44536"/>
    <cellStyle name="Heading 2 2 6 2 7 4 3" xfId="44537"/>
    <cellStyle name="Heading 2 2 6 2 7 5" xfId="44538"/>
    <cellStyle name="Heading 2 2 6 2 7 5 2" xfId="44539"/>
    <cellStyle name="Heading 2 2 6 2 7 5 2 2" xfId="44540"/>
    <cellStyle name="Heading 2 2 6 2 7 5 3" xfId="44541"/>
    <cellStyle name="Heading 2 2 6 2 7 6" xfId="44542"/>
    <cellStyle name="Heading 2 2 6 2 7 6 2" xfId="44543"/>
    <cellStyle name="Heading 2 2 6 2 7 6 2 2" xfId="44544"/>
    <cellStyle name="Heading 2 2 6 2 7 6 3" xfId="44545"/>
    <cellStyle name="Heading 2 2 6 2 7 7" xfId="44546"/>
    <cellStyle name="Heading 2 2 6 2 7 7 2" xfId="44547"/>
    <cellStyle name="Heading 2 2 6 2 7 7 2 2" xfId="44548"/>
    <cellStyle name="Heading 2 2 6 2 7 7 3" xfId="44549"/>
    <cellStyle name="Heading 2 2 6 2 7 8" xfId="44550"/>
    <cellStyle name="Heading 2 2 6 2 7 8 2" xfId="44551"/>
    <cellStyle name="Heading 2 2 6 2 7 9" xfId="44552"/>
    <cellStyle name="Heading 2 2 6 2 8" xfId="44553"/>
    <cellStyle name="Heading 2 2 6 2 8 2" xfId="44554"/>
    <cellStyle name="Heading 2 2 6 2 8 2 2" xfId="44555"/>
    <cellStyle name="Heading 2 2 6 2 8 2 2 2" xfId="44556"/>
    <cellStyle name="Heading 2 2 6 2 8 2 3" xfId="44557"/>
    <cellStyle name="Heading 2 2 6 2 8 3" xfId="44558"/>
    <cellStyle name="Heading 2 2 6 2 8 3 2" xfId="44559"/>
    <cellStyle name="Heading 2 2 6 2 8 3 2 2" xfId="44560"/>
    <cellStyle name="Heading 2 2 6 2 8 3 3" xfId="44561"/>
    <cellStyle name="Heading 2 2 6 2 8 4" xfId="44562"/>
    <cellStyle name="Heading 2 2 6 2 8 4 2" xfId="44563"/>
    <cellStyle name="Heading 2 2 6 2 8 4 2 2" xfId="44564"/>
    <cellStyle name="Heading 2 2 6 2 8 4 3" xfId="44565"/>
    <cellStyle name="Heading 2 2 6 2 8 5" xfId="44566"/>
    <cellStyle name="Heading 2 2 6 2 8 5 2" xfId="44567"/>
    <cellStyle name="Heading 2 2 6 2 8 5 2 2" xfId="44568"/>
    <cellStyle name="Heading 2 2 6 2 8 5 3" xfId="44569"/>
    <cellStyle name="Heading 2 2 6 2 8 6" xfId="44570"/>
    <cellStyle name="Heading 2 2 6 2 8 6 2" xfId="44571"/>
    <cellStyle name="Heading 2 2 6 2 8 6 2 2" xfId="44572"/>
    <cellStyle name="Heading 2 2 6 2 8 6 3" xfId="44573"/>
    <cellStyle name="Heading 2 2 6 2 8 7" xfId="44574"/>
    <cellStyle name="Heading 2 2 6 2 8 7 2" xfId="44575"/>
    <cellStyle name="Heading 2 2 6 2 8 7 2 2" xfId="44576"/>
    <cellStyle name="Heading 2 2 6 2 8 7 3" xfId="44577"/>
    <cellStyle name="Heading 2 2 6 2 8 8" xfId="44578"/>
    <cellStyle name="Heading 2 2 6 2 8 8 2" xfId="44579"/>
    <cellStyle name="Heading 2 2 6 2 8 9" xfId="44580"/>
    <cellStyle name="Heading 2 2 6 2 9" xfId="44581"/>
    <cellStyle name="Heading 2 2 6 2 9 2" xfId="44582"/>
    <cellStyle name="Heading 2 2 6 2 9 2 2" xfId="44583"/>
    <cellStyle name="Heading 2 2 6 2 9 2 2 2" xfId="44584"/>
    <cellStyle name="Heading 2 2 6 2 9 2 3" xfId="44585"/>
    <cellStyle name="Heading 2 2 6 2 9 3" xfId="44586"/>
    <cellStyle name="Heading 2 2 6 2 9 3 2" xfId="44587"/>
    <cellStyle name="Heading 2 2 6 2 9 3 2 2" xfId="44588"/>
    <cellStyle name="Heading 2 2 6 2 9 3 3" xfId="44589"/>
    <cellStyle name="Heading 2 2 6 2 9 4" xfId="44590"/>
    <cellStyle name="Heading 2 2 6 2 9 4 2" xfId="44591"/>
    <cellStyle name="Heading 2 2 6 2 9 4 2 2" xfId="44592"/>
    <cellStyle name="Heading 2 2 6 2 9 4 3" xfId="44593"/>
    <cellStyle name="Heading 2 2 6 2 9 5" xfId="44594"/>
    <cellStyle name="Heading 2 2 6 2 9 5 2" xfId="44595"/>
    <cellStyle name="Heading 2 2 6 2 9 5 2 2" xfId="44596"/>
    <cellStyle name="Heading 2 2 6 2 9 5 3" xfId="44597"/>
    <cellStyle name="Heading 2 2 6 2 9 6" xfId="44598"/>
    <cellStyle name="Heading 2 2 6 2 9 6 2" xfId="44599"/>
    <cellStyle name="Heading 2 2 6 2 9 6 2 2" xfId="44600"/>
    <cellStyle name="Heading 2 2 6 2 9 6 3" xfId="44601"/>
    <cellStyle name="Heading 2 2 6 2 9 7" xfId="44602"/>
    <cellStyle name="Heading 2 2 6 2 9 7 2" xfId="44603"/>
    <cellStyle name="Heading 2 2 6 2 9 7 2 2" xfId="44604"/>
    <cellStyle name="Heading 2 2 6 2 9 7 3" xfId="44605"/>
    <cellStyle name="Heading 2 2 6 2 9 8" xfId="44606"/>
    <cellStyle name="Heading 2 2 6 2 9 8 2" xfId="44607"/>
    <cellStyle name="Heading 2 2 6 2 9 9" xfId="44608"/>
    <cellStyle name="Heading 2 2 6 3" xfId="44609"/>
    <cellStyle name="Heading 2 2 6 3 10" xfId="44610"/>
    <cellStyle name="Heading 2 2 6 3 10 2" xfId="44611"/>
    <cellStyle name="Heading 2 2 6 3 10 2 2" xfId="44612"/>
    <cellStyle name="Heading 2 2 6 3 10 3" xfId="44613"/>
    <cellStyle name="Heading 2 2 6 3 11" xfId="44614"/>
    <cellStyle name="Heading 2 2 6 3 11 2" xfId="44615"/>
    <cellStyle name="Heading 2 2 6 3 11 2 2" xfId="44616"/>
    <cellStyle name="Heading 2 2 6 3 11 3" xfId="44617"/>
    <cellStyle name="Heading 2 2 6 3 12" xfId="44618"/>
    <cellStyle name="Heading 2 2 6 3 12 2" xfId="44619"/>
    <cellStyle name="Heading 2 2 6 3 12 2 2" xfId="44620"/>
    <cellStyle name="Heading 2 2 6 3 12 3" xfId="44621"/>
    <cellStyle name="Heading 2 2 6 3 13" xfId="44622"/>
    <cellStyle name="Heading 2 2 6 3 13 2" xfId="44623"/>
    <cellStyle name="Heading 2 2 6 3 13 2 2" xfId="44624"/>
    <cellStyle name="Heading 2 2 6 3 13 3" xfId="44625"/>
    <cellStyle name="Heading 2 2 6 3 14" xfId="44626"/>
    <cellStyle name="Heading 2 2 6 3 14 2" xfId="44627"/>
    <cellStyle name="Heading 2 2 6 3 14 2 2" xfId="44628"/>
    <cellStyle name="Heading 2 2 6 3 14 3" xfId="44629"/>
    <cellStyle name="Heading 2 2 6 3 15" xfId="44630"/>
    <cellStyle name="Heading 2 2 6 3 15 2" xfId="44631"/>
    <cellStyle name="Heading 2 2 6 3 15 2 2" xfId="44632"/>
    <cellStyle name="Heading 2 2 6 3 15 3" xfId="44633"/>
    <cellStyle name="Heading 2 2 6 3 16" xfId="44634"/>
    <cellStyle name="Heading 2 2 6 3 16 2" xfId="44635"/>
    <cellStyle name="Heading 2 2 6 3 16 2 2" xfId="44636"/>
    <cellStyle name="Heading 2 2 6 3 16 3" xfId="44637"/>
    <cellStyle name="Heading 2 2 6 3 17" xfId="44638"/>
    <cellStyle name="Heading 2 2 6 3 17 2" xfId="44639"/>
    <cellStyle name="Heading 2 2 6 3 17 2 2" xfId="44640"/>
    <cellStyle name="Heading 2 2 6 3 17 3" xfId="44641"/>
    <cellStyle name="Heading 2 2 6 3 18" xfId="44642"/>
    <cellStyle name="Heading 2 2 6 3 18 2" xfId="44643"/>
    <cellStyle name="Heading 2 2 6 3 18 2 2" xfId="44644"/>
    <cellStyle name="Heading 2 2 6 3 18 3" xfId="44645"/>
    <cellStyle name="Heading 2 2 6 3 19" xfId="44646"/>
    <cellStyle name="Heading 2 2 6 3 19 2" xfId="44647"/>
    <cellStyle name="Heading 2 2 6 3 2" xfId="44648"/>
    <cellStyle name="Heading 2 2 6 3 2 2" xfId="44649"/>
    <cellStyle name="Heading 2 2 6 3 2 2 2" xfId="44650"/>
    <cellStyle name="Heading 2 2 6 3 2 2 2 2" xfId="44651"/>
    <cellStyle name="Heading 2 2 6 3 2 2 3" xfId="44652"/>
    <cellStyle name="Heading 2 2 6 3 2 3" xfId="44653"/>
    <cellStyle name="Heading 2 2 6 3 2 3 2" xfId="44654"/>
    <cellStyle name="Heading 2 2 6 3 2 3 2 2" xfId="44655"/>
    <cellStyle name="Heading 2 2 6 3 2 3 3" xfId="44656"/>
    <cellStyle name="Heading 2 2 6 3 2 4" xfId="44657"/>
    <cellStyle name="Heading 2 2 6 3 2 4 2" xfId="44658"/>
    <cellStyle name="Heading 2 2 6 3 2 4 2 2" xfId="44659"/>
    <cellStyle name="Heading 2 2 6 3 2 4 3" xfId="44660"/>
    <cellStyle name="Heading 2 2 6 3 2 5" xfId="44661"/>
    <cellStyle name="Heading 2 2 6 3 2 5 2" xfId="44662"/>
    <cellStyle name="Heading 2 2 6 3 2 5 2 2" xfId="44663"/>
    <cellStyle name="Heading 2 2 6 3 2 5 3" xfId="44664"/>
    <cellStyle name="Heading 2 2 6 3 2 6" xfId="44665"/>
    <cellStyle name="Heading 2 2 6 3 2 6 2" xfId="44666"/>
    <cellStyle name="Heading 2 2 6 3 2 6 2 2" xfId="44667"/>
    <cellStyle name="Heading 2 2 6 3 2 6 3" xfId="44668"/>
    <cellStyle name="Heading 2 2 6 3 2 7" xfId="44669"/>
    <cellStyle name="Heading 2 2 6 3 2 7 2" xfId="44670"/>
    <cellStyle name="Heading 2 2 6 3 2 7 2 2" xfId="44671"/>
    <cellStyle name="Heading 2 2 6 3 2 7 3" xfId="44672"/>
    <cellStyle name="Heading 2 2 6 3 2 8" xfId="44673"/>
    <cellStyle name="Heading 2 2 6 3 2 8 2" xfId="44674"/>
    <cellStyle name="Heading 2 2 6 3 2 9" xfId="44675"/>
    <cellStyle name="Heading 2 2 6 3 20" xfId="44676"/>
    <cellStyle name="Heading 2 2 6 3 20 2" xfId="44677"/>
    <cellStyle name="Heading 2 2 6 3 21" xfId="44678"/>
    <cellStyle name="Heading 2 2 6 3 21 2" xfId="44679"/>
    <cellStyle name="Heading 2 2 6 3 22" xfId="44680"/>
    <cellStyle name="Heading 2 2 6 3 3" xfId="44681"/>
    <cellStyle name="Heading 2 2 6 3 3 2" xfId="44682"/>
    <cellStyle name="Heading 2 2 6 3 3 2 2" xfId="44683"/>
    <cellStyle name="Heading 2 2 6 3 3 2 2 2" xfId="44684"/>
    <cellStyle name="Heading 2 2 6 3 3 2 3" xfId="44685"/>
    <cellStyle name="Heading 2 2 6 3 3 3" xfId="44686"/>
    <cellStyle name="Heading 2 2 6 3 3 3 2" xfId="44687"/>
    <cellStyle name="Heading 2 2 6 3 3 3 2 2" xfId="44688"/>
    <cellStyle name="Heading 2 2 6 3 3 3 3" xfId="44689"/>
    <cellStyle name="Heading 2 2 6 3 3 4" xfId="44690"/>
    <cellStyle name="Heading 2 2 6 3 3 4 2" xfId="44691"/>
    <cellStyle name="Heading 2 2 6 3 3 4 2 2" xfId="44692"/>
    <cellStyle name="Heading 2 2 6 3 3 4 3" xfId="44693"/>
    <cellStyle name="Heading 2 2 6 3 3 5" xfId="44694"/>
    <cellStyle name="Heading 2 2 6 3 3 5 2" xfId="44695"/>
    <cellStyle name="Heading 2 2 6 3 3 5 2 2" xfId="44696"/>
    <cellStyle name="Heading 2 2 6 3 3 5 3" xfId="44697"/>
    <cellStyle name="Heading 2 2 6 3 3 6" xfId="44698"/>
    <cellStyle name="Heading 2 2 6 3 3 6 2" xfId="44699"/>
    <cellStyle name="Heading 2 2 6 3 3 6 2 2" xfId="44700"/>
    <cellStyle name="Heading 2 2 6 3 3 6 3" xfId="44701"/>
    <cellStyle name="Heading 2 2 6 3 3 7" xfId="44702"/>
    <cellStyle name="Heading 2 2 6 3 3 7 2" xfId="44703"/>
    <cellStyle name="Heading 2 2 6 3 3 7 2 2" xfId="44704"/>
    <cellStyle name="Heading 2 2 6 3 3 7 3" xfId="44705"/>
    <cellStyle name="Heading 2 2 6 3 3 8" xfId="44706"/>
    <cellStyle name="Heading 2 2 6 3 3 8 2" xfId="44707"/>
    <cellStyle name="Heading 2 2 6 3 3 9" xfId="44708"/>
    <cellStyle name="Heading 2 2 6 3 4" xfId="44709"/>
    <cellStyle name="Heading 2 2 6 3 4 2" xfId="44710"/>
    <cellStyle name="Heading 2 2 6 3 4 2 2" xfId="44711"/>
    <cellStyle name="Heading 2 2 6 3 4 2 2 2" xfId="44712"/>
    <cellStyle name="Heading 2 2 6 3 4 2 3" xfId="44713"/>
    <cellStyle name="Heading 2 2 6 3 4 3" xfId="44714"/>
    <cellStyle name="Heading 2 2 6 3 4 3 2" xfId="44715"/>
    <cellStyle name="Heading 2 2 6 3 4 3 2 2" xfId="44716"/>
    <cellStyle name="Heading 2 2 6 3 4 3 3" xfId="44717"/>
    <cellStyle name="Heading 2 2 6 3 4 4" xfId="44718"/>
    <cellStyle name="Heading 2 2 6 3 4 4 2" xfId="44719"/>
    <cellStyle name="Heading 2 2 6 3 4 4 2 2" xfId="44720"/>
    <cellStyle name="Heading 2 2 6 3 4 4 3" xfId="44721"/>
    <cellStyle name="Heading 2 2 6 3 4 5" xfId="44722"/>
    <cellStyle name="Heading 2 2 6 3 4 5 2" xfId="44723"/>
    <cellStyle name="Heading 2 2 6 3 4 5 2 2" xfId="44724"/>
    <cellStyle name="Heading 2 2 6 3 4 5 3" xfId="44725"/>
    <cellStyle name="Heading 2 2 6 3 4 6" xfId="44726"/>
    <cellStyle name="Heading 2 2 6 3 4 6 2" xfId="44727"/>
    <cellStyle name="Heading 2 2 6 3 4 6 2 2" xfId="44728"/>
    <cellStyle name="Heading 2 2 6 3 4 6 3" xfId="44729"/>
    <cellStyle name="Heading 2 2 6 3 4 7" xfId="44730"/>
    <cellStyle name="Heading 2 2 6 3 4 7 2" xfId="44731"/>
    <cellStyle name="Heading 2 2 6 3 4 7 2 2" xfId="44732"/>
    <cellStyle name="Heading 2 2 6 3 4 7 3" xfId="44733"/>
    <cellStyle name="Heading 2 2 6 3 4 8" xfId="44734"/>
    <cellStyle name="Heading 2 2 6 3 4 8 2" xfId="44735"/>
    <cellStyle name="Heading 2 2 6 3 4 9" xfId="44736"/>
    <cellStyle name="Heading 2 2 6 3 5" xfId="44737"/>
    <cellStyle name="Heading 2 2 6 3 5 2" xfId="44738"/>
    <cellStyle name="Heading 2 2 6 3 5 2 2" xfId="44739"/>
    <cellStyle name="Heading 2 2 6 3 5 2 2 2" xfId="44740"/>
    <cellStyle name="Heading 2 2 6 3 5 2 3" xfId="44741"/>
    <cellStyle name="Heading 2 2 6 3 5 3" xfId="44742"/>
    <cellStyle name="Heading 2 2 6 3 5 3 2" xfId="44743"/>
    <cellStyle name="Heading 2 2 6 3 5 3 2 2" xfId="44744"/>
    <cellStyle name="Heading 2 2 6 3 5 3 3" xfId="44745"/>
    <cellStyle name="Heading 2 2 6 3 5 4" xfId="44746"/>
    <cellStyle name="Heading 2 2 6 3 5 4 2" xfId="44747"/>
    <cellStyle name="Heading 2 2 6 3 5 4 2 2" xfId="44748"/>
    <cellStyle name="Heading 2 2 6 3 5 4 3" xfId="44749"/>
    <cellStyle name="Heading 2 2 6 3 5 5" xfId="44750"/>
    <cellStyle name="Heading 2 2 6 3 5 5 2" xfId="44751"/>
    <cellStyle name="Heading 2 2 6 3 5 5 2 2" xfId="44752"/>
    <cellStyle name="Heading 2 2 6 3 5 5 3" xfId="44753"/>
    <cellStyle name="Heading 2 2 6 3 5 6" xfId="44754"/>
    <cellStyle name="Heading 2 2 6 3 5 6 2" xfId="44755"/>
    <cellStyle name="Heading 2 2 6 3 5 6 2 2" xfId="44756"/>
    <cellStyle name="Heading 2 2 6 3 5 6 3" xfId="44757"/>
    <cellStyle name="Heading 2 2 6 3 5 7" xfId="44758"/>
    <cellStyle name="Heading 2 2 6 3 5 7 2" xfId="44759"/>
    <cellStyle name="Heading 2 2 6 3 5 7 2 2" xfId="44760"/>
    <cellStyle name="Heading 2 2 6 3 5 7 3" xfId="44761"/>
    <cellStyle name="Heading 2 2 6 3 5 8" xfId="44762"/>
    <cellStyle name="Heading 2 2 6 3 5 8 2" xfId="44763"/>
    <cellStyle name="Heading 2 2 6 3 5 9" xfId="44764"/>
    <cellStyle name="Heading 2 2 6 3 6" xfId="44765"/>
    <cellStyle name="Heading 2 2 6 3 6 2" xfId="44766"/>
    <cellStyle name="Heading 2 2 6 3 6 2 2" xfId="44767"/>
    <cellStyle name="Heading 2 2 6 3 6 2 2 2" xfId="44768"/>
    <cellStyle name="Heading 2 2 6 3 6 2 3" xfId="44769"/>
    <cellStyle name="Heading 2 2 6 3 6 3" xfId="44770"/>
    <cellStyle name="Heading 2 2 6 3 6 3 2" xfId="44771"/>
    <cellStyle name="Heading 2 2 6 3 6 3 2 2" xfId="44772"/>
    <cellStyle name="Heading 2 2 6 3 6 3 3" xfId="44773"/>
    <cellStyle name="Heading 2 2 6 3 6 4" xfId="44774"/>
    <cellStyle name="Heading 2 2 6 3 6 4 2" xfId="44775"/>
    <cellStyle name="Heading 2 2 6 3 6 4 2 2" xfId="44776"/>
    <cellStyle name="Heading 2 2 6 3 6 4 3" xfId="44777"/>
    <cellStyle name="Heading 2 2 6 3 6 5" xfId="44778"/>
    <cellStyle name="Heading 2 2 6 3 6 5 2" xfId="44779"/>
    <cellStyle name="Heading 2 2 6 3 6 5 2 2" xfId="44780"/>
    <cellStyle name="Heading 2 2 6 3 6 5 3" xfId="44781"/>
    <cellStyle name="Heading 2 2 6 3 6 6" xfId="44782"/>
    <cellStyle name="Heading 2 2 6 3 6 6 2" xfId="44783"/>
    <cellStyle name="Heading 2 2 6 3 6 6 2 2" xfId="44784"/>
    <cellStyle name="Heading 2 2 6 3 6 6 3" xfId="44785"/>
    <cellStyle name="Heading 2 2 6 3 6 7" xfId="44786"/>
    <cellStyle name="Heading 2 2 6 3 6 7 2" xfId="44787"/>
    <cellStyle name="Heading 2 2 6 3 6 7 2 2" xfId="44788"/>
    <cellStyle name="Heading 2 2 6 3 6 7 3" xfId="44789"/>
    <cellStyle name="Heading 2 2 6 3 6 8" xfId="44790"/>
    <cellStyle name="Heading 2 2 6 3 6 8 2" xfId="44791"/>
    <cellStyle name="Heading 2 2 6 3 6 9" xfId="44792"/>
    <cellStyle name="Heading 2 2 6 3 7" xfId="44793"/>
    <cellStyle name="Heading 2 2 6 3 7 2" xfId="44794"/>
    <cellStyle name="Heading 2 2 6 3 7 2 2" xfId="44795"/>
    <cellStyle name="Heading 2 2 6 3 7 2 2 2" xfId="44796"/>
    <cellStyle name="Heading 2 2 6 3 7 2 3" xfId="44797"/>
    <cellStyle name="Heading 2 2 6 3 7 3" xfId="44798"/>
    <cellStyle name="Heading 2 2 6 3 7 3 2" xfId="44799"/>
    <cellStyle name="Heading 2 2 6 3 7 3 2 2" xfId="44800"/>
    <cellStyle name="Heading 2 2 6 3 7 3 3" xfId="44801"/>
    <cellStyle name="Heading 2 2 6 3 7 4" xfId="44802"/>
    <cellStyle name="Heading 2 2 6 3 7 4 2" xfId="44803"/>
    <cellStyle name="Heading 2 2 6 3 7 4 2 2" xfId="44804"/>
    <cellStyle name="Heading 2 2 6 3 7 4 3" xfId="44805"/>
    <cellStyle name="Heading 2 2 6 3 7 5" xfId="44806"/>
    <cellStyle name="Heading 2 2 6 3 7 5 2" xfId="44807"/>
    <cellStyle name="Heading 2 2 6 3 7 5 2 2" xfId="44808"/>
    <cellStyle name="Heading 2 2 6 3 7 5 3" xfId="44809"/>
    <cellStyle name="Heading 2 2 6 3 7 6" xfId="44810"/>
    <cellStyle name="Heading 2 2 6 3 7 6 2" xfId="44811"/>
    <cellStyle name="Heading 2 2 6 3 7 6 2 2" xfId="44812"/>
    <cellStyle name="Heading 2 2 6 3 7 6 3" xfId="44813"/>
    <cellStyle name="Heading 2 2 6 3 7 7" xfId="44814"/>
    <cellStyle name="Heading 2 2 6 3 7 7 2" xfId="44815"/>
    <cellStyle name="Heading 2 2 6 3 7 7 2 2" xfId="44816"/>
    <cellStyle name="Heading 2 2 6 3 7 7 3" xfId="44817"/>
    <cellStyle name="Heading 2 2 6 3 7 8" xfId="44818"/>
    <cellStyle name="Heading 2 2 6 3 7 8 2" xfId="44819"/>
    <cellStyle name="Heading 2 2 6 3 7 9" xfId="44820"/>
    <cellStyle name="Heading 2 2 6 3 8" xfId="44821"/>
    <cellStyle name="Heading 2 2 6 3 8 2" xfId="44822"/>
    <cellStyle name="Heading 2 2 6 3 8 2 2" xfId="44823"/>
    <cellStyle name="Heading 2 2 6 3 8 2 2 2" xfId="44824"/>
    <cellStyle name="Heading 2 2 6 3 8 2 3" xfId="44825"/>
    <cellStyle name="Heading 2 2 6 3 8 3" xfId="44826"/>
    <cellStyle name="Heading 2 2 6 3 8 3 2" xfId="44827"/>
    <cellStyle name="Heading 2 2 6 3 8 3 2 2" xfId="44828"/>
    <cellStyle name="Heading 2 2 6 3 8 3 3" xfId="44829"/>
    <cellStyle name="Heading 2 2 6 3 8 4" xfId="44830"/>
    <cellStyle name="Heading 2 2 6 3 8 4 2" xfId="44831"/>
    <cellStyle name="Heading 2 2 6 3 8 4 2 2" xfId="44832"/>
    <cellStyle name="Heading 2 2 6 3 8 4 3" xfId="44833"/>
    <cellStyle name="Heading 2 2 6 3 8 5" xfId="44834"/>
    <cellStyle name="Heading 2 2 6 3 8 5 2" xfId="44835"/>
    <cellStyle name="Heading 2 2 6 3 8 5 2 2" xfId="44836"/>
    <cellStyle name="Heading 2 2 6 3 8 5 3" xfId="44837"/>
    <cellStyle name="Heading 2 2 6 3 8 6" xfId="44838"/>
    <cellStyle name="Heading 2 2 6 3 8 6 2" xfId="44839"/>
    <cellStyle name="Heading 2 2 6 3 8 6 2 2" xfId="44840"/>
    <cellStyle name="Heading 2 2 6 3 8 6 3" xfId="44841"/>
    <cellStyle name="Heading 2 2 6 3 8 7" xfId="44842"/>
    <cellStyle name="Heading 2 2 6 3 8 7 2" xfId="44843"/>
    <cellStyle name="Heading 2 2 6 3 8 7 2 2" xfId="44844"/>
    <cellStyle name="Heading 2 2 6 3 8 7 3" xfId="44845"/>
    <cellStyle name="Heading 2 2 6 3 8 8" xfId="44846"/>
    <cellStyle name="Heading 2 2 6 3 8 8 2" xfId="44847"/>
    <cellStyle name="Heading 2 2 6 3 8 9" xfId="44848"/>
    <cellStyle name="Heading 2 2 6 3 9" xfId="44849"/>
    <cellStyle name="Heading 2 2 6 3 9 2" xfId="44850"/>
    <cellStyle name="Heading 2 2 6 3 9 2 2" xfId="44851"/>
    <cellStyle name="Heading 2 2 6 3 9 3" xfId="44852"/>
    <cellStyle name="Heading 2 2 6 4" xfId="44853"/>
    <cellStyle name="Heading 2 2 6 4 2" xfId="44854"/>
    <cellStyle name="Heading 2 2 6 4 2 2" xfId="44855"/>
    <cellStyle name="Heading 2 2 6 4 3" xfId="44856"/>
    <cellStyle name="Heading 2 2 6 5" xfId="44857"/>
    <cellStyle name="Heading 2 2 6 5 2" xfId="44858"/>
    <cellStyle name="Heading 2 2 6 6" xfId="44859"/>
    <cellStyle name="Heading 2 2 7" xfId="44860"/>
    <cellStyle name="Heading 2 2 7 2" xfId="44861"/>
    <cellStyle name="Heading 2 2 7 2 10" xfId="44862"/>
    <cellStyle name="Heading 2 2 7 2 10 2" xfId="44863"/>
    <cellStyle name="Heading 2 2 7 2 10 2 2" xfId="44864"/>
    <cellStyle name="Heading 2 2 7 2 10 3" xfId="44865"/>
    <cellStyle name="Heading 2 2 7 2 11" xfId="44866"/>
    <cellStyle name="Heading 2 2 7 2 11 2" xfId="44867"/>
    <cellStyle name="Heading 2 2 7 2 11 2 2" xfId="44868"/>
    <cellStyle name="Heading 2 2 7 2 11 3" xfId="44869"/>
    <cellStyle name="Heading 2 2 7 2 12" xfId="44870"/>
    <cellStyle name="Heading 2 2 7 2 12 2" xfId="44871"/>
    <cellStyle name="Heading 2 2 7 2 12 2 2" xfId="44872"/>
    <cellStyle name="Heading 2 2 7 2 12 3" xfId="44873"/>
    <cellStyle name="Heading 2 2 7 2 13" xfId="44874"/>
    <cellStyle name="Heading 2 2 7 2 13 2" xfId="44875"/>
    <cellStyle name="Heading 2 2 7 2 13 2 2" xfId="44876"/>
    <cellStyle name="Heading 2 2 7 2 13 3" xfId="44877"/>
    <cellStyle name="Heading 2 2 7 2 14" xfId="44878"/>
    <cellStyle name="Heading 2 2 7 2 14 2" xfId="44879"/>
    <cellStyle name="Heading 2 2 7 2 14 2 2" xfId="44880"/>
    <cellStyle name="Heading 2 2 7 2 14 3" xfId="44881"/>
    <cellStyle name="Heading 2 2 7 2 15" xfId="44882"/>
    <cellStyle name="Heading 2 2 7 2 15 2" xfId="44883"/>
    <cellStyle name="Heading 2 2 7 2 15 2 2" xfId="44884"/>
    <cellStyle name="Heading 2 2 7 2 15 3" xfId="44885"/>
    <cellStyle name="Heading 2 2 7 2 16" xfId="44886"/>
    <cellStyle name="Heading 2 2 7 2 16 2" xfId="44887"/>
    <cellStyle name="Heading 2 2 7 2 16 2 2" xfId="44888"/>
    <cellStyle name="Heading 2 2 7 2 16 3" xfId="44889"/>
    <cellStyle name="Heading 2 2 7 2 17" xfId="44890"/>
    <cellStyle name="Heading 2 2 7 2 17 2" xfId="44891"/>
    <cellStyle name="Heading 2 2 7 2 17 2 2" xfId="44892"/>
    <cellStyle name="Heading 2 2 7 2 17 3" xfId="44893"/>
    <cellStyle name="Heading 2 2 7 2 18" xfId="44894"/>
    <cellStyle name="Heading 2 2 7 2 18 2" xfId="44895"/>
    <cellStyle name="Heading 2 2 7 2 18 2 2" xfId="44896"/>
    <cellStyle name="Heading 2 2 7 2 18 3" xfId="44897"/>
    <cellStyle name="Heading 2 2 7 2 19" xfId="44898"/>
    <cellStyle name="Heading 2 2 7 2 19 2" xfId="44899"/>
    <cellStyle name="Heading 2 2 7 2 19 2 2" xfId="44900"/>
    <cellStyle name="Heading 2 2 7 2 19 3" xfId="44901"/>
    <cellStyle name="Heading 2 2 7 2 2" xfId="44902"/>
    <cellStyle name="Heading 2 2 7 2 2 10" xfId="44903"/>
    <cellStyle name="Heading 2 2 7 2 2 10 2" xfId="44904"/>
    <cellStyle name="Heading 2 2 7 2 2 10 2 2" xfId="44905"/>
    <cellStyle name="Heading 2 2 7 2 2 10 3" xfId="44906"/>
    <cellStyle name="Heading 2 2 7 2 2 11" xfId="44907"/>
    <cellStyle name="Heading 2 2 7 2 2 11 2" xfId="44908"/>
    <cellStyle name="Heading 2 2 7 2 2 11 2 2" xfId="44909"/>
    <cellStyle name="Heading 2 2 7 2 2 11 3" xfId="44910"/>
    <cellStyle name="Heading 2 2 7 2 2 12" xfId="44911"/>
    <cellStyle name="Heading 2 2 7 2 2 12 2" xfId="44912"/>
    <cellStyle name="Heading 2 2 7 2 2 12 2 2" xfId="44913"/>
    <cellStyle name="Heading 2 2 7 2 2 12 3" xfId="44914"/>
    <cellStyle name="Heading 2 2 7 2 2 13" xfId="44915"/>
    <cellStyle name="Heading 2 2 7 2 2 13 2" xfId="44916"/>
    <cellStyle name="Heading 2 2 7 2 2 13 2 2" xfId="44917"/>
    <cellStyle name="Heading 2 2 7 2 2 13 3" xfId="44918"/>
    <cellStyle name="Heading 2 2 7 2 2 14" xfId="44919"/>
    <cellStyle name="Heading 2 2 7 2 2 14 2" xfId="44920"/>
    <cellStyle name="Heading 2 2 7 2 2 14 2 2" xfId="44921"/>
    <cellStyle name="Heading 2 2 7 2 2 14 3" xfId="44922"/>
    <cellStyle name="Heading 2 2 7 2 2 15" xfId="44923"/>
    <cellStyle name="Heading 2 2 7 2 2 15 2" xfId="44924"/>
    <cellStyle name="Heading 2 2 7 2 2 15 2 2" xfId="44925"/>
    <cellStyle name="Heading 2 2 7 2 2 15 3" xfId="44926"/>
    <cellStyle name="Heading 2 2 7 2 2 16" xfId="44927"/>
    <cellStyle name="Heading 2 2 7 2 2 16 2" xfId="44928"/>
    <cellStyle name="Heading 2 2 7 2 2 16 2 2" xfId="44929"/>
    <cellStyle name="Heading 2 2 7 2 2 16 3" xfId="44930"/>
    <cellStyle name="Heading 2 2 7 2 2 17" xfId="44931"/>
    <cellStyle name="Heading 2 2 7 2 2 17 2" xfId="44932"/>
    <cellStyle name="Heading 2 2 7 2 2 17 2 2" xfId="44933"/>
    <cellStyle name="Heading 2 2 7 2 2 17 3" xfId="44934"/>
    <cellStyle name="Heading 2 2 7 2 2 18" xfId="44935"/>
    <cellStyle name="Heading 2 2 7 2 2 18 2" xfId="44936"/>
    <cellStyle name="Heading 2 2 7 2 2 18 2 2" xfId="44937"/>
    <cellStyle name="Heading 2 2 7 2 2 18 3" xfId="44938"/>
    <cellStyle name="Heading 2 2 7 2 2 19" xfId="44939"/>
    <cellStyle name="Heading 2 2 7 2 2 19 2" xfId="44940"/>
    <cellStyle name="Heading 2 2 7 2 2 2" xfId="44941"/>
    <cellStyle name="Heading 2 2 7 2 2 2 2" xfId="44942"/>
    <cellStyle name="Heading 2 2 7 2 2 2 2 2" xfId="44943"/>
    <cellStyle name="Heading 2 2 7 2 2 2 2 2 2" xfId="44944"/>
    <cellStyle name="Heading 2 2 7 2 2 2 2 3" xfId="44945"/>
    <cellStyle name="Heading 2 2 7 2 2 2 3" xfId="44946"/>
    <cellStyle name="Heading 2 2 7 2 2 2 3 2" xfId="44947"/>
    <cellStyle name="Heading 2 2 7 2 2 2 3 2 2" xfId="44948"/>
    <cellStyle name="Heading 2 2 7 2 2 2 3 3" xfId="44949"/>
    <cellStyle name="Heading 2 2 7 2 2 2 4" xfId="44950"/>
    <cellStyle name="Heading 2 2 7 2 2 2 4 2" xfId="44951"/>
    <cellStyle name="Heading 2 2 7 2 2 2 4 2 2" xfId="44952"/>
    <cellStyle name="Heading 2 2 7 2 2 2 4 3" xfId="44953"/>
    <cellStyle name="Heading 2 2 7 2 2 2 5" xfId="44954"/>
    <cellStyle name="Heading 2 2 7 2 2 2 5 2" xfId="44955"/>
    <cellStyle name="Heading 2 2 7 2 2 2 5 2 2" xfId="44956"/>
    <cellStyle name="Heading 2 2 7 2 2 2 5 3" xfId="44957"/>
    <cellStyle name="Heading 2 2 7 2 2 2 6" xfId="44958"/>
    <cellStyle name="Heading 2 2 7 2 2 2 6 2" xfId="44959"/>
    <cellStyle name="Heading 2 2 7 2 2 2 6 2 2" xfId="44960"/>
    <cellStyle name="Heading 2 2 7 2 2 2 6 3" xfId="44961"/>
    <cellStyle name="Heading 2 2 7 2 2 2 7" xfId="44962"/>
    <cellStyle name="Heading 2 2 7 2 2 2 7 2" xfId="44963"/>
    <cellStyle name="Heading 2 2 7 2 2 2 7 2 2" xfId="44964"/>
    <cellStyle name="Heading 2 2 7 2 2 2 7 3" xfId="44965"/>
    <cellStyle name="Heading 2 2 7 2 2 2 8" xfId="44966"/>
    <cellStyle name="Heading 2 2 7 2 2 2 8 2" xfId="44967"/>
    <cellStyle name="Heading 2 2 7 2 2 2 9" xfId="44968"/>
    <cellStyle name="Heading 2 2 7 2 2 20" xfId="44969"/>
    <cellStyle name="Heading 2 2 7 2 2 20 2" xfId="44970"/>
    <cellStyle name="Heading 2 2 7 2 2 21" xfId="44971"/>
    <cellStyle name="Heading 2 2 7 2 2 21 2" xfId="44972"/>
    <cellStyle name="Heading 2 2 7 2 2 22" xfId="44973"/>
    <cellStyle name="Heading 2 2 7 2 2 3" xfId="44974"/>
    <cellStyle name="Heading 2 2 7 2 2 3 2" xfId="44975"/>
    <cellStyle name="Heading 2 2 7 2 2 3 2 2" xfId="44976"/>
    <cellStyle name="Heading 2 2 7 2 2 3 2 2 2" xfId="44977"/>
    <cellStyle name="Heading 2 2 7 2 2 3 2 3" xfId="44978"/>
    <cellStyle name="Heading 2 2 7 2 2 3 3" xfId="44979"/>
    <cellStyle name="Heading 2 2 7 2 2 3 3 2" xfId="44980"/>
    <cellStyle name="Heading 2 2 7 2 2 3 3 2 2" xfId="44981"/>
    <cellStyle name="Heading 2 2 7 2 2 3 3 3" xfId="44982"/>
    <cellStyle name="Heading 2 2 7 2 2 3 4" xfId="44983"/>
    <cellStyle name="Heading 2 2 7 2 2 3 4 2" xfId="44984"/>
    <cellStyle name="Heading 2 2 7 2 2 3 4 2 2" xfId="44985"/>
    <cellStyle name="Heading 2 2 7 2 2 3 4 3" xfId="44986"/>
    <cellStyle name="Heading 2 2 7 2 2 3 5" xfId="44987"/>
    <cellStyle name="Heading 2 2 7 2 2 3 5 2" xfId="44988"/>
    <cellStyle name="Heading 2 2 7 2 2 3 5 2 2" xfId="44989"/>
    <cellStyle name="Heading 2 2 7 2 2 3 5 3" xfId="44990"/>
    <cellStyle name="Heading 2 2 7 2 2 3 6" xfId="44991"/>
    <cellStyle name="Heading 2 2 7 2 2 3 6 2" xfId="44992"/>
    <cellStyle name="Heading 2 2 7 2 2 3 6 2 2" xfId="44993"/>
    <cellStyle name="Heading 2 2 7 2 2 3 6 3" xfId="44994"/>
    <cellStyle name="Heading 2 2 7 2 2 3 7" xfId="44995"/>
    <cellStyle name="Heading 2 2 7 2 2 3 7 2" xfId="44996"/>
    <cellStyle name="Heading 2 2 7 2 2 3 7 2 2" xfId="44997"/>
    <cellStyle name="Heading 2 2 7 2 2 3 7 3" xfId="44998"/>
    <cellStyle name="Heading 2 2 7 2 2 3 8" xfId="44999"/>
    <cellStyle name="Heading 2 2 7 2 2 3 8 2" xfId="45000"/>
    <cellStyle name="Heading 2 2 7 2 2 3 9" xfId="45001"/>
    <cellStyle name="Heading 2 2 7 2 2 4" xfId="45002"/>
    <cellStyle name="Heading 2 2 7 2 2 4 2" xfId="45003"/>
    <cellStyle name="Heading 2 2 7 2 2 4 2 2" xfId="45004"/>
    <cellStyle name="Heading 2 2 7 2 2 4 2 2 2" xfId="45005"/>
    <cellStyle name="Heading 2 2 7 2 2 4 2 3" xfId="45006"/>
    <cellStyle name="Heading 2 2 7 2 2 4 3" xfId="45007"/>
    <cellStyle name="Heading 2 2 7 2 2 4 3 2" xfId="45008"/>
    <cellStyle name="Heading 2 2 7 2 2 4 3 2 2" xfId="45009"/>
    <cellStyle name="Heading 2 2 7 2 2 4 3 3" xfId="45010"/>
    <cellStyle name="Heading 2 2 7 2 2 4 4" xfId="45011"/>
    <cellStyle name="Heading 2 2 7 2 2 4 4 2" xfId="45012"/>
    <cellStyle name="Heading 2 2 7 2 2 4 4 2 2" xfId="45013"/>
    <cellStyle name="Heading 2 2 7 2 2 4 4 3" xfId="45014"/>
    <cellStyle name="Heading 2 2 7 2 2 4 5" xfId="45015"/>
    <cellStyle name="Heading 2 2 7 2 2 4 5 2" xfId="45016"/>
    <cellStyle name="Heading 2 2 7 2 2 4 5 2 2" xfId="45017"/>
    <cellStyle name="Heading 2 2 7 2 2 4 5 3" xfId="45018"/>
    <cellStyle name="Heading 2 2 7 2 2 4 6" xfId="45019"/>
    <cellStyle name="Heading 2 2 7 2 2 4 6 2" xfId="45020"/>
    <cellStyle name="Heading 2 2 7 2 2 4 6 2 2" xfId="45021"/>
    <cellStyle name="Heading 2 2 7 2 2 4 6 3" xfId="45022"/>
    <cellStyle name="Heading 2 2 7 2 2 4 7" xfId="45023"/>
    <cellStyle name="Heading 2 2 7 2 2 4 7 2" xfId="45024"/>
    <cellStyle name="Heading 2 2 7 2 2 4 7 2 2" xfId="45025"/>
    <cellStyle name="Heading 2 2 7 2 2 4 7 3" xfId="45026"/>
    <cellStyle name="Heading 2 2 7 2 2 4 8" xfId="45027"/>
    <cellStyle name="Heading 2 2 7 2 2 4 8 2" xfId="45028"/>
    <cellStyle name="Heading 2 2 7 2 2 4 9" xfId="45029"/>
    <cellStyle name="Heading 2 2 7 2 2 5" xfId="45030"/>
    <cellStyle name="Heading 2 2 7 2 2 5 2" xfId="45031"/>
    <cellStyle name="Heading 2 2 7 2 2 5 2 2" xfId="45032"/>
    <cellStyle name="Heading 2 2 7 2 2 5 2 2 2" xfId="45033"/>
    <cellStyle name="Heading 2 2 7 2 2 5 2 3" xfId="45034"/>
    <cellStyle name="Heading 2 2 7 2 2 5 3" xfId="45035"/>
    <cellStyle name="Heading 2 2 7 2 2 5 3 2" xfId="45036"/>
    <cellStyle name="Heading 2 2 7 2 2 5 3 2 2" xfId="45037"/>
    <cellStyle name="Heading 2 2 7 2 2 5 3 3" xfId="45038"/>
    <cellStyle name="Heading 2 2 7 2 2 5 4" xfId="45039"/>
    <cellStyle name="Heading 2 2 7 2 2 5 4 2" xfId="45040"/>
    <cellStyle name="Heading 2 2 7 2 2 5 4 2 2" xfId="45041"/>
    <cellStyle name="Heading 2 2 7 2 2 5 4 3" xfId="45042"/>
    <cellStyle name="Heading 2 2 7 2 2 5 5" xfId="45043"/>
    <cellStyle name="Heading 2 2 7 2 2 5 5 2" xfId="45044"/>
    <cellStyle name="Heading 2 2 7 2 2 5 5 2 2" xfId="45045"/>
    <cellStyle name="Heading 2 2 7 2 2 5 5 3" xfId="45046"/>
    <cellStyle name="Heading 2 2 7 2 2 5 6" xfId="45047"/>
    <cellStyle name="Heading 2 2 7 2 2 5 6 2" xfId="45048"/>
    <cellStyle name="Heading 2 2 7 2 2 5 6 2 2" xfId="45049"/>
    <cellStyle name="Heading 2 2 7 2 2 5 6 3" xfId="45050"/>
    <cellStyle name="Heading 2 2 7 2 2 5 7" xfId="45051"/>
    <cellStyle name="Heading 2 2 7 2 2 5 7 2" xfId="45052"/>
    <cellStyle name="Heading 2 2 7 2 2 5 7 2 2" xfId="45053"/>
    <cellStyle name="Heading 2 2 7 2 2 5 7 3" xfId="45054"/>
    <cellStyle name="Heading 2 2 7 2 2 5 8" xfId="45055"/>
    <cellStyle name="Heading 2 2 7 2 2 5 8 2" xfId="45056"/>
    <cellStyle name="Heading 2 2 7 2 2 5 9" xfId="45057"/>
    <cellStyle name="Heading 2 2 7 2 2 6" xfId="45058"/>
    <cellStyle name="Heading 2 2 7 2 2 6 2" xfId="45059"/>
    <cellStyle name="Heading 2 2 7 2 2 6 2 2" xfId="45060"/>
    <cellStyle name="Heading 2 2 7 2 2 6 2 2 2" xfId="45061"/>
    <cellStyle name="Heading 2 2 7 2 2 6 2 3" xfId="45062"/>
    <cellStyle name="Heading 2 2 7 2 2 6 3" xfId="45063"/>
    <cellStyle name="Heading 2 2 7 2 2 6 3 2" xfId="45064"/>
    <cellStyle name="Heading 2 2 7 2 2 6 3 2 2" xfId="45065"/>
    <cellStyle name="Heading 2 2 7 2 2 6 3 3" xfId="45066"/>
    <cellStyle name="Heading 2 2 7 2 2 6 4" xfId="45067"/>
    <cellStyle name="Heading 2 2 7 2 2 6 4 2" xfId="45068"/>
    <cellStyle name="Heading 2 2 7 2 2 6 4 2 2" xfId="45069"/>
    <cellStyle name="Heading 2 2 7 2 2 6 4 3" xfId="45070"/>
    <cellStyle name="Heading 2 2 7 2 2 6 5" xfId="45071"/>
    <cellStyle name="Heading 2 2 7 2 2 6 5 2" xfId="45072"/>
    <cellStyle name="Heading 2 2 7 2 2 6 5 2 2" xfId="45073"/>
    <cellStyle name="Heading 2 2 7 2 2 6 5 3" xfId="45074"/>
    <cellStyle name="Heading 2 2 7 2 2 6 6" xfId="45075"/>
    <cellStyle name="Heading 2 2 7 2 2 6 6 2" xfId="45076"/>
    <cellStyle name="Heading 2 2 7 2 2 6 6 2 2" xfId="45077"/>
    <cellStyle name="Heading 2 2 7 2 2 6 6 3" xfId="45078"/>
    <cellStyle name="Heading 2 2 7 2 2 6 7" xfId="45079"/>
    <cellStyle name="Heading 2 2 7 2 2 6 7 2" xfId="45080"/>
    <cellStyle name="Heading 2 2 7 2 2 6 7 2 2" xfId="45081"/>
    <cellStyle name="Heading 2 2 7 2 2 6 7 3" xfId="45082"/>
    <cellStyle name="Heading 2 2 7 2 2 6 8" xfId="45083"/>
    <cellStyle name="Heading 2 2 7 2 2 6 8 2" xfId="45084"/>
    <cellStyle name="Heading 2 2 7 2 2 6 9" xfId="45085"/>
    <cellStyle name="Heading 2 2 7 2 2 7" xfId="45086"/>
    <cellStyle name="Heading 2 2 7 2 2 7 2" xfId="45087"/>
    <cellStyle name="Heading 2 2 7 2 2 7 2 2" xfId="45088"/>
    <cellStyle name="Heading 2 2 7 2 2 7 2 2 2" xfId="45089"/>
    <cellStyle name="Heading 2 2 7 2 2 7 2 3" xfId="45090"/>
    <cellStyle name="Heading 2 2 7 2 2 7 3" xfId="45091"/>
    <cellStyle name="Heading 2 2 7 2 2 7 3 2" xfId="45092"/>
    <cellStyle name="Heading 2 2 7 2 2 7 3 2 2" xfId="45093"/>
    <cellStyle name="Heading 2 2 7 2 2 7 3 3" xfId="45094"/>
    <cellStyle name="Heading 2 2 7 2 2 7 4" xfId="45095"/>
    <cellStyle name="Heading 2 2 7 2 2 7 4 2" xfId="45096"/>
    <cellStyle name="Heading 2 2 7 2 2 7 4 2 2" xfId="45097"/>
    <cellStyle name="Heading 2 2 7 2 2 7 4 3" xfId="45098"/>
    <cellStyle name="Heading 2 2 7 2 2 7 5" xfId="45099"/>
    <cellStyle name="Heading 2 2 7 2 2 7 5 2" xfId="45100"/>
    <cellStyle name="Heading 2 2 7 2 2 7 5 2 2" xfId="45101"/>
    <cellStyle name="Heading 2 2 7 2 2 7 5 3" xfId="45102"/>
    <cellStyle name="Heading 2 2 7 2 2 7 6" xfId="45103"/>
    <cellStyle name="Heading 2 2 7 2 2 7 6 2" xfId="45104"/>
    <cellStyle name="Heading 2 2 7 2 2 7 6 2 2" xfId="45105"/>
    <cellStyle name="Heading 2 2 7 2 2 7 6 3" xfId="45106"/>
    <cellStyle name="Heading 2 2 7 2 2 7 7" xfId="45107"/>
    <cellStyle name="Heading 2 2 7 2 2 7 7 2" xfId="45108"/>
    <cellStyle name="Heading 2 2 7 2 2 7 7 2 2" xfId="45109"/>
    <cellStyle name="Heading 2 2 7 2 2 7 7 3" xfId="45110"/>
    <cellStyle name="Heading 2 2 7 2 2 7 8" xfId="45111"/>
    <cellStyle name="Heading 2 2 7 2 2 7 8 2" xfId="45112"/>
    <cellStyle name="Heading 2 2 7 2 2 7 9" xfId="45113"/>
    <cellStyle name="Heading 2 2 7 2 2 8" xfId="45114"/>
    <cellStyle name="Heading 2 2 7 2 2 8 2" xfId="45115"/>
    <cellStyle name="Heading 2 2 7 2 2 8 2 2" xfId="45116"/>
    <cellStyle name="Heading 2 2 7 2 2 8 2 2 2" xfId="45117"/>
    <cellStyle name="Heading 2 2 7 2 2 8 2 3" xfId="45118"/>
    <cellStyle name="Heading 2 2 7 2 2 8 3" xfId="45119"/>
    <cellStyle name="Heading 2 2 7 2 2 8 3 2" xfId="45120"/>
    <cellStyle name="Heading 2 2 7 2 2 8 3 2 2" xfId="45121"/>
    <cellStyle name="Heading 2 2 7 2 2 8 3 3" xfId="45122"/>
    <cellStyle name="Heading 2 2 7 2 2 8 4" xfId="45123"/>
    <cellStyle name="Heading 2 2 7 2 2 8 4 2" xfId="45124"/>
    <cellStyle name="Heading 2 2 7 2 2 8 4 2 2" xfId="45125"/>
    <cellStyle name="Heading 2 2 7 2 2 8 4 3" xfId="45126"/>
    <cellStyle name="Heading 2 2 7 2 2 8 5" xfId="45127"/>
    <cellStyle name="Heading 2 2 7 2 2 8 5 2" xfId="45128"/>
    <cellStyle name="Heading 2 2 7 2 2 8 5 2 2" xfId="45129"/>
    <cellStyle name="Heading 2 2 7 2 2 8 5 3" xfId="45130"/>
    <cellStyle name="Heading 2 2 7 2 2 8 6" xfId="45131"/>
    <cellStyle name="Heading 2 2 7 2 2 8 6 2" xfId="45132"/>
    <cellStyle name="Heading 2 2 7 2 2 8 6 2 2" xfId="45133"/>
    <cellStyle name="Heading 2 2 7 2 2 8 6 3" xfId="45134"/>
    <cellStyle name="Heading 2 2 7 2 2 8 7" xfId="45135"/>
    <cellStyle name="Heading 2 2 7 2 2 8 7 2" xfId="45136"/>
    <cellStyle name="Heading 2 2 7 2 2 8 7 2 2" xfId="45137"/>
    <cellStyle name="Heading 2 2 7 2 2 8 7 3" xfId="45138"/>
    <cellStyle name="Heading 2 2 7 2 2 8 8" xfId="45139"/>
    <cellStyle name="Heading 2 2 7 2 2 8 8 2" xfId="45140"/>
    <cellStyle name="Heading 2 2 7 2 2 8 9" xfId="45141"/>
    <cellStyle name="Heading 2 2 7 2 2 9" xfId="45142"/>
    <cellStyle name="Heading 2 2 7 2 2 9 2" xfId="45143"/>
    <cellStyle name="Heading 2 2 7 2 2 9 2 2" xfId="45144"/>
    <cellStyle name="Heading 2 2 7 2 2 9 3" xfId="45145"/>
    <cellStyle name="Heading 2 2 7 2 20" xfId="45146"/>
    <cellStyle name="Heading 2 2 7 2 20 2" xfId="45147"/>
    <cellStyle name="Heading 2 2 7 2 21" xfId="45148"/>
    <cellStyle name="Heading 2 2 7 2 21 2" xfId="45149"/>
    <cellStyle name="Heading 2 2 7 2 22" xfId="45150"/>
    <cellStyle name="Heading 2 2 7 2 22 2" xfId="45151"/>
    <cellStyle name="Heading 2 2 7 2 23" xfId="45152"/>
    <cellStyle name="Heading 2 2 7 2 3" xfId="45153"/>
    <cellStyle name="Heading 2 2 7 2 3 2" xfId="45154"/>
    <cellStyle name="Heading 2 2 7 2 3 2 2" xfId="45155"/>
    <cellStyle name="Heading 2 2 7 2 3 2 2 2" xfId="45156"/>
    <cellStyle name="Heading 2 2 7 2 3 2 3" xfId="45157"/>
    <cellStyle name="Heading 2 2 7 2 3 3" xfId="45158"/>
    <cellStyle name="Heading 2 2 7 2 3 3 2" xfId="45159"/>
    <cellStyle name="Heading 2 2 7 2 3 3 2 2" xfId="45160"/>
    <cellStyle name="Heading 2 2 7 2 3 3 3" xfId="45161"/>
    <cellStyle name="Heading 2 2 7 2 3 4" xfId="45162"/>
    <cellStyle name="Heading 2 2 7 2 3 4 2" xfId="45163"/>
    <cellStyle name="Heading 2 2 7 2 3 4 2 2" xfId="45164"/>
    <cellStyle name="Heading 2 2 7 2 3 4 3" xfId="45165"/>
    <cellStyle name="Heading 2 2 7 2 3 5" xfId="45166"/>
    <cellStyle name="Heading 2 2 7 2 3 5 2" xfId="45167"/>
    <cellStyle name="Heading 2 2 7 2 3 5 2 2" xfId="45168"/>
    <cellStyle name="Heading 2 2 7 2 3 5 3" xfId="45169"/>
    <cellStyle name="Heading 2 2 7 2 3 6" xfId="45170"/>
    <cellStyle name="Heading 2 2 7 2 3 6 2" xfId="45171"/>
    <cellStyle name="Heading 2 2 7 2 3 6 2 2" xfId="45172"/>
    <cellStyle name="Heading 2 2 7 2 3 6 3" xfId="45173"/>
    <cellStyle name="Heading 2 2 7 2 3 7" xfId="45174"/>
    <cellStyle name="Heading 2 2 7 2 3 7 2" xfId="45175"/>
    <cellStyle name="Heading 2 2 7 2 3 7 2 2" xfId="45176"/>
    <cellStyle name="Heading 2 2 7 2 3 7 3" xfId="45177"/>
    <cellStyle name="Heading 2 2 7 2 3 8" xfId="45178"/>
    <cellStyle name="Heading 2 2 7 2 3 8 2" xfId="45179"/>
    <cellStyle name="Heading 2 2 7 2 3 9" xfId="45180"/>
    <cellStyle name="Heading 2 2 7 2 4" xfId="45181"/>
    <cellStyle name="Heading 2 2 7 2 4 2" xfId="45182"/>
    <cellStyle name="Heading 2 2 7 2 4 2 2" xfId="45183"/>
    <cellStyle name="Heading 2 2 7 2 4 2 2 2" xfId="45184"/>
    <cellStyle name="Heading 2 2 7 2 4 2 3" xfId="45185"/>
    <cellStyle name="Heading 2 2 7 2 4 3" xfId="45186"/>
    <cellStyle name="Heading 2 2 7 2 4 3 2" xfId="45187"/>
    <cellStyle name="Heading 2 2 7 2 4 3 2 2" xfId="45188"/>
    <cellStyle name="Heading 2 2 7 2 4 3 3" xfId="45189"/>
    <cellStyle name="Heading 2 2 7 2 4 4" xfId="45190"/>
    <cellStyle name="Heading 2 2 7 2 4 4 2" xfId="45191"/>
    <cellStyle name="Heading 2 2 7 2 4 4 2 2" xfId="45192"/>
    <cellStyle name="Heading 2 2 7 2 4 4 3" xfId="45193"/>
    <cellStyle name="Heading 2 2 7 2 4 5" xfId="45194"/>
    <cellStyle name="Heading 2 2 7 2 4 5 2" xfId="45195"/>
    <cellStyle name="Heading 2 2 7 2 4 5 2 2" xfId="45196"/>
    <cellStyle name="Heading 2 2 7 2 4 5 3" xfId="45197"/>
    <cellStyle name="Heading 2 2 7 2 4 6" xfId="45198"/>
    <cellStyle name="Heading 2 2 7 2 4 6 2" xfId="45199"/>
    <cellStyle name="Heading 2 2 7 2 4 6 2 2" xfId="45200"/>
    <cellStyle name="Heading 2 2 7 2 4 6 3" xfId="45201"/>
    <cellStyle name="Heading 2 2 7 2 4 7" xfId="45202"/>
    <cellStyle name="Heading 2 2 7 2 4 7 2" xfId="45203"/>
    <cellStyle name="Heading 2 2 7 2 4 7 2 2" xfId="45204"/>
    <cellStyle name="Heading 2 2 7 2 4 7 3" xfId="45205"/>
    <cellStyle name="Heading 2 2 7 2 4 8" xfId="45206"/>
    <cellStyle name="Heading 2 2 7 2 4 8 2" xfId="45207"/>
    <cellStyle name="Heading 2 2 7 2 4 9" xfId="45208"/>
    <cellStyle name="Heading 2 2 7 2 5" xfId="45209"/>
    <cellStyle name="Heading 2 2 7 2 5 2" xfId="45210"/>
    <cellStyle name="Heading 2 2 7 2 5 2 2" xfId="45211"/>
    <cellStyle name="Heading 2 2 7 2 5 2 2 2" xfId="45212"/>
    <cellStyle name="Heading 2 2 7 2 5 2 3" xfId="45213"/>
    <cellStyle name="Heading 2 2 7 2 5 3" xfId="45214"/>
    <cellStyle name="Heading 2 2 7 2 5 3 2" xfId="45215"/>
    <cellStyle name="Heading 2 2 7 2 5 3 2 2" xfId="45216"/>
    <cellStyle name="Heading 2 2 7 2 5 3 3" xfId="45217"/>
    <cellStyle name="Heading 2 2 7 2 5 4" xfId="45218"/>
    <cellStyle name="Heading 2 2 7 2 5 4 2" xfId="45219"/>
    <cellStyle name="Heading 2 2 7 2 5 4 2 2" xfId="45220"/>
    <cellStyle name="Heading 2 2 7 2 5 4 3" xfId="45221"/>
    <cellStyle name="Heading 2 2 7 2 5 5" xfId="45222"/>
    <cellStyle name="Heading 2 2 7 2 5 5 2" xfId="45223"/>
    <cellStyle name="Heading 2 2 7 2 5 5 2 2" xfId="45224"/>
    <cellStyle name="Heading 2 2 7 2 5 5 3" xfId="45225"/>
    <cellStyle name="Heading 2 2 7 2 5 6" xfId="45226"/>
    <cellStyle name="Heading 2 2 7 2 5 6 2" xfId="45227"/>
    <cellStyle name="Heading 2 2 7 2 5 6 2 2" xfId="45228"/>
    <cellStyle name="Heading 2 2 7 2 5 6 3" xfId="45229"/>
    <cellStyle name="Heading 2 2 7 2 5 7" xfId="45230"/>
    <cellStyle name="Heading 2 2 7 2 5 7 2" xfId="45231"/>
    <cellStyle name="Heading 2 2 7 2 5 7 2 2" xfId="45232"/>
    <cellStyle name="Heading 2 2 7 2 5 7 3" xfId="45233"/>
    <cellStyle name="Heading 2 2 7 2 5 8" xfId="45234"/>
    <cellStyle name="Heading 2 2 7 2 5 8 2" xfId="45235"/>
    <cellStyle name="Heading 2 2 7 2 5 9" xfId="45236"/>
    <cellStyle name="Heading 2 2 7 2 6" xfId="45237"/>
    <cellStyle name="Heading 2 2 7 2 6 2" xfId="45238"/>
    <cellStyle name="Heading 2 2 7 2 6 2 2" xfId="45239"/>
    <cellStyle name="Heading 2 2 7 2 6 2 2 2" xfId="45240"/>
    <cellStyle name="Heading 2 2 7 2 6 2 3" xfId="45241"/>
    <cellStyle name="Heading 2 2 7 2 6 3" xfId="45242"/>
    <cellStyle name="Heading 2 2 7 2 6 3 2" xfId="45243"/>
    <cellStyle name="Heading 2 2 7 2 6 3 2 2" xfId="45244"/>
    <cellStyle name="Heading 2 2 7 2 6 3 3" xfId="45245"/>
    <cellStyle name="Heading 2 2 7 2 6 4" xfId="45246"/>
    <cellStyle name="Heading 2 2 7 2 6 4 2" xfId="45247"/>
    <cellStyle name="Heading 2 2 7 2 6 4 2 2" xfId="45248"/>
    <cellStyle name="Heading 2 2 7 2 6 4 3" xfId="45249"/>
    <cellStyle name="Heading 2 2 7 2 6 5" xfId="45250"/>
    <cellStyle name="Heading 2 2 7 2 6 5 2" xfId="45251"/>
    <cellStyle name="Heading 2 2 7 2 6 5 2 2" xfId="45252"/>
    <cellStyle name="Heading 2 2 7 2 6 5 3" xfId="45253"/>
    <cellStyle name="Heading 2 2 7 2 6 6" xfId="45254"/>
    <cellStyle name="Heading 2 2 7 2 6 6 2" xfId="45255"/>
    <cellStyle name="Heading 2 2 7 2 6 6 2 2" xfId="45256"/>
    <cellStyle name="Heading 2 2 7 2 6 6 3" xfId="45257"/>
    <cellStyle name="Heading 2 2 7 2 6 7" xfId="45258"/>
    <cellStyle name="Heading 2 2 7 2 6 7 2" xfId="45259"/>
    <cellStyle name="Heading 2 2 7 2 6 7 2 2" xfId="45260"/>
    <cellStyle name="Heading 2 2 7 2 6 7 3" xfId="45261"/>
    <cellStyle name="Heading 2 2 7 2 6 8" xfId="45262"/>
    <cellStyle name="Heading 2 2 7 2 6 8 2" xfId="45263"/>
    <cellStyle name="Heading 2 2 7 2 6 9" xfId="45264"/>
    <cellStyle name="Heading 2 2 7 2 7" xfId="45265"/>
    <cellStyle name="Heading 2 2 7 2 7 2" xfId="45266"/>
    <cellStyle name="Heading 2 2 7 2 7 2 2" xfId="45267"/>
    <cellStyle name="Heading 2 2 7 2 7 2 2 2" xfId="45268"/>
    <cellStyle name="Heading 2 2 7 2 7 2 3" xfId="45269"/>
    <cellStyle name="Heading 2 2 7 2 7 3" xfId="45270"/>
    <cellStyle name="Heading 2 2 7 2 7 3 2" xfId="45271"/>
    <cellStyle name="Heading 2 2 7 2 7 3 2 2" xfId="45272"/>
    <cellStyle name="Heading 2 2 7 2 7 3 3" xfId="45273"/>
    <cellStyle name="Heading 2 2 7 2 7 4" xfId="45274"/>
    <cellStyle name="Heading 2 2 7 2 7 4 2" xfId="45275"/>
    <cellStyle name="Heading 2 2 7 2 7 4 2 2" xfId="45276"/>
    <cellStyle name="Heading 2 2 7 2 7 4 3" xfId="45277"/>
    <cellStyle name="Heading 2 2 7 2 7 5" xfId="45278"/>
    <cellStyle name="Heading 2 2 7 2 7 5 2" xfId="45279"/>
    <cellStyle name="Heading 2 2 7 2 7 5 2 2" xfId="45280"/>
    <cellStyle name="Heading 2 2 7 2 7 5 3" xfId="45281"/>
    <cellStyle name="Heading 2 2 7 2 7 6" xfId="45282"/>
    <cellStyle name="Heading 2 2 7 2 7 6 2" xfId="45283"/>
    <cellStyle name="Heading 2 2 7 2 7 6 2 2" xfId="45284"/>
    <cellStyle name="Heading 2 2 7 2 7 6 3" xfId="45285"/>
    <cellStyle name="Heading 2 2 7 2 7 7" xfId="45286"/>
    <cellStyle name="Heading 2 2 7 2 7 7 2" xfId="45287"/>
    <cellStyle name="Heading 2 2 7 2 7 7 2 2" xfId="45288"/>
    <cellStyle name="Heading 2 2 7 2 7 7 3" xfId="45289"/>
    <cellStyle name="Heading 2 2 7 2 7 8" xfId="45290"/>
    <cellStyle name="Heading 2 2 7 2 7 8 2" xfId="45291"/>
    <cellStyle name="Heading 2 2 7 2 7 9" xfId="45292"/>
    <cellStyle name="Heading 2 2 7 2 8" xfId="45293"/>
    <cellStyle name="Heading 2 2 7 2 8 2" xfId="45294"/>
    <cellStyle name="Heading 2 2 7 2 8 2 2" xfId="45295"/>
    <cellStyle name="Heading 2 2 7 2 8 2 2 2" xfId="45296"/>
    <cellStyle name="Heading 2 2 7 2 8 2 3" xfId="45297"/>
    <cellStyle name="Heading 2 2 7 2 8 3" xfId="45298"/>
    <cellStyle name="Heading 2 2 7 2 8 3 2" xfId="45299"/>
    <cellStyle name="Heading 2 2 7 2 8 3 2 2" xfId="45300"/>
    <cellStyle name="Heading 2 2 7 2 8 3 3" xfId="45301"/>
    <cellStyle name="Heading 2 2 7 2 8 4" xfId="45302"/>
    <cellStyle name="Heading 2 2 7 2 8 4 2" xfId="45303"/>
    <cellStyle name="Heading 2 2 7 2 8 4 2 2" xfId="45304"/>
    <cellStyle name="Heading 2 2 7 2 8 4 3" xfId="45305"/>
    <cellStyle name="Heading 2 2 7 2 8 5" xfId="45306"/>
    <cellStyle name="Heading 2 2 7 2 8 5 2" xfId="45307"/>
    <cellStyle name="Heading 2 2 7 2 8 5 2 2" xfId="45308"/>
    <cellStyle name="Heading 2 2 7 2 8 5 3" xfId="45309"/>
    <cellStyle name="Heading 2 2 7 2 8 6" xfId="45310"/>
    <cellStyle name="Heading 2 2 7 2 8 6 2" xfId="45311"/>
    <cellStyle name="Heading 2 2 7 2 8 6 2 2" xfId="45312"/>
    <cellStyle name="Heading 2 2 7 2 8 6 3" xfId="45313"/>
    <cellStyle name="Heading 2 2 7 2 8 7" xfId="45314"/>
    <cellStyle name="Heading 2 2 7 2 8 7 2" xfId="45315"/>
    <cellStyle name="Heading 2 2 7 2 8 7 2 2" xfId="45316"/>
    <cellStyle name="Heading 2 2 7 2 8 7 3" xfId="45317"/>
    <cellStyle name="Heading 2 2 7 2 8 8" xfId="45318"/>
    <cellStyle name="Heading 2 2 7 2 8 8 2" xfId="45319"/>
    <cellStyle name="Heading 2 2 7 2 8 9" xfId="45320"/>
    <cellStyle name="Heading 2 2 7 2 9" xfId="45321"/>
    <cellStyle name="Heading 2 2 7 2 9 2" xfId="45322"/>
    <cellStyle name="Heading 2 2 7 2 9 2 2" xfId="45323"/>
    <cellStyle name="Heading 2 2 7 2 9 2 2 2" xfId="45324"/>
    <cellStyle name="Heading 2 2 7 2 9 2 3" xfId="45325"/>
    <cellStyle name="Heading 2 2 7 2 9 3" xfId="45326"/>
    <cellStyle name="Heading 2 2 7 2 9 3 2" xfId="45327"/>
    <cellStyle name="Heading 2 2 7 2 9 3 2 2" xfId="45328"/>
    <cellStyle name="Heading 2 2 7 2 9 3 3" xfId="45329"/>
    <cellStyle name="Heading 2 2 7 2 9 4" xfId="45330"/>
    <cellStyle name="Heading 2 2 7 2 9 4 2" xfId="45331"/>
    <cellStyle name="Heading 2 2 7 2 9 4 2 2" xfId="45332"/>
    <cellStyle name="Heading 2 2 7 2 9 4 3" xfId="45333"/>
    <cellStyle name="Heading 2 2 7 2 9 5" xfId="45334"/>
    <cellStyle name="Heading 2 2 7 2 9 5 2" xfId="45335"/>
    <cellStyle name="Heading 2 2 7 2 9 5 2 2" xfId="45336"/>
    <cellStyle name="Heading 2 2 7 2 9 5 3" xfId="45337"/>
    <cellStyle name="Heading 2 2 7 2 9 6" xfId="45338"/>
    <cellStyle name="Heading 2 2 7 2 9 6 2" xfId="45339"/>
    <cellStyle name="Heading 2 2 7 2 9 6 2 2" xfId="45340"/>
    <cellStyle name="Heading 2 2 7 2 9 6 3" xfId="45341"/>
    <cellStyle name="Heading 2 2 7 2 9 7" xfId="45342"/>
    <cellStyle name="Heading 2 2 7 2 9 7 2" xfId="45343"/>
    <cellStyle name="Heading 2 2 7 2 9 7 2 2" xfId="45344"/>
    <cellStyle name="Heading 2 2 7 2 9 7 3" xfId="45345"/>
    <cellStyle name="Heading 2 2 7 2 9 8" xfId="45346"/>
    <cellStyle name="Heading 2 2 7 2 9 8 2" xfId="45347"/>
    <cellStyle name="Heading 2 2 7 2 9 9" xfId="45348"/>
    <cellStyle name="Heading 2 2 7 3" xfId="45349"/>
    <cellStyle name="Heading 2 2 7 3 10" xfId="45350"/>
    <cellStyle name="Heading 2 2 7 3 10 2" xfId="45351"/>
    <cellStyle name="Heading 2 2 7 3 10 2 2" xfId="45352"/>
    <cellStyle name="Heading 2 2 7 3 10 3" xfId="45353"/>
    <cellStyle name="Heading 2 2 7 3 11" xfId="45354"/>
    <cellStyle name="Heading 2 2 7 3 11 2" xfId="45355"/>
    <cellStyle name="Heading 2 2 7 3 11 2 2" xfId="45356"/>
    <cellStyle name="Heading 2 2 7 3 11 3" xfId="45357"/>
    <cellStyle name="Heading 2 2 7 3 12" xfId="45358"/>
    <cellStyle name="Heading 2 2 7 3 12 2" xfId="45359"/>
    <cellStyle name="Heading 2 2 7 3 12 2 2" xfId="45360"/>
    <cellStyle name="Heading 2 2 7 3 12 3" xfId="45361"/>
    <cellStyle name="Heading 2 2 7 3 13" xfId="45362"/>
    <cellStyle name="Heading 2 2 7 3 13 2" xfId="45363"/>
    <cellStyle name="Heading 2 2 7 3 13 2 2" xfId="45364"/>
    <cellStyle name="Heading 2 2 7 3 13 3" xfId="45365"/>
    <cellStyle name="Heading 2 2 7 3 14" xfId="45366"/>
    <cellStyle name="Heading 2 2 7 3 14 2" xfId="45367"/>
    <cellStyle name="Heading 2 2 7 3 14 2 2" xfId="45368"/>
    <cellStyle name="Heading 2 2 7 3 14 3" xfId="45369"/>
    <cellStyle name="Heading 2 2 7 3 15" xfId="45370"/>
    <cellStyle name="Heading 2 2 7 3 15 2" xfId="45371"/>
    <cellStyle name="Heading 2 2 7 3 15 2 2" xfId="45372"/>
    <cellStyle name="Heading 2 2 7 3 15 3" xfId="45373"/>
    <cellStyle name="Heading 2 2 7 3 16" xfId="45374"/>
    <cellStyle name="Heading 2 2 7 3 16 2" xfId="45375"/>
    <cellStyle name="Heading 2 2 7 3 16 2 2" xfId="45376"/>
    <cellStyle name="Heading 2 2 7 3 16 3" xfId="45377"/>
    <cellStyle name="Heading 2 2 7 3 17" xfId="45378"/>
    <cellStyle name="Heading 2 2 7 3 17 2" xfId="45379"/>
    <cellStyle name="Heading 2 2 7 3 17 2 2" xfId="45380"/>
    <cellStyle name="Heading 2 2 7 3 17 3" xfId="45381"/>
    <cellStyle name="Heading 2 2 7 3 18" xfId="45382"/>
    <cellStyle name="Heading 2 2 7 3 18 2" xfId="45383"/>
    <cellStyle name="Heading 2 2 7 3 18 2 2" xfId="45384"/>
    <cellStyle name="Heading 2 2 7 3 18 3" xfId="45385"/>
    <cellStyle name="Heading 2 2 7 3 19" xfId="45386"/>
    <cellStyle name="Heading 2 2 7 3 19 2" xfId="45387"/>
    <cellStyle name="Heading 2 2 7 3 2" xfId="45388"/>
    <cellStyle name="Heading 2 2 7 3 2 2" xfId="45389"/>
    <cellStyle name="Heading 2 2 7 3 2 2 2" xfId="45390"/>
    <cellStyle name="Heading 2 2 7 3 2 2 2 2" xfId="45391"/>
    <cellStyle name="Heading 2 2 7 3 2 2 3" xfId="45392"/>
    <cellStyle name="Heading 2 2 7 3 2 3" xfId="45393"/>
    <cellStyle name="Heading 2 2 7 3 2 3 2" xfId="45394"/>
    <cellStyle name="Heading 2 2 7 3 2 3 2 2" xfId="45395"/>
    <cellStyle name="Heading 2 2 7 3 2 3 3" xfId="45396"/>
    <cellStyle name="Heading 2 2 7 3 2 4" xfId="45397"/>
    <cellStyle name="Heading 2 2 7 3 2 4 2" xfId="45398"/>
    <cellStyle name="Heading 2 2 7 3 2 4 2 2" xfId="45399"/>
    <cellStyle name="Heading 2 2 7 3 2 4 3" xfId="45400"/>
    <cellStyle name="Heading 2 2 7 3 2 5" xfId="45401"/>
    <cellStyle name="Heading 2 2 7 3 2 5 2" xfId="45402"/>
    <cellStyle name="Heading 2 2 7 3 2 5 2 2" xfId="45403"/>
    <cellStyle name="Heading 2 2 7 3 2 5 3" xfId="45404"/>
    <cellStyle name="Heading 2 2 7 3 2 6" xfId="45405"/>
    <cellStyle name="Heading 2 2 7 3 2 6 2" xfId="45406"/>
    <cellStyle name="Heading 2 2 7 3 2 6 2 2" xfId="45407"/>
    <cellStyle name="Heading 2 2 7 3 2 6 3" xfId="45408"/>
    <cellStyle name="Heading 2 2 7 3 2 7" xfId="45409"/>
    <cellStyle name="Heading 2 2 7 3 2 7 2" xfId="45410"/>
    <cellStyle name="Heading 2 2 7 3 2 7 2 2" xfId="45411"/>
    <cellStyle name="Heading 2 2 7 3 2 7 3" xfId="45412"/>
    <cellStyle name="Heading 2 2 7 3 2 8" xfId="45413"/>
    <cellStyle name="Heading 2 2 7 3 2 8 2" xfId="45414"/>
    <cellStyle name="Heading 2 2 7 3 2 9" xfId="45415"/>
    <cellStyle name="Heading 2 2 7 3 20" xfId="45416"/>
    <cellStyle name="Heading 2 2 7 3 20 2" xfId="45417"/>
    <cellStyle name="Heading 2 2 7 3 21" xfId="45418"/>
    <cellStyle name="Heading 2 2 7 3 21 2" xfId="45419"/>
    <cellStyle name="Heading 2 2 7 3 22" xfId="45420"/>
    <cellStyle name="Heading 2 2 7 3 3" xfId="45421"/>
    <cellStyle name="Heading 2 2 7 3 3 2" xfId="45422"/>
    <cellStyle name="Heading 2 2 7 3 3 2 2" xfId="45423"/>
    <cellStyle name="Heading 2 2 7 3 3 2 2 2" xfId="45424"/>
    <cellStyle name="Heading 2 2 7 3 3 2 3" xfId="45425"/>
    <cellStyle name="Heading 2 2 7 3 3 3" xfId="45426"/>
    <cellStyle name="Heading 2 2 7 3 3 3 2" xfId="45427"/>
    <cellStyle name="Heading 2 2 7 3 3 3 2 2" xfId="45428"/>
    <cellStyle name="Heading 2 2 7 3 3 3 3" xfId="45429"/>
    <cellStyle name="Heading 2 2 7 3 3 4" xfId="45430"/>
    <cellStyle name="Heading 2 2 7 3 3 4 2" xfId="45431"/>
    <cellStyle name="Heading 2 2 7 3 3 4 2 2" xfId="45432"/>
    <cellStyle name="Heading 2 2 7 3 3 4 3" xfId="45433"/>
    <cellStyle name="Heading 2 2 7 3 3 5" xfId="45434"/>
    <cellStyle name="Heading 2 2 7 3 3 5 2" xfId="45435"/>
    <cellStyle name="Heading 2 2 7 3 3 5 2 2" xfId="45436"/>
    <cellStyle name="Heading 2 2 7 3 3 5 3" xfId="45437"/>
    <cellStyle name="Heading 2 2 7 3 3 6" xfId="45438"/>
    <cellStyle name="Heading 2 2 7 3 3 6 2" xfId="45439"/>
    <cellStyle name="Heading 2 2 7 3 3 6 2 2" xfId="45440"/>
    <cellStyle name="Heading 2 2 7 3 3 6 3" xfId="45441"/>
    <cellStyle name="Heading 2 2 7 3 3 7" xfId="45442"/>
    <cellStyle name="Heading 2 2 7 3 3 7 2" xfId="45443"/>
    <cellStyle name="Heading 2 2 7 3 3 7 2 2" xfId="45444"/>
    <cellStyle name="Heading 2 2 7 3 3 7 3" xfId="45445"/>
    <cellStyle name="Heading 2 2 7 3 3 8" xfId="45446"/>
    <cellStyle name="Heading 2 2 7 3 3 8 2" xfId="45447"/>
    <cellStyle name="Heading 2 2 7 3 3 9" xfId="45448"/>
    <cellStyle name="Heading 2 2 7 3 4" xfId="45449"/>
    <cellStyle name="Heading 2 2 7 3 4 2" xfId="45450"/>
    <cellStyle name="Heading 2 2 7 3 4 2 2" xfId="45451"/>
    <cellStyle name="Heading 2 2 7 3 4 2 2 2" xfId="45452"/>
    <cellStyle name="Heading 2 2 7 3 4 2 3" xfId="45453"/>
    <cellStyle name="Heading 2 2 7 3 4 3" xfId="45454"/>
    <cellStyle name="Heading 2 2 7 3 4 3 2" xfId="45455"/>
    <cellStyle name="Heading 2 2 7 3 4 3 2 2" xfId="45456"/>
    <cellStyle name="Heading 2 2 7 3 4 3 3" xfId="45457"/>
    <cellStyle name="Heading 2 2 7 3 4 4" xfId="45458"/>
    <cellStyle name="Heading 2 2 7 3 4 4 2" xfId="45459"/>
    <cellStyle name="Heading 2 2 7 3 4 4 2 2" xfId="45460"/>
    <cellStyle name="Heading 2 2 7 3 4 4 3" xfId="45461"/>
    <cellStyle name="Heading 2 2 7 3 4 5" xfId="45462"/>
    <cellStyle name="Heading 2 2 7 3 4 5 2" xfId="45463"/>
    <cellStyle name="Heading 2 2 7 3 4 5 2 2" xfId="45464"/>
    <cellStyle name="Heading 2 2 7 3 4 5 3" xfId="45465"/>
    <cellStyle name="Heading 2 2 7 3 4 6" xfId="45466"/>
    <cellStyle name="Heading 2 2 7 3 4 6 2" xfId="45467"/>
    <cellStyle name="Heading 2 2 7 3 4 6 2 2" xfId="45468"/>
    <cellStyle name="Heading 2 2 7 3 4 6 3" xfId="45469"/>
    <cellStyle name="Heading 2 2 7 3 4 7" xfId="45470"/>
    <cellStyle name="Heading 2 2 7 3 4 7 2" xfId="45471"/>
    <cellStyle name="Heading 2 2 7 3 4 7 2 2" xfId="45472"/>
    <cellStyle name="Heading 2 2 7 3 4 7 3" xfId="45473"/>
    <cellStyle name="Heading 2 2 7 3 4 8" xfId="45474"/>
    <cellStyle name="Heading 2 2 7 3 4 8 2" xfId="45475"/>
    <cellStyle name="Heading 2 2 7 3 4 9" xfId="45476"/>
    <cellStyle name="Heading 2 2 7 3 5" xfId="45477"/>
    <cellStyle name="Heading 2 2 7 3 5 2" xfId="45478"/>
    <cellStyle name="Heading 2 2 7 3 5 2 2" xfId="45479"/>
    <cellStyle name="Heading 2 2 7 3 5 2 2 2" xfId="45480"/>
    <cellStyle name="Heading 2 2 7 3 5 2 3" xfId="45481"/>
    <cellStyle name="Heading 2 2 7 3 5 3" xfId="45482"/>
    <cellStyle name="Heading 2 2 7 3 5 3 2" xfId="45483"/>
    <cellStyle name="Heading 2 2 7 3 5 3 2 2" xfId="45484"/>
    <cellStyle name="Heading 2 2 7 3 5 3 3" xfId="45485"/>
    <cellStyle name="Heading 2 2 7 3 5 4" xfId="45486"/>
    <cellStyle name="Heading 2 2 7 3 5 4 2" xfId="45487"/>
    <cellStyle name="Heading 2 2 7 3 5 4 2 2" xfId="45488"/>
    <cellStyle name="Heading 2 2 7 3 5 4 3" xfId="45489"/>
    <cellStyle name="Heading 2 2 7 3 5 5" xfId="45490"/>
    <cellStyle name="Heading 2 2 7 3 5 5 2" xfId="45491"/>
    <cellStyle name="Heading 2 2 7 3 5 5 2 2" xfId="45492"/>
    <cellStyle name="Heading 2 2 7 3 5 5 3" xfId="45493"/>
    <cellStyle name="Heading 2 2 7 3 5 6" xfId="45494"/>
    <cellStyle name="Heading 2 2 7 3 5 6 2" xfId="45495"/>
    <cellStyle name="Heading 2 2 7 3 5 6 2 2" xfId="45496"/>
    <cellStyle name="Heading 2 2 7 3 5 6 3" xfId="45497"/>
    <cellStyle name="Heading 2 2 7 3 5 7" xfId="45498"/>
    <cellStyle name="Heading 2 2 7 3 5 7 2" xfId="45499"/>
    <cellStyle name="Heading 2 2 7 3 5 7 2 2" xfId="45500"/>
    <cellStyle name="Heading 2 2 7 3 5 7 3" xfId="45501"/>
    <cellStyle name="Heading 2 2 7 3 5 8" xfId="45502"/>
    <cellStyle name="Heading 2 2 7 3 5 8 2" xfId="45503"/>
    <cellStyle name="Heading 2 2 7 3 5 9" xfId="45504"/>
    <cellStyle name="Heading 2 2 7 3 6" xfId="45505"/>
    <cellStyle name="Heading 2 2 7 3 6 2" xfId="45506"/>
    <cellStyle name="Heading 2 2 7 3 6 2 2" xfId="45507"/>
    <cellStyle name="Heading 2 2 7 3 6 2 2 2" xfId="45508"/>
    <cellStyle name="Heading 2 2 7 3 6 2 3" xfId="45509"/>
    <cellStyle name="Heading 2 2 7 3 6 3" xfId="45510"/>
    <cellStyle name="Heading 2 2 7 3 6 3 2" xfId="45511"/>
    <cellStyle name="Heading 2 2 7 3 6 3 2 2" xfId="45512"/>
    <cellStyle name="Heading 2 2 7 3 6 3 3" xfId="45513"/>
    <cellStyle name="Heading 2 2 7 3 6 4" xfId="45514"/>
    <cellStyle name="Heading 2 2 7 3 6 4 2" xfId="45515"/>
    <cellStyle name="Heading 2 2 7 3 6 4 2 2" xfId="45516"/>
    <cellStyle name="Heading 2 2 7 3 6 4 3" xfId="45517"/>
    <cellStyle name="Heading 2 2 7 3 6 5" xfId="45518"/>
    <cellStyle name="Heading 2 2 7 3 6 5 2" xfId="45519"/>
    <cellStyle name="Heading 2 2 7 3 6 5 2 2" xfId="45520"/>
    <cellStyle name="Heading 2 2 7 3 6 5 3" xfId="45521"/>
    <cellStyle name="Heading 2 2 7 3 6 6" xfId="45522"/>
    <cellStyle name="Heading 2 2 7 3 6 6 2" xfId="45523"/>
    <cellStyle name="Heading 2 2 7 3 6 6 2 2" xfId="45524"/>
    <cellStyle name="Heading 2 2 7 3 6 6 3" xfId="45525"/>
    <cellStyle name="Heading 2 2 7 3 6 7" xfId="45526"/>
    <cellStyle name="Heading 2 2 7 3 6 7 2" xfId="45527"/>
    <cellStyle name="Heading 2 2 7 3 6 7 2 2" xfId="45528"/>
    <cellStyle name="Heading 2 2 7 3 6 7 3" xfId="45529"/>
    <cellStyle name="Heading 2 2 7 3 6 8" xfId="45530"/>
    <cellStyle name="Heading 2 2 7 3 6 8 2" xfId="45531"/>
    <cellStyle name="Heading 2 2 7 3 6 9" xfId="45532"/>
    <cellStyle name="Heading 2 2 7 3 7" xfId="45533"/>
    <cellStyle name="Heading 2 2 7 3 7 2" xfId="45534"/>
    <cellStyle name="Heading 2 2 7 3 7 2 2" xfId="45535"/>
    <cellStyle name="Heading 2 2 7 3 7 2 2 2" xfId="45536"/>
    <cellStyle name="Heading 2 2 7 3 7 2 3" xfId="45537"/>
    <cellStyle name="Heading 2 2 7 3 7 3" xfId="45538"/>
    <cellStyle name="Heading 2 2 7 3 7 3 2" xfId="45539"/>
    <cellStyle name="Heading 2 2 7 3 7 3 2 2" xfId="45540"/>
    <cellStyle name="Heading 2 2 7 3 7 3 3" xfId="45541"/>
    <cellStyle name="Heading 2 2 7 3 7 4" xfId="45542"/>
    <cellStyle name="Heading 2 2 7 3 7 4 2" xfId="45543"/>
    <cellStyle name="Heading 2 2 7 3 7 4 2 2" xfId="45544"/>
    <cellStyle name="Heading 2 2 7 3 7 4 3" xfId="45545"/>
    <cellStyle name="Heading 2 2 7 3 7 5" xfId="45546"/>
    <cellStyle name="Heading 2 2 7 3 7 5 2" xfId="45547"/>
    <cellStyle name="Heading 2 2 7 3 7 5 2 2" xfId="45548"/>
    <cellStyle name="Heading 2 2 7 3 7 5 3" xfId="45549"/>
    <cellStyle name="Heading 2 2 7 3 7 6" xfId="45550"/>
    <cellStyle name="Heading 2 2 7 3 7 6 2" xfId="45551"/>
    <cellStyle name="Heading 2 2 7 3 7 6 2 2" xfId="45552"/>
    <cellStyle name="Heading 2 2 7 3 7 6 3" xfId="45553"/>
    <cellStyle name="Heading 2 2 7 3 7 7" xfId="45554"/>
    <cellStyle name="Heading 2 2 7 3 7 7 2" xfId="45555"/>
    <cellStyle name="Heading 2 2 7 3 7 7 2 2" xfId="45556"/>
    <cellStyle name="Heading 2 2 7 3 7 7 3" xfId="45557"/>
    <cellStyle name="Heading 2 2 7 3 7 8" xfId="45558"/>
    <cellStyle name="Heading 2 2 7 3 7 8 2" xfId="45559"/>
    <cellStyle name="Heading 2 2 7 3 7 9" xfId="45560"/>
    <cellStyle name="Heading 2 2 7 3 8" xfId="45561"/>
    <cellStyle name="Heading 2 2 7 3 8 2" xfId="45562"/>
    <cellStyle name="Heading 2 2 7 3 8 2 2" xfId="45563"/>
    <cellStyle name="Heading 2 2 7 3 8 2 2 2" xfId="45564"/>
    <cellStyle name="Heading 2 2 7 3 8 2 3" xfId="45565"/>
    <cellStyle name="Heading 2 2 7 3 8 3" xfId="45566"/>
    <cellStyle name="Heading 2 2 7 3 8 3 2" xfId="45567"/>
    <cellStyle name="Heading 2 2 7 3 8 3 2 2" xfId="45568"/>
    <cellStyle name="Heading 2 2 7 3 8 3 3" xfId="45569"/>
    <cellStyle name="Heading 2 2 7 3 8 4" xfId="45570"/>
    <cellStyle name="Heading 2 2 7 3 8 4 2" xfId="45571"/>
    <cellStyle name="Heading 2 2 7 3 8 4 2 2" xfId="45572"/>
    <cellStyle name="Heading 2 2 7 3 8 4 3" xfId="45573"/>
    <cellStyle name="Heading 2 2 7 3 8 5" xfId="45574"/>
    <cellStyle name="Heading 2 2 7 3 8 5 2" xfId="45575"/>
    <cellStyle name="Heading 2 2 7 3 8 5 2 2" xfId="45576"/>
    <cellStyle name="Heading 2 2 7 3 8 5 3" xfId="45577"/>
    <cellStyle name="Heading 2 2 7 3 8 6" xfId="45578"/>
    <cellStyle name="Heading 2 2 7 3 8 6 2" xfId="45579"/>
    <cellStyle name="Heading 2 2 7 3 8 6 2 2" xfId="45580"/>
    <cellStyle name="Heading 2 2 7 3 8 6 3" xfId="45581"/>
    <cellStyle name="Heading 2 2 7 3 8 7" xfId="45582"/>
    <cellStyle name="Heading 2 2 7 3 8 7 2" xfId="45583"/>
    <cellStyle name="Heading 2 2 7 3 8 7 2 2" xfId="45584"/>
    <cellStyle name="Heading 2 2 7 3 8 7 3" xfId="45585"/>
    <cellStyle name="Heading 2 2 7 3 8 8" xfId="45586"/>
    <cellStyle name="Heading 2 2 7 3 8 8 2" xfId="45587"/>
    <cellStyle name="Heading 2 2 7 3 8 9" xfId="45588"/>
    <cellStyle name="Heading 2 2 7 3 9" xfId="45589"/>
    <cellStyle name="Heading 2 2 7 3 9 2" xfId="45590"/>
    <cellStyle name="Heading 2 2 7 3 9 2 2" xfId="45591"/>
    <cellStyle name="Heading 2 2 7 3 9 3" xfId="45592"/>
    <cellStyle name="Heading 2 2 7 4" xfId="45593"/>
    <cellStyle name="Heading 2 2 7 4 2" xfId="45594"/>
    <cellStyle name="Heading 2 2 7 4 2 2" xfId="45595"/>
    <cellStyle name="Heading 2 2 7 4 3" xfId="45596"/>
    <cellStyle name="Heading 2 2 7 5" xfId="45597"/>
    <cellStyle name="Heading 2 2 7 5 2" xfId="45598"/>
    <cellStyle name="Heading 2 2 7 6" xfId="45599"/>
    <cellStyle name="Heading 2 2 8" xfId="45600"/>
    <cellStyle name="Heading 2 2 8 2" xfId="45601"/>
    <cellStyle name="Heading 2 2 8 2 10" xfId="45602"/>
    <cellStyle name="Heading 2 2 8 2 10 2" xfId="45603"/>
    <cellStyle name="Heading 2 2 8 2 10 2 2" xfId="45604"/>
    <cellStyle name="Heading 2 2 8 2 10 3" xfId="45605"/>
    <cellStyle name="Heading 2 2 8 2 11" xfId="45606"/>
    <cellStyle name="Heading 2 2 8 2 11 2" xfId="45607"/>
    <cellStyle name="Heading 2 2 8 2 11 2 2" xfId="45608"/>
    <cellStyle name="Heading 2 2 8 2 11 3" xfId="45609"/>
    <cellStyle name="Heading 2 2 8 2 12" xfId="45610"/>
    <cellStyle name="Heading 2 2 8 2 12 2" xfId="45611"/>
    <cellStyle name="Heading 2 2 8 2 12 2 2" xfId="45612"/>
    <cellStyle name="Heading 2 2 8 2 12 3" xfId="45613"/>
    <cellStyle name="Heading 2 2 8 2 13" xfId="45614"/>
    <cellStyle name="Heading 2 2 8 2 13 2" xfId="45615"/>
    <cellStyle name="Heading 2 2 8 2 13 2 2" xfId="45616"/>
    <cellStyle name="Heading 2 2 8 2 13 3" xfId="45617"/>
    <cellStyle name="Heading 2 2 8 2 14" xfId="45618"/>
    <cellStyle name="Heading 2 2 8 2 14 2" xfId="45619"/>
    <cellStyle name="Heading 2 2 8 2 14 2 2" xfId="45620"/>
    <cellStyle name="Heading 2 2 8 2 14 3" xfId="45621"/>
    <cellStyle name="Heading 2 2 8 2 15" xfId="45622"/>
    <cellStyle name="Heading 2 2 8 2 15 2" xfId="45623"/>
    <cellStyle name="Heading 2 2 8 2 15 2 2" xfId="45624"/>
    <cellStyle name="Heading 2 2 8 2 15 3" xfId="45625"/>
    <cellStyle name="Heading 2 2 8 2 16" xfId="45626"/>
    <cellStyle name="Heading 2 2 8 2 16 2" xfId="45627"/>
    <cellStyle name="Heading 2 2 8 2 16 2 2" xfId="45628"/>
    <cellStyle name="Heading 2 2 8 2 16 3" xfId="45629"/>
    <cellStyle name="Heading 2 2 8 2 17" xfId="45630"/>
    <cellStyle name="Heading 2 2 8 2 17 2" xfId="45631"/>
    <cellStyle name="Heading 2 2 8 2 17 2 2" xfId="45632"/>
    <cellStyle name="Heading 2 2 8 2 17 3" xfId="45633"/>
    <cellStyle name="Heading 2 2 8 2 18" xfId="45634"/>
    <cellStyle name="Heading 2 2 8 2 18 2" xfId="45635"/>
    <cellStyle name="Heading 2 2 8 2 18 2 2" xfId="45636"/>
    <cellStyle name="Heading 2 2 8 2 18 3" xfId="45637"/>
    <cellStyle name="Heading 2 2 8 2 19" xfId="45638"/>
    <cellStyle name="Heading 2 2 8 2 19 2" xfId="45639"/>
    <cellStyle name="Heading 2 2 8 2 19 2 2" xfId="45640"/>
    <cellStyle name="Heading 2 2 8 2 19 3" xfId="45641"/>
    <cellStyle name="Heading 2 2 8 2 2" xfId="45642"/>
    <cellStyle name="Heading 2 2 8 2 2 10" xfId="45643"/>
    <cellStyle name="Heading 2 2 8 2 2 10 2" xfId="45644"/>
    <cellStyle name="Heading 2 2 8 2 2 10 2 2" xfId="45645"/>
    <cellStyle name="Heading 2 2 8 2 2 10 3" xfId="45646"/>
    <cellStyle name="Heading 2 2 8 2 2 11" xfId="45647"/>
    <cellStyle name="Heading 2 2 8 2 2 11 2" xfId="45648"/>
    <cellStyle name="Heading 2 2 8 2 2 11 2 2" xfId="45649"/>
    <cellStyle name="Heading 2 2 8 2 2 11 3" xfId="45650"/>
    <cellStyle name="Heading 2 2 8 2 2 12" xfId="45651"/>
    <cellStyle name="Heading 2 2 8 2 2 12 2" xfId="45652"/>
    <cellStyle name="Heading 2 2 8 2 2 12 2 2" xfId="45653"/>
    <cellStyle name="Heading 2 2 8 2 2 12 3" xfId="45654"/>
    <cellStyle name="Heading 2 2 8 2 2 13" xfId="45655"/>
    <cellStyle name="Heading 2 2 8 2 2 13 2" xfId="45656"/>
    <cellStyle name="Heading 2 2 8 2 2 13 2 2" xfId="45657"/>
    <cellStyle name="Heading 2 2 8 2 2 13 3" xfId="45658"/>
    <cellStyle name="Heading 2 2 8 2 2 14" xfId="45659"/>
    <cellStyle name="Heading 2 2 8 2 2 14 2" xfId="45660"/>
    <cellStyle name="Heading 2 2 8 2 2 14 2 2" xfId="45661"/>
    <cellStyle name="Heading 2 2 8 2 2 14 3" xfId="45662"/>
    <cellStyle name="Heading 2 2 8 2 2 15" xfId="45663"/>
    <cellStyle name="Heading 2 2 8 2 2 15 2" xfId="45664"/>
    <cellStyle name="Heading 2 2 8 2 2 15 2 2" xfId="45665"/>
    <cellStyle name="Heading 2 2 8 2 2 15 3" xfId="45666"/>
    <cellStyle name="Heading 2 2 8 2 2 16" xfId="45667"/>
    <cellStyle name="Heading 2 2 8 2 2 16 2" xfId="45668"/>
    <cellStyle name="Heading 2 2 8 2 2 16 2 2" xfId="45669"/>
    <cellStyle name="Heading 2 2 8 2 2 16 3" xfId="45670"/>
    <cellStyle name="Heading 2 2 8 2 2 17" xfId="45671"/>
    <cellStyle name="Heading 2 2 8 2 2 17 2" xfId="45672"/>
    <cellStyle name="Heading 2 2 8 2 2 17 2 2" xfId="45673"/>
    <cellStyle name="Heading 2 2 8 2 2 17 3" xfId="45674"/>
    <cellStyle name="Heading 2 2 8 2 2 18" xfId="45675"/>
    <cellStyle name="Heading 2 2 8 2 2 18 2" xfId="45676"/>
    <cellStyle name="Heading 2 2 8 2 2 18 2 2" xfId="45677"/>
    <cellStyle name="Heading 2 2 8 2 2 18 3" xfId="45678"/>
    <cellStyle name="Heading 2 2 8 2 2 19" xfId="45679"/>
    <cellStyle name="Heading 2 2 8 2 2 19 2" xfId="45680"/>
    <cellStyle name="Heading 2 2 8 2 2 2" xfId="45681"/>
    <cellStyle name="Heading 2 2 8 2 2 2 2" xfId="45682"/>
    <cellStyle name="Heading 2 2 8 2 2 2 2 2" xfId="45683"/>
    <cellStyle name="Heading 2 2 8 2 2 2 2 2 2" xfId="45684"/>
    <cellStyle name="Heading 2 2 8 2 2 2 2 3" xfId="45685"/>
    <cellStyle name="Heading 2 2 8 2 2 2 3" xfId="45686"/>
    <cellStyle name="Heading 2 2 8 2 2 2 3 2" xfId="45687"/>
    <cellStyle name="Heading 2 2 8 2 2 2 3 2 2" xfId="45688"/>
    <cellStyle name="Heading 2 2 8 2 2 2 3 3" xfId="45689"/>
    <cellStyle name="Heading 2 2 8 2 2 2 4" xfId="45690"/>
    <cellStyle name="Heading 2 2 8 2 2 2 4 2" xfId="45691"/>
    <cellStyle name="Heading 2 2 8 2 2 2 4 2 2" xfId="45692"/>
    <cellStyle name="Heading 2 2 8 2 2 2 4 3" xfId="45693"/>
    <cellStyle name="Heading 2 2 8 2 2 2 5" xfId="45694"/>
    <cellStyle name="Heading 2 2 8 2 2 2 5 2" xfId="45695"/>
    <cellStyle name="Heading 2 2 8 2 2 2 5 2 2" xfId="45696"/>
    <cellStyle name="Heading 2 2 8 2 2 2 5 3" xfId="45697"/>
    <cellStyle name="Heading 2 2 8 2 2 2 6" xfId="45698"/>
    <cellStyle name="Heading 2 2 8 2 2 2 6 2" xfId="45699"/>
    <cellStyle name="Heading 2 2 8 2 2 2 6 2 2" xfId="45700"/>
    <cellStyle name="Heading 2 2 8 2 2 2 6 3" xfId="45701"/>
    <cellStyle name="Heading 2 2 8 2 2 2 7" xfId="45702"/>
    <cellStyle name="Heading 2 2 8 2 2 2 7 2" xfId="45703"/>
    <cellStyle name="Heading 2 2 8 2 2 2 7 2 2" xfId="45704"/>
    <cellStyle name="Heading 2 2 8 2 2 2 7 3" xfId="45705"/>
    <cellStyle name="Heading 2 2 8 2 2 2 8" xfId="45706"/>
    <cellStyle name="Heading 2 2 8 2 2 2 8 2" xfId="45707"/>
    <cellStyle name="Heading 2 2 8 2 2 2 9" xfId="45708"/>
    <cellStyle name="Heading 2 2 8 2 2 20" xfId="45709"/>
    <cellStyle name="Heading 2 2 8 2 2 20 2" xfId="45710"/>
    <cellStyle name="Heading 2 2 8 2 2 21" xfId="45711"/>
    <cellStyle name="Heading 2 2 8 2 2 21 2" xfId="45712"/>
    <cellStyle name="Heading 2 2 8 2 2 22" xfId="45713"/>
    <cellStyle name="Heading 2 2 8 2 2 3" xfId="45714"/>
    <cellStyle name="Heading 2 2 8 2 2 3 2" xfId="45715"/>
    <cellStyle name="Heading 2 2 8 2 2 3 2 2" xfId="45716"/>
    <cellStyle name="Heading 2 2 8 2 2 3 2 2 2" xfId="45717"/>
    <cellStyle name="Heading 2 2 8 2 2 3 2 3" xfId="45718"/>
    <cellStyle name="Heading 2 2 8 2 2 3 3" xfId="45719"/>
    <cellStyle name="Heading 2 2 8 2 2 3 3 2" xfId="45720"/>
    <cellStyle name="Heading 2 2 8 2 2 3 3 2 2" xfId="45721"/>
    <cellStyle name="Heading 2 2 8 2 2 3 3 3" xfId="45722"/>
    <cellStyle name="Heading 2 2 8 2 2 3 4" xfId="45723"/>
    <cellStyle name="Heading 2 2 8 2 2 3 4 2" xfId="45724"/>
    <cellStyle name="Heading 2 2 8 2 2 3 4 2 2" xfId="45725"/>
    <cellStyle name="Heading 2 2 8 2 2 3 4 3" xfId="45726"/>
    <cellStyle name="Heading 2 2 8 2 2 3 5" xfId="45727"/>
    <cellStyle name="Heading 2 2 8 2 2 3 5 2" xfId="45728"/>
    <cellStyle name="Heading 2 2 8 2 2 3 5 2 2" xfId="45729"/>
    <cellStyle name="Heading 2 2 8 2 2 3 5 3" xfId="45730"/>
    <cellStyle name="Heading 2 2 8 2 2 3 6" xfId="45731"/>
    <cellStyle name="Heading 2 2 8 2 2 3 6 2" xfId="45732"/>
    <cellStyle name="Heading 2 2 8 2 2 3 6 2 2" xfId="45733"/>
    <cellStyle name="Heading 2 2 8 2 2 3 6 3" xfId="45734"/>
    <cellStyle name="Heading 2 2 8 2 2 3 7" xfId="45735"/>
    <cellStyle name="Heading 2 2 8 2 2 3 7 2" xfId="45736"/>
    <cellStyle name="Heading 2 2 8 2 2 3 7 2 2" xfId="45737"/>
    <cellStyle name="Heading 2 2 8 2 2 3 7 3" xfId="45738"/>
    <cellStyle name="Heading 2 2 8 2 2 3 8" xfId="45739"/>
    <cellStyle name="Heading 2 2 8 2 2 3 8 2" xfId="45740"/>
    <cellStyle name="Heading 2 2 8 2 2 3 9" xfId="45741"/>
    <cellStyle name="Heading 2 2 8 2 2 4" xfId="45742"/>
    <cellStyle name="Heading 2 2 8 2 2 4 2" xfId="45743"/>
    <cellStyle name="Heading 2 2 8 2 2 4 2 2" xfId="45744"/>
    <cellStyle name="Heading 2 2 8 2 2 4 2 2 2" xfId="45745"/>
    <cellStyle name="Heading 2 2 8 2 2 4 2 3" xfId="45746"/>
    <cellStyle name="Heading 2 2 8 2 2 4 3" xfId="45747"/>
    <cellStyle name="Heading 2 2 8 2 2 4 3 2" xfId="45748"/>
    <cellStyle name="Heading 2 2 8 2 2 4 3 2 2" xfId="45749"/>
    <cellStyle name="Heading 2 2 8 2 2 4 3 3" xfId="45750"/>
    <cellStyle name="Heading 2 2 8 2 2 4 4" xfId="45751"/>
    <cellStyle name="Heading 2 2 8 2 2 4 4 2" xfId="45752"/>
    <cellStyle name="Heading 2 2 8 2 2 4 4 2 2" xfId="45753"/>
    <cellStyle name="Heading 2 2 8 2 2 4 4 3" xfId="45754"/>
    <cellStyle name="Heading 2 2 8 2 2 4 5" xfId="45755"/>
    <cellStyle name="Heading 2 2 8 2 2 4 5 2" xfId="45756"/>
    <cellStyle name="Heading 2 2 8 2 2 4 5 2 2" xfId="45757"/>
    <cellStyle name="Heading 2 2 8 2 2 4 5 3" xfId="45758"/>
    <cellStyle name="Heading 2 2 8 2 2 4 6" xfId="45759"/>
    <cellStyle name="Heading 2 2 8 2 2 4 6 2" xfId="45760"/>
    <cellStyle name="Heading 2 2 8 2 2 4 6 2 2" xfId="45761"/>
    <cellStyle name="Heading 2 2 8 2 2 4 6 3" xfId="45762"/>
    <cellStyle name="Heading 2 2 8 2 2 4 7" xfId="45763"/>
    <cellStyle name="Heading 2 2 8 2 2 4 7 2" xfId="45764"/>
    <cellStyle name="Heading 2 2 8 2 2 4 7 2 2" xfId="45765"/>
    <cellStyle name="Heading 2 2 8 2 2 4 7 3" xfId="45766"/>
    <cellStyle name="Heading 2 2 8 2 2 4 8" xfId="45767"/>
    <cellStyle name="Heading 2 2 8 2 2 4 8 2" xfId="45768"/>
    <cellStyle name="Heading 2 2 8 2 2 4 9" xfId="45769"/>
    <cellStyle name="Heading 2 2 8 2 2 5" xfId="45770"/>
    <cellStyle name="Heading 2 2 8 2 2 5 2" xfId="45771"/>
    <cellStyle name="Heading 2 2 8 2 2 5 2 2" xfId="45772"/>
    <cellStyle name="Heading 2 2 8 2 2 5 2 2 2" xfId="45773"/>
    <cellStyle name="Heading 2 2 8 2 2 5 2 3" xfId="45774"/>
    <cellStyle name="Heading 2 2 8 2 2 5 3" xfId="45775"/>
    <cellStyle name="Heading 2 2 8 2 2 5 3 2" xfId="45776"/>
    <cellStyle name="Heading 2 2 8 2 2 5 3 2 2" xfId="45777"/>
    <cellStyle name="Heading 2 2 8 2 2 5 3 3" xfId="45778"/>
    <cellStyle name="Heading 2 2 8 2 2 5 4" xfId="45779"/>
    <cellStyle name="Heading 2 2 8 2 2 5 4 2" xfId="45780"/>
    <cellStyle name="Heading 2 2 8 2 2 5 4 2 2" xfId="45781"/>
    <cellStyle name="Heading 2 2 8 2 2 5 4 3" xfId="45782"/>
    <cellStyle name="Heading 2 2 8 2 2 5 5" xfId="45783"/>
    <cellStyle name="Heading 2 2 8 2 2 5 5 2" xfId="45784"/>
    <cellStyle name="Heading 2 2 8 2 2 5 5 2 2" xfId="45785"/>
    <cellStyle name="Heading 2 2 8 2 2 5 5 3" xfId="45786"/>
    <cellStyle name="Heading 2 2 8 2 2 5 6" xfId="45787"/>
    <cellStyle name="Heading 2 2 8 2 2 5 6 2" xfId="45788"/>
    <cellStyle name="Heading 2 2 8 2 2 5 6 2 2" xfId="45789"/>
    <cellStyle name="Heading 2 2 8 2 2 5 6 3" xfId="45790"/>
    <cellStyle name="Heading 2 2 8 2 2 5 7" xfId="45791"/>
    <cellStyle name="Heading 2 2 8 2 2 5 7 2" xfId="45792"/>
    <cellStyle name="Heading 2 2 8 2 2 5 7 2 2" xfId="45793"/>
    <cellStyle name="Heading 2 2 8 2 2 5 7 3" xfId="45794"/>
    <cellStyle name="Heading 2 2 8 2 2 5 8" xfId="45795"/>
    <cellStyle name="Heading 2 2 8 2 2 5 8 2" xfId="45796"/>
    <cellStyle name="Heading 2 2 8 2 2 5 9" xfId="45797"/>
    <cellStyle name="Heading 2 2 8 2 2 6" xfId="45798"/>
    <cellStyle name="Heading 2 2 8 2 2 6 2" xfId="45799"/>
    <cellStyle name="Heading 2 2 8 2 2 6 2 2" xfId="45800"/>
    <cellStyle name="Heading 2 2 8 2 2 6 2 2 2" xfId="45801"/>
    <cellStyle name="Heading 2 2 8 2 2 6 2 3" xfId="45802"/>
    <cellStyle name="Heading 2 2 8 2 2 6 3" xfId="45803"/>
    <cellStyle name="Heading 2 2 8 2 2 6 3 2" xfId="45804"/>
    <cellStyle name="Heading 2 2 8 2 2 6 3 2 2" xfId="45805"/>
    <cellStyle name="Heading 2 2 8 2 2 6 3 3" xfId="45806"/>
    <cellStyle name="Heading 2 2 8 2 2 6 4" xfId="45807"/>
    <cellStyle name="Heading 2 2 8 2 2 6 4 2" xfId="45808"/>
    <cellStyle name="Heading 2 2 8 2 2 6 4 2 2" xfId="45809"/>
    <cellStyle name="Heading 2 2 8 2 2 6 4 3" xfId="45810"/>
    <cellStyle name="Heading 2 2 8 2 2 6 5" xfId="45811"/>
    <cellStyle name="Heading 2 2 8 2 2 6 5 2" xfId="45812"/>
    <cellStyle name="Heading 2 2 8 2 2 6 5 2 2" xfId="45813"/>
    <cellStyle name="Heading 2 2 8 2 2 6 5 3" xfId="45814"/>
    <cellStyle name="Heading 2 2 8 2 2 6 6" xfId="45815"/>
    <cellStyle name="Heading 2 2 8 2 2 6 6 2" xfId="45816"/>
    <cellStyle name="Heading 2 2 8 2 2 6 6 2 2" xfId="45817"/>
    <cellStyle name="Heading 2 2 8 2 2 6 6 3" xfId="45818"/>
    <cellStyle name="Heading 2 2 8 2 2 6 7" xfId="45819"/>
    <cellStyle name="Heading 2 2 8 2 2 6 7 2" xfId="45820"/>
    <cellStyle name="Heading 2 2 8 2 2 6 7 2 2" xfId="45821"/>
    <cellStyle name="Heading 2 2 8 2 2 6 7 3" xfId="45822"/>
    <cellStyle name="Heading 2 2 8 2 2 6 8" xfId="45823"/>
    <cellStyle name="Heading 2 2 8 2 2 6 8 2" xfId="45824"/>
    <cellStyle name="Heading 2 2 8 2 2 6 9" xfId="45825"/>
    <cellStyle name="Heading 2 2 8 2 2 7" xfId="45826"/>
    <cellStyle name="Heading 2 2 8 2 2 7 2" xfId="45827"/>
    <cellStyle name="Heading 2 2 8 2 2 7 2 2" xfId="45828"/>
    <cellStyle name="Heading 2 2 8 2 2 7 2 2 2" xfId="45829"/>
    <cellStyle name="Heading 2 2 8 2 2 7 2 3" xfId="45830"/>
    <cellStyle name="Heading 2 2 8 2 2 7 3" xfId="45831"/>
    <cellStyle name="Heading 2 2 8 2 2 7 3 2" xfId="45832"/>
    <cellStyle name="Heading 2 2 8 2 2 7 3 2 2" xfId="45833"/>
    <cellStyle name="Heading 2 2 8 2 2 7 3 3" xfId="45834"/>
    <cellStyle name="Heading 2 2 8 2 2 7 4" xfId="45835"/>
    <cellStyle name="Heading 2 2 8 2 2 7 4 2" xfId="45836"/>
    <cellStyle name="Heading 2 2 8 2 2 7 4 2 2" xfId="45837"/>
    <cellStyle name="Heading 2 2 8 2 2 7 4 3" xfId="45838"/>
    <cellStyle name="Heading 2 2 8 2 2 7 5" xfId="45839"/>
    <cellStyle name="Heading 2 2 8 2 2 7 5 2" xfId="45840"/>
    <cellStyle name="Heading 2 2 8 2 2 7 5 2 2" xfId="45841"/>
    <cellStyle name="Heading 2 2 8 2 2 7 5 3" xfId="45842"/>
    <cellStyle name="Heading 2 2 8 2 2 7 6" xfId="45843"/>
    <cellStyle name="Heading 2 2 8 2 2 7 6 2" xfId="45844"/>
    <cellStyle name="Heading 2 2 8 2 2 7 6 2 2" xfId="45845"/>
    <cellStyle name="Heading 2 2 8 2 2 7 6 3" xfId="45846"/>
    <cellStyle name="Heading 2 2 8 2 2 7 7" xfId="45847"/>
    <cellStyle name="Heading 2 2 8 2 2 7 7 2" xfId="45848"/>
    <cellStyle name="Heading 2 2 8 2 2 7 7 2 2" xfId="45849"/>
    <cellStyle name="Heading 2 2 8 2 2 7 7 3" xfId="45850"/>
    <cellStyle name="Heading 2 2 8 2 2 7 8" xfId="45851"/>
    <cellStyle name="Heading 2 2 8 2 2 7 8 2" xfId="45852"/>
    <cellStyle name="Heading 2 2 8 2 2 7 9" xfId="45853"/>
    <cellStyle name="Heading 2 2 8 2 2 8" xfId="45854"/>
    <cellStyle name="Heading 2 2 8 2 2 8 2" xfId="45855"/>
    <cellStyle name="Heading 2 2 8 2 2 8 2 2" xfId="45856"/>
    <cellStyle name="Heading 2 2 8 2 2 8 2 2 2" xfId="45857"/>
    <cellStyle name="Heading 2 2 8 2 2 8 2 3" xfId="45858"/>
    <cellStyle name="Heading 2 2 8 2 2 8 3" xfId="45859"/>
    <cellStyle name="Heading 2 2 8 2 2 8 3 2" xfId="45860"/>
    <cellStyle name="Heading 2 2 8 2 2 8 3 2 2" xfId="45861"/>
    <cellStyle name="Heading 2 2 8 2 2 8 3 3" xfId="45862"/>
    <cellStyle name="Heading 2 2 8 2 2 8 4" xfId="45863"/>
    <cellStyle name="Heading 2 2 8 2 2 8 4 2" xfId="45864"/>
    <cellStyle name="Heading 2 2 8 2 2 8 4 2 2" xfId="45865"/>
    <cellStyle name="Heading 2 2 8 2 2 8 4 3" xfId="45866"/>
    <cellStyle name="Heading 2 2 8 2 2 8 5" xfId="45867"/>
    <cellStyle name="Heading 2 2 8 2 2 8 5 2" xfId="45868"/>
    <cellStyle name="Heading 2 2 8 2 2 8 5 2 2" xfId="45869"/>
    <cellStyle name="Heading 2 2 8 2 2 8 5 3" xfId="45870"/>
    <cellStyle name="Heading 2 2 8 2 2 8 6" xfId="45871"/>
    <cellStyle name="Heading 2 2 8 2 2 8 6 2" xfId="45872"/>
    <cellStyle name="Heading 2 2 8 2 2 8 6 2 2" xfId="45873"/>
    <cellStyle name="Heading 2 2 8 2 2 8 6 3" xfId="45874"/>
    <cellStyle name="Heading 2 2 8 2 2 8 7" xfId="45875"/>
    <cellStyle name="Heading 2 2 8 2 2 8 7 2" xfId="45876"/>
    <cellStyle name="Heading 2 2 8 2 2 8 7 2 2" xfId="45877"/>
    <cellStyle name="Heading 2 2 8 2 2 8 7 3" xfId="45878"/>
    <cellStyle name="Heading 2 2 8 2 2 8 8" xfId="45879"/>
    <cellStyle name="Heading 2 2 8 2 2 8 8 2" xfId="45880"/>
    <cellStyle name="Heading 2 2 8 2 2 8 9" xfId="45881"/>
    <cellStyle name="Heading 2 2 8 2 2 9" xfId="45882"/>
    <cellStyle name="Heading 2 2 8 2 2 9 2" xfId="45883"/>
    <cellStyle name="Heading 2 2 8 2 2 9 2 2" xfId="45884"/>
    <cellStyle name="Heading 2 2 8 2 2 9 3" xfId="45885"/>
    <cellStyle name="Heading 2 2 8 2 20" xfId="45886"/>
    <cellStyle name="Heading 2 2 8 2 20 2" xfId="45887"/>
    <cellStyle name="Heading 2 2 8 2 21" xfId="45888"/>
    <cellStyle name="Heading 2 2 8 2 21 2" xfId="45889"/>
    <cellStyle name="Heading 2 2 8 2 22" xfId="45890"/>
    <cellStyle name="Heading 2 2 8 2 22 2" xfId="45891"/>
    <cellStyle name="Heading 2 2 8 2 23" xfId="45892"/>
    <cellStyle name="Heading 2 2 8 2 3" xfId="45893"/>
    <cellStyle name="Heading 2 2 8 2 3 2" xfId="45894"/>
    <cellStyle name="Heading 2 2 8 2 3 2 2" xfId="45895"/>
    <cellStyle name="Heading 2 2 8 2 3 2 2 2" xfId="45896"/>
    <cellStyle name="Heading 2 2 8 2 3 2 3" xfId="45897"/>
    <cellStyle name="Heading 2 2 8 2 3 3" xfId="45898"/>
    <cellStyle name="Heading 2 2 8 2 3 3 2" xfId="45899"/>
    <cellStyle name="Heading 2 2 8 2 3 3 2 2" xfId="45900"/>
    <cellStyle name="Heading 2 2 8 2 3 3 3" xfId="45901"/>
    <cellStyle name="Heading 2 2 8 2 3 4" xfId="45902"/>
    <cellStyle name="Heading 2 2 8 2 3 4 2" xfId="45903"/>
    <cellStyle name="Heading 2 2 8 2 3 4 2 2" xfId="45904"/>
    <cellStyle name="Heading 2 2 8 2 3 4 3" xfId="45905"/>
    <cellStyle name="Heading 2 2 8 2 3 5" xfId="45906"/>
    <cellStyle name="Heading 2 2 8 2 3 5 2" xfId="45907"/>
    <cellStyle name="Heading 2 2 8 2 3 5 2 2" xfId="45908"/>
    <cellStyle name="Heading 2 2 8 2 3 5 3" xfId="45909"/>
    <cellStyle name="Heading 2 2 8 2 3 6" xfId="45910"/>
    <cellStyle name="Heading 2 2 8 2 3 6 2" xfId="45911"/>
    <cellStyle name="Heading 2 2 8 2 3 6 2 2" xfId="45912"/>
    <cellStyle name="Heading 2 2 8 2 3 6 3" xfId="45913"/>
    <cellStyle name="Heading 2 2 8 2 3 7" xfId="45914"/>
    <cellStyle name="Heading 2 2 8 2 3 7 2" xfId="45915"/>
    <cellStyle name="Heading 2 2 8 2 3 7 2 2" xfId="45916"/>
    <cellStyle name="Heading 2 2 8 2 3 7 3" xfId="45917"/>
    <cellStyle name="Heading 2 2 8 2 3 8" xfId="45918"/>
    <cellStyle name="Heading 2 2 8 2 3 8 2" xfId="45919"/>
    <cellStyle name="Heading 2 2 8 2 3 9" xfId="45920"/>
    <cellStyle name="Heading 2 2 8 2 4" xfId="45921"/>
    <cellStyle name="Heading 2 2 8 2 4 2" xfId="45922"/>
    <cellStyle name="Heading 2 2 8 2 4 2 2" xfId="45923"/>
    <cellStyle name="Heading 2 2 8 2 4 2 2 2" xfId="45924"/>
    <cellStyle name="Heading 2 2 8 2 4 2 3" xfId="45925"/>
    <cellStyle name="Heading 2 2 8 2 4 3" xfId="45926"/>
    <cellStyle name="Heading 2 2 8 2 4 3 2" xfId="45927"/>
    <cellStyle name="Heading 2 2 8 2 4 3 2 2" xfId="45928"/>
    <cellStyle name="Heading 2 2 8 2 4 3 3" xfId="45929"/>
    <cellStyle name="Heading 2 2 8 2 4 4" xfId="45930"/>
    <cellStyle name="Heading 2 2 8 2 4 4 2" xfId="45931"/>
    <cellStyle name="Heading 2 2 8 2 4 4 2 2" xfId="45932"/>
    <cellStyle name="Heading 2 2 8 2 4 4 3" xfId="45933"/>
    <cellStyle name="Heading 2 2 8 2 4 5" xfId="45934"/>
    <cellStyle name="Heading 2 2 8 2 4 5 2" xfId="45935"/>
    <cellStyle name="Heading 2 2 8 2 4 5 2 2" xfId="45936"/>
    <cellStyle name="Heading 2 2 8 2 4 5 3" xfId="45937"/>
    <cellStyle name="Heading 2 2 8 2 4 6" xfId="45938"/>
    <cellStyle name="Heading 2 2 8 2 4 6 2" xfId="45939"/>
    <cellStyle name="Heading 2 2 8 2 4 6 2 2" xfId="45940"/>
    <cellStyle name="Heading 2 2 8 2 4 6 3" xfId="45941"/>
    <cellStyle name="Heading 2 2 8 2 4 7" xfId="45942"/>
    <cellStyle name="Heading 2 2 8 2 4 7 2" xfId="45943"/>
    <cellStyle name="Heading 2 2 8 2 4 7 2 2" xfId="45944"/>
    <cellStyle name="Heading 2 2 8 2 4 7 3" xfId="45945"/>
    <cellStyle name="Heading 2 2 8 2 4 8" xfId="45946"/>
    <cellStyle name="Heading 2 2 8 2 4 8 2" xfId="45947"/>
    <cellStyle name="Heading 2 2 8 2 4 9" xfId="45948"/>
    <cellStyle name="Heading 2 2 8 2 5" xfId="45949"/>
    <cellStyle name="Heading 2 2 8 2 5 2" xfId="45950"/>
    <cellStyle name="Heading 2 2 8 2 5 2 2" xfId="45951"/>
    <cellStyle name="Heading 2 2 8 2 5 2 2 2" xfId="45952"/>
    <cellStyle name="Heading 2 2 8 2 5 2 3" xfId="45953"/>
    <cellStyle name="Heading 2 2 8 2 5 3" xfId="45954"/>
    <cellStyle name="Heading 2 2 8 2 5 3 2" xfId="45955"/>
    <cellStyle name="Heading 2 2 8 2 5 3 2 2" xfId="45956"/>
    <cellStyle name="Heading 2 2 8 2 5 3 3" xfId="45957"/>
    <cellStyle name="Heading 2 2 8 2 5 4" xfId="45958"/>
    <cellStyle name="Heading 2 2 8 2 5 4 2" xfId="45959"/>
    <cellStyle name="Heading 2 2 8 2 5 4 2 2" xfId="45960"/>
    <cellStyle name="Heading 2 2 8 2 5 4 3" xfId="45961"/>
    <cellStyle name="Heading 2 2 8 2 5 5" xfId="45962"/>
    <cellStyle name="Heading 2 2 8 2 5 5 2" xfId="45963"/>
    <cellStyle name="Heading 2 2 8 2 5 5 2 2" xfId="45964"/>
    <cellStyle name="Heading 2 2 8 2 5 5 3" xfId="45965"/>
    <cellStyle name="Heading 2 2 8 2 5 6" xfId="45966"/>
    <cellStyle name="Heading 2 2 8 2 5 6 2" xfId="45967"/>
    <cellStyle name="Heading 2 2 8 2 5 6 2 2" xfId="45968"/>
    <cellStyle name="Heading 2 2 8 2 5 6 3" xfId="45969"/>
    <cellStyle name="Heading 2 2 8 2 5 7" xfId="45970"/>
    <cellStyle name="Heading 2 2 8 2 5 7 2" xfId="45971"/>
    <cellStyle name="Heading 2 2 8 2 5 7 2 2" xfId="45972"/>
    <cellStyle name="Heading 2 2 8 2 5 7 3" xfId="45973"/>
    <cellStyle name="Heading 2 2 8 2 5 8" xfId="45974"/>
    <cellStyle name="Heading 2 2 8 2 5 8 2" xfId="45975"/>
    <cellStyle name="Heading 2 2 8 2 5 9" xfId="45976"/>
    <cellStyle name="Heading 2 2 8 2 6" xfId="45977"/>
    <cellStyle name="Heading 2 2 8 2 6 2" xfId="45978"/>
    <cellStyle name="Heading 2 2 8 2 6 2 2" xfId="45979"/>
    <cellStyle name="Heading 2 2 8 2 6 2 2 2" xfId="45980"/>
    <cellStyle name="Heading 2 2 8 2 6 2 3" xfId="45981"/>
    <cellStyle name="Heading 2 2 8 2 6 3" xfId="45982"/>
    <cellStyle name="Heading 2 2 8 2 6 3 2" xfId="45983"/>
    <cellStyle name="Heading 2 2 8 2 6 3 2 2" xfId="45984"/>
    <cellStyle name="Heading 2 2 8 2 6 3 3" xfId="45985"/>
    <cellStyle name="Heading 2 2 8 2 6 4" xfId="45986"/>
    <cellStyle name="Heading 2 2 8 2 6 4 2" xfId="45987"/>
    <cellStyle name="Heading 2 2 8 2 6 4 2 2" xfId="45988"/>
    <cellStyle name="Heading 2 2 8 2 6 4 3" xfId="45989"/>
    <cellStyle name="Heading 2 2 8 2 6 5" xfId="45990"/>
    <cellStyle name="Heading 2 2 8 2 6 5 2" xfId="45991"/>
    <cellStyle name="Heading 2 2 8 2 6 5 2 2" xfId="45992"/>
    <cellStyle name="Heading 2 2 8 2 6 5 3" xfId="45993"/>
    <cellStyle name="Heading 2 2 8 2 6 6" xfId="45994"/>
    <cellStyle name="Heading 2 2 8 2 6 6 2" xfId="45995"/>
    <cellStyle name="Heading 2 2 8 2 6 6 2 2" xfId="45996"/>
    <cellStyle name="Heading 2 2 8 2 6 6 3" xfId="45997"/>
    <cellStyle name="Heading 2 2 8 2 6 7" xfId="45998"/>
    <cellStyle name="Heading 2 2 8 2 6 7 2" xfId="45999"/>
    <cellStyle name="Heading 2 2 8 2 6 7 2 2" xfId="46000"/>
    <cellStyle name="Heading 2 2 8 2 6 7 3" xfId="46001"/>
    <cellStyle name="Heading 2 2 8 2 6 8" xfId="46002"/>
    <cellStyle name="Heading 2 2 8 2 6 8 2" xfId="46003"/>
    <cellStyle name="Heading 2 2 8 2 6 9" xfId="46004"/>
    <cellStyle name="Heading 2 2 8 2 7" xfId="46005"/>
    <cellStyle name="Heading 2 2 8 2 7 2" xfId="46006"/>
    <cellStyle name="Heading 2 2 8 2 7 2 2" xfId="46007"/>
    <cellStyle name="Heading 2 2 8 2 7 2 2 2" xfId="46008"/>
    <cellStyle name="Heading 2 2 8 2 7 2 3" xfId="46009"/>
    <cellStyle name="Heading 2 2 8 2 7 3" xfId="46010"/>
    <cellStyle name="Heading 2 2 8 2 7 3 2" xfId="46011"/>
    <cellStyle name="Heading 2 2 8 2 7 3 2 2" xfId="46012"/>
    <cellStyle name="Heading 2 2 8 2 7 3 3" xfId="46013"/>
    <cellStyle name="Heading 2 2 8 2 7 4" xfId="46014"/>
    <cellStyle name="Heading 2 2 8 2 7 4 2" xfId="46015"/>
    <cellStyle name="Heading 2 2 8 2 7 4 2 2" xfId="46016"/>
    <cellStyle name="Heading 2 2 8 2 7 4 3" xfId="46017"/>
    <cellStyle name="Heading 2 2 8 2 7 5" xfId="46018"/>
    <cellStyle name="Heading 2 2 8 2 7 5 2" xfId="46019"/>
    <cellStyle name="Heading 2 2 8 2 7 5 2 2" xfId="46020"/>
    <cellStyle name="Heading 2 2 8 2 7 5 3" xfId="46021"/>
    <cellStyle name="Heading 2 2 8 2 7 6" xfId="46022"/>
    <cellStyle name="Heading 2 2 8 2 7 6 2" xfId="46023"/>
    <cellStyle name="Heading 2 2 8 2 7 6 2 2" xfId="46024"/>
    <cellStyle name="Heading 2 2 8 2 7 6 3" xfId="46025"/>
    <cellStyle name="Heading 2 2 8 2 7 7" xfId="46026"/>
    <cellStyle name="Heading 2 2 8 2 7 7 2" xfId="46027"/>
    <cellStyle name="Heading 2 2 8 2 7 7 2 2" xfId="46028"/>
    <cellStyle name="Heading 2 2 8 2 7 7 3" xfId="46029"/>
    <cellStyle name="Heading 2 2 8 2 7 8" xfId="46030"/>
    <cellStyle name="Heading 2 2 8 2 7 8 2" xfId="46031"/>
    <cellStyle name="Heading 2 2 8 2 7 9" xfId="46032"/>
    <cellStyle name="Heading 2 2 8 2 8" xfId="46033"/>
    <cellStyle name="Heading 2 2 8 2 8 2" xfId="46034"/>
    <cellStyle name="Heading 2 2 8 2 8 2 2" xfId="46035"/>
    <cellStyle name="Heading 2 2 8 2 8 2 2 2" xfId="46036"/>
    <cellStyle name="Heading 2 2 8 2 8 2 3" xfId="46037"/>
    <cellStyle name="Heading 2 2 8 2 8 3" xfId="46038"/>
    <cellStyle name="Heading 2 2 8 2 8 3 2" xfId="46039"/>
    <cellStyle name="Heading 2 2 8 2 8 3 2 2" xfId="46040"/>
    <cellStyle name="Heading 2 2 8 2 8 3 3" xfId="46041"/>
    <cellStyle name="Heading 2 2 8 2 8 4" xfId="46042"/>
    <cellStyle name="Heading 2 2 8 2 8 4 2" xfId="46043"/>
    <cellStyle name="Heading 2 2 8 2 8 4 2 2" xfId="46044"/>
    <cellStyle name="Heading 2 2 8 2 8 4 3" xfId="46045"/>
    <cellStyle name="Heading 2 2 8 2 8 5" xfId="46046"/>
    <cellStyle name="Heading 2 2 8 2 8 5 2" xfId="46047"/>
    <cellStyle name="Heading 2 2 8 2 8 5 2 2" xfId="46048"/>
    <cellStyle name="Heading 2 2 8 2 8 5 3" xfId="46049"/>
    <cellStyle name="Heading 2 2 8 2 8 6" xfId="46050"/>
    <cellStyle name="Heading 2 2 8 2 8 6 2" xfId="46051"/>
    <cellStyle name="Heading 2 2 8 2 8 6 2 2" xfId="46052"/>
    <cellStyle name="Heading 2 2 8 2 8 6 3" xfId="46053"/>
    <cellStyle name="Heading 2 2 8 2 8 7" xfId="46054"/>
    <cellStyle name="Heading 2 2 8 2 8 7 2" xfId="46055"/>
    <cellStyle name="Heading 2 2 8 2 8 7 2 2" xfId="46056"/>
    <cellStyle name="Heading 2 2 8 2 8 7 3" xfId="46057"/>
    <cellStyle name="Heading 2 2 8 2 8 8" xfId="46058"/>
    <cellStyle name="Heading 2 2 8 2 8 8 2" xfId="46059"/>
    <cellStyle name="Heading 2 2 8 2 8 9" xfId="46060"/>
    <cellStyle name="Heading 2 2 8 2 9" xfId="46061"/>
    <cellStyle name="Heading 2 2 8 2 9 2" xfId="46062"/>
    <cellStyle name="Heading 2 2 8 2 9 2 2" xfId="46063"/>
    <cellStyle name="Heading 2 2 8 2 9 2 2 2" xfId="46064"/>
    <cellStyle name="Heading 2 2 8 2 9 2 3" xfId="46065"/>
    <cellStyle name="Heading 2 2 8 2 9 3" xfId="46066"/>
    <cellStyle name="Heading 2 2 8 2 9 3 2" xfId="46067"/>
    <cellStyle name="Heading 2 2 8 2 9 3 2 2" xfId="46068"/>
    <cellStyle name="Heading 2 2 8 2 9 3 3" xfId="46069"/>
    <cellStyle name="Heading 2 2 8 2 9 4" xfId="46070"/>
    <cellStyle name="Heading 2 2 8 2 9 4 2" xfId="46071"/>
    <cellStyle name="Heading 2 2 8 2 9 4 2 2" xfId="46072"/>
    <cellStyle name="Heading 2 2 8 2 9 4 3" xfId="46073"/>
    <cellStyle name="Heading 2 2 8 2 9 5" xfId="46074"/>
    <cellStyle name="Heading 2 2 8 2 9 5 2" xfId="46075"/>
    <cellStyle name="Heading 2 2 8 2 9 5 2 2" xfId="46076"/>
    <cellStyle name="Heading 2 2 8 2 9 5 3" xfId="46077"/>
    <cellStyle name="Heading 2 2 8 2 9 6" xfId="46078"/>
    <cellStyle name="Heading 2 2 8 2 9 6 2" xfId="46079"/>
    <cellStyle name="Heading 2 2 8 2 9 6 2 2" xfId="46080"/>
    <cellStyle name="Heading 2 2 8 2 9 6 3" xfId="46081"/>
    <cellStyle name="Heading 2 2 8 2 9 7" xfId="46082"/>
    <cellStyle name="Heading 2 2 8 2 9 7 2" xfId="46083"/>
    <cellStyle name="Heading 2 2 8 2 9 7 2 2" xfId="46084"/>
    <cellStyle name="Heading 2 2 8 2 9 7 3" xfId="46085"/>
    <cellStyle name="Heading 2 2 8 2 9 8" xfId="46086"/>
    <cellStyle name="Heading 2 2 8 2 9 8 2" xfId="46087"/>
    <cellStyle name="Heading 2 2 8 2 9 9" xfId="46088"/>
    <cellStyle name="Heading 2 2 8 3" xfId="46089"/>
    <cellStyle name="Heading 2 2 8 3 10" xfId="46090"/>
    <cellStyle name="Heading 2 2 8 3 10 2" xfId="46091"/>
    <cellStyle name="Heading 2 2 8 3 10 2 2" xfId="46092"/>
    <cellStyle name="Heading 2 2 8 3 10 3" xfId="46093"/>
    <cellStyle name="Heading 2 2 8 3 11" xfId="46094"/>
    <cellStyle name="Heading 2 2 8 3 11 2" xfId="46095"/>
    <cellStyle name="Heading 2 2 8 3 11 2 2" xfId="46096"/>
    <cellStyle name="Heading 2 2 8 3 11 3" xfId="46097"/>
    <cellStyle name="Heading 2 2 8 3 12" xfId="46098"/>
    <cellStyle name="Heading 2 2 8 3 12 2" xfId="46099"/>
    <cellStyle name="Heading 2 2 8 3 12 2 2" xfId="46100"/>
    <cellStyle name="Heading 2 2 8 3 12 3" xfId="46101"/>
    <cellStyle name="Heading 2 2 8 3 13" xfId="46102"/>
    <cellStyle name="Heading 2 2 8 3 13 2" xfId="46103"/>
    <cellStyle name="Heading 2 2 8 3 13 2 2" xfId="46104"/>
    <cellStyle name="Heading 2 2 8 3 13 3" xfId="46105"/>
    <cellStyle name="Heading 2 2 8 3 14" xfId="46106"/>
    <cellStyle name="Heading 2 2 8 3 14 2" xfId="46107"/>
    <cellStyle name="Heading 2 2 8 3 14 2 2" xfId="46108"/>
    <cellStyle name="Heading 2 2 8 3 14 3" xfId="46109"/>
    <cellStyle name="Heading 2 2 8 3 15" xfId="46110"/>
    <cellStyle name="Heading 2 2 8 3 15 2" xfId="46111"/>
    <cellStyle name="Heading 2 2 8 3 15 2 2" xfId="46112"/>
    <cellStyle name="Heading 2 2 8 3 15 3" xfId="46113"/>
    <cellStyle name="Heading 2 2 8 3 16" xfId="46114"/>
    <cellStyle name="Heading 2 2 8 3 16 2" xfId="46115"/>
    <cellStyle name="Heading 2 2 8 3 16 2 2" xfId="46116"/>
    <cellStyle name="Heading 2 2 8 3 16 3" xfId="46117"/>
    <cellStyle name="Heading 2 2 8 3 17" xfId="46118"/>
    <cellStyle name="Heading 2 2 8 3 17 2" xfId="46119"/>
    <cellStyle name="Heading 2 2 8 3 17 2 2" xfId="46120"/>
    <cellStyle name="Heading 2 2 8 3 17 3" xfId="46121"/>
    <cellStyle name="Heading 2 2 8 3 18" xfId="46122"/>
    <cellStyle name="Heading 2 2 8 3 18 2" xfId="46123"/>
    <cellStyle name="Heading 2 2 8 3 18 2 2" xfId="46124"/>
    <cellStyle name="Heading 2 2 8 3 18 3" xfId="46125"/>
    <cellStyle name="Heading 2 2 8 3 19" xfId="46126"/>
    <cellStyle name="Heading 2 2 8 3 19 2" xfId="46127"/>
    <cellStyle name="Heading 2 2 8 3 2" xfId="46128"/>
    <cellStyle name="Heading 2 2 8 3 2 2" xfId="46129"/>
    <cellStyle name="Heading 2 2 8 3 2 2 2" xfId="46130"/>
    <cellStyle name="Heading 2 2 8 3 2 2 2 2" xfId="46131"/>
    <cellStyle name="Heading 2 2 8 3 2 2 3" xfId="46132"/>
    <cellStyle name="Heading 2 2 8 3 2 3" xfId="46133"/>
    <cellStyle name="Heading 2 2 8 3 2 3 2" xfId="46134"/>
    <cellStyle name="Heading 2 2 8 3 2 3 2 2" xfId="46135"/>
    <cellStyle name="Heading 2 2 8 3 2 3 3" xfId="46136"/>
    <cellStyle name="Heading 2 2 8 3 2 4" xfId="46137"/>
    <cellStyle name="Heading 2 2 8 3 2 4 2" xfId="46138"/>
    <cellStyle name="Heading 2 2 8 3 2 4 2 2" xfId="46139"/>
    <cellStyle name="Heading 2 2 8 3 2 4 3" xfId="46140"/>
    <cellStyle name="Heading 2 2 8 3 2 5" xfId="46141"/>
    <cellStyle name="Heading 2 2 8 3 2 5 2" xfId="46142"/>
    <cellStyle name="Heading 2 2 8 3 2 5 2 2" xfId="46143"/>
    <cellStyle name="Heading 2 2 8 3 2 5 3" xfId="46144"/>
    <cellStyle name="Heading 2 2 8 3 2 6" xfId="46145"/>
    <cellStyle name="Heading 2 2 8 3 2 6 2" xfId="46146"/>
    <cellStyle name="Heading 2 2 8 3 2 6 2 2" xfId="46147"/>
    <cellStyle name="Heading 2 2 8 3 2 6 3" xfId="46148"/>
    <cellStyle name="Heading 2 2 8 3 2 7" xfId="46149"/>
    <cellStyle name="Heading 2 2 8 3 2 7 2" xfId="46150"/>
    <cellStyle name="Heading 2 2 8 3 2 7 2 2" xfId="46151"/>
    <cellStyle name="Heading 2 2 8 3 2 7 3" xfId="46152"/>
    <cellStyle name="Heading 2 2 8 3 2 8" xfId="46153"/>
    <cellStyle name="Heading 2 2 8 3 2 8 2" xfId="46154"/>
    <cellStyle name="Heading 2 2 8 3 2 9" xfId="46155"/>
    <cellStyle name="Heading 2 2 8 3 20" xfId="46156"/>
    <cellStyle name="Heading 2 2 8 3 20 2" xfId="46157"/>
    <cellStyle name="Heading 2 2 8 3 21" xfId="46158"/>
    <cellStyle name="Heading 2 2 8 3 21 2" xfId="46159"/>
    <cellStyle name="Heading 2 2 8 3 22" xfId="46160"/>
    <cellStyle name="Heading 2 2 8 3 3" xfId="46161"/>
    <cellStyle name="Heading 2 2 8 3 3 2" xfId="46162"/>
    <cellStyle name="Heading 2 2 8 3 3 2 2" xfId="46163"/>
    <cellStyle name="Heading 2 2 8 3 3 2 2 2" xfId="46164"/>
    <cellStyle name="Heading 2 2 8 3 3 2 3" xfId="46165"/>
    <cellStyle name="Heading 2 2 8 3 3 3" xfId="46166"/>
    <cellStyle name="Heading 2 2 8 3 3 3 2" xfId="46167"/>
    <cellStyle name="Heading 2 2 8 3 3 3 2 2" xfId="46168"/>
    <cellStyle name="Heading 2 2 8 3 3 3 3" xfId="46169"/>
    <cellStyle name="Heading 2 2 8 3 3 4" xfId="46170"/>
    <cellStyle name="Heading 2 2 8 3 3 4 2" xfId="46171"/>
    <cellStyle name="Heading 2 2 8 3 3 4 2 2" xfId="46172"/>
    <cellStyle name="Heading 2 2 8 3 3 4 3" xfId="46173"/>
    <cellStyle name="Heading 2 2 8 3 3 5" xfId="46174"/>
    <cellStyle name="Heading 2 2 8 3 3 5 2" xfId="46175"/>
    <cellStyle name="Heading 2 2 8 3 3 5 2 2" xfId="46176"/>
    <cellStyle name="Heading 2 2 8 3 3 5 3" xfId="46177"/>
    <cellStyle name="Heading 2 2 8 3 3 6" xfId="46178"/>
    <cellStyle name="Heading 2 2 8 3 3 6 2" xfId="46179"/>
    <cellStyle name="Heading 2 2 8 3 3 6 2 2" xfId="46180"/>
    <cellStyle name="Heading 2 2 8 3 3 6 3" xfId="46181"/>
    <cellStyle name="Heading 2 2 8 3 3 7" xfId="46182"/>
    <cellStyle name="Heading 2 2 8 3 3 7 2" xfId="46183"/>
    <cellStyle name="Heading 2 2 8 3 3 7 2 2" xfId="46184"/>
    <cellStyle name="Heading 2 2 8 3 3 7 3" xfId="46185"/>
    <cellStyle name="Heading 2 2 8 3 3 8" xfId="46186"/>
    <cellStyle name="Heading 2 2 8 3 3 8 2" xfId="46187"/>
    <cellStyle name="Heading 2 2 8 3 3 9" xfId="46188"/>
    <cellStyle name="Heading 2 2 8 3 4" xfId="46189"/>
    <cellStyle name="Heading 2 2 8 3 4 2" xfId="46190"/>
    <cellStyle name="Heading 2 2 8 3 4 2 2" xfId="46191"/>
    <cellStyle name="Heading 2 2 8 3 4 2 2 2" xfId="46192"/>
    <cellStyle name="Heading 2 2 8 3 4 2 3" xfId="46193"/>
    <cellStyle name="Heading 2 2 8 3 4 3" xfId="46194"/>
    <cellStyle name="Heading 2 2 8 3 4 3 2" xfId="46195"/>
    <cellStyle name="Heading 2 2 8 3 4 3 2 2" xfId="46196"/>
    <cellStyle name="Heading 2 2 8 3 4 3 3" xfId="46197"/>
    <cellStyle name="Heading 2 2 8 3 4 4" xfId="46198"/>
    <cellStyle name="Heading 2 2 8 3 4 4 2" xfId="46199"/>
    <cellStyle name="Heading 2 2 8 3 4 4 2 2" xfId="46200"/>
    <cellStyle name="Heading 2 2 8 3 4 4 3" xfId="46201"/>
    <cellStyle name="Heading 2 2 8 3 4 5" xfId="46202"/>
    <cellStyle name="Heading 2 2 8 3 4 5 2" xfId="46203"/>
    <cellStyle name="Heading 2 2 8 3 4 5 2 2" xfId="46204"/>
    <cellStyle name="Heading 2 2 8 3 4 5 3" xfId="46205"/>
    <cellStyle name="Heading 2 2 8 3 4 6" xfId="46206"/>
    <cellStyle name="Heading 2 2 8 3 4 6 2" xfId="46207"/>
    <cellStyle name="Heading 2 2 8 3 4 6 2 2" xfId="46208"/>
    <cellStyle name="Heading 2 2 8 3 4 6 3" xfId="46209"/>
    <cellStyle name="Heading 2 2 8 3 4 7" xfId="46210"/>
    <cellStyle name="Heading 2 2 8 3 4 7 2" xfId="46211"/>
    <cellStyle name="Heading 2 2 8 3 4 7 2 2" xfId="46212"/>
    <cellStyle name="Heading 2 2 8 3 4 7 3" xfId="46213"/>
    <cellStyle name="Heading 2 2 8 3 4 8" xfId="46214"/>
    <cellStyle name="Heading 2 2 8 3 4 8 2" xfId="46215"/>
    <cellStyle name="Heading 2 2 8 3 4 9" xfId="46216"/>
    <cellStyle name="Heading 2 2 8 3 5" xfId="46217"/>
    <cellStyle name="Heading 2 2 8 3 5 2" xfId="46218"/>
    <cellStyle name="Heading 2 2 8 3 5 2 2" xfId="46219"/>
    <cellStyle name="Heading 2 2 8 3 5 2 2 2" xfId="46220"/>
    <cellStyle name="Heading 2 2 8 3 5 2 3" xfId="46221"/>
    <cellStyle name="Heading 2 2 8 3 5 3" xfId="46222"/>
    <cellStyle name="Heading 2 2 8 3 5 3 2" xfId="46223"/>
    <cellStyle name="Heading 2 2 8 3 5 3 2 2" xfId="46224"/>
    <cellStyle name="Heading 2 2 8 3 5 3 3" xfId="46225"/>
    <cellStyle name="Heading 2 2 8 3 5 4" xfId="46226"/>
    <cellStyle name="Heading 2 2 8 3 5 4 2" xfId="46227"/>
    <cellStyle name="Heading 2 2 8 3 5 4 2 2" xfId="46228"/>
    <cellStyle name="Heading 2 2 8 3 5 4 3" xfId="46229"/>
    <cellStyle name="Heading 2 2 8 3 5 5" xfId="46230"/>
    <cellStyle name="Heading 2 2 8 3 5 5 2" xfId="46231"/>
    <cellStyle name="Heading 2 2 8 3 5 5 2 2" xfId="46232"/>
    <cellStyle name="Heading 2 2 8 3 5 5 3" xfId="46233"/>
    <cellStyle name="Heading 2 2 8 3 5 6" xfId="46234"/>
    <cellStyle name="Heading 2 2 8 3 5 6 2" xfId="46235"/>
    <cellStyle name="Heading 2 2 8 3 5 6 2 2" xfId="46236"/>
    <cellStyle name="Heading 2 2 8 3 5 6 3" xfId="46237"/>
    <cellStyle name="Heading 2 2 8 3 5 7" xfId="46238"/>
    <cellStyle name="Heading 2 2 8 3 5 7 2" xfId="46239"/>
    <cellStyle name="Heading 2 2 8 3 5 7 2 2" xfId="46240"/>
    <cellStyle name="Heading 2 2 8 3 5 7 3" xfId="46241"/>
    <cellStyle name="Heading 2 2 8 3 5 8" xfId="46242"/>
    <cellStyle name="Heading 2 2 8 3 5 8 2" xfId="46243"/>
    <cellStyle name="Heading 2 2 8 3 5 9" xfId="46244"/>
    <cellStyle name="Heading 2 2 8 3 6" xfId="46245"/>
    <cellStyle name="Heading 2 2 8 3 6 2" xfId="46246"/>
    <cellStyle name="Heading 2 2 8 3 6 2 2" xfId="46247"/>
    <cellStyle name="Heading 2 2 8 3 6 2 2 2" xfId="46248"/>
    <cellStyle name="Heading 2 2 8 3 6 2 3" xfId="46249"/>
    <cellStyle name="Heading 2 2 8 3 6 3" xfId="46250"/>
    <cellStyle name="Heading 2 2 8 3 6 3 2" xfId="46251"/>
    <cellStyle name="Heading 2 2 8 3 6 3 2 2" xfId="46252"/>
    <cellStyle name="Heading 2 2 8 3 6 3 3" xfId="46253"/>
    <cellStyle name="Heading 2 2 8 3 6 4" xfId="46254"/>
    <cellStyle name="Heading 2 2 8 3 6 4 2" xfId="46255"/>
    <cellStyle name="Heading 2 2 8 3 6 4 2 2" xfId="46256"/>
    <cellStyle name="Heading 2 2 8 3 6 4 3" xfId="46257"/>
    <cellStyle name="Heading 2 2 8 3 6 5" xfId="46258"/>
    <cellStyle name="Heading 2 2 8 3 6 5 2" xfId="46259"/>
    <cellStyle name="Heading 2 2 8 3 6 5 2 2" xfId="46260"/>
    <cellStyle name="Heading 2 2 8 3 6 5 3" xfId="46261"/>
    <cellStyle name="Heading 2 2 8 3 6 6" xfId="46262"/>
    <cellStyle name="Heading 2 2 8 3 6 6 2" xfId="46263"/>
    <cellStyle name="Heading 2 2 8 3 6 6 2 2" xfId="46264"/>
    <cellStyle name="Heading 2 2 8 3 6 6 3" xfId="46265"/>
    <cellStyle name="Heading 2 2 8 3 6 7" xfId="46266"/>
    <cellStyle name="Heading 2 2 8 3 6 7 2" xfId="46267"/>
    <cellStyle name="Heading 2 2 8 3 6 7 2 2" xfId="46268"/>
    <cellStyle name="Heading 2 2 8 3 6 7 3" xfId="46269"/>
    <cellStyle name="Heading 2 2 8 3 6 8" xfId="46270"/>
    <cellStyle name="Heading 2 2 8 3 6 8 2" xfId="46271"/>
    <cellStyle name="Heading 2 2 8 3 6 9" xfId="46272"/>
    <cellStyle name="Heading 2 2 8 3 7" xfId="46273"/>
    <cellStyle name="Heading 2 2 8 3 7 2" xfId="46274"/>
    <cellStyle name="Heading 2 2 8 3 7 2 2" xfId="46275"/>
    <cellStyle name="Heading 2 2 8 3 7 2 2 2" xfId="46276"/>
    <cellStyle name="Heading 2 2 8 3 7 2 3" xfId="46277"/>
    <cellStyle name="Heading 2 2 8 3 7 3" xfId="46278"/>
    <cellStyle name="Heading 2 2 8 3 7 3 2" xfId="46279"/>
    <cellStyle name="Heading 2 2 8 3 7 3 2 2" xfId="46280"/>
    <cellStyle name="Heading 2 2 8 3 7 3 3" xfId="46281"/>
    <cellStyle name="Heading 2 2 8 3 7 4" xfId="46282"/>
    <cellStyle name="Heading 2 2 8 3 7 4 2" xfId="46283"/>
    <cellStyle name="Heading 2 2 8 3 7 4 2 2" xfId="46284"/>
    <cellStyle name="Heading 2 2 8 3 7 4 3" xfId="46285"/>
    <cellStyle name="Heading 2 2 8 3 7 5" xfId="46286"/>
    <cellStyle name="Heading 2 2 8 3 7 5 2" xfId="46287"/>
    <cellStyle name="Heading 2 2 8 3 7 5 2 2" xfId="46288"/>
    <cellStyle name="Heading 2 2 8 3 7 5 3" xfId="46289"/>
    <cellStyle name="Heading 2 2 8 3 7 6" xfId="46290"/>
    <cellStyle name="Heading 2 2 8 3 7 6 2" xfId="46291"/>
    <cellStyle name="Heading 2 2 8 3 7 6 2 2" xfId="46292"/>
    <cellStyle name="Heading 2 2 8 3 7 6 3" xfId="46293"/>
    <cellStyle name="Heading 2 2 8 3 7 7" xfId="46294"/>
    <cellStyle name="Heading 2 2 8 3 7 7 2" xfId="46295"/>
    <cellStyle name="Heading 2 2 8 3 7 7 2 2" xfId="46296"/>
    <cellStyle name="Heading 2 2 8 3 7 7 3" xfId="46297"/>
    <cellStyle name="Heading 2 2 8 3 7 8" xfId="46298"/>
    <cellStyle name="Heading 2 2 8 3 7 8 2" xfId="46299"/>
    <cellStyle name="Heading 2 2 8 3 7 9" xfId="46300"/>
    <cellStyle name="Heading 2 2 8 3 8" xfId="46301"/>
    <cellStyle name="Heading 2 2 8 3 8 2" xfId="46302"/>
    <cellStyle name="Heading 2 2 8 3 8 2 2" xfId="46303"/>
    <cellStyle name="Heading 2 2 8 3 8 2 2 2" xfId="46304"/>
    <cellStyle name="Heading 2 2 8 3 8 2 3" xfId="46305"/>
    <cellStyle name="Heading 2 2 8 3 8 3" xfId="46306"/>
    <cellStyle name="Heading 2 2 8 3 8 3 2" xfId="46307"/>
    <cellStyle name="Heading 2 2 8 3 8 3 2 2" xfId="46308"/>
    <cellStyle name="Heading 2 2 8 3 8 3 3" xfId="46309"/>
    <cellStyle name="Heading 2 2 8 3 8 4" xfId="46310"/>
    <cellStyle name="Heading 2 2 8 3 8 4 2" xfId="46311"/>
    <cellStyle name="Heading 2 2 8 3 8 4 2 2" xfId="46312"/>
    <cellStyle name="Heading 2 2 8 3 8 4 3" xfId="46313"/>
    <cellStyle name="Heading 2 2 8 3 8 5" xfId="46314"/>
    <cellStyle name="Heading 2 2 8 3 8 5 2" xfId="46315"/>
    <cellStyle name="Heading 2 2 8 3 8 5 2 2" xfId="46316"/>
    <cellStyle name="Heading 2 2 8 3 8 5 3" xfId="46317"/>
    <cellStyle name="Heading 2 2 8 3 8 6" xfId="46318"/>
    <cellStyle name="Heading 2 2 8 3 8 6 2" xfId="46319"/>
    <cellStyle name="Heading 2 2 8 3 8 6 2 2" xfId="46320"/>
    <cellStyle name="Heading 2 2 8 3 8 6 3" xfId="46321"/>
    <cellStyle name="Heading 2 2 8 3 8 7" xfId="46322"/>
    <cellStyle name="Heading 2 2 8 3 8 7 2" xfId="46323"/>
    <cellStyle name="Heading 2 2 8 3 8 7 2 2" xfId="46324"/>
    <cellStyle name="Heading 2 2 8 3 8 7 3" xfId="46325"/>
    <cellStyle name="Heading 2 2 8 3 8 8" xfId="46326"/>
    <cellStyle name="Heading 2 2 8 3 8 8 2" xfId="46327"/>
    <cellStyle name="Heading 2 2 8 3 8 9" xfId="46328"/>
    <cellStyle name="Heading 2 2 8 3 9" xfId="46329"/>
    <cellStyle name="Heading 2 2 8 3 9 2" xfId="46330"/>
    <cellStyle name="Heading 2 2 8 3 9 2 2" xfId="46331"/>
    <cellStyle name="Heading 2 2 8 3 9 3" xfId="46332"/>
    <cellStyle name="Heading 2 2 8 4" xfId="46333"/>
    <cellStyle name="Heading 2 2 8 4 2" xfId="46334"/>
    <cellStyle name="Heading 2 2 8 4 2 2" xfId="46335"/>
    <cellStyle name="Heading 2 2 8 4 3" xfId="46336"/>
    <cellStyle name="Heading 2 2 8 5" xfId="46337"/>
    <cellStyle name="Heading 2 2 8 5 2" xfId="46338"/>
    <cellStyle name="Heading 2 2 8 6" xfId="46339"/>
    <cellStyle name="Heading 2 2 9" xfId="46340"/>
    <cellStyle name="Heading 2 2 9 2" xfId="46341"/>
    <cellStyle name="Heading 2 2 9 2 10" xfId="46342"/>
    <cellStyle name="Heading 2 2 9 2 10 2" xfId="46343"/>
    <cellStyle name="Heading 2 2 9 2 10 2 2" xfId="46344"/>
    <cellStyle name="Heading 2 2 9 2 10 3" xfId="46345"/>
    <cellStyle name="Heading 2 2 9 2 11" xfId="46346"/>
    <cellStyle name="Heading 2 2 9 2 11 2" xfId="46347"/>
    <cellStyle name="Heading 2 2 9 2 11 2 2" xfId="46348"/>
    <cellStyle name="Heading 2 2 9 2 11 3" xfId="46349"/>
    <cellStyle name="Heading 2 2 9 2 12" xfId="46350"/>
    <cellStyle name="Heading 2 2 9 2 12 2" xfId="46351"/>
    <cellStyle name="Heading 2 2 9 2 12 2 2" xfId="46352"/>
    <cellStyle name="Heading 2 2 9 2 12 3" xfId="46353"/>
    <cellStyle name="Heading 2 2 9 2 13" xfId="46354"/>
    <cellStyle name="Heading 2 2 9 2 13 2" xfId="46355"/>
    <cellStyle name="Heading 2 2 9 2 13 2 2" xfId="46356"/>
    <cellStyle name="Heading 2 2 9 2 13 3" xfId="46357"/>
    <cellStyle name="Heading 2 2 9 2 14" xfId="46358"/>
    <cellStyle name="Heading 2 2 9 2 14 2" xfId="46359"/>
    <cellStyle name="Heading 2 2 9 2 14 2 2" xfId="46360"/>
    <cellStyle name="Heading 2 2 9 2 14 3" xfId="46361"/>
    <cellStyle name="Heading 2 2 9 2 15" xfId="46362"/>
    <cellStyle name="Heading 2 2 9 2 15 2" xfId="46363"/>
    <cellStyle name="Heading 2 2 9 2 15 2 2" xfId="46364"/>
    <cellStyle name="Heading 2 2 9 2 15 3" xfId="46365"/>
    <cellStyle name="Heading 2 2 9 2 16" xfId="46366"/>
    <cellStyle name="Heading 2 2 9 2 16 2" xfId="46367"/>
    <cellStyle name="Heading 2 2 9 2 16 2 2" xfId="46368"/>
    <cellStyle name="Heading 2 2 9 2 16 3" xfId="46369"/>
    <cellStyle name="Heading 2 2 9 2 17" xfId="46370"/>
    <cellStyle name="Heading 2 2 9 2 17 2" xfId="46371"/>
    <cellStyle name="Heading 2 2 9 2 17 2 2" xfId="46372"/>
    <cellStyle name="Heading 2 2 9 2 17 3" xfId="46373"/>
    <cellStyle name="Heading 2 2 9 2 18" xfId="46374"/>
    <cellStyle name="Heading 2 2 9 2 18 2" xfId="46375"/>
    <cellStyle name="Heading 2 2 9 2 18 2 2" xfId="46376"/>
    <cellStyle name="Heading 2 2 9 2 18 3" xfId="46377"/>
    <cellStyle name="Heading 2 2 9 2 19" xfId="46378"/>
    <cellStyle name="Heading 2 2 9 2 19 2" xfId="46379"/>
    <cellStyle name="Heading 2 2 9 2 19 2 2" xfId="46380"/>
    <cellStyle name="Heading 2 2 9 2 19 3" xfId="46381"/>
    <cellStyle name="Heading 2 2 9 2 2" xfId="46382"/>
    <cellStyle name="Heading 2 2 9 2 2 10" xfId="46383"/>
    <cellStyle name="Heading 2 2 9 2 2 10 2" xfId="46384"/>
    <cellStyle name="Heading 2 2 9 2 2 10 2 2" xfId="46385"/>
    <cellStyle name="Heading 2 2 9 2 2 10 3" xfId="46386"/>
    <cellStyle name="Heading 2 2 9 2 2 11" xfId="46387"/>
    <cellStyle name="Heading 2 2 9 2 2 11 2" xfId="46388"/>
    <cellStyle name="Heading 2 2 9 2 2 11 2 2" xfId="46389"/>
    <cellStyle name="Heading 2 2 9 2 2 11 3" xfId="46390"/>
    <cellStyle name="Heading 2 2 9 2 2 12" xfId="46391"/>
    <cellStyle name="Heading 2 2 9 2 2 12 2" xfId="46392"/>
    <cellStyle name="Heading 2 2 9 2 2 12 2 2" xfId="46393"/>
    <cellStyle name="Heading 2 2 9 2 2 12 3" xfId="46394"/>
    <cellStyle name="Heading 2 2 9 2 2 13" xfId="46395"/>
    <cellStyle name="Heading 2 2 9 2 2 13 2" xfId="46396"/>
    <cellStyle name="Heading 2 2 9 2 2 13 2 2" xfId="46397"/>
    <cellStyle name="Heading 2 2 9 2 2 13 3" xfId="46398"/>
    <cellStyle name="Heading 2 2 9 2 2 14" xfId="46399"/>
    <cellStyle name="Heading 2 2 9 2 2 14 2" xfId="46400"/>
    <cellStyle name="Heading 2 2 9 2 2 14 2 2" xfId="46401"/>
    <cellStyle name="Heading 2 2 9 2 2 14 3" xfId="46402"/>
    <cellStyle name="Heading 2 2 9 2 2 15" xfId="46403"/>
    <cellStyle name="Heading 2 2 9 2 2 15 2" xfId="46404"/>
    <cellStyle name="Heading 2 2 9 2 2 15 2 2" xfId="46405"/>
    <cellStyle name="Heading 2 2 9 2 2 15 3" xfId="46406"/>
    <cellStyle name="Heading 2 2 9 2 2 16" xfId="46407"/>
    <cellStyle name="Heading 2 2 9 2 2 16 2" xfId="46408"/>
    <cellStyle name="Heading 2 2 9 2 2 16 2 2" xfId="46409"/>
    <cellStyle name="Heading 2 2 9 2 2 16 3" xfId="46410"/>
    <cellStyle name="Heading 2 2 9 2 2 17" xfId="46411"/>
    <cellStyle name="Heading 2 2 9 2 2 17 2" xfId="46412"/>
    <cellStyle name="Heading 2 2 9 2 2 17 2 2" xfId="46413"/>
    <cellStyle name="Heading 2 2 9 2 2 17 3" xfId="46414"/>
    <cellStyle name="Heading 2 2 9 2 2 18" xfId="46415"/>
    <cellStyle name="Heading 2 2 9 2 2 18 2" xfId="46416"/>
    <cellStyle name="Heading 2 2 9 2 2 18 2 2" xfId="46417"/>
    <cellStyle name="Heading 2 2 9 2 2 18 3" xfId="46418"/>
    <cellStyle name="Heading 2 2 9 2 2 19" xfId="46419"/>
    <cellStyle name="Heading 2 2 9 2 2 19 2" xfId="46420"/>
    <cellStyle name="Heading 2 2 9 2 2 2" xfId="46421"/>
    <cellStyle name="Heading 2 2 9 2 2 2 2" xfId="46422"/>
    <cellStyle name="Heading 2 2 9 2 2 2 2 2" xfId="46423"/>
    <cellStyle name="Heading 2 2 9 2 2 2 2 2 2" xfId="46424"/>
    <cellStyle name="Heading 2 2 9 2 2 2 2 3" xfId="46425"/>
    <cellStyle name="Heading 2 2 9 2 2 2 3" xfId="46426"/>
    <cellStyle name="Heading 2 2 9 2 2 2 3 2" xfId="46427"/>
    <cellStyle name="Heading 2 2 9 2 2 2 3 2 2" xfId="46428"/>
    <cellStyle name="Heading 2 2 9 2 2 2 3 3" xfId="46429"/>
    <cellStyle name="Heading 2 2 9 2 2 2 4" xfId="46430"/>
    <cellStyle name="Heading 2 2 9 2 2 2 4 2" xfId="46431"/>
    <cellStyle name="Heading 2 2 9 2 2 2 4 2 2" xfId="46432"/>
    <cellStyle name="Heading 2 2 9 2 2 2 4 3" xfId="46433"/>
    <cellStyle name="Heading 2 2 9 2 2 2 5" xfId="46434"/>
    <cellStyle name="Heading 2 2 9 2 2 2 5 2" xfId="46435"/>
    <cellStyle name="Heading 2 2 9 2 2 2 5 2 2" xfId="46436"/>
    <cellStyle name="Heading 2 2 9 2 2 2 5 3" xfId="46437"/>
    <cellStyle name="Heading 2 2 9 2 2 2 6" xfId="46438"/>
    <cellStyle name="Heading 2 2 9 2 2 2 6 2" xfId="46439"/>
    <cellStyle name="Heading 2 2 9 2 2 2 6 2 2" xfId="46440"/>
    <cellStyle name="Heading 2 2 9 2 2 2 6 3" xfId="46441"/>
    <cellStyle name="Heading 2 2 9 2 2 2 7" xfId="46442"/>
    <cellStyle name="Heading 2 2 9 2 2 2 7 2" xfId="46443"/>
    <cellStyle name="Heading 2 2 9 2 2 2 7 2 2" xfId="46444"/>
    <cellStyle name="Heading 2 2 9 2 2 2 7 3" xfId="46445"/>
    <cellStyle name="Heading 2 2 9 2 2 2 8" xfId="46446"/>
    <cellStyle name="Heading 2 2 9 2 2 2 8 2" xfId="46447"/>
    <cellStyle name="Heading 2 2 9 2 2 2 9" xfId="46448"/>
    <cellStyle name="Heading 2 2 9 2 2 20" xfId="46449"/>
    <cellStyle name="Heading 2 2 9 2 2 20 2" xfId="46450"/>
    <cellStyle name="Heading 2 2 9 2 2 21" xfId="46451"/>
    <cellStyle name="Heading 2 2 9 2 2 21 2" xfId="46452"/>
    <cellStyle name="Heading 2 2 9 2 2 22" xfId="46453"/>
    <cellStyle name="Heading 2 2 9 2 2 3" xfId="46454"/>
    <cellStyle name="Heading 2 2 9 2 2 3 2" xfId="46455"/>
    <cellStyle name="Heading 2 2 9 2 2 3 2 2" xfId="46456"/>
    <cellStyle name="Heading 2 2 9 2 2 3 2 2 2" xfId="46457"/>
    <cellStyle name="Heading 2 2 9 2 2 3 2 3" xfId="46458"/>
    <cellStyle name="Heading 2 2 9 2 2 3 3" xfId="46459"/>
    <cellStyle name="Heading 2 2 9 2 2 3 3 2" xfId="46460"/>
    <cellStyle name="Heading 2 2 9 2 2 3 3 2 2" xfId="46461"/>
    <cellStyle name="Heading 2 2 9 2 2 3 3 3" xfId="46462"/>
    <cellStyle name="Heading 2 2 9 2 2 3 4" xfId="46463"/>
    <cellStyle name="Heading 2 2 9 2 2 3 4 2" xfId="46464"/>
    <cellStyle name="Heading 2 2 9 2 2 3 4 2 2" xfId="46465"/>
    <cellStyle name="Heading 2 2 9 2 2 3 4 3" xfId="46466"/>
    <cellStyle name="Heading 2 2 9 2 2 3 5" xfId="46467"/>
    <cellStyle name="Heading 2 2 9 2 2 3 5 2" xfId="46468"/>
    <cellStyle name="Heading 2 2 9 2 2 3 5 2 2" xfId="46469"/>
    <cellStyle name="Heading 2 2 9 2 2 3 5 3" xfId="46470"/>
    <cellStyle name="Heading 2 2 9 2 2 3 6" xfId="46471"/>
    <cellStyle name="Heading 2 2 9 2 2 3 6 2" xfId="46472"/>
    <cellStyle name="Heading 2 2 9 2 2 3 6 2 2" xfId="46473"/>
    <cellStyle name="Heading 2 2 9 2 2 3 6 3" xfId="46474"/>
    <cellStyle name="Heading 2 2 9 2 2 3 7" xfId="46475"/>
    <cellStyle name="Heading 2 2 9 2 2 3 7 2" xfId="46476"/>
    <cellStyle name="Heading 2 2 9 2 2 3 7 2 2" xfId="46477"/>
    <cellStyle name="Heading 2 2 9 2 2 3 7 3" xfId="46478"/>
    <cellStyle name="Heading 2 2 9 2 2 3 8" xfId="46479"/>
    <cellStyle name="Heading 2 2 9 2 2 3 8 2" xfId="46480"/>
    <cellStyle name="Heading 2 2 9 2 2 3 9" xfId="46481"/>
    <cellStyle name="Heading 2 2 9 2 2 4" xfId="46482"/>
    <cellStyle name="Heading 2 2 9 2 2 4 2" xfId="46483"/>
    <cellStyle name="Heading 2 2 9 2 2 4 2 2" xfId="46484"/>
    <cellStyle name="Heading 2 2 9 2 2 4 2 2 2" xfId="46485"/>
    <cellStyle name="Heading 2 2 9 2 2 4 2 3" xfId="46486"/>
    <cellStyle name="Heading 2 2 9 2 2 4 3" xfId="46487"/>
    <cellStyle name="Heading 2 2 9 2 2 4 3 2" xfId="46488"/>
    <cellStyle name="Heading 2 2 9 2 2 4 3 2 2" xfId="46489"/>
    <cellStyle name="Heading 2 2 9 2 2 4 3 3" xfId="46490"/>
    <cellStyle name="Heading 2 2 9 2 2 4 4" xfId="46491"/>
    <cellStyle name="Heading 2 2 9 2 2 4 4 2" xfId="46492"/>
    <cellStyle name="Heading 2 2 9 2 2 4 4 2 2" xfId="46493"/>
    <cellStyle name="Heading 2 2 9 2 2 4 4 3" xfId="46494"/>
    <cellStyle name="Heading 2 2 9 2 2 4 5" xfId="46495"/>
    <cellStyle name="Heading 2 2 9 2 2 4 5 2" xfId="46496"/>
    <cellStyle name="Heading 2 2 9 2 2 4 5 2 2" xfId="46497"/>
    <cellStyle name="Heading 2 2 9 2 2 4 5 3" xfId="46498"/>
    <cellStyle name="Heading 2 2 9 2 2 4 6" xfId="46499"/>
    <cellStyle name="Heading 2 2 9 2 2 4 6 2" xfId="46500"/>
    <cellStyle name="Heading 2 2 9 2 2 4 6 2 2" xfId="46501"/>
    <cellStyle name="Heading 2 2 9 2 2 4 6 3" xfId="46502"/>
    <cellStyle name="Heading 2 2 9 2 2 4 7" xfId="46503"/>
    <cellStyle name="Heading 2 2 9 2 2 4 7 2" xfId="46504"/>
    <cellStyle name="Heading 2 2 9 2 2 4 7 2 2" xfId="46505"/>
    <cellStyle name="Heading 2 2 9 2 2 4 7 3" xfId="46506"/>
    <cellStyle name="Heading 2 2 9 2 2 4 8" xfId="46507"/>
    <cellStyle name="Heading 2 2 9 2 2 4 8 2" xfId="46508"/>
    <cellStyle name="Heading 2 2 9 2 2 4 9" xfId="46509"/>
    <cellStyle name="Heading 2 2 9 2 2 5" xfId="46510"/>
    <cellStyle name="Heading 2 2 9 2 2 5 2" xfId="46511"/>
    <cellStyle name="Heading 2 2 9 2 2 5 2 2" xfId="46512"/>
    <cellStyle name="Heading 2 2 9 2 2 5 2 2 2" xfId="46513"/>
    <cellStyle name="Heading 2 2 9 2 2 5 2 3" xfId="46514"/>
    <cellStyle name="Heading 2 2 9 2 2 5 3" xfId="46515"/>
    <cellStyle name="Heading 2 2 9 2 2 5 3 2" xfId="46516"/>
    <cellStyle name="Heading 2 2 9 2 2 5 3 2 2" xfId="46517"/>
    <cellStyle name="Heading 2 2 9 2 2 5 3 3" xfId="46518"/>
    <cellStyle name="Heading 2 2 9 2 2 5 4" xfId="46519"/>
    <cellStyle name="Heading 2 2 9 2 2 5 4 2" xfId="46520"/>
    <cellStyle name="Heading 2 2 9 2 2 5 4 2 2" xfId="46521"/>
    <cellStyle name="Heading 2 2 9 2 2 5 4 3" xfId="46522"/>
    <cellStyle name="Heading 2 2 9 2 2 5 5" xfId="46523"/>
    <cellStyle name="Heading 2 2 9 2 2 5 5 2" xfId="46524"/>
    <cellStyle name="Heading 2 2 9 2 2 5 5 2 2" xfId="46525"/>
    <cellStyle name="Heading 2 2 9 2 2 5 5 3" xfId="46526"/>
    <cellStyle name="Heading 2 2 9 2 2 5 6" xfId="46527"/>
    <cellStyle name="Heading 2 2 9 2 2 5 6 2" xfId="46528"/>
    <cellStyle name="Heading 2 2 9 2 2 5 6 2 2" xfId="46529"/>
    <cellStyle name="Heading 2 2 9 2 2 5 6 3" xfId="46530"/>
    <cellStyle name="Heading 2 2 9 2 2 5 7" xfId="46531"/>
    <cellStyle name="Heading 2 2 9 2 2 5 7 2" xfId="46532"/>
    <cellStyle name="Heading 2 2 9 2 2 5 7 2 2" xfId="46533"/>
    <cellStyle name="Heading 2 2 9 2 2 5 7 3" xfId="46534"/>
    <cellStyle name="Heading 2 2 9 2 2 5 8" xfId="46535"/>
    <cellStyle name="Heading 2 2 9 2 2 5 8 2" xfId="46536"/>
    <cellStyle name="Heading 2 2 9 2 2 5 9" xfId="46537"/>
    <cellStyle name="Heading 2 2 9 2 2 6" xfId="46538"/>
    <cellStyle name="Heading 2 2 9 2 2 6 2" xfId="46539"/>
    <cellStyle name="Heading 2 2 9 2 2 6 2 2" xfId="46540"/>
    <cellStyle name="Heading 2 2 9 2 2 6 2 2 2" xfId="46541"/>
    <cellStyle name="Heading 2 2 9 2 2 6 2 3" xfId="46542"/>
    <cellStyle name="Heading 2 2 9 2 2 6 3" xfId="46543"/>
    <cellStyle name="Heading 2 2 9 2 2 6 3 2" xfId="46544"/>
    <cellStyle name="Heading 2 2 9 2 2 6 3 2 2" xfId="46545"/>
    <cellStyle name="Heading 2 2 9 2 2 6 3 3" xfId="46546"/>
    <cellStyle name="Heading 2 2 9 2 2 6 4" xfId="46547"/>
    <cellStyle name="Heading 2 2 9 2 2 6 4 2" xfId="46548"/>
    <cellStyle name="Heading 2 2 9 2 2 6 4 2 2" xfId="46549"/>
    <cellStyle name="Heading 2 2 9 2 2 6 4 3" xfId="46550"/>
    <cellStyle name="Heading 2 2 9 2 2 6 5" xfId="46551"/>
    <cellStyle name="Heading 2 2 9 2 2 6 5 2" xfId="46552"/>
    <cellStyle name="Heading 2 2 9 2 2 6 5 2 2" xfId="46553"/>
    <cellStyle name="Heading 2 2 9 2 2 6 5 3" xfId="46554"/>
    <cellStyle name="Heading 2 2 9 2 2 6 6" xfId="46555"/>
    <cellStyle name="Heading 2 2 9 2 2 6 6 2" xfId="46556"/>
    <cellStyle name="Heading 2 2 9 2 2 6 6 2 2" xfId="46557"/>
    <cellStyle name="Heading 2 2 9 2 2 6 6 3" xfId="46558"/>
    <cellStyle name="Heading 2 2 9 2 2 6 7" xfId="46559"/>
    <cellStyle name="Heading 2 2 9 2 2 6 7 2" xfId="46560"/>
    <cellStyle name="Heading 2 2 9 2 2 6 7 2 2" xfId="46561"/>
    <cellStyle name="Heading 2 2 9 2 2 6 7 3" xfId="46562"/>
    <cellStyle name="Heading 2 2 9 2 2 6 8" xfId="46563"/>
    <cellStyle name="Heading 2 2 9 2 2 6 8 2" xfId="46564"/>
    <cellStyle name="Heading 2 2 9 2 2 6 9" xfId="46565"/>
    <cellStyle name="Heading 2 2 9 2 2 7" xfId="46566"/>
    <cellStyle name="Heading 2 2 9 2 2 7 2" xfId="46567"/>
    <cellStyle name="Heading 2 2 9 2 2 7 2 2" xfId="46568"/>
    <cellStyle name="Heading 2 2 9 2 2 7 2 2 2" xfId="46569"/>
    <cellStyle name="Heading 2 2 9 2 2 7 2 3" xfId="46570"/>
    <cellStyle name="Heading 2 2 9 2 2 7 3" xfId="46571"/>
    <cellStyle name="Heading 2 2 9 2 2 7 3 2" xfId="46572"/>
    <cellStyle name="Heading 2 2 9 2 2 7 3 2 2" xfId="46573"/>
    <cellStyle name="Heading 2 2 9 2 2 7 3 3" xfId="46574"/>
    <cellStyle name="Heading 2 2 9 2 2 7 4" xfId="46575"/>
    <cellStyle name="Heading 2 2 9 2 2 7 4 2" xfId="46576"/>
    <cellStyle name="Heading 2 2 9 2 2 7 4 2 2" xfId="46577"/>
    <cellStyle name="Heading 2 2 9 2 2 7 4 3" xfId="46578"/>
    <cellStyle name="Heading 2 2 9 2 2 7 5" xfId="46579"/>
    <cellStyle name="Heading 2 2 9 2 2 7 5 2" xfId="46580"/>
    <cellStyle name="Heading 2 2 9 2 2 7 5 2 2" xfId="46581"/>
    <cellStyle name="Heading 2 2 9 2 2 7 5 3" xfId="46582"/>
    <cellStyle name="Heading 2 2 9 2 2 7 6" xfId="46583"/>
    <cellStyle name="Heading 2 2 9 2 2 7 6 2" xfId="46584"/>
    <cellStyle name="Heading 2 2 9 2 2 7 6 2 2" xfId="46585"/>
    <cellStyle name="Heading 2 2 9 2 2 7 6 3" xfId="46586"/>
    <cellStyle name="Heading 2 2 9 2 2 7 7" xfId="46587"/>
    <cellStyle name="Heading 2 2 9 2 2 7 7 2" xfId="46588"/>
    <cellStyle name="Heading 2 2 9 2 2 7 7 2 2" xfId="46589"/>
    <cellStyle name="Heading 2 2 9 2 2 7 7 3" xfId="46590"/>
    <cellStyle name="Heading 2 2 9 2 2 7 8" xfId="46591"/>
    <cellStyle name="Heading 2 2 9 2 2 7 8 2" xfId="46592"/>
    <cellStyle name="Heading 2 2 9 2 2 7 9" xfId="46593"/>
    <cellStyle name="Heading 2 2 9 2 2 8" xfId="46594"/>
    <cellStyle name="Heading 2 2 9 2 2 8 2" xfId="46595"/>
    <cellStyle name="Heading 2 2 9 2 2 8 2 2" xfId="46596"/>
    <cellStyle name="Heading 2 2 9 2 2 8 2 2 2" xfId="46597"/>
    <cellStyle name="Heading 2 2 9 2 2 8 2 3" xfId="46598"/>
    <cellStyle name="Heading 2 2 9 2 2 8 3" xfId="46599"/>
    <cellStyle name="Heading 2 2 9 2 2 8 3 2" xfId="46600"/>
    <cellStyle name="Heading 2 2 9 2 2 8 3 2 2" xfId="46601"/>
    <cellStyle name="Heading 2 2 9 2 2 8 3 3" xfId="46602"/>
    <cellStyle name="Heading 2 2 9 2 2 8 4" xfId="46603"/>
    <cellStyle name="Heading 2 2 9 2 2 8 4 2" xfId="46604"/>
    <cellStyle name="Heading 2 2 9 2 2 8 4 2 2" xfId="46605"/>
    <cellStyle name="Heading 2 2 9 2 2 8 4 3" xfId="46606"/>
    <cellStyle name="Heading 2 2 9 2 2 8 5" xfId="46607"/>
    <cellStyle name="Heading 2 2 9 2 2 8 5 2" xfId="46608"/>
    <cellStyle name="Heading 2 2 9 2 2 8 5 2 2" xfId="46609"/>
    <cellStyle name="Heading 2 2 9 2 2 8 5 3" xfId="46610"/>
    <cellStyle name="Heading 2 2 9 2 2 8 6" xfId="46611"/>
    <cellStyle name="Heading 2 2 9 2 2 8 6 2" xfId="46612"/>
    <cellStyle name="Heading 2 2 9 2 2 8 6 2 2" xfId="46613"/>
    <cellStyle name="Heading 2 2 9 2 2 8 6 3" xfId="46614"/>
    <cellStyle name="Heading 2 2 9 2 2 8 7" xfId="46615"/>
    <cellStyle name="Heading 2 2 9 2 2 8 7 2" xfId="46616"/>
    <cellStyle name="Heading 2 2 9 2 2 8 7 2 2" xfId="46617"/>
    <cellStyle name="Heading 2 2 9 2 2 8 7 3" xfId="46618"/>
    <cellStyle name="Heading 2 2 9 2 2 8 8" xfId="46619"/>
    <cellStyle name="Heading 2 2 9 2 2 8 8 2" xfId="46620"/>
    <cellStyle name="Heading 2 2 9 2 2 8 9" xfId="46621"/>
    <cellStyle name="Heading 2 2 9 2 2 9" xfId="46622"/>
    <cellStyle name="Heading 2 2 9 2 2 9 2" xfId="46623"/>
    <cellStyle name="Heading 2 2 9 2 2 9 2 2" xfId="46624"/>
    <cellStyle name="Heading 2 2 9 2 2 9 3" xfId="46625"/>
    <cellStyle name="Heading 2 2 9 2 20" xfId="46626"/>
    <cellStyle name="Heading 2 2 9 2 20 2" xfId="46627"/>
    <cellStyle name="Heading 2 2 9 2 21" xfId="46628"/>
    <cellStyle name="Heading 2 2 9 2 21 2" xfId="46629"/>
    <cellStyle name="Heading 2 2 9 2 22" xfId="46630"/>
    <cellStyle name="Heading 2 2 9 2 22 2" xfId="46631"/>
    <cellStyle name="Heading 2 2 9 2 23" xfId="46632"/>
    <cellStyle name="Heading 2 2 9 2 3" xfId="46633"/>
    <cellStyle name="Heading 2 2 9 2 3 2" xfId="46634"/>
    <cellStyle name="Heading 2 2 9 2 3 2 2" xfId="46635"/>
    <cellStyle name="Heading 2 2 9 2 3 2 2 2" xfId="46636"/>
    <cellStyle name="Heading 2 2 9 2 3 2 3" xfId="46637"/>
    <cellStyle name="Heading 2 2 9 2 3 3" xfId="46638"/>
    <cellStyle name="Heading 2 2 9 2 3 3 2" xfId="46639"/>
    <cellStyle name="Heading 2 2 9 2 3 3 2 2" xfId="46640"/>
    <cellStyle name="Heading 2 2 9 2 3 3 3" xfId="46641"/>
    <cellStyle name="Heading 2 2 9 2 3 4" xfId="46642"/>
    <cellStyle name="Heading 2 2 9 2 3 4 2" xfId="46643"/>
    <cellStyle name="Heading 2 2 9 2 3 4 2 2" xfId="46644"/>
    <cellStyle name="Heading 2 2 9 2 3 4 3" xfId="46645"/>
    <cellStyle name="Heading 2 2 9 2 3 5" xfId="46646"/>
    <cellStyle name="Heading 2 2 9 2 3 5 2" xfId="46647"/>
    <cellStyle name="Heading 2 2 9 2 3 5 2 2" xfId="46648"/>
    <cellStyle name="Heading 2 2 9 2 3 5 3" xfId="46649"/>
    <cellStyle name="Heading 2 2 9 2 3 6" xfId="46650"/>
    <cellStyle name="Heading 2 2 9 2 3 6 2" xfId="46651"/>
    <cellStyle name="Heading 2 2 9 2 3 6 2 2" xfId="46652"/>
    <cellStyle name="Heading 2 2 9 2 3 6 3" xfId="46653"/>
    <cellStyle name="Heading 2 2 9 2 3 7" xfId="46654"/>
    <cellStyle name="Heading 2 2 9 2 3 7 2" xfId="46655"/>
    <cellStyle name="Heading 2 2 9 2 3 7 2 2" xfId="46656"/>
    <cellStyle name="Heading 2 2 9 2 3 7 3" xfId="46657"/>
    <cellStyle name="Heading 2 2 9 2 3 8" xfId="46658"/>
    <cellStyle name="Heading 2 2 9 2 3 8 2" xfId="46659"/>
    <cellStyle name="Heading 2 2 9 2 3 9" xfId="46660"/>
    <cellStyle name="Heading 2 2 9 2 4" xfId="46661"/>
    <cellStyle name="Heading 2 2 9 2 4 2" xfId="46662"/>
    <cellStyle name="Heading 2 2 9 2 4 2 2" xfId="46663"/>
    <cellStyle name="Heading 2 2 9 2 4 2 2 2" xfId="46664"/>
    <cellStyle name="Heading 2 2 9 2 4 2 3" xfId="46665"/>
    <cellStyle name="Heading 2 2 9 2 4 3" xfId="46666"/>
    <cellStyle name="Heading 2 2 9 2 4 3 2" xfId="46667"/>
    <cellStyle name="Heading 2 2 9 2 4 3 2 2" xfId="46668"/>
    <cellStyle name="Heading 2 2 9 2 4 3 3" xfId="46669"/>
    <cellStyle name="Heading 2 2 9 2 4 4" xfId="46670"/>
    <cellStyle name="Heading 2 2 9 2 4 4 2" xfId="46671"/>
    <cellStyle name="Heading 2 2 9 2 4 4 2 2" xfId="46672"/>
    <cellStyle name="Heading 2 2 9 2 4 4 3" xfId="46673"/>
    <cellStyle name="Heading 2 2 9 2 4 5" xfId="46674"/>
    <cellStyle name="Heading 2 2 9 2 4 5 2" xfId="46675"/>
    <cellStyle name="Heading 2 2 9 2 4 5 2 2" xfId="46676"/>
    <cellStyle name="Heading 2 2 9 2 4 5 3" xfId="46677"/>
    <cellStyle name="Heading 2 2 9 2 4 6" xfId="46678"/>
    <cellStyle name="Heading 2 2 9 2 4 6 2" xfId="46679"/>
    <cellStyle name="Heading 2 2 9 2 4 6 2 2" xfId="46680"/>
    <cellStyle name="Heading 2 2 9 2 4 6 3" xfId="46681"/>
    <cellStyle name="Heading 2 2 9 2 4 7" xfId="46682"/>
    <cellStyle name="Heading 2 2 9 2 4 7 2" xfId="46683"/>
    <cellStyle name="Heading 2 2 9 2 4 7 2 2" xfId="46684"/>
    <cellStyle name="Heading 2 2 9 2 4 7 3" xfId="46685"/>
    <cellStyle name="Heading 2 2 9 2 4 8" xfId="46686"/>
    <cellStyle name="Heading 2 2 9 2 4 8 2" xfId="46687"/>
    <cellStyle name="Heading 2 2 9 2 4 9" xfId="46688"/>
    <cellStyle name="Heading 2 2 9 2 5" xfId="46689"/>
    <cellStyle name="Heading 2 2 9 2 5 2" xfId="46690"/>
    <cellStyle name="Heading 2 2 9 2 5 2 2" xfId="46691"/>
    <cellStyle name="Heading 2 2 9 2 5 2 2 2" xfId="46692"/>
    <cellStyle name="Heading 2 2 9 2 5 2 3" xfId="46693"/>
    <cellStyle name="Heading 2 2 9 2 5 3" xfId="46694"/>
    <cellStyle name="Heading 2 2 9 2 5 3 2" xfId="46695"/>
    <cellStyle name="Heading 2 2 9 2 5 3 2 2" xfId="46696"/>
    <cellStyle name="Heading 2 2 9 2 5 3 3" xfId="46697"/>
    <cellStyle name="Heading 2 2 9 2 5 4" xfId="46698"/>
    <cellStyle name="Heading 2 2 9 2 5 4 2" xfId="46699"/>
    <cellStyle name="Heading 2 2 9 2 5 4 2 2" xfId="46700"/>
    <cellStyle name="Heading 2 2 9 2 5 4 3" xfId="46701"/>
    <cellStyle name="Heading 2 2 9 2 5 5" xfId="46702"/>
    <cellStyle name="Heading 2 2 9 2 5 5 2" xfId="46703"/>
    <cellStyle name="Heading 2 2 9 2 5 5 2 2" xfId="46704"/>
    <cellStyle name="Heading 2 2 9 2 5 5 3" xfId="46705"/>
    <cellStyle name="Heading 2 2 9 2 5 6" xfId="46706"/>
    <cellStyle name="Heading 2 2 9 2 5 6 2" xfId="46707"/>
    <cellStyle name="Heading 2 2 9 2 5 6 2 2" xfId="46708"/>
    <cellStyle name="Heading 2 2 9 2 5 6 3" xfId="46709"/>
    <cellStyle name="Heading 2 2 9 2 5 7" xfId="46710"/>
    <cellStyle name="Heading 2 2 9 2 5 7 2" xfId="46711"/>
    <cellStyle name="Heading 2 2 9 2 5 7 2 2" xfId="46712"/>
    <cellStyle name="Heading 2 2 9 2 5 7 3" xfId="46713"/>
    <cellStyle name="Heading 2 2 9 2 5 8" xfId="46714"/>
    <cellStyle name="Heading 2 2 9 2 5 8 2" xfId="46715"/>
    <cellStyle name="Heading 2 2 9 2 5 9" xfId="46716"/>
    <cellStyle name="Heading 2 2 9 2 6" xfId="46717"/>
    <cellStyle name="Heading 2 2 9 2 6 2" xfId="46718"/>
    <cellStyle name="Heading 2 2 9 2 6 2 2" xfId="46719"/>
    <cellStyle name="Heading 2 2 9 2 6 2 2 2" xfId="46720"/>
    <cellStyle name="Heading 2 2 9 2 6 2 3" xfId="46721"/>
    <cellStyle name="Heading 2 2 9 2 6 3" xfId="46722"/>
    <cellStyle name="Heading 2 2 9 2 6 3 2" xfId="46723"/>
    <cellStyle name="Heading 2 2 9 2 6 3 2 2" xfId="46724"/>
    <cellStyle name="Heading 2 2 9 2 6 3 3" xfId="46725"/>
    <cellStyle name="Heading 2 2 9 2 6 4" xfId="46726"/>
    <cellStyle name="Heading 2 2 9 2 6 4 2" xfId="46727"/>
    <cellStyle name="Heading 2 2 9 2 6 4 2 2" xfId="46728"/>
    <cellStyle name="Heading 2 2 9 2 6 4 3" xfId="46729"/>
    <cellStyle name="Heading 2 2 9 2 6 5" xfId="46730"/>
    <cellStyle name="Heading 2 2 9 2 6 5 2" xfId="46731"/>
    <cellStyle name="Heading 2 2 9 2 6 5 2 2" xfId="46732"/>
    <cellStyle name="Heading 2 2 9 2 6 5 3" xfId="46733"/>
    <cellStyle name="Heading 2 2 9 2 6 6" xfId="46734"/>
    <cellStyle name="Heading 2 2 9 2 6 6 2" xfId="46735"/>
    <cellStyle name="Heading 2 2 9 2 6 6 2 2" xfId="46736"/>
    <cellStyle name="Heading 2 2 9 2 6 6 3" xfId="46737"/>
    <cellStyle name="Heading 2 2 9 2 6 7" xfId="46738"/>
    <cellStyle name="Heading 2 2 9 2 6 7 2" xfId="46739"/>
    <cellStyle name="Heading 2 2 9 2 6 7 2 2" xfId="46740"/>
    <cellStyle name="Heading 2 2 9 2 6 7 3" xfId="46741"/>
    <cellStyle name="Heading 2 2 9 2 6 8" xfId="46742"/>
    <cellStyle name="Heading 2 2 9 2 6 8 2" xfId="46743"/>
    <cellStyle name="Heading 2 2 9 2 6 9" xfId="46744"/>
    <cellStyle name="Heading 2 2 9 2 7" xfId="46745"/>
    <cellStyle name="Heading 2 2 9 2 7 2" xfId="46746"/>
    <cellStyle name="Heading 2 2 9 2 7 2 2" xfId="46747"/>
    <cellStyle name="Heading 2 2 9 2 7 2 2 2" xfId="46748"/>
    <cellStyle name="Heading 2 2 9 2 7 2 3" xfId="46749"/>
    <cellStyle name="Heading 2 2 9 2 7 3" xfId="46750"/>
    <cellStyle name="Heading 2 2 9 2 7 3 2" xfId="46751"/>
    <cellStyle name="Heading 2 2 9 2 7 3 2 2" xfId="46752"/>
    <cellStyle name="Heading 2 2 9 2 7 3 3" xfId="46753"/>
    <cellStyle name="Heading 2 2 9 2 7 4" xfId="46754"/>
    <cellStyle name="Heading 2 2 9 2 7 4 2" xfId="46755"/>
    <cellStyle name="Heading 2 2 9 2 7 4 2 2" xfId="46756"/>
    <cellStyle name="Heading 2 2 9 2 7 4 3" xfId="46757"/>
    <cellStyle name="Heading 2 2 9 2 7 5" xfId="46758"/>
    <cellStyle name="Heading 2 2 9 2 7 5 2" xfId="46759"/>
    <cellStyle name="Heading 2 2 9 2 7 5 2 2" xfId="46760"/>
    <cellStyle name="Heading 2 2 9 2 7 5 3" xfId="46761"/>
    <cellStyle name="Heading 2 2 9 2 7 6" xfId="46762"/>
    <cellStyle name="Heading 2 2 9 2 7 6 2" xfId="46763"/>
    <cellStyle name="Heading 2 2 9 2 7 6 2 2" xfId="46764"/>
    <cellStyle name="Heading 2 2 9 2 7 6 3" xfId="46765"/>
    <cellStyle name="Heading 2 2 9 2 7 7" xfId="46766"/>
    <cellStyle name="Heading 2 2 9 2 7 7 2" xfId="46767"/>
    <cellStyle name="Heading 2 2 9 2 7 7 2 2" xfId="46768"/>
    <cellStyle name="Heading 2 2 9 2 7 7 3" xfId="46769"/>
    <cellStyle name="Heading 2 2 9 2 7 8" xfId="46770"/>
    <cellStyle name="Heading 2 2 9 2 7 8 2" xfId="46771"/>
    <cellStyle name="Heading 2 2 9 2 7 9" xfId="46772"/>
    <cellStyle name="Heading 2 2 9 2 8" xfId="46773"/>
    <cellStyle name="Heading 2 2 9 2 8 2" xfId="46774"/>
    <cellStyle name="Heading 2 2 9 2 8 2 2" xfId="46775"/>
    <cellStyle name="Heading 2 2 9 2 8 2 2 2" xfId="46776"/>
    <cellStyle name="Heading 2 2 9 2 8 2 3" xfId="46777"/>
    <cellStyle name="Heading 2 2 9 2 8 3" xfId="46778"/>
    <cellStyle name="Heading 2 2 9 2 8 3 2" xfId="46779"/>
    <cellStyle name="Heading 2 2 9 2 8 3 2 2" xfId="46780"/>
    <cellStyle name="Heading 2 2 9 2 8 3 3" xfId="46781"/>
    <cellStyle name="Heading 2 2 9 2 8 4" xfId="46782"/>
    <cellStyle name="Heading 2 2 9 2 8 4 2" xfId="46783"/>
    <cellStyle name="Heading 2 2 9 2 8 4 2 2" xfId="46784"/>
    <cellStyle name="Heading 2 2 9 2 8 4 3" xfId="46785"/>
    <cellStyle name="Heading 2 2 9 2 8 5" xfId="46786"/>
    <cellStyle name="Heading 2 2 9 2 8 5 2" xfId="46787"/>
    <cellStyle name="Heading 2 2 9 2 8 5 2 2" xfId="46788"/>
    <cellStyle name="Heading 2 2 9 2 8 5 3" xfId="46789"/>
    <cellStyle name="Heading 2 2 9 2 8 6" xfId="46790"/>
    <cellStyle name="Heading 2 2 9 2 8 6 2" xfId="46791"/>
    <cellStyle name="Heading 2 2 9 2 8 6 2 2" xfId="46792"/>
    <cellStyle name="Heading 2 2 9 2 8 6 3" xfId="46793"/>
    <cellStyle name="Heading 2 2 9 2 8 7" xfId="46794"/>
    <cellStyle name="Heading 2 2 9 2 8 7 2" xfId="46795"/>
    <cellStyle name="Heading 2 2 9 2 8 7 2 2" xfId="46796"/>
    <cellStyle name="Heading 2 2 9 2 8 7 3" xfId="46797"/>
    <cellStyle name="Heading 2 2 9 2 8 8" xfId="46798"/>
    <cellStyle name="Heading 2 2 9 2 8 8 2" xfId="46799"/>
    <cellStyle name="Heading 2 2 9 2 8 9" xfId="46800"/>
    <cellStyle name="Heading 2 2 9 2 9" xfId="46801"/>
    <cellStyle name="Heading 2 2 9 2 9 2" xfId="46802"/>
    <cellStyle name="Heading 2 2 9 2 9 2 2" xfId="46803"/>
    <cellStyle name="Heading 2 2 9 2 9 2 2 2" xfId="46804"/>
    <cellStyle name="Heading 2 2 9 2 9 2 3" xfId="46805"/>
    <cellStyle name="Heading 2 2 9 2 9 3" xfId="46806"/>
    <cellStyle name="Heading 2 2 9 2 9 3 2" xfId="46807"/>
    <cellStyle name="Heading 2 2 9 2 9 3 2 2" xfId="46808"/>
    <cellStyle name="Heading 2 2 9 2 9 3 3" xfId="46809"/>
    <cellStyle name="Heading 2 2 9 2 9 4" xfId="46810"/>
    <cellStyle name="Heading 2 2 9 2 9 4 2" xfId="46811"/>
    <cellStyle name="Heading 2 2 9 2 9 4 2 2" xfId="46812"/>
    <cellStyle name="Heading 2 2 9 2 9 4 3" xfId="46813"/>
    <cellStyle name="Heading 2 2 9 2 9 5" xfId="46814"/>
    <cellStyle name="Heading 2 2 9 2 9 5 2" xfId="46815"/>
    <cellStyle name="Heading 2 2 9 2 9 5 2 2" xfId="46816"/>
    <cellStyle name="Heading 2 2 9 2 9 5 3" xfId="46817"/>
    <cellStyle name="Heading 2 2 9 2 9 6" xfId="46818"/>
    <cellStyle name="Heading 2 2 9 2 9 6 2" xfId="46819"/>
    <cellStyle name="Heading 2 2 9 2 9 6 2 2" xfId="46820"/>
    <cellStyle name="Heading 2 2 9 2 9 6 3" xfId="46821"/>
    <cellStyle name="Heading 2 2 9 2 9 7" xfId="46822"/>
    <cellStyle name="Heading 2 2 9 2 9 7 2" xfId="46823"/>
    <cellStyle name="Heading 2 2 9 2 9 7 2 2" xfId="46824"/>
    <cellStyle name="Heading 2 2 9 2 9 7 3" xfId="46825"/>
    <cellStyle name="Heading 2 2 9 2 9 8" xfId="46826"/>
    <cellStyle name="Heading 2 2 9 2 9 8 2" xfId="46827"/>
    <cellStyle name="Heading 2 2 9 2 9 9" xfId="46828"/>
    <cellStyle name="Heading 2 2 9 3" xfId="46829"/>
    <cellStyle name="Heading 2 2 9 3 10" xfId="46830"/>
    <cellStyle name="Heading 2 2 9 3 10 2" xfId="46831"/>
    <cellStyle name="Heading 2 2 9 3 10 2 2" xfId="46832"/>
    <cellStyle name="Heading 2 2 9 3 10 3" xfId="46833"/>
    <cellStyle name="Heading 2 2 9 3 11" xfId="46834"/>
    <cellStyle name="Heading 2 2 9 3 11 2" xfId="46835"/>
    <cellStyle name="Heading 2 2 9 3 11 2 2" xfId="46836"/>
    <cellStyle name="Heading 2 2 9 3 11 3" xfId="46837"/>
    <cellStyle name="Heading 2 2 9 3 12" xfId="46838"/>
    <cellStyle name="Heading 2 2 9 3 12 2" xfId="46839"/>
    <cellStyle name="Heading 2 2 9 3 12 2 2" xfId="46840"/>
    <cellStyle name="Heading 2 2 9 3 12 3" xfId="46841"/>
    <cellStyle name="Heading 2 2 9 3 13" xfId="46842"/>
    <cellStyle name="Heading 2 2 9 3 13 2" xfId="46843"/>
    <cellStyle name="Heading 2 2 9 3 13 2 2" xfId="46844"/>
    <cellStyle name="Heading 2 2 9 3 13 3" xfId="46845"/>
    <cellStyle name="Heading 2 2 9 3 14" xfId="46846"/>
    <cellStyle name="Heading 2 2 9 3 14 2" xfId="46847"/>
    <cellStyle name="Heading 2 2 9 3 14 2 2" xfId="46848"/>
    <cellStyle name="Heading 2 2 9 3 14 3" xfId="46849"/>
    <cellStyle name="Heading 2 2 9 3 15" xfId="46850"/>
    <cellStyle name="Heading 2 2 9 3 15 2" xfId="46851"/>
    <cellStyle name="Heading 2 2 9 3 15 2 2" xfId="46852"/>
    <cellStyle name="Heading 2 2 9 3 15 3" xfId="46853"/>
    <cellStyle name="Heading 2 2 9 3 16" xfId="46854"/>
    <cellStyle name="Heading 2 2 9 3 16 2" xfId="46855"/>
    <cellStyle name="Heading 2 2 9 3 16 2 2" xfId="46856"/>
    <cellStyle name="Heading 2 2 9 3 16 3" xfId="46857"/>
    <cellStyle name="Heading 2 2 9 3 17" xfId="46858"/>
    <cellStyle name="Heading 2 2 9 3 17 2" xfId="46859"/>
    <cellStyle name="Heading 2 2 9 3 17 2 2" xfId="46860"/>
    <cellStyle name="Heading 2 2 9 3 17 3" xfId="46861"/>
    <cellStyle name="Heading 2 2 9 3 18" xfId="46862"/>
    <cellStyle name="Heading 2 2 9 3 18 2" xfId="46863"/>
    <cellStyle name="Heading 2 2 9 3 18 2 2" xfId="46864"/>
    <cellStyle name="Heading 2 2 9 3 18 3" xfId="46865"/>
    <cellStyle name="Heading 2 2 9 3 19" xfId="46866"/>
    <cellStyle name="Heading 2 2 9 3 19 2" xfId="46867"/>
    <cellStyle name="Heading 2 2 9 3 2" xfId="46868"/>
    <cellStyle name="Heading 2 2 9 3 2 2" xfId="46869"/>
    <cellStyle name="Heading 2 2 9 3 2 2 2" xfId="46870"/>
    <cellStyle name="Heading 2 2 9 3 2 2 2 2" xfId="46871"/>
    <cellStyle name="Heading 2 2 9 3 2 2 3" xfId="46872"/>
    <cellStyle name="Heading 2 2 9 3 2 3" xfId="46873"/>
    <cellStyle name="Heading 2 2 9 3 2 3 2" xfId="46874"/>
    <cellStyle name="Heading 2 2 9 3 2 3 2 2" xfId="46875"/>
    <cellStyle name="Heading 2 2 9 3 2 3 3" xfId="46876"/>
    <cellStyle name="Heading 2 2 9 3 2 4" xfId="46877"/>
    <cellStyle name="Heading 2 2 9 3 2 4 2" xfId="46878"/>
    <cellStyle name="Heading 2 2 9 3 2 4 2 2" xfId="46879"/>
    <cellStyle name="Heading 2 2 9 3 2 4 3" xfId="46880"/>
    <cellStyle name="Heading 2 2 9 3 2 5" xfId="46881"/>
    <cellStyle name="Heading 2 2 9 3 2 5 2" xfId="46882"/>
    <cellStyle name="Heading 2 2 9 3 2 5 2 2" xfId="46883"/>
    <cellStyle name="Heading 2 2 9 3 2 5 3" xfId="46884"/>
    <cellStyle name="Heading 2 2 9 3 2 6" xfId="46885"/>
    <cellStyle name="Heading 2 2 9 3 2 6 2" xfId="46886"/>
    <cellStyle name="Heading 2 2 9 3 2 6 2 2" xfId="46887"/>
    <cellStyle name="Heading 2 2 9 3 2 6 3" xfId="46888"/>
    <cellStyle name="Heading 2 2 9 3 2 7" xfId="46889"/>
    <cellStyle name="Heading 2 2 9 3 2 7 2" xfId="46890"/>
    <cellStyle name="Heading 2 2 9 3 2 7 2 2" xfId="46891"/>
    <cellStyle name="Heading 2 2 9 3 2 7 3" xfId="46892"/>
    <cellStyle name="Heading 2 2 9 3 2 8" xfId="46893"/>
    <cellStyle name="Heading 2 2 9 3 2 8 2" xfId="46894"/>
    <cellStyle name="Heading 2 2 9 3 2 9" xfId="46895"/>
    <cellStyle name="Heading 2 2 9 3 20" xfId="46896"/>
    <cellStyle name="Heading 2 2 9 3 20 2" xfId="46897"/>
    <cellStyle name="Heading 2 2 9 3 21" xfId="46898"/>
    <cellStyle name="Heading 2 2 9 3 21 2" xfId="46899"/>
    <cellStyle name="Heading 2 2 9 3 22" xfId="46900"/>
    <cellStyle name="Heading 2 2 9 3 3" xfId="46901"/>
    <cellStyle name="Heading 2 2 9 3 3 2" xfId="46902"/>
    <cellStyle name="Heading 2 2 9 3 3 2 2" xfId="46903"/>
    <cellStyle name="Heading 2 2 9 3 3 2 2 2" xfId="46904"/>
    <cellStyle name="Heading 2 2 9 3 3 2 3" xfId="46905"/>
    <cellStyle name="Heading 2 2 9 3 3 3" xfId="46906"/>
    <cellStyle name="Heading 2 2 9 3 3 3 2" xfId="46907"/>
    <cellStyle name="Heading 2 2 9 3 3 3 2 2" xfId="46908"/>
    <cellStyle name="Heading 2 2 9 3 3 3 3" xfId="46909"/>
    <cellStyle name="Heading 2 2 9 3 3 4" xfId="46910"/>
    <cellStyle name="Heading 2 2 9 3 3 4 2" xfId="46911"/>
    <cellStyle name="Heading 2 2 9 3 3 4 2 2" xfId="46912"/>
    <cellStyle name="Heading 2 2 9 3 3 4 3" xfId="46913"/>
    <cellStyle name="Heading 2 2 9 3 3 5" xfId="46914"/>
    <cellStyle name="Heading 2 2 9 3 3 5 2" xfId="46915"/>
    <cellStyle name="Heading 2 2 9 3 3 5 2 2" xfId="46916"/>
    <cellStyle name="Heading 2 2 9 3 3 5 3" xfId="46917"/>
    <cellStyle name="Heading 2 2 9 3 3 6" xfId="46918"/>
    <cellStyle name="Heading 2 2 9 3 3 6 2" xfId="46919"/>
    <cellStyle name="Heading 2 2 9 3 3 6 2 2" xfId="46920"/>
    <cellStyle name="Heading 2 2 9 3 3 6 3" xfId="46921"/>
    <cellStyle name="Heading 2 2 9 3 3 7" xfId="46922"/>
    <cellStyle name="Heading 2 2 9 3 3 7 2" xfId="46923"/>
    <cellStyle name="Heading 2 2 9 3 3 7 2 2" xfId="46924"/>
    <cellStyle name="Heading 2 2 9 3 3 7 3" xfId="46925"/>
    <cellStyle name="Heading 2 2 9 3 3 8" xfId="46926"/>
    <cellStyle name="Heading 2 2 9 3 3 8 2" xfId="46927"/>
    <cellStyle name="Heading 2 2 9 3 3 9" xfId="46928"/>
    <cellStyle name="Heading 2 2 9 3 4" xfId="46929"/>
    <cellStyle name="Heading 2 2 9 3 4 2" xfId="46930"/>
    <cellStyle name="Heading 2 2 9 3 4 2 2" xfId="46931"/>
    <cellStyle name="Heading 2 2 9 3 4 2 2 2" xfId="46932"/>
    <cellStyle name="Heading 2 2 9 3 4 2 3" xfId="46933"/>
    <cellStyle name="Heading 2 2 9 3 4 3" xfId="46934"/>
    <cellStyle name="Heading 2 2 9 3 4 3 2" xfId="46935"/>
    <cellStyle name="Heading 2 2 9 3 4 3 2 2" xfId="46936"/>
    <cellStyle name="Heading 2 2 9 3 4 3 3" xfId="46937"/>
    <cellStyle name="Heading 2 2 9 3 4 4" xfId="46938"/>
    <cellStyle name="Heading 2 2 9 3 4 4 2" xfId="46939"/>
    <cellStyle name="Heading 2 2 9 3 4 4 2 2" xfId="46940"/>
    <cellStyle name="Heading 2 2 9 3 4 4 3" xfId="46941"/>
    <cellStyle name="Heading 2 2 9 3 4 5" xfId="46942"/>
    <cellStyle name="Heading 2 2 9 3 4 5 2" xfId="46943"/>
    <cellStyle name="Heading 2 2 9 3 4 5 2 2" xfId="46944"/>
    <cellStyle name="Heading 2 2 9 3 4 5 3" xfId="46945"/>
    <cellStyle name="Heading 2 2 9 3 4 6" xfId="46946"/>
    <cellStyle name="Heading 2 2 9 3 4 6 2" xfId="46947"/>
    <cellStyle name="Heading 2 2 9 3 4 6 2 2" xfId="46948"/>
    <cellStyle name="Heading 2 2 9 3 4 6 3" xfId="46949"/>
    <cellStyle name="Heading 2 2 9 3 4 7" xfId="46950"/>
    <cellStyle name="Heading 2 2 9 3 4 7 2" xfId="46951"/>
    <cellStyle name="Heading 2 2 9 3 4 7 2 2" xfId="46952"/>
    <cellStyle name="Heading 2 2 9 3 4 7 3" xfId="46953"/>
    <cellStyle name="Heading 2 2 9 3 4 8" xfId="46954"/>
    <cellStyle name="Heading 2 2 9 3 4 8 2" xfId="46955"/>
    <cellStyle name="Heading 2 2 9 3 4 9" xfId="46956"/>
    <cellStyle name="Heading 2 2 9 3 5" xfId="46957"/>
    <cellStyle name="Heading 2 2 9 3 5 2" xfId="46958"/>
    <cellStyle name="Heading 2 2 9 3 5 2 2" xfId="46959"/>
    <cellStyle name="Heading 2 2 9 3 5 2 2 2" xfId="46960"/>
    <cellStyle name="Heading 2 2 9 3 5 2 3" xfId="46961"/>
    <cellStyle name="Heading 2 2 9 3 5 3" xfId="46962"/>
    <cellStyle name="Heading 2 2 9 3 5 3 2" xfId="46963"/>
    <cellStyle name="Heading 2 2 9 3 5 3 2 2" xfId="46964"/>
    <cellStyle name="Heading 2 2 9 3 5 3 3" xfId="46965"/>
    <cellStyle name="Heading 2 2 9 3 5 4" xfId="46966"/>
    <cellStyle name="Heading 2 2 9 3 5 4 2" xfId="46967"/>
    <cellStyle name="Heading 2 2 9 3 5 4 2 2" xfId="46968"/>
    <cellStyle name="Heading 2 2 9 3 5 4 3" xfId="46969"/>
    <cellStyle name="Heading 2 2 9 3 5 5" xfId="46970"/>
    <cellStyle name="Heading 2 2 9 3 5 5 2" xfId="46971"/>
    <cellStyle name="Heading 2 2 9 3 5 5 2 2" xfId="46972"/>
    <cellStyle name="Heading 2 2 9 3 5 5 3" xfId="46973"/>
    <cellStyle name="Heading 2 2 9 3 5 6" xfId="46974"/>
    <cellStyle name="Heading 2 2 9 3 5 6 2" xfId="46975"/>
    <cellStyle name="Heading 2 2 9 3 5 6 2 2" xfId="46976"/>
    <cellStyle name="Heading 2 2 9 3 5 6 3" xfId="46977"/>
    <cellStyle name="Heading 2 2 9 3 5 7" xfId="46978"/>
    <cellStyle name="Heading 2 2 9 3 5 7 2" xfId="46979"/>
    <cellStyle name="Heading 2 2 9 3 5 7 2 2" xfId="46980"/>
    <cellStyle name="Heading 2 2 9 3 5 7 3" xfId="46981"/>
    <cellStyle name="Heading 2 2 9 3 5 8" xfId="46982"/>
    <cellStyle name="Heading 2 2 9 3 5 8 2" xfId="46983"/>
    <cellStyle name="Heading 2 2 9 3 5 9" xfId="46984"/>
    <cellStyle name="Heading 2 2 9 3 6" xfId="46985"/>
    <cellStyle name="Heading 2 2 9 3 6 2" xfId="46986"/>
    <cellStyle name="Heading 2 2 9 3 6 2 2" xfId="46987"/>
    <cellStyle name="Heading 2 2 9 3 6 2 2 2" xfId="46988"/>
    <cellStyle name="Heading 2 2 9 3 6 2 3" xfId="46989"/>
    <cellStyle name="Heading 2 2 9 3 6 3" xfId="46990"/>
    <cellStyle name="Heading 2 2 9 3 6 3 2" xfId="46991"/>
    <cellStyle name="Heading 2 2 9 3 6 3 2 2" xfId="46992"/>
    <cellStyle name="Heading 2 2 9 3 6 3 3" xfId="46993"/>
    <cellStyle name="Heading 2 2 9 3 6 4" xfId="46994"/>
    <cellStyle name="Heading 2 2 9 3 6 4 2" xfId="46995"/>
    <cellStyle name="Heading 2 2 9 3 6 4 2 2" xfId="46996"/>
    <cellStyle name="Heading 2 2 9 3 6 4 3" xfId="46997"/>
    <cellStyle name="Heading 2 2 9 3 6 5" xfId="46998"/>
    <cellStyle name="Heading 2 2 9 3 6 5 2" xfId="46999"/>
    <cellStyle name="Heading 2 2 9 3 6 5 2 2" xfId="47000"/>
    <cellStyle name="Heading 2 2 9 3 6 5 3" xfId="47001"/>
    <cellStyle name="Heading 2 2 9 3 6 6" xfId="47002"/>
    <cellStyle name="Heading 2 2 9 3 6 6 2" xfId="47003"/>
    <cellStyle name="Heading 2 2 9 3 6 6 2 2" xfId="47004"/>
    <cellStyle name="Heading 2 2 9 3 6 6 3" xfId="47005"/>
    <cellStyle name="Heading 2 2 9 3 6 7" xfId="47006"/>
    <cellStyle name="Heading 2 2 9 3 6 7 2" xfId="47007"/>
    <cellStyle name="Heading 2 2 9 3 6 7 2 2" xfId="47008"/>
    <cellStyle name="Heading 2 2 9 3 6 7 3" xfId="47009"/>
    <cellStyle name="Heading 2 2 9 3 6 8" xfId="47010"/>
    <cellStyle name="Heading 2 2 9 3 6 8 2" xfId="47011"/>
    <cellStyle name="Heading 2 2 9 3 6 9" xfId="47012"/>
    <cellStyle name="Heading 2 2 9 3 7" xfId="47013"/>
    <cellStyle name="Heading 2 2 9 3 7 2" xfId="47014"/>
    <cellStyle name="Heading 2 2 9 3 7 2 2" xfId="47015"/>
    <cellStyle name="Heading 2 2 9 3 7 2 2 2" xfId="47016"/>
    <cellStyle name="Heading 2 2 9 3 7 2 3" xfId="47017"/>
    <cellStyle name="Heading 2 2 9 3 7 3" xfId="47018"/>
    <cellStyle name="Heading 2 2 9 3 7 3 2" xfId="47019"/>
    <cellStyle name="Heading 2 2 9 3 7 3 2 2" xfId="47020"/>
    <cellStyle name="Heading 2 2 9 3 7 3 3" xfId="47021"/>
    <cellStyle name="Heading 2 2 9 3 7 4" xfId="47022"/>
    <cellStyle name="Heading 2 2 9 3 7 4 2" xfId="47023"/>
    <cellStyle name="Heading 2 2 9 3 7 4 2 2" xfId="47024"/>
    <cellStyle name="Heading 2 2 9 3 7 4 3" xfId="47025"/>
    <cellStyle name="Heading 2 2 9 3 7 5" xfId="47026"/>
    <cellStyle name="Heading 2 2 9 3 7 5 2" xfId="47027"/>
    <cellStyle name="Heading 2 2 9 3 7 5 2 2" xfId="47028"/>
    <cellStyle name="Heading 2 2 9 3 7 5 3" xfId="47029"/>
    <cellStyle name="Heading 2 2 9 3 7 6" xfId="47030"/>
    <cellStyle name="Heading 2 2 9 3 7 6 2" xfId="47031"/>
    <cellStyle name="Heading 2 2 9 3 7 6 2 2" xfId="47032"/>
    <cellStyle name="Heading 2 2 9 3 7 6 3" xfId="47033"/>
    <cellStyle name="Heading 2 2 9 3 7 7" xfId="47034"/>
    <cellStyle name="Heading 2 2 9 3 7 7 2" xfId="47035"/>
    <cellStyle name="Heading 2 2 9 3 7 7 2 2" xfId="47036"/>
    <cellStyle name="Heading 2 2 9 3 7 7 3" xfId="47037"/>
    <cellStyle name="Heading 2 2 9 3 7 8" xfId="47038"/>
    <cellStyle name="Heading 2 2 9 3 7 8 2" xfId="47039"/>
    <cellStyle name="Heading 2 2 9 3 7 9" xfId="47040"/>
    <cellStyle name="Heading 2 2 9 3 8" xfId="47041"/>
    <cellStyle name="Heading 2 2 9 3 8 2" xfId="47042"/>
    <cellStyle name="Heading 2 2 9 3 8 2 2" xfId="47043"/>
    <cellStyle name="Heading 2 2 9 3 8 2 2 2" xfId="47044"/>
    <cellStyle name="Heading 2 2 9 3 8 2 3" xfId="47045"/>
    <cellStyle name="Heading 2 2 9 3 8 3" xfId="47046"/>
    <cellStyle name="Heading 2 2 9 3 8 3 2" xfId="47047"/>
    <cellStyle name="Heading 2 2 9 3 8 3 2 2" xfId="47048"/>
    <cellStyle name="Heading 2 2 9 3 8 3 3" xfId="47049"/>
    <cellStyle name="Heading 2 2 9 3 8 4" xfId="47050"/>
    <cellStyle name="Heading 2 2 9 3 8 4 2" xfId="47051"/>
    <cellStyle name="Heading 2 2 9 3 8 4 2 2" xfId="47052"/>
    <cellStyle name="Heading 2 2 9 3 8 4 3" xfId="47053"/>
    <cellStyle name="Heading 2 2 9 3 8 5" xfId="47054"/>
    <cellStyle name="Heading 2 2 9 3 8 5 2" xfId="47055"/>
    <cellStyle name="Heading 2 2 9 3 8 5 2 2" xfId="47056"/>
    <cellStyle name="Heading 2 2 9 3 8 5 3" xfId="47057"/>
    <cellStyle name="Heading 2 2 9 3 8 6" xfId="47058"/>
    <cellStyle name="Heading 2 2 9 3 8 6 2" xfId="47059"/>
    <cellStyle name="Heading 2 2 9 3 8 6 2 2" xfId="47060"/>
    <cellStyle name="Heading 2 2 9 3 8 6 3" xfId="47061"/>
    <cellStyle name="Heading 2 2 9 3 8 7" xfId="47062"/>
    <cellStyle name="Heading 2 2 9 3 8 7 2" xfId="47063"/>
    <cellStyle name="Heading 2 2 9 3 8 7 2 2" xfId="47064"/>
    <cellStyle name="Heading 2 2 9 3 8 7 3" xfId="47065"/>
    <cellStyle name="Heading 2 2 9 3 8 8" xfId="47066"/>
    <cellStyle name="Heading 2 2 9 3 8 8 2" xfId="47067"/>
    <cellStyle name="Heading 2 2 9 3 8 9" xfId="47068"/>
    <cellStyle name="Heading 2 2 9 3 9" xfId="47069"/>
    <cellStyle name="Heading 2 2 9 3 9 2" xfId="47070"/>
    <cellStyle name="Heading 2 2 9 3 9 2 2" xfId="47071"/>
    <cellStyle name="Heading 2 2 9 3 9 3" xfId="47072"/>
    <cellStyle name="Heading 2 2 9 4" xfId="47073"/>
    <cellStyle name="Heading 2 2 9 4 2" xfId="47074"/>
    <cellStyle name="Heading 2 2 9 4 2 2" xfId="47075"/>
    <cellStyle name="Heading 2 2 9 4 3" xfId="47076"/>
    <cellStyle name="Heading 2 2 9 5" xfId="47077"/>
    <cellStyle name="Heading 2 2 9 5 2" xfId="47078"/>
    <cellStyle name="Heading 2 2 9 6" xfId="47079"/>
    <cellStyle name="Heading 2 3" xfId="47080"/>
    <cellStyle name="Heading 2 3 2" xfId="47081"/>
    <cellStyle name="Heading 2 3 2 10" xfId="47082"/>
    <cellStyle name="Heading 2 3 2 10 2" xfId="47083"/>
    <cellStyle name="Heading 2 3 2 10 2 2" xfId="47084"/>
    <cellStyle name="Heading 2 3 2 10 3" xfId="47085"/>
    <cellStyle name="Heading 2 3 2 11" xfId="47086"/>
    <cellStyle name="Heading 2 3 2 11 2" xfId="47087"/>
    <cellStyle name="Heading 2 3 2 11 2 2" xfId="47088"/>
    <cellStyle name="Heading 2 3 2 11 3" xfId="47089"/>
    <cellStyle name="Heading 2 3 2 12" xfId="47090"/>
    <cellStyle name="Heading 2 3 2 12 2" xfId="47091"/>
    <cellStyle name="Heading 2 3 2 12 2 2" xfId="47092"/>
    <cellStyle name="Heading 2 3 2 12 3" xfId="47093"/>
    <cellStyle name="Heading 2 3 2 13" xfId="47094"/>
    <cellStyle name="Heading 2 3 2 13 2" xfId="47095"/>
    <cellStyle name="Heading 2 3 2 13 2 2" xfId="47096"/>
    <cellStyle name="Heading 2 3 2 13 3" xfId="47097"/>
    <cellStyle name="Heading 2 3 2 14" xfId="47098"/>
    <cellStyle name="Heading 2 3 2 14 2" xfId="47099"/>
    <cellStyle name="Heading 2 3 2 14 2 2" xfId="47100"/>
    <cellStyle name="Heading 2 3 2 14 3" xfId="47101"/>
    <cellStyle name="Heading 2 3 2 15" xfId="47102"/>
    <cellStyle name="Heading 2 3 2 15 2" xfId="47103"/>
    <cellStyle name="Heading 2 3 2 15 2 2" xfId="47104"/>
    <cellStyle name="Heading 2 3 2 15 3" xfId="47105"/>
    <cellStyle name="Heading 2 3 2 16" xfId="47106"/>
    <cellStyle name="Heading 2 3 2 16 2" xfId="47107"/>
    <cellStyle name="Heading 2 3 2 16 2 2" xfId="47108"/>
    <cellStyle name="Heading 2 3 2 16 3" xfId="47109"/>
    <cellStyle name="Heading 2 3 2 17" xfId="47110"/>
    <cellStyle name="Heading 2 3 2 17 2" xfId="47111"/>
    <cellStyle name="Heading 2 3 2 17 2 2" xfId="47112"/>
    <cellStyle name="Heading 2 3 2 17 3" xfId="47113"/>
    <cellStyle name="Heading 2 3 2 18" xfId="47114"/>
    <cellStyle name="Heading 2 3 2 18 2" xfId="47115"/>
    <cellStyle name="Heading 2 3 2 18 2 2" xfId="47116"/>
    <cellStyle name="Heading 2 3 2 18 3" xfId="47117"/>
    <cellStyle name="Heading 2 3 2 19" xfId="47118"/>
    <cellStyle name="Heading 2 3 2 19 2" xfId="47119"/>
    <cellStyle name="Heading 2 3 2 19 2 2" xfId="47120"/>
    <cellStyle name="Heading 2 3 2 19 3" xfId="47121"/>
    <cellStyle name="Heading 2 3 2 2" xfId="47122"/>
    <cellStyle name="Heading 2 3 2 2 10" xfId="47123"/>
    <cellStyle name="Heading 2 3 2 2 10 2" xfId="47124"/>
    <cellStyle name="Heading 2 3 2 2 10 2 2" xfId="47125"/>
    <cellStyle name="Heading 2 3 2 2 10 3" xfId="47126"/>
    <cellStyle name="Heading 2 3 2 2 11" xfId="47127"/>
    <cellStyle name="Heading 2 3 2 2 11 2" xfId="47128"/>
    <cellStyle name="Heading 2 3 2 2 11 2 2" xfId="47129"/>
    <cellStyle name="Heading 2 3 2 2 11 3" xfId="47130"/>
    <cellStyle name="Heading 2 3 2 2 12" xfId="47131"/>
    <cellStyle name="Heading 2 3 2 2 12 2" xfId="47132"/>
    <cellStyle name="Heading 2 3 2 2 12 2 2" xfId="47133"/>
    <cellStyle name="Heading 2 3 2 2 12 3" xfId="47134"/>
    <cellStyle name="Heading 2 3 2 2 13" xfId="47135"/>
    <cellStyle name="Heading 2 3 2 2 13 2" xfId="47136"/>
    <cellStyle name="Heading 2 3 2 2 13 2 2" xfId="47137"/>
    <cellStyle name="Heading 2 3 2 2 13 3" xfId="47138"/>
    <cellStyle name="Heading 2 3 2 2 14" xfId="47139"/>
    <cellStyle name="Heading 2 3 2 2 14 2" xfId="47140"/>
    <cellStyle name="Heading 2 3 2 2 14 2 2" xfId="47141"/>
    <cellStyle name="Heading 2 3 2 2 14 3" xfId="47142"/>
    <cellStyle name="Heading 2 3 2 2 15" xfId="47143"/>
    <cellStyle name="Heading 2 3 2 2 15 2" xfId="47144"/>
    <cellStyle name="Heading 2 3 2 2 15 2 2" xfId="47145"/>
    <cellStyle name="Heading 2 3 2 2 15 3" xfId="47146"/>
    <cellStyle name="Heading 2 3 2 2 16" xfId="47147"/>
    <cellStyle name="Heading 2 3 2 2 16 2" xfId="47148"/>
    <cellStyle name="Heading 2 3 2 2 16 2 2" xfId="47149"/>
    <cellStyle name="Heading 2 3 2 2 16 3" xfId="47150"/>
    <cellStyle name="Heading 2 3 2 2 17" xfId="47151"/>
    <cellStyle name="Heading 2 3 2 2 17 2" xfId="47152"/>
    <cellStyle name="Heading 2 3 2 2 17 2 2" xfId="47153"/>
    <cellStyle name="Heading 2 3 2 2 17 3" xfId="47154"/>
    <cellStyle name="Heading 2 3 2 2 18" xfId="47155"/>
    <cellStyle name="Heading 2 3 2 2 18 2" xfId="47156"/>
    <cellStyle name="Heading 2 3 2 2 18 2 2" xfId="47157"/>
    <cellStyle name="Heading 2 3 2 2 18 3" xfId="47158"/>
    <cellStyle name="Heading 2 3 2 2 19" xfId="47159"/>
    <cellStyle name="Heading 2 3 2 2 19 2" xfId="47160"/>
    <cellStyle name="Heading 2 3 2 2 2" xfId="47161"/>
    <cellStyle name="Heading 2 3 2 2 2 2" xfId="47162"/>
    <cellStyle name="Heading 2 3 2 2 2 2 2" xfId="47163"/>
    <cellStyle name="Heading 2 3 2 2 2 2 2 2" xfId="47164"/>
    <cellStyle name="Heading 2 3 2 2 2 2 3" xfId="47165"/>
    <cellStyle name="Heading 2 3 2 2 2 3" xfId="47166"/>
    <cellStyle name="Heading 2 3 2 2 2 3 2" xfId="47167"/>
    <cellStyle name="Heading 2 3 2 2 2 3 2 2" xfId="47168"/>
    <cellStyle name="Heading 2 3 2 2 2 3 3" xfId="47169"/>
    <cellStyle name="Heading 2 3 2 2 2 4" xfId="47170"/>
    <cellStyle name="Heading 2 3 2 2 2 4 2" xfId="47171"/>
    <cellStyle name="Heading 2 3 2 2 2 4 2 2" xfId="47172"/>
    <cellStyle name="Heading 2 3 2 2 2 4 3" xfId="47173"/>
    <cellStyle name="Heading 2 3 2 2 2 5" xfId="47174"/>
    <cellStyle name="Heading 2 3 2 2 2 5 2" xfId="47175"/>
    <cellStyle name="Heading 2 3 2 2 2 5 2 2" xfId="47176"/>
    <cellStyle name="Heading 2 3 2 2 2 5 3" xfId="47177"/>
    <cellStyle name="Heading 2 3 2 2 2 6" xfId="47178"/>
    <cellStyle name="Heading 2 3 2 2 2 6 2" xfId="47179"/>
    <cellStyle name="Heading 2 3 2 2 2 6 2 2" xfId="47180"/>
    <cellStyle name="Heading 2 3 2 2 2 6 3" xfId="47181"/>
    <cellStyle name="Heading 2 3 2 2 2 7" xfId="47182"/>
    <cellStyle name="Heading 2 3 2 2 2 7 2" xfId="47183"/>
    <cellStyle name="Heading 2 3 2 2 2 7 2 2" xfId="47184"/>
    <cellStyle name="Heading 2 3 2 2 2 7 3" xfId="47185"/>
    <cellStyle name="Heading 2 3 2 2 2 8" xfId="47186"/>
    <cellStyle name="Heading 2 3 2 2 2 8 2" xfId="47187"/>
    <cellStyle name="Heading 2 3 2 2 2 9" xfId="47188"/>
    <cellStyle name="Heading 2 3 2 2 20" xfId="47189"/>
    <cellStyle name="Heading 2 3 2 2 20 2" xfId="47190"/>
    <cellStyle name="Heading 2 3 2 2 21" xfId="47191"/>
    <cellStyle name="Heading 2 3 2 2 21 2" xfId="47192"/>
    <cellStyle name="Heading 2 3 2 2 22" xfId="47193"/>
    <cellStyle name="Heading 2 3 2 2 3" xfId="47194"/>
    <cellStyle name="Heading 2 3 2 2 3 2" xfId="47195"/>
    <cellStyle name="Heading 2 3 2 2 3 2 2" xfId="47196"/>
    <cellStyle name="Heading 2 3 2 2 3 2 2 2" xfId="47197"/>
    <cellStyle name="Heading 2 3 2 2 3 2 3" xfId="47198"/>
    <cellStyle name="Heading 2 3 2 2 3 3" xfId="47199"/>
    <cellStyle name="Heading 2 3 2 2 3 3 2" xfId="47200"/>
    <cellStyle name="Heading 2 3 2 2 3 3 2 2" xfId="47201"/>
    <cellStyle name="Heading 2 3 2 2 3 3 3" xfId="47202"/>
    <cellStyle name="Heading 2 3 2 2 3 4" xfId="47203"/>
    <cellStyle name="Heading 2 3 2 2 3 4 2" xfId="47204"/>
    <cellStyle name="Heading 2 3 2 2 3 4 2 2" xfId="47205"/>
    <cellStyle name="Heading 2 3 2 2 3 4 3" xfId="47206"/>
    <cellStyle name="Heading 2 3 2 2 3 5" xfId="47207"/>
    <cellStyle name="Heading 2 3 2 2 3 5 2" xfId="47208"/>
    <cellStyle name="Heading 2 3 2 2 3 5 2 2" xfId="47209"/>
    <cellStyle name="Heading 2 3 2 2 3 5 3" xfId="47210"/>
    <cellStyle name="Heading 2 3 2 2 3 6" xfId="47211"/>
    <cellStyle name="Heading 2 3 2 2 3 6 2" xfId="47212"/>
    <cellStyle name="Heading 2 3 2 2 3 6 2 2" xfId="47213"/>
    <cellStyle name="Heading 2 3 2 2 3 6 3" xfId="47214"/>
    <cellStyle name="Heading 2 3 2 2 3 7" xfId="47215"/>
    <cellStyle name="Heading 2 3 2 2 3 7 2" xfId="47216"/>
    <cellStyle name="Heading 2 3 2 2 3 7 2 2" xfId="47217"/>
    <cellStyle name="Heading 2 3 2 2 3 7 3" xfId="47218"/>
    <cellStyle name="Heading 2 3 2 2 3 8" xfId="47219"/>
    <cellStyle name="Heading 2 3 2 2 3 8 2" xfId="47220"/>
    <cellStyle name="Heading 2 3 2 2 3 9" xfId="47221"/>
    <cellStyle name="Heading 2 3 2 2 4" xfId="47222"/>
    <cellStyle name="Heading 2 3 2 2 4 2" xfId="47223"/>
    <cellStyle name="Heading 2 3 2 2 4 2 2" xfId="47224"/>
    <cellStyle name="Heading 2 3 2 2 4 2 2 2" xfId="47225"/>
    <cellStyle name="Heading 2 3 2 2 4 2 3" xfId="47226"/>
    <cellStyle name="Heading 2 3 2 2 4 3" xfId="47227"/>
    <cellStyle name="Heading 2 3 2 2 4 3 2" xfId="47228"/>
    <cellStyle name="Heading 2 3 2 2 4 3 2 2" xfId="47229"/>
    <cellStyle name="Heading 2 3 2 2 4 3 3" xfId="47230"/>
    <cellStyle name="Heading 2 3 2 2 4 4" xfId="47231"/>
    <cellStyle name="Heading 2 3 2 2 4 4 2" xfId="47232"/>
    <cellStyle name="Heading 2 3 2 2 4 4 2 2" xfId="47233"/>
    <cellStyle name="Heading 2 3 2 2 4 4 3" xfId="47234"/>
    <cellStyle name="Heading 2 3 2 2 4 5" xfId="47235"/>
    <cellStyle name="Heading 2 3 2 2 4 5 2" xfId="47236"/>
    <cellStyle name="Heading 2 3 2 2 4 5 2 2" xfId="47237"/>
    <cellStyle name="Heading 2 3 2 2 4 5 3" xfId="47238"/>
    <cellStyle name="Heading 2 3 2 2 4 6" xfId="47239"/>
    <cellStyle name="Heading 2 3 2 2 4 6 2" xfId="47240"/>
    <cellStyle name="Heading 2 3 2 2 4 6 2 2" xfId="47241"/>
    <cellStyle name="Heading 2 3 2 2 4 6 3" xfId="47242"/>
    <cellStyle name="Heading 2 3 2 2 4 7" xfId="47243"/>
    <cellStyle name="Heading 2 3 2 2 4 7 2" xfId="47244"/>
    <cellStyle name="Heading 2 3 2 2 4 7 2 2" xfId="47245"/>
    <cellStyle name="Heading 2 3 2 2 4 7 3" xfId="47246"/>
    <cellStyle name="Heading 2 3 2 2 4 8" xfId="47247"/>
    <cellStyle name="Heading 2 3 2 2 4 8 2" xfId="47248"/>
    <cellStyle name="Heading 2 3 2 2 4 9" xfId="47249"/>
    <cellStyle name="Heading 2 3 2 2 5" xfId="47250"/>
    <cellStyle name="Heading 2 3 2 2 5 2" xfId="47251"/>
    <cellStyle name="Heading 2 3 2 2 5 2 2" xfId="47252"/>
    <cellStyle name="Heading 2 3 2 2 5 2 2 2" xfId="47253"/>
    <cellStyle name="Heading 2 3 2 2 5 2 3" xfId="47254"/>
    <cellStyle name="Heading 2 3 2 2 5 3" xfId="47255"/>
    <cellStyle name="Heading 2 3 2 2 5 3 2" xfId="47256"/>
    <cellStyle name="Heading 2 3 2 2 5 3 2 2" xfId="47257"/>
    <cellStyle name="Heading 2 3 2 2 5 3 3" xfId="47258"/>
    <cellStyle name="Heading 2 3 2 2 5 4" xfId="47259"/>
    <cellStyle name="Heading 2 3 2 2 5 4 2" xfId="47260"/>
    <cellStyle name="Heading 2 3 2 2 5 4 2 2" xfId="47261"/>
    <cellStyle name="Heading 2 3 2 2 5 4 3" xfId="47262"/>
    <cellStyle name="Heading 2 3 2 2 5 5" xfId="47263"/>
    <cellStyle name="Heading 2 3 2 2 5 5 2" xfId="47264"/>
    <cellStyle name="Heading 2 3 2 2 5 5 2 2" xfId="47265"/>
    <cellStyle name="Heading 2 3 2 2 5 5 3" xfId="47266"/>
    <cellStyle name="Heading 2 3 2 2 5 6" xfId="47267"/>
    <cellStyle name="Heading 2 3 2 2 5 6 2" xfId="47268"/>
    <cellStyle name="Heading 2 3 2 2 5 6 2 2" xfId="47269"/>
    <cellStyle name="Heading 2 3 2 2 5 6 3" xfId="47270"/>
    <cellStyle name="Heading 2 3 2 2 5 7" xfId="47271"/>
    <cellStyle name="Heading 2 3 2 2 5 7 2" xfId="47272"/>
    <cellStyle name="Heading 2 3 2 2 5 7 2 2" xfId="47273"/>
    <cellStyle name="Heading 2 3 2 2 5 7 3" xfId="47274"/>
    <cellStyle name="Heading 2 3 2 2 5 8" xfId="47275"/>
    <cellStyle name="Heading 2 3 2 2 5 8 2" xfId="47276"/>
    <cellStyle name="Heading 2 3 2 2 5 9" xfId="47277"/>
    <cellStyle name="Heading 2 3 2 2 6" xfId="47278"/>
    <cellStyle name="Heading 2 3 2 2 6 2" xfId="47279"/>
    <cellStyle name="Heading 2 3 2 2 6 2 2" xfId="47280"/>
    <cellStyle name="Heading 2 3 2 2 6 2 2 2" xfId="47281"/>
    <cellStyle name="Heading 2 3 2 2 6 2 3" xfId="47282"/>
    <cellStyle name="Heading 2 3 2 2 6 3" xfId="47283"/>
    <cellStyle name="Heading 2 3 2 2 6 3 2" xfId="47284"/>
    <cellStyle name="Heading 2 3 2 2 6 3 2 2" xfId="47285"/>
    <cellStyle name="Heading 2 3 2 2 6 3 3" xfId="47286"/>
    <cellStyle name="Heading 2 3 2 2 6 4" xfId="47287"/>
    <cellStyle name="Heading 2 3 2 2 6 4 2" xfId="47288"/>
    <cellStyle name="Heading 2 3 2 2 6 4 2 2" xfId="47289"/>
    <cellStyle name="Heading 2 3 2 2 6 4 3" xfId="47290"/>
    <cellStyle name="Heading 2 3 2 2 6 5" xfId="47291"/>
    <cellStyle name="Heading 2 3 2 2 6 5 2" xfId="47292"/>
    <cellStyle name="Heading 2 3 2 2 6 5 2 2" xfId="47293"/>
    <cellStyle name="Heading 2 3 2 2 6 5 3" xfId="47294"/>
    <cellStyle name="Heading 2 3 2 2 6 6" xfId="47295"/>
    <cellStyle name="Heading 2 3 2 2 6 6 2" xfId="47296"/>
    <cellStyle name="Heading 2 3 2 2 6 6 2 2" xfId="47297"/>
    <cellStyle name="Heading 2 3 2 2 6 6 3" xfId="47298"/>
    <cellStyle name="Heading 2 3 2 2 6 7" xfId="47299"/>
    <cellStyle name="Heading 2 3 2 2 6 7 2" xfId="47300"/>
    <cellStyle name="Heading 2 3 2 2 6 7 2 2" xfId="47301"/>
    <cellStyle name="Heading 2 3 2 2 6 7 3" xfId="47302"/>
    <cellStyle name="Heading 2 3 2 2 6 8" xfId="47303"/>
    <cellStyle name="Heading 2 3 2 2 6 8 2" xfId="47304"/>
    <cellStyle name="Heading 2 3 2 2 6 9" xfId="47305"/>
    <cellStyle name="Heading 2 3 2 2 7" xfId="47306"/>
    <cellStyle name="Heading 2 3 2 2 7 2" xfId="47307"/>
    <cellStyle name="Heading 2 3 2 2 7 2 2" xfId="47308"/>
    <cellStyle name="Heading 2 3 2 2 7 2 2 2" xfId="47309"/>
    <cellStyle name="Heading 2 3 2 2 7 2 3" xfId="47310"/>
    <cellStyle name="Heading 2 3 2 2 7 3" xfId="47311"/>
    <cellStyle name="Heading 2 3 2 2 7 3 2" xfId="47312"/>
    <cellStyle name="Heading 2 3 2 2 7 3 2 2" xfId="47313"/>
    <cellStyle name="Heading 2 3 2 2 7 3 3" xfId="47314"/>
    <cellStyle name="Heading 2 3 2 2 7 4" xfId="47315"/>
    <cellStyle name="Heading 2 3 2 2 7 4 2" xfId="47316"/>
    <cellStyle name="Heading 2 3 2 2 7 4 2 2" xfId="47317"/>
    <cellStyle name="Heading 2 3 2 2 7 4 3" xfId="47318"/>
    <cellStyle name="Heading 2 3 2 2 7 5" xfId="47319"/>
    <cellStyle name="Heading 2 3 2 2 7 5 2" xfId="47320"/>
    <cellStyle name="Heading 2 3 2 2 7 5 2 2" xfId="47321"/>
    <cellStyle name="Heading 2 3 2 2 7 5 3" xfId="47322"/>
    <cellStyle name="Heading 2 3 2 2 7 6" xfId="47323"/>
    <cellStyle name="Heading 2 3 2 2 7 6 2" xfId="47324"/>
    <cellStyle name="Heading 2 3 2 2 7 6 2 2" xfId="47325"/>
    <cellStyle name="Heading 2 3 2 2 7 6 3" xfId="47326"/>
    <cellStyle name="Heading 2 3 2 2 7 7" xfId="47327"/>
    <cellStyle name="Heading 2 3 2 2 7 7 2" xfId="47328"/>
    <cellStyle name="Heading 2 3 2 2 7 7 2 2" xfId="47329"/>
    <cellStyle name="Heading 2 3 2 2 7 7 3" xfId="47330"/>
    <cellStyle name="Heading 2 3 2 2 7 8" xfId="47331"/>
    <cellStyle name="Heading 2 3 2 2 7 8 2" xfId="47332"/>
    <cellStyle name="Heading 2 3 2 2 7 9" xfId="47333"/>
    <cellStyle name="Heading 2 3 2 2 8" xfId="47334"/>
    <cellStyle name="Heading 2 3 2 2 8 2" xfId="47335"/>
    <cellStyle name="Heading 2 3 2 2 8 2 2" xfId="47336"/>
    <cellStyle name="Heading 2 3 2 2 8 2 2 2" xfId="47337"/>
    <cellStyle name="Heading 2 3 2 2 8 2 3" xfId="47338"/>
    <cellStyle name="Heading 2 3 2 2 8 3" xfId="47339"/>
    <cellStyle name="Heading 2 3 2 2 8 3 2" xfId="47340"/>
    <cellStyle name="Heading 2 3 2 2 8 3 2 2" xfId="47341"/>
    <cellStyle name="Heading 2 3 2 2 8 3 3" xfId="47342"/>
    <cellStyle name="Heading 2 3 2 2 8 4" xfId="47343"/>
    <cellStyle name="Heading 2 3 2 2 8 4 2" xfId="47344"/>
    <cellStyle name="Heading 2 3 2 2 8 4 2 2" xfId="47345"/>
    <cellStyle name="Heading 2 3 2 2 8 4 3" xfId="47346"/>
    <cellStyle name="Heading 2 3 2 2 8 5" xfId="47347"/>
    <cellStyle name="Heading 2 3 2 2 8 5 2" xfId="47348"/>
    <cellStyle name="Heading 2 3 2 2 8 5 2 2" xfId="47349"/>
    <cellStyle name="Heading 2 3 2 2 8 5 3" xfId="47350"/>
    <cellStyle name="Heading 2 3 2 2 8 6" xfId="47351"/>
    <cellStyle name="Heading 2 3 2 2 8 6 2" xfId="47352"/>
    <cellStyle name="Heading 2 3 2 2 8 6 2 2" xfId="47353"/>
    <cellStyle name="Heading 2 3 2 2 8 6 3" xfId="47354"/>
    <cellStyle name="Heading 2 3 2 2 8 7" xfId="47355"/>
    <cellStyle name="Heading 2 3 2 2 8 7 2" xfId="47356"/>
    <cellStyle name="Heading 2 3 2 2 8 7 2 2" xfId="47357"/>
    <cellStyle name="Heading 2 3 2 2 8 7 3" xfId="47358"/>
    <cellStyle name="Heading 2 3 2 2 8 8" xfId="47359"/>
    <cellStyle name="Heading 2 3 2 2 8 8 2" xfId="47360"/>
    <cellStyle name="Heading 2 3 2 2 8 9" xfId="47361"/>
    <cellStyle name="Heading 2 3 2 2 9" xfId="47362"/>
    <cellStyle name="Heading 2 3 2 2 9 2" xfId="47363"/>
    <cellStyle name="Heading 2 3 2 2 9 2 2" xfId="47364"/>
    <cellStyle name="Heading 2 3 2 2 9 3" xfId="47365"/>
    <cellStyle name="Heading 2 3 2 20" xfId="47366"/>
    <cellStyle name="Heading 2 3 2 20 2" xfId="47367"/>
    <cellStyle name="Heading 2 3 2 21" xfId="47368"/>
    <cellStyle name="Heading 2 3 2 21 2" xfId="47369"/>
    <cellStyle name="Heading 2 3 2 22" xfId="47370"/>
    <cellStyle name="Heading 2 3 2 22 2" xfId="47371"/>
    <cellStyle name="Heading 2 3 2 23" xfId="47372"/>
    <cellStyle name="Heading 2 3 2 3" xfId="47373"/>
    <cellStyle name="Heading 2 3 2 3 2" xfId="47374"/>
    <cellStyle name="Heading 2 3 2 3 2 2" xfId="47375"/>
    <cellStyle name="Heading 2 3 2 3 2 2 2" xfId="47376"/>
    <cellStyle name="Heading 2 3 2 3 2 3" xfId="47377"/>
    <cellStyle name="Heading 2 3 2 3 3" xfId="47378"/>
    <cellStyle name="Heading 2 3 2 3 3 2" xfId="47379"/>
    <cellStyle name="Heading 2 3 2 3 3 2 2" xfId="47380"/>
    <cellStyle name="Heading 2 3 2 3 3 3" xfId="47381"/>
    <cellStyle name="Heading 2 3 2 3 4" xfId="47382"/>
    <cellStyle name="Heading 2 3 2 3 4 2" xfId="47383"/>
    <cellStyle name="Heading 2 3 2 3 4 2 2" xfId="47384"/>
    <cellStyle name="Heading 2 3 2 3 4 3" xfId="47385"/>
    <cellStyle name="Heading 2 3 2 3 5" xfId="47386"/>
    <cellStyle name="Heading 2 3 2 3 5 2" xfId="47387"/>
    <cellStyle name="Heading 2 3 2 3 5 2 2" xfId="47388"/>
    <cellStyle name="Heading 2 3 2 3 5 3" xfId="47389"/>
    <cellStyle name="Heading 2 3 2 3 6" xfId="47390"/>
    <cellStyle name="Heading 2 3 2 3 6 2" xfId="47391"/>
    <cellStyle name="Heading 2 3 2 3 6 2 2" xfId="47392"/>
    <cellStyle name="Heading 2 3 2 3 6 3" xfId="47393"/>
    <cellStyle name="Heading 2 3 2 3 7" xfId="47394"/>
    <cellStyle name="Heading 2 3 2 3 7 2" xfId="47395"/>
    <cellStyle name="Heading 2 3 2 3 7 2 2" xfId="47396"/>
    <cellStyle name="Heading 2 3 2 3 7 3" xfId="47397"/>
    <cellStyle name="Heading 2 3 2 3 8" xfId="47398"/>
    <cellStyle name="Heading 2 3 2 3 8 2" xfId="47399"/>
    <cellStyle name="Heading 2 3 2 3 9" xfId="47400"/>
    <cellStyle name="Heading 2 3 2 4" xfId="47401"/>
    <cellStyle name="Heading 2 3 2 4 2" xfId="47402"/>
    <cellStyle name="Heading 2 3 2 4 2 2" xfId="47403"/>
    <cellStyle name="Heading 2 3 2 4 2 2 2" xfId="47404"/>
    <cellStyle name="Heading 2 3 2 4 2 3" xfId="47405"/>
    <cellStyle name="Heading 2 3 2 4 3" xfId="47406"/>
    <cellStyle name="Heading 2 3 2 4 3 2" xfId="47407"/>
    <cellStyle name="Heading 2 3 2 4 3 2 2" xfId="47408"/>
    <cellStyle name="Heading 2 3 2 4 3 3" xfId="47409"/>
    <cellStyle name="Heading 2 3 2 4 4" xfId="47410"/>
    <cellStyle name="Heading 2 3 2 4 4 2" xfId="47411"/>
    <cellStyle name="Heading 2 3 2 4 4 2 2" xfId="47412"/>
    <cellStyle name="Heading 2 3 2 4 4 3" xfId="47413"/>
    <cellStyle name="Heading 2 3 2 4 5" xfId="47414"/>
    <cellStyle name="Heading 2 3 2 4 5 2" xfId="47415"/>
    <cellStyle name="Heading 2 3 2 4 5 2 2" xfId="47416"/>
    <cellStyle name="Heading 2 3 2 4 5 3" xfId="47417"/>
    <cellStyle name="Heading 2 3 2 4 6" xfId="47418"/>
    <cellStyle name="Heading 2 3 2 4 6 2" xfId="47419"/>
    <cellStyle name="Heading 2 3 2 4 6 2 2" xfId="47420"/>
    <cellStyle name="Heading 2 3 2 4 6 3" xfId="47421"/>
    <cellStyle name="Heading 2 3 2 4 7" xfId="47422"/>
    <cellStyle name="Heading 2 3 2 4 7 2" xfId="47423"/>
    <cellStyle name="Heading 2 3 2 4 7 2 2" xfId="47424"/>
    <cellStyle name="Heading 2 3 2 4 7 3" xfId="47425"/>
    <cellStyle name="Heading 2 3 2 4 8" xfId="47426"/>
    <cellStyle name="Heading 2 3 2 4 8 2" xfId="47427"/>
    <cellStyle name="Heading 2 3 2 4 9" xfId="47428"/>
    <cellStyle name="Heading 2 3 2 5" xfId="47429"/>
    <cellStyle name="Heading 2 3 2 5 2" xfId="47430"/>
    <cellStyle name="Heading 2 3 2 5 2 2" xfId="47431"/>
    <cellStyle name="Heading 2 3 2 5 2 2 2" xfId="47432"/>
    <cellStyle name="Heading 2 3 2 5 2 3" xfId="47433"/>
    <cellStyle name="Heading 2 3 2 5 3" xfId="47434"/>
    <cellStyle name="Heading 2 3 2 5 3 2" xfId="47435"/>
    <cellStyle name="Heading 2 3 2 5 3 2 2" xfId="47436"/>
    <cellStyle name="Heading 2 3 2 5 3 3" xfId="47437"/>
    <cellStyle name="Heading 2 3 2 5 4" xfId="47438"/>
    <cellStyle name="Heading 2 3 2 5 4 2" xfId="47439"/>
    <cellStyle name="Heading 2 3 2 5 4 2 2" xfId="47440"/>
    <cellStyle name="Heading 2 3 2 5 4 3" xfId="47441"/>
    <cellStyle name="Heading 2 3 2 5 5" xfId="47442"/>
    <cellStyle name="Heading 2 3 2 5 5 2" xfId="47443"/>
    <cellStyle name="Heading 2 3 2 5 5 2 2" xfId="47444"/>
    <cellStyle name="Heading 2 3 2 5 5 3" xfId="47445"/>
    <cellStyle name="Heading 2 3 2 5 6" xfId="47446"/>
    <cellStyle name="Heading 2 3 2 5 6 2" xfId="47447"/>
    <cellStyle name="Heading 2 3 2 5 6 2 2" xfId="47448"/>
    <cellStyle name="Heading 2 3 2 5 6 3" xfId="47449"/>
    <cellStyle name="Heading 2 3 2 5 7" xfId="47450"/>
    <cellStyle name="Heading 2 3 2 5 7 2" xfId="47451"/>
    <cellStyle name="Heading 2 3 2 5 7 2 2" xfId="47452"/>
    <cellStyle name="Heading 2 3 2 5 7 3" xfId="47453"/>
    <cellStyle name="Heading 2 3 2 5 8" xfId="47454"/>
    <cellStyle name="Heading 2 3 2 5 8 2" xfId="47455"/>
    <cellStyle name="Heading 2 3 2 5 9" xfId="47456"/>
    <cellStyle name="Heading 2 3 2 6" xfId="47457"/>
    <cellStyle name="Heading 2 3 2 6 2" xfId="47458"/>
    <cellStyle name="Heading 2 3 2 6 2 2" xfId="47459"/>
    <cellStyle name="Heading 2 3 2 6 2 2 2" xfId="47460"/>
    <cellStyle name="Heading 2 3 2 6 2 3" xfId="47461"/>
    <cellStyle name="Heading 2 3 2 6 3" xfId="47462"/>
    <cellStyle name="Heading 2 3 2 6 3 2" xfId="47463"/>
    <cellStyle name="Heading 2 3 2 6 3 2 2" xfId="47464"/>
    <cellStyle name="Heading 2 3 2 6 3 3" xfId="47465"/>
    <cellStyle name="Heading 2 3 2 6 4" xfId="47466"/>
    <cellStyle name="Heading 2 3 2 6 4 2" xfId="47467"/>
    <cellStyle name="Heading 2 3 2 6 4 2 2" xfId="47468"/>
    <cellStyle name="Heading 2 3 2 6 4 3" xfId="47469"/>
    <cellStyle name="Heading 2 3 2 6 5" xfId="47470"/>
    <cellStyle name="Heading 2 3 2 6 5 2" xfId="47471"/>
    <cellStyle name="Heading 2 3 2 6 5 2 2" xfId="47472"/>
    <cellStyle name="Heading 2 3 2 6 5 3" xfId="47473"/>
    <cellStyle name="Heading 2 3 2 6 6" xfId="47474"/>
    <cellStyle name="Heading 2 3 2 6 6 2" xfId="47475"/>
    <cellStyle name="Heading 2 3 2 6 6 2 2" xfId="47476"/>
    <cellStyle name="Heading 2 3 2 6 6 3" xfId="47477"/>
    <cellStyle name="Heading 2 3 2 6 7" xfId="47478"/>
    <cellStyle name="Heading 2 3 2 6 7 2" xfId="47479"/>
    <cellStyle name="Heading 2 3 2 6 7 2 2" xfId="47480"/>
    <cellStyle name="Heading 2 3 2 6 7 3" xfId="47481"/>
    <cellStyle name="Heading 2 3 2 6 8" xfId="47482"/>
    <cellStyle name="Heading 2 3 2 6 8 2" xfId="47483"/>
    <cellStyle name="Heading 2 3 2 6 9" xfId="47484"/>
    <cellStyle name="Heading 2 3 2 7" xfId="47485"/>
    <cellStyle name="Heading 2 3 2 7 2" xfId="47486"/>
    <cellStyle name="Heading 2 3 2 7 2 2" xfId="47487"/>
    <cellStyle name="Heading 2 3 2 7 2 2 2" xfId="47488"/>
    <cellStyle name="Heading 2 3 2 7 2 3" xfId="47489"/>
    <cellStyle name="Heading 2 3 2 7 3" xfId="47490"/>
    <cellStyle name="Heading 2 3 2 7 3 2" xfId="47491"/>
    <cellStyle name="Heading 2 3 2 7 3 2 2" xfId="47492"/>
    <cellStyle name="Heading 2 3 2 7 3 3" xfId="47493"/>
    <cellStyle name="Heading 2 3 2 7 4" xfId="47494"/>
    <cellStyle name="Heading 2 3 2 7 4 2" xfId="47495"/>
    <cellStyle name="Heading 2 3 2 7 4 2 2" xfId="47496"/>
    <cellStyle name="Heading 2 3 2 7 4 3" xfId="47497"/>
    <cellStyle name="Heading 2 3 2 7 5" xfId="47498"/>
    <cellStyle name="Heading 2 3 2 7 5 2" xfId="47499"/>
    <cellStyle name="Heading 2 3 2 7 5 2 2" xfId="47500"/>
    <cellStyle name="Heading 2 3 2 7 5 3" xfId="47501"/>
    <cellStyle name="Heading 2 3 2 7 6" xfId="47502"/>
    <cellStyle name="Heading 2 3 2 7 6 2" xfId="47503"/>
    <cellStyle name="Heading 2 3 2 7 6 2 2" xfId="47504"/>
    <cellStyle name="Heading 2 3 2 7 6 3" xfId="47505"/>
    <cellStyle name="Heading 2 3 2 7 7" xfId="47506"/>
    <cellStyle name="Heading 2 3 2 7 7 2" xfId="47507"/>
    <cellStyle name="Heading 2 3 2 7 7 2 2" xfId="47508"/>
    <cellStyle name="Heading 2 3 2 7 7 3" xfId="47509"/>
    <cellStyle name="Heading 2 3 2 7 8" xfId="47510"/>
    <cellStyle name="Heading 2 3 2 7 8 2" xfId="47511"/>
    <cellStyle name="Heading 2 3 2 7 9" xfId="47512"/>
    <cellStyle name="Heading 2 3 2 8" xfId="47513"/>
    <cellStyle name="Heading 2 3 2 8 2" xfId="47514"/>
    <cellStyle name="Heading 2 3 2 8 2 2" xfId="47515"/>
    <cellStyle name="Heading 2 3 2 8 2 2 2" xfId="47516"/>
    <cellStyle name="Heading 2 3 2 8 2 3" xfId="47517"/>
    <cellStyle name="Heading 2 3 2 8 3" xfId="47518"/>
    <cellStyle name="Heading 2 3 2 8 3 2" xfId="47519"/>
    <cellStyle name="Heading 2 3 2 8 3 2 2" xfId="47520"/>
    <cellStyle name="Heading 2 3 2 8 3 3" xfId="47521"/>
    <cellStyle name="Heading 2 3 2 8 4" xfId="47522"/>
    <cellStyle name="Heading 2 3 2 8 4 2" xfId="47523"/>
    <cellStyle name="Heading 2 3 2 8 4 2 2" xfId="47524"/>
    <cellStyle name="Heading 2 3 2 8 4 3" xfId="47525"/>
    <cellStyle name="Heading 2 3 2 8 5" xfId="47526"/>
    <cellStyle name="Heading 2 3 2 8 5 2" xfId="47527"/>
    <cellStyle name="Heading 2 3 2 8 5 2 2" xfId="47528"/>
    <cellStyle name="Heading 2 3 2 8 5 3" xfId="47529"/>
    <cellStyle name="Heading 2 3 2 8 6" xfId="47530"/>
    <cellStyle name="Heading 2 3 2 8 6 2" xfId="47531"/>
    <cellStyle name="Heading 2 3 2 8 6 2 2" xfId="47532"/>
    <cellStyle name="Heading 2 3 2 8 6 3" xfId="47533"/>
    <cellStyle name="Heading 2 3 2 8 7" xfId="47534"/>
    <cellStyle name="Heading 2 3 2 8 7 2" xfId="47535"/>
    <cellStyle name="Heading 2 3 2 8 7 2 2" xfId="47536"/>
    <cellStyle name="Heading 2 3 2 8 7 3" xfId="47537"/>
    <cellStyle name="Heading 2 3 2 8 8" xfId="47538"/>
    <cellStyle name="Heading 2 3 2 8 8 2" xfId="47539"/>
    <cellStyle name="Heading 2 3 2 8 9" xfId="47540"/>
    <cellStyle name="Heading 2 3 2 9" xfId="47541"/>
    <cellStyle name="Heading 2 3 2 9 2" xfId="47542"/>
    <cellStyle name="Heading 2 3 2 9 2 2" xfId="47543"/>
    <cellStyle name="Heading 2 3 2 9 2 2 2" xfId="47544"/>
    <cellStyle name="Heading 2 3 2 9 2 3" xfId="47545"/>
    <cellStyle name="Heading 2 3 2 9 3" xfId="47546"/>
    <cellStyle name="Heading 2 3 2 9 3 2" xfId="47547"/>
    <cellStyle name="Heading 2 3 2 9 3 2 2" xfId="47548"/>
    <cellStyle name="Heading 2 3 2 9 3 3" xfId="47549"/>
    <cellStyle name="Heading 2 3 2 9 4" xfId="47550"/>
    <cellStyle name="Heading 2 3 2 9 4 2" xfId="47551"/>
    <cellStyle name="Heading 2 3 2 9 4 2 2" xfId="47552"/>
    <cellStyle name="Heading 2 3 2 9 4 3" xfId="47553"/>
    <cellStyle name="Heading 2 3 2 9 5" xfId="47554"/>
    <cellStyle name="Heading 2 3 2 9 5 2" xfId="47555"/>
    <cellStyle name="Heading 2 3 2 9 5 2 2" xfId="47556"/>
    <cellStyle name="Heading 2 3 2 9 5 3" xfId="47557"/>
    <cellStyle name="Heading 2 3 2 9 6" xfId="47558"/>
    <cellStyle name="Heading 2 3 2 9 6 2" xfId="47559"/>
    <cellStyle name="Heading 2 3 2 9 6 2 2" xfId="47560"/>
    <cellStyle name="Heading 2 3 2 9 6 3" xfId="47561"/>
    <cellStyle name="Heading 2 3 2 9 7" xfId="47562"/>
    <cellStyle name="Heading 2 3 2 9 7 2" xfId="47563"/>
    <cellStyle name="Heading 2 3 2 9 7 2 2" xfId="47564"/>
    <cellStyle name="Heading 2 3 2 9 7 3" xfId="47565"/>
    <cellStyle name="Heading 2 3 2 9 8" xfId="47566"/>
    <cellStyle name="Heading 2 3 2 9 8 2" xfId="47567"/>
    <cellStyle name="Heading 2 3 2 9 9" xfId="47568"/>
    <cellStyle name="Heading 2 3 3" xfId="47569"/>
    <cellStyle name="Heading 2 3 4" xfId="47570"/>
    <cellStyle name="Heading 2 4" xfId="47571"/>
    <cellStyle name="Heading 2 4 2" xfId="47572"/>
    <cellStyle name="Heading 2 5" xfId="47573"/>
    <cellStyle name="Heading 2 6" xfId="47574"/>
    <cellStyle name="Heading 2 6 2" xfId="47575"/>
    <cellStyle name="Heading 2 7" xfId="47576"/>
    <cellStyle name="Heading 2 8" xfId="47577"/>
    <cellStyle name="Heading 2 9" xfId="47578"/>
    <cellStyle name="Heading 3 10" xfId="47579"/>
    <cellStyle name="Heading 3 2" xfId="47580"/>
    <cellStyle name="Heading 3 2 2" xfId="47581"/>
    <cellStyle name="Heading 3 2 2 2" xfId="47582"/>
    <cellStyle name="Heading 3 2 2 3" xfId="47583"/>
    <cellStyle name="Heading 3 2 3" xfId="47584"/>
    <cellStyle name="Heading 3 2 4" xfId="47585"/>
    <cellStyle name="Heading 3 3" xfId="47586"/>
    <cellStyle name="Heading 3 3 2" xfId="47587"/>
    <cellStyle name="Heading 3 3 3" xfId="47588"/>
    <cellStyle name="Heading 3 4" xfId="47589"/>
    <cellStyle name="Heading 3 4 2" xfId="47590"/>
    <cellStyle name="Heading 3 5" xfId="47591"/>
    <cellStyle name="Heading 3 6" xfId="47592"/>
    <cellStyle name="Heading 3 6 2" xfId="47593"/>
    <cellStyle name="Heading 3 7" xfId="47594"/>
    <cellStyle name="Heading 3 8" xfId="47595"/>
    <cellStyle name="Heading 3 9" xfId="47596"/>
    <cellStyle name="Heading 4 10" xfId="47597"/>
    <cellStyle name="Heading 4 2" xfId="47598"/>
    <cellStyle name="Heading 4 2 2" xfId="47599"/>
    <cellStyle name="Heading 4 2 2 2" xfId="47600"/>
    <cellStyle name="Heading 4 2 2 3" xfId="47601"/>
    <cellStyle name="Heading 4 2 3" xfId="47602"/>
    <cellStyle name="Heading 4 2 4" xfId="47603"/>
    <cellStyle name="Heading 4 3" xfId="47604"/>
    <cellStyle name="Heading 4 3 2" xfId="47605"/>
    <cellStyle name="Heading 4 3 3" xfId="47606"/>
    <cellStyle name="Heading 4 4" xfId="47607"/>
    <cellStyle name="Heading 4 4 2" xfId="47608"/>
    <cellStyle name="Heading 4 5" xfId="47609"/>
    <cellStyle name="Heading 4 6" xfId="47610"/>
    <cellStyle name="Heading 4 6 2" xfId="47611"/>
    <cellStyle name="Heading 4 7" xfId="47612"/>
    <cellStyle name="Heading 4 8" xfId="47613"/>
    <cellStyle name="Heading 4 9" xfId="47614"/>
    <cellStyle name="Heading1" xfId="47615"/>
    <cellStyle name="Heading2" xfId="47616"/>
    <cellStyle name="HELV 9 - CTR" xfId="47617"/>
    <cellStyle name="HELV 9 - CTR 2" xfId="47618"/>
    <cellStyle name="HELV 9 - CTR 3" xfId="47619"/>
    <cellStyle name="Helvitica 10 ctr" xfId="47620"/>
    <cellStyle name="Helvitica 10 ctr 2" xfId="47621"/>
    <cellStyle name="Helvitica 10 ctr 3" xfId="47622"/>
    <cellStyle name="hrs" xfId="47623"/>
    <cellStyle name="Hyperlink" xfId="4" builtinId="8"/>
    <cellStyle name="Hyperlink 2" xfId="47624"/>
    <cellStyle name="Hyperlink 2 2" xfId="47625"/>
    <cellStyle name="Hyperlink 2 2 2" xfId="47626"/>
    <cellStyle name="Hyperlink 2 2 3" xfId="47627"/>
    <cellStyle name="Hyperlink 2 3" xfId="47628"/>
    <cellStyle name="Hyperlink 2 4" xfId="47629"/>
    <cellStyle name="Hyperlink 2 5" xfId="47630"/>
    <cellStyle name="Hyperlink 3" xfId="47631"/>
    <cellStyle name="Hyperlink 3 2" xfId="47632"/>
    <cellStyle name="Hyperlink 3 3" xfId="47633"/>
    <cellStyle name="Input 10" xfId="47634"/>
    <cellStyle name="Input 2" xfId="47635"/>
    <cellStyle name="Input 2 10" xfId="47636"/>
    <cellStyle name="Input 2 2" xfId="47637"/>
    <cellStyle name="Input 2 2 2" xfId="47638"/>
    <cellStyle name="Input 2 2 2 2" xfId="47639"/>
    <cellStyle name="Input 2 2 3" xfId="47640"/>
    <cellStyle name="Input 2 2 3 2" xfId="47641"/>
    <cellStyle name="Input 2 2 4" xfId="47642"/>
    <cellStyle name="Input 2 2 4 2" xfId="47643"/>
    <cellStyle name="Input 2 2 5" xfId="47644"/>
    <cellStyle name="Input 2 2 5 2" xfId="47645"/>
    <cellStyle name="Input 2 2 6" xfId="47646"/>
    <cellStyle name="Input 2 2 6 2" xfId="47647"/>
    <cellStyle name="Input 2 2 7" xfId="47648"/>
    <cellStyle name="Input 2 2 7 2" xfId="47649"/>
    <cellStyle name="Input 2 2 8" xfId="47650"/>
    <cellStyle name="Input 2 2 8 2" xfId="47651"/>
    <cellStyle name="Input 2 2 9" xfId="47652"/>
    <cellStyle name="Input 2 3" xfId="47653"/>
    <cellStyle name="Input 2 3 2" xfId="47654"/>
    <cellStyle name="Input 2 4" xfId="47655"/>
    <cellStyle name="Input 2 4 2" xfId="47656"/>
    <cellStyle name="Input 2 5" xfId="47657"/>
    <cellStyle name="Input 2 5 2" xfId="47658"/>
    <cellStyle name="Input 2 6" xfId="47659"/>
    <cellStyle name="Input 2 6 2" xfId="47660"/>
    <cellStyle name="Input 2 7" xfId="47661"/>
    <cellStyle name="Input 2 7 2" xfId="47662"/>
    <cellStyle name="Input 2 8" xfId="47663"/>
    <cellStyle name="Input 2 8 2" xfId="47664"/>
    <cellStyle name="Input 2 9" xfId="47665"/>
    <cellStyle name="Input 2 9 2" xfId="47666"/>
    <cellStyle name="Input 3" xfId="47667"/>
    <cellStyle name="Input 3 10" xfId="47668"/>
    <cellStyle name="Input 3 2" xfId="47669"/>
    <cellStyle name="Input 3 2 2" xfId="47670"/>
    <cellStyle name="Input 3 2 2 2" xfId="47671"/>
    <cellStyle name="Input 3 2 2 3" xfId="47672"/>
    <cellStyle name="Input 3 2 2 4" xfId="47673"/>
    <cellStyle name="Input 3 2 3" xfId="47674"/>
    <cellStyle name="Input 3 2 3 2" xfId="47675"/>
    <cellStyle name="Input 3 2 4" xfId="47676"/>
    <cellStyle name="Input 3 2 4 2" xfId="47677"/>
    <cellStyle name="Input 3 2 5" xfId="47678"/>
    <cellStyle name="Input 3 3" xfId="47679"/>
    <cellStyle name="Input 3 3 2" xfId="47680"/>
    <cellStyle name="Input 3 3 2 2" xfId="47681"/>
    <cellStyle name="Input 3 3 2 3" xfId="47682"/>
    <cellStyle name="Input 3 3 2 4" xfId="47683"/>
    <cellStyle name="Input 3 3 3" xfId="47684"/>
    <cellStyle name="Input 3 3 3 2" xfId="47685"/>
    <cellStyle name="Input 3 3 4" xfId="47686"/>
    <cellStyle name="Input 3 3 4 2" xfId="47687"/>
    <cellStyle name="Input 3 3 5" xfId="47688"/>
    <cellStyle name="Input 3 4" xfId="47689"/>
    <cellStyle name="Input 3 4 2" xfId="47690"/>
    <cellStyle name="Input 3 4 2 2" xfId="47691"/>
    <cellStyle name="Input 3 4 2 3" xfId="47692"/>
    <cellStyle name="Input 3 4 2 4" xfId="47693"/>
    <cellStyle name="Input 3 4 3" xfId="47694"/>
    <cellStyle name="Input 3 4 3 2" xfId="47695"/>
    <cellStyle name="Input 3 4 4" xfId="47696"/>
    <cellStyle name="Input 3 4 4 2" xfId="47697"/>
    <cellStyle name="Input 3 4 5" xfId="47698"/>
    <cellStyle name="Input 3 5" xfId="47699"/>
    <cellStyle name="Input 3 5 2" xfId="47700"/>
    <cellStyle name="Input 3 5 2 2" xfId="47701"/>
    <cellStyle name="Input 3 5 2 3" xfId="47702"/>
    <cellStyle name="Input 3 5 2 4" xfId="47703"/>
    <cellStyle name="Input 3 5 3" xfId="47704"/>
    <cellStyle name="Input 3 5 3 2" xfId="47705"/>
    <cellStyle name="Input 3 5 4" xfId="47706"/>
    <cellStyle name="Input 3 5 4 2" xfId="47707"/>
    <cellStyle name="Input 3 5 5" xfId="47708"/>
    <cellStyle name="Input 3 6" xfId="47709"/>
    <cellStyle name="Input 3 6 2" xfId="47710"/>
    <cellStyle name="Input 3 6 2 2" xfId="47711"/>
    <cellStyle name="Input 3 6 2 3" xfId="47712"/>
    <cellStyle name="Input 3 6 2 4" xfId="47713"/>
    <cellStyle name="Input 3 6 3" xfId="47714"/>
    <cellStyle name="Input 3 6 3 2" xfId="47715"/>
    <cellStyle name="Input 3 6 4" xfId="47716"/>
    <cellStyle name="Input 3 6 4 2" xfId="47717"/>
    <cellStyle name="Input 3 6 5" xfId="47718"/>
    <cellStyle name="Input 3 7" xfId="47719"/>
    <cellStyle name="Input 3 7 2" xfId="47720"/>
    <cellStyle name="Input 3 7 3" xfId="47721"/>
    <cellStyle name="Input 3 7 4" xfId="47722"/>
    <cellStyle name="Input 3 8" xfId="47723"/>
    <cellStyle name="Input 3 8 2" xfId="47724"/>
    <cellStyle name="Input 3 9" xfId="47725"/>
    <cellStyle name="Input 3 9 2" xfId="47726"/>
    <cellStyle name="Input 4" xfId="47727"/>
    <cellStyle name="Input 4 2" xfId="47728"/>
    <cellStyle name="Input 4 2 2" xfId="47729"/>
    <cellStyle name="Input 4 2 3" xfId="47730"/>
    <cellStyle name="Input 4 2 4" xfId="47731"/>
    <cellStyle name="Input 4 3" xfId="47732"/>
    <cellStyle name="Input 4 3 2" xfId="47733"/>
    <cellStyle name="Input 4 4" xfId="47734"/>
    <cellStyle name="Input 4 4 2" xfId="47735"/>
    <cellStyle name="Input 4 5" xfId="47736"/>
    <cellStyle name="Input 5" xfId="47737"/>
    <cellStyle name="Input 5 2" xfId="47738"/>
    <cellStyle name="Input 5 3" xfId="47739"/>
    <cellStyle name="Input 6" xfId="47740"/>
    <cellStyle name="Input 7" xfId="47741"/>
    <cellStyle name="Input 7 2" xfId="47742"/>
    <cellStyle name="Input 7 3" xfId="47743"/>
    <cellStyle name="Input 8" xfId="47744"/>
    <cellStyle name="Input 8 2" xfId="47745"/>
    <cellStyle name="Input 9" xfId="47746"/>
    <cellStyle name="is file was generated by INIMAN version 5.5 _x000d__x000a_; C:\WINDOWS\WIN.INI created 09/30/97 at 1:52am_x000d__x000a_;_x000d__x000a__x000d__x000a_[win" xfId="47747"/>
    <cellStyle name="Link Currency (0)" xfId="47748"/>
    <cellStyle name="Link Currency (2)" xfId="47749"/>
    <cellStyle name="Link Units (0)" xfId="47750"/>
    <cellStyle name="Link Units (1)" xfId="47751"/>
    <cellStyle name="Link Units (2)" xfId="47752"/>
    <cellStyle name="Linked Cell 10" xfId="47753"/>
    <cellStyle name="Linked Cell 2" xfId="47754"/>
    <cellStyle name="Linked Cell 2 2" xfId="47755"/>
    <cellStyle name="Linked Cell 2 2 2" xfId="47756"/>
    <cellStyle name="Linked Cell 2 2 3" xfId="47757"/>
    <cellStyle name="Linked Cell 2 3" xfId="47758"/>
    <cellStyle name="Linked Cell 2 4" xfId="47759"/>
    <cellStyle name="Linked Cell 3" xfId="47760"/>
    <cellStyle name="Linked Cell 3 2" xfId="47761"/>
    <cellStyle name="Linked Cell 3 3" xfId="47762"/>
    <cellStyle name="Linked Cell 4" xfId="47763"/>
    <cellStyle name="Linked Cell 4 2" xfId="47764"/>
    <cellStyle name="Linked Cell 5" xfId="47765"/>
    <cellStyle name="Linked Cell 6" xfId="47766"/>
    <cellStyle name="Linked Cell 6 2" xfId="47767"/>
    <cellStyle name="Linked Cell 7" xfId="47768"/>
    <cellStyle name="Linked Cell 8" xfId="47769"/>
    <cellStyle name="Linked Cell 9" xfId="47770"/>
    <cellStyle name="miltime" xfId="47771"/>
    <cellStyle name="Muller preference" xfId="47772"/>
    <cellStyle name="Neutral 10" xfId="47773"/>
    <cellStyle name="Neutral 2" xfId="47774"/>
    <cellStyle name="Neutral 2 2" xfId="47775"/>
    <cellStyle name="Neutral 2 2 2" xfId="47776"/>
    <cellStyle name="Neutral 2 2 3" xfId="47777"/>
    <cellStyle name="Neutral 2 3" xfId="47778"/>
    <cellStyle name="Neutral 2 4" xfId="47779"/>
    <cellStyle name="Neutral 3" xfId="47780"/>
    <cellStyle name="Neutral 3 2" xfId="47781"/>
    <cellStyle name="Neutral 3 3" xfId="47782"/>
    <cellStyle name="Neutral 4" xfId="47783"/>
    <cellStyle name="Neutral 4 2" xfId="47784"/>
    <cellStyle name="Neutral 5" xfId="47785"/>
    <cellStyle name="Neutral 6" xfId="47786"/>
    <cellStyle name="Neutral 6 2" xfId="47787"/>
    <cellStyle name="Neutral 7" xfId="47788"/>
    <cellStyle name="Neutral 8" xfId="47789"/>
    <cellStyle name="Neutral 9" xfId="47790"/>
    <cellStyle name="Nor" xfId="47791"/>
    <cellStyle name="Normal" xfId="0" builtinId="0"/>
    <cellStyle name="Normal - Style1" xfId="47792"/>
    <cellStyle name="Normal - Style5" xfId="47793"/>
    <cellStyle name="Normal - Style5 2" xfId="47794"/>
    <cellStyle name="Normal - Style5 2 2" xfId="47795"/>
    <cellStyle name="Normal - Style5 2 3" xfId="47796"/>
    <cellStyle name="Normal - Style5 3" xfId="47797"/>
    <cellStyle name="Normal - Style5 4" xfId="47798"/>
    <cellStyle name="Normal 10" xfId="47799"/>
    <cellStyle name="Normal 10 10" xfId="47800"/>
    <cellStyle name="Normal 10 11" xfId="47801"/>
    <cellStyle name="Normal 10 12" xfId="47802"/>
    <cellStyle name="Normal 10 2" xfId="47803"/>
    <cellStyle name="Normal 10 2 10" xfId="47804"/>
    <cellStyle name="Normal 10 2 2" xfId="47805"/>
    <cellStyle name="Normal 10 2 2 2" xfId="47806"/>
    <cellStyle name="Normal 10 2 2 2 2" xfId="47807"/>
    <cellStyle name="Normal 10 2 2 2 2 2" xfId="47808"/>
    <cellStyle name="Normal 10 2 2 2 2 2 2" xfId="47809"/>
    <cellStyle name="Normal 10 2 2 2 2 2 2 2" xfId="47810"/>
    <cellStyle name="Normal 10 2 2 2 2 2 2 2 2" xfId="47811"/>
    <cellStyle name="Normal 10 2 2 2 2 2 2 3" xfId="47812"/>
    <cellStyle name="Normal 10 2 2 2 2 2 3" xfId="47813"/>
    <cellStyle name="Normal 10 2 2 2 2 2 3 2" xfId="47814"/>
    <cellStyle name="Normal 10 2 2 2 2 2 3 2 2" xfId="47815"/>
    <cellStyle name="Normal 10 2 2 2 2 2 3 3" xfId="47816"/>
    <cellStyle name="Normal 10 2 2 2 2 2 4" xfId="47817"/>
    <cellStyle name="Normal 10 2 2 2 2 2 4 2" xfId="47818"/>
    <cellStyle name="Normal 10 2 2 2 2 2 5" xfId="47819"/>
    <cellStyle name="Normal 10 2 2 2 2 3" xfId="47820"/>
    <cellStyle name="Normal 10 2 2 2 2 3 2" xfId="47821"/>
    <cellStyle name="Normal 10 2 2 2 2 3 2 2" xfId="47822"/>
    <cellStyle name="Normal 10 2 2 2 2 3 2 2 2" xfId="47823"/>
    <cellStyle name="Normal 10 2 2 2 2 3 2 3" xfId="47824"/>
    <cellStyle name="Normal 10 2 2 2 2 3 3" xfId="47825"/>
    <cellStyle name="Normal 10 2 2 2 2 3 3 2" xfId="47826"/>
    <cellStyle name="Normal 10 2 2 2 2 3 3 2 2" xfId="47827"/>
    <cellStyle name="Normal 10 2 2 2 2 3 3 3" xfId="47828"/>
    <cellStyle name="Normal 10 2 2 2 2 3 4" xfId="47829"/>
    <cellStyle name="Normal 10 2 2 2 2 3 4 2" xfId="47830"/>
    <cellStyle name="Normal 10 2 2 2 2 3 5" xfId="47831"/>
    <cellStyle name="Normal 10 2 2 2 2 4" xfId="47832"/>
    <cellStyle name="Normal 10 2 2 2 2 4 2" xfId="47833"/>
    <cellStyle name="Normal 10 2 2 2 2 4 2 2" xfId="47834"/>
    <cellStyle name="Normal 10 2 2 2 2 4 3" xfId="47835"/>
    <cellStyle name="Normal 10 2 2 2 2 5" xfId="47836"/>
    <cellStyle name="Normal 10 2 2 2 2 5 2" xfId="47837"/>
    <cellStyle name="Normal 10 2 2 2 2 5 2 2" xfId="47838"/>
    <cellStyle name="Normal 10 2 2 2 2 5 3" xfId="47839"/>
    <cellStyle name="Normal 10 2 2 2 2 6" xfId="47840"/>
    <cellStyle name="Normal 10 2 2 2 2 6 2" xfId="47841"/>
    <cellStyle name="Normal 10 2 2 2 2 7" xfId="47842"/>
    <cellStyle name="Normal 10 2 2 2 3" xfId="47843"/>
    <cellStyle name="Normal 10 2 2 2 3 2" xfId="47844"/>
    <cellStyle name="Normal 10 2 2 2 3 2 2" xfId="47845"/>
    <cellStyle name="Normal 10 2 2 2 3 3" xfId="47846"/>
    <cellStyle name="Normal 10 2 2 2 4" xfId="47847"/>
    <cellStyle name="Normal 10 2 2 2 4 2" xfId="47848"/>
    <cellStyle name="Normal 10 2 2 2 4 2 2" xfId="47849"/>
    <cellStyle name="Normal 10 2 2 2 4 3" xfId="47850"/>
    <cellStyle name="Normal 10 2 2 2 5" xfId="47851"/>
    <cellStyle name="Normal 10 2 2 2 5 2" xfId="47852"/>
    <cellStyle name="Normal 10 2 2 2 6" xfId="47853"/>
    <cellStyle name="Normal 10 2 2 3" xfId="47854"/>
    <cellStyle name="Normal 10 2 2 3 2" xfId="47855"/>
    <cellStyle name="Normal 10 2 2 3 2 2" xfId="47856"/>
    <cellStyle name="Normal 10 2 2 3 2 2 2" xfId="47857"/>
    <cellStyle name="Normal 10 2 2 3 2 2 3" xfId="47858"/>
    <cellStyle name="Normal 10 2 2 3 2 3" xfId="47859"/>
    <cellStyle name="Normal 10 2 2 3 2 4" xfId="47860"/>
    <cellStyle name="Normal 10 2 2 3 3" xfId="47861"/>
    <cellStyle name="Normal 10 2 2 3 3 2" xfId="47862"/>
    <cellStyle name="Normal 10 2 2 3 3 3" xfId="47863"/>
    <cellStyle name="Normal 10 2 2 3 4" xfId="47864"/>
    <cellStyle name="Normal 10 2 2 3 4 2" xfId="47865"/>
    <cellStyle name="Normal 10 2 2 3 4 3" xfId="47866"/>
    <cellStyle name="Normal 10 2 2 3 5" xfId="47867"/>
    <cellStyle name="Normal 10 2 2 3 6" xfId="47868"/>
    <cellStyle name="Normal 10 2 2 4" xfId="47869"/>
    <cellStyle name="Normal 10 2 2 4 2" xfId="47870"/>
    <cellStyle name="Normal 10 2 2 4 2 2" xfId="47871"/>
    <cellStyle name="Normal 10 2 2 4 2 3" xfId="47872"/>
    <cellStyle name="Normal 10 2 2 4 3" xfId="47873"/>
    <cellStyle name="Normal 10 2 2 4 4" xfId="47874"/>
    <cellStyle name="Normal 10 2 2 5" xfId="47875"/>
    <cellStyle name="Normal 10 2 2 5 2" xfId="47876"/>
    <cellStyle name="Normal 10 2 2 5 3" xfId="47877"/>
    <cellStyle name="Normal 10 2 2 6" xfId="47878"/>
    <cellStyle name="Normal 10 2 2 6 2" xfId="47879"/>
    <cellStyle name="Normal 10 2 2 6 3" xfId="47880"/>
    <cellStyle name="Normal 10 2 2 7" xfId="47881"/>
    <cellStyle name="Normal 10 2 2 8" xfId="47882"/>
    <cellStyle name="Normal 10 2 3" xfId="47883"/>
    <cellStyle name="Normal 10 2 3 2" xfId="47884"/>
    <cellStyle name="Normal 10 2 3 2 2" xfId="47885"/>
    <cellStyle name="Normal 10 2 3 2 2 2" xfId="47886"/>
    <cellStyle name="Normal 10 2 3 2 2 2 2" xfId="47887"/>
    <cellStyle name="Normal 10 2 3 2 2 2 2 2" xfId="47888"/>
    <cellStyle name="Normal 10 2 3 2 2 2 2 2 2" xfId="47889"/>
    <cellStyle name="Normal 10 2 3 2 2 2 2 3" xfId="47890"/>
    <cellStyle name="Normal 10 2 3 2 2 2 3" xfId="47891"/>
    <cellStyle name="Normal 10 2 3 2 2 2 3 2" xfId="47892"/>
    <cellStyle name="Normal 10 2 3 2 2 2 3 2 2" xfId="47893"/>
    <cellStyle name="Normal 10 2 3 2 2 2 3 3" xfId="47894"/>
    <cellStyle name="Normal 10 2 3 2 2 2 4" xfId="47895"/>
    <cellStyle name="Normal 10 2 3 2 2 2 4 2" xfId="47896"/>
    <cellStyle name="Normal 10 2 3 2 2 2 5" xfId="47897"/>
    <cellStyle name="Normal 10 2 3 2 2 3" xfId="47898"/>
    <cellStyle name="Normal 10 2 3 2 2 3 2" xfId="47899"/>
    <cellStyle name="Normal 10 2 3 2 2 3 2 2" xfId="47900"/>
    <cellStyle name="Normal 10 2 3 2 2 3 3" xfId="47901"/>
    <cellStyle name="Normal 10 2 3 2 2 4" xfId="47902"/>
    <cellStyle name="Normal 10 2 3 2 2 4 2" xfId="47903"/>
    <cellStyle name="Normal 10 2 3 2 2 4 2 2" xfId="47904"/>
    <cellStyle name="Normal 10 2 3 2 2 4 3" xfId="47905"/>
    <cellStyle name="Normal 10 2 3 2 2 5" xfId="47906"/>
    <cellStyle name="Normal 10 2 3 2 2 5 2" xfId="47907"/>
    <cellStyle name="Normal 10 2 3 2 2 6" xfId="47908"/>
    <cellStyle name="Normal 10 2 3 2 3" xfId="47909"/>
    <cellStyle name="Normal 10 2 3 2 3 2" xfId="47910"/>
    <cellStyle name="Normal 10 2 3 2 3 2 2" xfId="47911"/>
    <cellStyle name="Normal 10 2 3 2 3 3" xfId="47912"/>
    <cellStyle name="Normal 10 2 3 2 4" xfId="47913"/>
    <cellStyle name="Normal 10 2 3 2 4 2" xfId="47914"/>
    <cellStyle name="Normal 10 2 3 2 4 2 2" xfId="47915"/>
    <cellStyle name="Normal 10 2 3 2 4 3" xfId="47916"/>
    <cellStyle name="Normal 10 2 3 2 5" xfId="47917"/>
    <cellStyle name="Normal 10 2 3 2 5 2" xfId="47918"/>
    <cellStyle name="Normal 10 2 3 2 6" xfId="47919"/>
    <cellStyle name="Normal 10 2 3 3" xfId="47920"/>
    <cellStyle name="Normal 10 2 3 3 2" xfId="47921"/>
    <cellStyle name="Normal 10 2 3 3 2 2" xfId="47922"/>
    <cellStyle name="Normal 10 2 3 3 3" xfId="47923"/>
    <cellStyle name="Normal 10 2 3 4" xfId="47924"/>
    <cellStyle name="Normal 10 2 3 4 2" xfId="47925"/>
    <cellStyle name="Normal 10 2 3 4 2 2" xfId="47926"/>
    <cellStyle name="Normal 10 2 3 4 3" xfId="47927"/>
    <cellStyle name="Normal 10 2 3 5" xfId="47928"/>
    <cellStyle name="Normal 10 2 3 5 2" xfId="47929"/>
    <cellStyle name="Normal 10 2 3 6" xfId="47930"/>
    <cellStyle name="Normal 10 2 4" xfId="47931"/>
    <cellStyle name="Normal 10 2 4 2" xfId="47932"/>
    <cellStyle name="Normal 10 2 4 2 2" xfId="47933"/>
    <cellStyle name="Normal 10 2 4 2 2 2" xfId="47934"/>
    <cellStyle name="Normal 10 2 4 2 2 3" xfId="47935"/>
    <cellStyle name="Normal 10 2 4 2 3" xfId="47936"/>
    <cellStyle name="Normal 10 2 4 2 4" xfId="47937"/>
    <cellStyle name="Normal 10 2 4 3" xfId="47938"/>
    <cellStyle name="Normal 10 2 4 3 2" xfId="47939"/>
    <cellStyle name="Normal 10 2 4 3 3" xfId="47940"/>
    <cellStyle name="Normal 10 2 4 4" xfId="47941"/>
    <cellStyle name="Normal 10 2 4 4 2" xfId="47942"/>
    <cellStyle name="Normal 10 2 4 4 3" xfId="47943"/>
    <cellStyle name="Normal 10 2 4 5" xfId="47944"/>
    <cellStyle name="Normal 10 2 4 6" xfId="47945"/>
    <cellStyle name="Normal 10 2 5" xfId="47946"/>
    <cellStyle name="Normal 10 2 5 2" xfId="47947"/>
    <cellStyle name="Normal 10 2 5 2 2" xfId="47948"/>
    <cellStyle name="Normal 10 2 5 2 3" xfId="47949"/>
    <cellStyle name="Normal 10 2 5 3" xfId="47950"/>
    <cellStyle name="Normal 10 2 5 4" xfId="47951"/>
    <cellStyle name="Normal 10 2 6" xfId="47952"/>
    <cellStyle name="Normal 10 2 6 2" xfId="47953"/>
    <cellStyle name="Normal 10 2 6 2 2" xfId="47954"/>
    <cellStyle name="Normal 10 2 6 2 3" xfId="47955"/>
    <cellStyle name="Normal 10 2 6 3" xfId="47956"/>
    <cellStyle name="Normal 10 2 6 4" xfId="47957"/>
    <cellStyle name="Normal 10 2 7" xfId="47958"/>
    <cellStyle name="Normal 10 2 7 2" xfId="47959"/>
    <cellStyle name="Normal 10 2 7 3" xfId="47960"/>
    <cellStyle name="Normal 10 2 8" xfId="47961"/>
    <cellStyle name="Normal 10 2 8 2" xfId="47962"/>
    <cellStyle name="Normal 10 2 8 3" xfId="47963"/>
    <cellStyle name="Normal 10 2 9" xfId="47964"/>
    <cellStyle name="Normal 10 3" xfId="47965"/>
    <cellStyle name="Normal 10 3 2" xfId="47966"/>
    <cellStyle name="Normal 10 3 2 2" xfId="47967"/>
    <cellStyle name="Normal 10 3 2 2 2" xfId="47968"/>
    <cellStyle name="Normal 10 3 2 2 2 2" xfId="47969"/>
    <cellStyle name="Normal 10 3 2 2 2 3" xfId="47970"/>
    <cellStyle name="Normal 10 3 2 2 3" xfId="47971"/>
    <cellStyle name="Normal 10 3 2 2 4" xfId="47972"/>
    <cellStyle name="Normal 10 3 2 3" xfId="47973"/>
    <cellStyle name="Normal 10 3 2 3 2" xfId="47974"/>
    <cellStyle name="Normal 10 3 2 3 3" xfId="47975"/>
    <cellStyle name="Normal 10 3 2 4" xfId="47976"/>
    <cellStyle name="Normal 10 3 2 4 2" xfId="47977"/>
    <cellStyle name="Normal 10 3 2 4 3" xfId="47978"/>
    <cellStyle name="Normal 10 3 2 5" xfId="47979"/>
    <cellStyle name="Normal 10 3 2 6" xfId="47980"/>
    <cellStyle name="Normal 10 3 3" xfId="47981"/>
    <cellStyle name="Normal 10 3 3 2" xfId="47982"/>
    <cellStyle name="Normal 10 3 3 2 2" xfId="47983"/>
    <cellStyle name="Normal 10 3 3 2 2 2" xfId="47984"/>
    <cellStyle name="Normal 10 3 3 2 2 3" xfId="47985"/>
    <cellStyle name="Normal 10 3 3 2 3" xfId="47986"/>
    <cellStyle name="Normal 10 3 3 2 4" xfId="47987"/>
    <cellStyle name="Normal 10 3 3 3" xfId="47988"/>
    <cellStyle name="Normal 10 3 3 3 2" xfId="47989"/>
    <cellStyle name="Normal 10 3 3 3 3" xfId="47990"/>
    <cellStyle name="Normal 10 3 3 4" xfId="47991"/>
    <cellStyle name="Normal 10 3 3 4 2" xfId="47992"/>
    <cellStyle name="Normal 10 3 3 4 3" xfId="47993"/>
    <cellStyle name="Normal 10 3 3 5" xfId="47994"/>
    <cellStyle name="Normal 10 3 3 6" xfId="47995"/>
    <cellStyle name="Normal 10 3 4" xfId="47996"/>
    <cellStyle name="Normal 10 3 4 2" xfId="47997"/>
    <cellStyle name="Normal 10 3 4 2 2" xfId="47998"/>
    <cellStyle name="Normal 10 3 4 2 3" xfId="47999"/>
    <cellStyle name="Normal 10 3 4 3" xfId="48000"/>
    <cellStyle name="Normal 10 3 4 4" xfId="48001"/>
    <cellStyle name="Normal 10 3 5" xfId="48002"/>
    <cellStyle name="Normal 10 3 5 2" xfId="48003"/>
    <cellStyle name="Normal 10 3 5 3" xfId="48004"/>
    <cellStyle name="Normal 10 3 6" xfId="48005"/>
    <cellStyle name="Normal 10 3 6 2" xfId="48006"/>
    <cellStyle name="Normal 10 3 6 3" xfId="48007"/>
    <cellStyle name="Normal 10 3 7" xfId="48008"/>
    <cellStyle name="Normal 10 3 8" xfId="48009"/>
    <cellStyle name="Normal 10 4" xfId="48010"/>
    <cellStyle name="Normal 10 4 2" xfId="48011"/>
    <cellStyle name="Normal 10 4 2 2" xfId="48012"/>
    <cellStyle name="Normal 10 4 2 2 2" xfId="48013"/>
    <cellStyle name="Normal 10 4 2 2 3" xfId="48014"/>
    <cellStyle name="Normal 10 4 2 3" xfId="48015"/>
    <cellStyle name="Normal 10 4 2 4" xfId="48016"/>
    <cellStyle name="Normal 10 4 3" xfId="48017"/>
    <cellStyle name="Normal 10 4 3 2" xfId="48018"/>
    <cellStyle name="Normal 10 4 3 3" xfId="48019"/>
    <cellStyle name="Normal 10 4 4" xfId="48020"/>
    <cellStyle name="Normal 10 4 4 2" xfId="48021"/>
    <cellStyle name="Normal 10 4 4 3" xfId="48022"/>
    <cellStyle name="Normal 10 4 5" xfId="48023"/>
    <cellStyle name="Normal 10 4 6" xfId="48024"/>
    <cellStyle name="Normal 10 5" xfId="48025"/>
    <cellStyle name="Normal 10 5 2" xfId="48026"/>
    <cellStyle name="Normal 10 5 2 2" xfId="48027"/>
    <cellStyle name="Normal 10 5 2 2 2" xfId="48028"/>
    <cellStyle name="Normal 10 5 2 2 3" xfId="48029"/>
    <cellStyle name="Normal 10 5 2 3" xfId="48030"/>
    <cellStyle name="Normal 10 5 2 4" xfId="48031"/>
    <cellStyle name="Normal 10 5 3" xfId="48032"/>
    <cellStyle name="Normal 10 5 3 2" xfId="48033"/>
    <cellStyle name="Normal 10 5 3 3" xfId="48034"/>
    <cellStyle name="Normal 10 5 4" xfId="48035"/>
    <cellStyle name="Normal 10 5 4 2" xfId="48036"/>
    <cellStyle name="Normal 10 5 4 3" xfId="48037"/>
    <cellStyle name="Normal 10 5 5" xfId="48038"/>
    <cellStyle name="Normal 10 5 6" xfId="48039"/>
    <cellStyle name="Normal 10 6" xfId="48040"/>
    <cellStyle name="Normal 10 6 2" xfId="48041"/>
    <cellStyle name="Normal 10 6 2 2" xfId="48042"/>
    <cellStyle name="Normal 10 6 2 3" xfId="48043"/>
    <cellStyle name="Normal 10 6 3" xfId="48044"/>
    <cellStyle name="Normal 10 6 4" xfId="48045"/>
    <cellStyle name="Normal 10 7" xfId="48046"/>
    <cellStyle name="Normal 10 7 2" xfId="48047"/>
    <cellStyle name="Normal 10 7 2 2" xfId="48048"/>
    <cellStyle name="Normal 10 7 2 3" xfId="48049"/>
    <cellStyle name="Normal 10 7 3" xfId="48050"/>
    <cellStyle name="Normal 10 7 4" xfId="48051"/>
    <cellStyle name="Normal 10 8" xfId="48052"/>
    <cellStyle name="Normal 10 8 2" xfId="48053"/>
    <cellStyle name="Normal 10 8 3" xfId="48054"/>
    <cellStyle name="Normal 10 9" xfId="48055"/>
    <cellStyle name="Normal 10 9 2" xfId="48056"/>
    <cellStyle name="Normal 10 9 3" xfId="48057"/>
    <cellStyle name="Normal 10_EDFCS Status Monster" xfId="48058"/>
    <cellStyle name="Normal 100" xfId="48059"/>
    <cellStyle name="Normal 100 2" xfId="48060"/>
    <cellStyle name="Normal 100 2 2" xfId="48061"/>
    <cellStyle name="Normal 100 2 3" xfId="48062"/>
    <cellStyle name="Normal 100 2 4" xfId="48063"/>
    <cellStyle name="Normal 100 2 5" xfId="48064"/>
    <cellStyle name="Normal 100 3" xfId="48065"/>
    <cellStyle name="Normal 100 3 2" xfId="48066"/>
    <cellStyle name="Normal 100 3 3" xfId="48067"/>
    <cellStyle name="Normal 100 4" xfId="48068"/>
    <cellStyle name="Normal 100 5" xfId="48069"/>
    <cellStyle name="Normal 101" xfId="48070"/>
    <cellStyle name="Normal 101 2" xfId="48071"/>
    <cellStyle name="Normal 101 2 2" xfId="48072"/>
    <cellStyle name="Normal 101 2 3" xfId="48073"/>
    <cellStyle name="Normal 101 3" xfId="48074"/>
    <cellStyle name="Normal 101 3 2" xfId="48075"/>
    <cellStyle name="Normal 101 3 3" xfId="48076"/>
    <cellStyle name="Normal 101 4" xfId="48077"/>
    <cellStyle name="Normal 101 5" xfId="48078"/>
    <cellStyle name="Normal 102" xfId="48079"/>
    <cellStyle name="Normal 102 2" xfId="48080"/>
    <cellStyle name="Normal 102 2 2" xfId="48081"/>
    <cellStyle name="Normal 102 2 3" xfId="48082"/>
    <cellStyle name="Normal 102 3" xfId="48083"/>
    <cellStyle name="Normal 102 3 2" xfId="48084"/>
    <cellStyle name="Normal 102 3 3" xfId="48085"/>
    <cellStyle name="Normal 102 4" xfId="48086"/>
    <cellStyle name="Normal 102 5" xfId="48087"/>
    <cellStyle name="Normal 103" xfId="48088"/>
    <cellStyle name="Normal 103 2" xfId="48089"/>
    <cellStyle name="Normal 103 2 2" xfId="48090"/>
    <cellStyle name="Normal 103 2 3" xfId="48091"/>
    <cellStyle name="Normal 103 3" xfId="48092"/>
    <cellStyle name="Normal 103 3 2" xfId="48093"/>
    <cellStyle name="Normal 103 3 3" xfId="48094"/>
    <cellStyle name="Normal 103 4" xfId="48095"/>
    <cellStyle name="Normal 103 5" xfId="48096"/>
    <cellStyle name="Normal 104" xfId="48097"/>
    <cellStyle name="Normal 104 2" xfId="48098"/>
    <cellStyle name="Normal 104 2 2" xfId="48099"/>
    <cellStyle name="Normal 104 2 3" xfId="48100"/>
    <cellStyle name="Normal 104 3" xfId="48101"/>
    <cellStyle name="Normal 104 3 2" xfId="48102"/>
    <cellStyle name="Normal 104 3 3" xfId="48103"/>
    <cellStyle name="Normal 104 4" xfId="48104"/>
    <cellStyle name="Normal 104 5" xfId="48105"/>
    <cellStyle name="Normal 105" xfId="48106"/>
    <cellStyle name="Normal 105 2" xfId="48107"/>
    <cellStyle name="Normal 105 2 2" xfId="48108"/>
    <cellStyle name="Normal 105 2 3" xfId="48109"/>
    <cellStyle name="Normal 105 3" xfId="48110"/>
    <cellStyle name="Normal 105 3 2" xfId="48111"/>
    <cellStyle name="Normal 105 3 3" xfId="48112"/>
    <cellStyle name="Normal 105 4" xfId="48113"/>
    <cellStyle name="Normal 105 5" xfId="48114"/>
    <cellStyle name="Normal 106" xfId="48115"/>
    <cellStyle name="Normal 106 2" xfId="48116"/>
    <cellStyle name="Normal 106 2 2" xfId="48117"/>
    <cellStyle name="Normal 106 2 3" xfId="48118"/>
    <cellStyle name="Normal 106 3" xfId="48119"/>
    <cellStyle name="Normal 106 3 2" xfId="48120"/>
    <cellStyle name="Normal 106 3 3" xfId="48121"/>
    <cellStyle name="Normal 106 4" xfId="48122"/>
    <cellStyle name="Normal 106 5" xfId="48123"/>
    <cellStyle name="Normal 107" xfId="48124"/>
    <cellStyle name="Normal 107 2" xfId="48125"/>
    <cellStyle name="Normal 107 2 2" xfId="48126"/>
    <cellStyle name="Normal 107 2 3" xfId="48127"/>
    <cellStyle name="Normal 107 3" xfId="48128"/>
    <cellStyle name="Normal 107 3 2" xfId="48129"/>
    <cellStyle name="Normal 107 3 3" xfId="48130"/>
    <cellStyle name="Normal 107 4" xfId="48131"/>
    <cellStyle name="Normal 107 5" xfId="48132"/>
    <cellStyle name="Normal 108" xfId="48133"/>
    <cellStyle name="Normal 108 2" xfId="48134"/>
    <cellStyle name="Normal 108 2 2" xfId="48135"/>
    <cellStyle name="Normal 108 2 3" xfId="48136"/>
    <cellStyle name="Normal 108 3" xfId="48137"/>
    <cellStyle name="Normal 108 3 2" xfId="48138"/>
    <cellStyle name="Normal 108 3 3" xfId="48139"/>
    <cellStyle name="Normal 108 4" xfId="48140"/>
    <cellStyle name="Normal 108 5" xfId="48141"/>
    <cellStyle name="Normal 109" xfId="48142"/>
    <cellStyle name="Normal 109 2" xfId="48143"/>
    <cellStyle name="Normal 109 2 2" xfId="48144"/>
    <cellStyle name="Normal 109 2 3" xfId="48145"/>
    <cellStyle name="Normal 109 3" xfId="48146"/>
    <cellStyle name="Normal 109 3 2" xfId="48147"/>
    <cellStyle name="Normal 109 3 3" xfId="48148"/>
    <cellStyle name="Normal 109 4" xfId="48149"/>
    <cellStyle name="Normal 109 5" xfId="48150"/>
    <cellStyle name="Normal 109 6" xfId="48151"/>
    <cellStyle name="Normal 11" xfId="48152"/>
    <cellStyle name="Normal 11 10" xfId="48153"/>
    <cellStyle name="Normal 11 10 2" xfId="48154"/>
    <cellStyle name="Normal 11 10 3" xfId="48155"/>
    <cellStyle name="Normal 11 11" xfId="48156"/>
    <cellStyle name="Normal 11 12" xfId="48157"/>
    <cellStyle name="Normal 11 2" xfId="48158"/>
    <cellStyle name="Normal 11 2 10" xfId="48159"/>
    <cellStyle name="Normal 11 2 2" xfId="48160"/>
    <cellStyle name="Normal 11 2 2 2" xfId="48161"/>
    <cellStyle name="Normal 11 2 2 2 2" xfId="48162"/>
    <cellStyle name="Normal 11 2 2 2 2 2" xfId="48163"/>
    <cellStyle name="Normal 11 2 2 2 2 2 2" xfId="48164"/>
    <cellStyle name="Normal 11 2 2 2 2 2 3" xfId="48165"/>
    <cellStyle name="Normal 11 2 2 2 2 3" xfId="48166"/>
    <cellStyle name="Normal 11 2 2 2 2 4" xfId="48167"/>
    <cellStyle name="Normal 11 2 2 2 3" xfId="48168"/>
    <cellStyle name="Normal 11 2 2 2 3 2" xfId="48169"/>
    <cellStyle name="Normal 11 2 2 2 3 3" xfId="48170"/>
    <cellStyle name="Normal 11 2 2 2 4" xfId="48171"/>
    <cellStyle name="Normal 11 2 2 2 4 2" xfId="48172"/>
    <cellStyle name="Normal 11 2 2 2 4 3" xfId="48173"/>
    <cellStyle name="Normal 11 2 2 2 5" xfId="48174"/>
    <cellStyle name="Normal 11 2 2 2 6" xfId="48175"/>
    <cellStyle name="Normal 11 2 2 3" xfId="48176"/>
    <cellStyle name="Normal 11 2 2 3 2" xfId="48177"/>
    <cellStyle name="Normal 11 2 2 3 2 2" xfId="48178"/>
    <cellStyle name="Normal 11 2 2 3 2 2 2" xfId="48179"/>
    <cellStyle name="Normal 11 2 2 3 2 2 3" xfId="48180"/>
    <cellStyle name="Normal 11 2 2 3 2 3" xfId="48181"/>
    <cellStyle name="Normal 11 2 2 3 2 4" xfId="48182"/>
    <cellStyle name="Normal 11 2 2 3 3" xfId="48183"/>
    <cellStyle name="Normal 11 2 2 3 3 2" xfId="48184"/>
    <cellStyle name="Normal 11 2 2 3 3 3" xfId="48185"/>
    <cellStyle name="Normal 11 2 2 3 4" xfId="48186"/>
    <cellStyle name="Normal 11 2 2 3 4 2" xfId="48187"/>
    <cellStyle name="Normal 11 2 2 3 4 3" xfId="48188"/>
    <cellStyle name="Normal 11 2 2 3 5" xfId="48189"/>
    <cellStyle name="Normal 11 2 2 3 6" xfId="48190"/>
    <cellStyle name="Normal 11 2 2 4" xfId="48191"/>
    <cellStyle name="Normal 11 2 2 4 2" xfId="48192"/>
    <cellStyle name="Normal 11 2 2 4 2 2" xfId="48193"/>
    <cellStyle name="Normal 11 2 2 4 2 3" xfId="48194"/>
    <cellStyle name="Normal 11 2 2 4 3" xfId="48195"/>
    <cellStyle name="Normal 11 2 2 4 4" xfId="48196"/>
    <cellStyle name="Normal 11 2 2 5" xfId="48197"/>
    <cellStyle name="Normal 11 2 2 5 2" xfId="48198"/>
    <cellStyle name="Normal 11 2 2 5 3" xfId="48199"/>
    <cellStyle name="Normal 11 2 2 6" xfId="48200"/>
    <cellStyle name="Normal 11 2 2 6 2" xfId="48201"/>
    <cellStyle name="Normal 11 2 2 6 3" xfId="48202"/>
    <cellStyle name="Normal 11 2 2 7" xfId="48203"/>
    <cellStyle name="Normal 11 2 2 8" xfId="48204"/>
    <cellStyle name="Normal 11 2 3" xfId="48205"/>
    <cellStyle name="Normal 11 2 3 2" xfId="48206"/>
    <cellStyle name="Normal 11 2 3 2 2" xfId="48207"/>
    <cellStyle name="Normal 11 2 3 2 2 2" xfId="48208"/>
    <cellStyle name="Normal 11 2 3 2 2 3" xfId="48209"/>
    <cellStyle name="Normal 11 2 3 2 3" xfId="48210"/>
    <cellStyle name="Normal 11 2 3 2 4" xfId="48211"/>
    <cellStyle name="Normal 11 2 3 3" xfId="48212"/>
    <cellStyle name="Normal 11 2 3 3 2" xfId="48213"/>
    <cellStyle name="Normal 11 2 3 3 3" xfId="48214"/>
    <cellStyle name="Normal 11 2 3 4" xfId="48215"/>
    <cellStyle name="Normal 11 2 3 4 2" xfId="48216"/>
    <cellStyle name="Normal 11 2 3 4 3" xfId="48217"/>
    <cellStyle name="Normal 11 2 3 5" xfId="48218"/>
    <cellStyle name="Normal 11 2 3 6" xfId="48219"/>
    <cellStyle name="Normal 11 2 4" xfId="48220"/>
    <cellStyle name="Normal 11 2 4 2" xfId="48221"/>
    <cellStyle name="Normal 11 2 4 2 2" xfId="48222"/>
    <cellStyle name="Normal 11 2 4 2 2 2" xfId="48223"/>
    <cellStyle name="Normal 11 2 4 2 2 3" xfId="48224"/>
    <cellStyle name="Normal 11 2 4 2 3" xfId="48225"/>
    <cellStyle name="Normal 11 2 4 2 4" xfId="48226"/>
    <cellStyle name="Normal 11 2 4 3" xfId="48227"/>
    <cellStyle name="Normal 11 2 4 3 2" xfId="48228"/>
    <cellStyle name="Normal 11 2 4 3 3" xfId="48229"/>
    <cellStyle name="Normal 11 2 4 4" xfId="48230"/>
    <cellStyle name="Normal 11 2 4 4 2" xfId="48231"/>
    <cellStyle name="Normal 11 2 4 4 3" xfId="48232"/>
    <cellStyle name="Normal 11 2 4 5" xfId="48233"/>
    <cellStyle name="Normal 11 2 4 6" xfId="48234"/>
    <cellStyle name="Normal 11 2 5" xfId="48235"/>
    <cellStyle name="Normal 11 2 5 2" xfId="48236"/>
    <cellStyle name="Normal 11 2 5 2 2" xfId="48237"/>
    <cellStyle name="Normal 11 2 5 2 3" xfId="48238"/>
    <cellStyle name="Normal 11 2 5 3" xfId="48239"/>
    <cellStyle name="Normal 11 2 5 4" xfId="48240"/>
    <cellStyle name="Normal 11 2 6" xfId="48241"/>
    <cellStyle name="Normal 11 2 6 2" xfId="48242"/>
    <cellStyle name="Normal 11 2 6 2 2" xfId="48243"/>
    <cellStyle name="Normal 11 2 6 2 3" xfId="48244"/>
    <cellStyle name="Normal 11 2 6 3" xfId="48245"/>
    <cellStyle name="Normal 11 2 6 4" xfId="48246"/>
    <cellStyle name="Normal 11 2 7" xfId="48247"/>
    <cellStyle name="Normal 11 2 7 2" xfId="48248"/>
    <cellStyle name="Normal 11 2 7 3" xfId="48249"/>
    <cellStyle name="Normal 11 2 8" xfId="48250"/>
    <cellStyle name="Normal 11 2 8 2" xfId="48251"/>
    <cellStyle name="Normal 11 2 8 3" xfId="48252"/>
    <cellStyle name="Normal 11 2 9" xfId="48253"/>
    <cellStyle name="Normal 11 3" xfId="48254"/>
    <cellStyle name="Normal 11 3 2" xfId="48255"/>
    <cellStyle name="Normal 11 3 2 2" xfId="48256"/>
    <cellStyle name="Normal 11 3 2 2 2" xfId="48257"/>
    <cellStyle name="Normal 11 3 2 2 2 2" xfId="48258"/>
    <cellStyle name="Normal 11 3 2 2 2 3" xfId="48259"/>
    <cellStyle name="Normal 11 3 2 2 3" xfId="48260"/>
    <cellStyle name="Normal 11 3 2 2 4" xfId="48261"/>
    <cellStyle name="Normal 11 3 2 3" xfId="48262"/>
    <cellStyle name="Normal 11 3 2 3 2" xfId="48263"/>
    <cellStyle name="Normal 11 3 2 3 3" xfId="48264"/>
    <cellStyle name="Normal 11 3 2 4" xfId="48265"/>
    <cellStyle name="Normal 11 3 2 4 2" xfId="48266"/>
    <cellStyle name="Normal 11 3 2 4 3" xfId="48267"/>
    <cellStyle name="Normal 11 3 2 5" xfId="48268"/>
    <cellStyle name="Normal 11 3 2 6" xfId="48269"/>
    <cellStyle name="Normal 11 3 3" xfId="48270"/>
    <cellStyle name="Normal 11 3 3 2" xfId="48271"/>
    <cellStyle name="Normal 11 3 3 2 2" xfId="48272"/>
    <cellStyle name="Normal 11 3 3 2 2 2" xfId="48273"/>
    <cellStyle name="Normal 11 3 3 2 2 3" xfId="48274"/>
    <cellStyle name="Normal 11 3 3 2 3" xfId="48275"/>
    <cellStyle name="Normal 11 3 3 2 4" xfId="48276"/>
    <cellStyle name="Normal 11 3 3 3" xfId="48277"/>
    <cellStyle name="Normal 11 3 3 3 2" xfId="48278"/>
    <cellStyle name="Normal 11 3 3 3 3" xfId="48279"/>
    <cellStyle name="Normal 11 3 3 4" xfId="48280"/>
    <cellStyle name="Normal 11 3 3 4 2" xfId="48281"/>
    <cellStyle name="Normal 11 3 3 4 3" xfId="48282"/>
    <cellStyle name="Normal 11 3 3 5" xfId="48283"/>
    <cellStyle name="Normal 11 3 3 6" xfId="48284"/>
    <cellStyle name="Normal 11 3 4" xfId="48285"/>
    <cellStyle name="Normal 11 3 4 2" xfId="48286"/>
    <cellStyle name="Normal 11 3 4 2 2" xfId="48287"/>
    <cellStyle name="Normal 11 3 4 2 3" xfId="48288"/>
    <cellStyle name="Normal 11 3 4 3" xfId="48289"/>
    <cellStyle name="Normal 11 3 4 4" xfId="48290"/>
    <cellStyle name="Normal 11 3 5" xfId="48291"/>
    <cellStyle name="Normal 11 3 5 2" xfId="48292"/>
    <cellStyle name="Normal 11 3 5 3" xfId="48293"/>
    <cellStyle name="Normal 11 3 6" xfId="48294"/>
    <cellStyle name="Normal 11 3 6 2" xfId="48295"/>
    <cellStyle name="Normal 11 3 6 3" xfId="48296"/>
    <cellStyle name="Normal 11 3 7" xfId="48297"/>
    <cellStyle name="Normal 11 3 8" xfId="48298"/>
    <cellStyle name="Normal 11 4" xfId="48299"/>
    <cellStyle name="Normal 11 4 2" xfId="48300"/>
    <cellStyle name="Normal 11 4 2 2" xfId="48301"/>
    <cellStyle name="Normal 11 4 2 2 2" xfId="48302"/>
    <cellStyle name="Normal 11 4 2 2 3" xfId="48303"/>
    <cellStyle name="Normal 11 4 2 3" xfId="48304"/>
    <cellStyle name="Normal 11 4 2 4" xfId="48305"/>
    <cellStyle name="Normal 11 4 3" xfId="48306"/>
    <cellStyle name="Normal 11 4 3 2" xfId="48307"/>
    <cellStyle name="Normal 11 4 3 3" xfId="48308"/>
    <cellStyle name="Normal 11 4 4" xfId="48309"/>
    <cellStyle name="Normal 11 4 4 2" xfId="48310"/>
    <cellStyle name="Normal 11 4 4 3" xfId="48311"/>
    <cellStyle name="Normal 11 4 5" xfId="48312"/>
    <cellStyle name="Normal 11 4 6" xfId="48313"/>
    <cellStyle name="Normal 11 5" xfId="48314"/>
    <cellStyle name="Normal 11 5 2" xfId="48315"/>
    <cellStyle name="Normal 11 5 2 2" xfId="48316"/>
    <cellStyle name="Normal 11 5 2 2 2" xfId="48317"/>
    <cellStyle name="Normal 11 5 2 2 3" xfId="48318"/>
    <cellStyle name="Normal 11 5 2 3" xfId="48319"/>
    <cellStyle name="Normal 11 5 2 4" xfId="48320"/>
    <cellStyle name="Normal 11 5 3" xfId="48321"/>
    <cellStyle name="Normal 11 5 3 2" xfId="48322"/>
    <cellStyle name="Normal 11 5 3 3" xfId="48323"/>
    <cellStyle name="Normal 11 5 4" xfId="48324"/>
    <cellStyle name="Normal 11 5 4 2" xfId="48325"/>
    <cellStyle name="Normal 11 5 4 3" xfId="48326"/>
    <cellStyle name="Normal 11 5 5" xfId="48327"/>
    <cellStyle name="Normal 11 5 6" xfId="48328"/>
    <cellStyle name="Normal 11 6" xfId="48329"/>
    <cellStyle name="Normal 11 6 2" xfId="48330"/>
    <cellStyle name="Normal 11 6 2 2" xfId="48331"/>
    <cellStyle name="Normal 11 6 2 3" xfId="48332"/>
    <cellStyle name="Normal 11 6 3" xfId="48333"/>
    <cellStyle name="Normal 11 6 4" xfId="48334"/>
    <cellStyle name="Normal 11 6 5" xfId="48335"/>
    <cellStyle name="Normal 11 6 6" xfId="48336"/>
    <cellStyle name="Normal 11 7" xfId="48337"/>
    <cellStyle name="Normal 11 7 2" xfId="48338"/>
    <cellStyle name="Normal 11 7 2 2" xfId="48339"/>
    <cellStyle name="Normal 11 7 2 3" xfId="48340"/>
    <cellStyle name="Normal 11 7 3" xfId="48341"/>
    <cellStyle name="Normal 11 7 4" xfId="48342"/>
    <cellStyle name="Normal 11 8" xfId="48343"/>
    <cellStyle name="Normal 11 8 2" xfId="48344"/>
    <cellStyle name="Normal 11 8 3" xfId="48345"/>
    <cellStyle name="Normal 11 9" xfId="48346"/>
    <cellStyle name="Normal 11 9 2" xfId="48347"/>
    <cellStyle name="Normal 11 9 3" xfId="48348"/>
    <cellStyle name="Normal 11_T1_TP_MASTER_032112_Rev A" xfId="48349"/>
    <cellStyle name="Normal 110" xfId="48350"/>
    <cellStyle name="Normal 110 2" xfId="48351"/>
    <cellStyle name="Normal 110 2 2" xfId="48352"/>
    <cellStyle name="Normal 110 2 3" xfId="48353"/>
    <cellStyle name="Normal 110 3" xfId="48354"/>
    <cellStyle name="Normal 110 3 2" xfId="48355"/>
    <cellStyle name="Normal 110 3 3" xfId="48356"/>
    <cellStyle name="Normal 110 4" xfId="48357"/>
    <cellStyle name="Normal 110 5" xfId="48358"/>
    <cellStyle name="Normal 111" xfId="48359"/>
    <cellStyle name="Normal 111 2" xfId="48360"/>
    <cellStyle name="Normal 111 2 2" xfId="48361"/>
    <cellStyle name="Normal 111 2 3" xfId="48362"/>
    <cellStyle name="Normal 111 3" xfId="48363"/>
    <cellStyle name="Normal 111 3 2" xfId="48364"/>
    <cellStyle name="Normal 111 3 3" xfId="48365"/>
    <cellStyle name="Normal 111 4" xfId="48366"/>
    <cellStyle name="Normal 111 5" xfId="48367"/>
    <cellStyle name="Normal 112" xfId="48368"/>
    <cellStyle name="Normal 112 2" xfId="48369"/>
    <cellStyle name="Normal 112 2 2" xfId="48370"/>
    <cellStyle name="Normal 112 2 3" xfId="48371"/>
    <cellStyle name="Normal 112 3" xfId="48372"/>
    <cellStyle name="Normal 112 3 2" xfId="48373"/>
    <cellStyle name="Normal 112 3 3" xfId="48374"/>
    <cellStyle name="Normal 112 4" xfId="48375"/>
    <cellStyle name="Normal 112 5" xfId="48376"/>
    <cellStyle name="Normal 113" xfId="48377"/>
    <cellStyle name="Normal 113 2" xfId="48378"/>
    <cellStyle name="Normal 113 2 2" xfId="48379"/>
    <cellStyle name="Normal 113 2 3" xfId="48380"/>
    <cellStyle name="Normal 113 3" xfId="48381"/>
    <cellStyle name="Normal 113 3 2" xfId="48382"/>
    <cellStyle name="Normal 113 3 3" xfId="48383"/>
    <cellStyle name="Normal 113 4" xfId="48384"/>
    <cellStyle name="Normal 113 5" xfId="48385"/>
    <cellStyle name="Normal 114" xfId="48386"/>
    <cellStyle name="Normal 114 2" xfId="48387"/>
    <cellStyle name="Normal 114 2 2" xfId="48388"/>
    <cellStyle name="Normal 114 2 3" xfId="48389"/>
    <cellStyle name="Normal 114 3" xfId="48390"/>
    <cellStyle name="Normal 114 3 2" xfId="48391"/>
    <cellStyle name="Normal 114 3 3" xfId="48392"/>
    <cellStyle name="Normal 114 4" xfId="48393"/>
    <cellStyle name="Normal 114 5" xfId="48394"/>
    <cellStyle name="Normal 115" xfId="48395"/>
    <cellStyle name="Normal 115 2" xfId="48396"/>
    <cellStyle name="Normal 115 2 2" xfId="48397"/>
    <cellStyle name="Normal 115 2 3" xfId="48398"/>
    <cellStyle name="Normal 115 3" xfId="48399"/>
    <cellStyle name="Normal 115 3 2" xfId="48400"/>
    <cellStyle name="Normal 115 3 3" xfId="48401"/>
    <cellStyle name="Normal 115 4" xfId="48402"/>
    <cellStyle name="Normal 115 5" xfId="48403"/>
    <cellStyle name="Normal 116" xfId="48404"/>
    <cellStyle name="Normal 116 2" xfId="48405"/>
    <cellStyle name="Normal 116 2 2" xfId="48406"/>
    <cellStyle name="Normal 116 2 3" xfId="48407"/>
    <cellStyle name="Normal 116 3" xfId="48408"/>
    <cellStyle name="Normal 116 3 2" xfId="48409"/>
    <cellStyle name="Normal 116 3 3" xfId="48410"/>
    <cellStyle name="Normal 116 4" xfId="48411"/>
    <cellStyle name="Normal 116 5" xfId="48412"/>
    <cellStyle name="Normal 117" xfId="48413"/>
    <cellStyle name="Normal 117 2" xfId="48414"/>
    <cellStyle name="Normal 117 2 2" xfId="48415"/>
    <cellStyle name="Normal 117 2 3" xfId="48416"/>
    <cellStyle name="Normal 117 3" xfId="48417"/>
    <cellStyle name="Normal 117 3 2" xfId="48418"/>
    <cellStyle name="Normal 117 3 3" xfId="48419"/>
    <cellStyle name="Normal 117 4" xfId="48420"/>
    <cellStyle name="Normal 117 5" xfId="48421"/>
    <cellStyle name="Normal 118" xfId="48422"/>
    <cellStyle name="Normal 118 2" xfId="48423"/>
    <cellStyle name="Normal 118 2 2" xfId="48424"/>
    <cellStyle name="Normal 118 2 3" xfId="48425"/>
    <cellStyle name="Normal 118 3" xfId="48426"/>
    <cellStyle name="Normal 118 3 2" xfId="48427"/>
    <cellStyle name="Normal 118 3 3" xfId="48428"/>
    <cellStyle name="Normal 118 4" xfId="48429"/>
    <cellStyle name="Normal 118 5" xfId="48430"/>
    <cellStyle name="Normal 119" xfId="48431"/>
    <cellStyle name="Normal 119 2" xfId="48432"/>
    <cellStyle name="Normal 119 2 2" xfId="48433"/>
    <cellStyle name="Normal 119 2 3" xfId="48434"/>
    <cellStyle name="Normal 119 3" xfId="48435"/>
    <cellStyle name="Normal 119 3 2" xfId="48436"/>
    <cellStyle name="Normal 119 3 3" xfId="48437"/>
    <cellStyle name="Normal 119 4" xfId="48438"/>
    <cellStyle name="Normal 119 5" xfId="48439"/>
    <cellStyle name="Normal 12" xfId="48440"/>
    <cellStyle name="Normal 12 10" xfId="48441"/>
    <cellStyle name="Normal 12 11" xfId="48442"/>
    <cellStyle name="Normal 12 12" xfId="48443"/>
    <cellStyle name="Normal 12 2" xfId="48444"/>
    <cellStyle name="Normal 12 2 10" xfId="48445"/>
    <cellStyle name="Normal 12 2 2" xfId="48446"/>
    <cellStyle name="Normal 12 2 2 2" xfId="48447"/>
    <cellStyle name="Normal 12 2 2 2 2" xfId="48448"/>
    <cellStyle name="Normal 12 2 2 2 2 2" xfId="48449"/>
    <cellStyle name="Normal 12 2 2 2 2 2 2" xfId="48450"/>
    <cellStyle name="Normal 12 2 2 2 2 2 2 2" xfId="48451"/>
    <cellStyle name="Normal 12 2 2 2 2 2 3" xfId="48452"/>
    <cellStyle name="Normal 12 2 2 2 2 3" xfId="48453"/>
    <cellStyle name="Normal 12 2 2 2 2 3 2" xfId="48454"/>
    <cellStyle name="Normal 12 2 2 2 2 3 2 2" xfId="48455"/>
    <cellStyle name="Normal 12 2 2 2 2 3 3" xfId="48456"/>
    <cellStyle name="Normal 12 2 2 2 2 4" xfId="48457"/>
    <cellStyle name="Normal 12 2 2 2 2 4 2" xfId="48458"/>
    <cellStyle name="Normal 12 2 2 2 2 5" xfId="48459"/>
    <cellStyle name="Normal 12 2 2 2 3" xfId="48460"/>
    <cellStyle name="Normal 12 2 2 2 3 2" xfId="48461"/>
    <cellStyle name="Normal 12 2 2 2 3 2 2" xfId="48462"/>
    <cellStyle name="Normal 12 2 2 2 3 3" xfId="48463"/>
    <cellStyle name="Normal 12 2 2 2 4" xfId="48464"/>
    <cellStyle name="Normal 12 2 2 2 4 2" xfId="48465"/>
    <cellStyle name="Normal 12 2 2 2 4 2 2" xfId="48466"/>
    <cellStyle name="Normal 12 2 2 2 4 3" xfId="48467"/>
    <cellStyle name="Normal 12 2 2 2 5" xfId="48468"/>
    <cellStyle name="Normal 12 2 2 2 5 2" xfId="48469"/>
    <cellStyle name="Normal 12 2 2 2 6" xfId="48470"/>
    <cellStyle name="Normal 12 2 2 3" xfId="48471"/>
    <cellStyle name="Normal 12 2 2 3 2" xfId="48472"/>
    <cellStyle name="Normal 12 2 2 3 2 2" xfId="48473"/>
    <cellStyle name="Normal 12 2 2 3 2 2 2" xfId="48474"/>
    <cellStyle name="Normal 12 2 2 3 2 2 3" xfId="48475"/>
    <cellStyle name="Normal 12 2 2 3 2 3" xfId="48476"/>
    <cellStyle name="Normal 12 2 2 3 2 4" xfId="48477"/>
    <cellStyle name="Normal 12 2 2 3 3" xfId="48478"/>
    <cellStyle name="Normal 12 2 2 3 3 2" xfId="48479"/>
    <cellStyle name="Normal 12 2 2 3 3 3" xfId="48480"/>
    <cellStyle name="Normal 12 2 2 3 4" xfId="48481"/>
    <cellStyle name="Normal 12 2 2 3 4 2" xfId="48482"/>
    <cellStyle name="Normal 12 2 2 3 4 3" xfId="48483"/>
    <cellStyle name="Normal 12 2 2 3 5" xfId="48484"/>
    <cellStyle name="Normal 12 2 2 3 6" xfId="48485"/>
    <cellStyle name="Normal 12 2 2 4" xfId="48486"/>
    <cellStyle name="Normal 12 2 2 4 2" xfId="48487"/>
    <cellStyle name="Normal 12 2 2 4 2 2" xfId="48488"/>
    <cellStyle name="Normal 12 2 2 4 2 3" xfId="48489"/>
    <cellStyle name="Normal 12 2 2 4 3" xfId="48490"/>
    <cellStyle name="Normal 12 2 2 4 4" xfId="48491"/>
    <cellStyle name="Normal 12 2 2 5" xfId="48492"/>
    <cellStyle name="Normal 12 2 2 5 2" xfId="48493"/>
    <cellStyle name="Normal 12 2 2 5 3" xfId="48494"/>
    <cellStyle name="Normal 12 2 2 6" xfId="48495"/>
    <cellStyle name="Normal 12 2 2 6 2" xfId="48496"/>
    <cellStyle name="Normal 12 2 2 6 3" xfId="48497"/>
    <cellStyle name="Normal 12 2 2 7" xfId="48498"/>
    <cellStyle name="Normal 12 2 2 8" xfId="48499"/>
    <cellStyle name="Normal 12 2 3" xfId="48500"/>
    <cellStyle name="Normal 12 2 3 2" xfId="48501"/>
    <cellStyle name="Normal 12 2 3 2 2" xfId="48502"/>
    <cellStyle name="Normal 12 2 3 2 2 2" xfId="48503"/>
    <cellStyle name="Normal 12 2 3 2 2 3" xfId="48504"/>
    <cellStyle name="Normal 12 2 3 2 3" xfId="48505"/>
    <cellStyle name="Normal 12 2 3 2 4" xfId="48506"/>
    <cellStyle name="Normal 12 2 3 3" xfId="48507"/>
    <cellStyle name="Normal 12 2 3 3 2" xfId="48508"/>
    <cellStyle name="Normal 12 2 3 3 3" xfId="48509"/>
    <cellStyle name="Normal 12 2 3 4" xfId="48510"/>
    <cellStyle name="Normal 12 2 3 4 2" xfId="48511"/>
    <cellStyle name="Normal 12 2 3 4 3" xfId="48512"/>
    <cellStyle name="Normal 12 2 3 5" xfId="48513"/>
    <cellStyle name="Normal 12 2 3 6" xfId="48514"/>
    <cellStyle name="Normal 12 2 4" xfId="48515"/>
    <cellStyle name="Normal 12 2 4 2" xfId="48516"/>
    <cellStyle name="Normal 12 2 4 2 2" xfId="48517"/>
    <cellStyle name="Normal 12 2 4 2 2 2" xfId="48518"/>
    <cellStyle name="Normal 12 2 4 2 2 3" xfId="48519"/>
    <cellStyle name="Normal 12 2 4 2 3" xfId="48520"/>
    <cellStyle name="Normal 12 2 4 2 4" xfId="48521"/>
    <cellStyle name="Normal 12 2 4 3" xfId="48522"/>
    <cellStyle name="Normal 12 2 4 3 2" xfId="48523"/>
    <cellStyle name="Normal 12 2 4 3 3" xfId="48524"/>
    <cellStyle name="Normal 12 2 4 4" xfId="48525"/>
    <cellStyle name="Normal 12 2 4 4 2" xfId="48526"/>
    <cellStyle name="Normal 12 2 4 4 3" xfId="48527"/>
    <cellStyle name="Normal 12 2 4 5" xfId="48528"/>
    <cellStyle name="Normal 12 2 4 6" xfId="48529"/>
    <cellStyle name="Normal 12 2 5" xfId="48530"/>
    <cellStyle name="Normal 12 2 5 2" xfId="48531"/>
    <cellStyle name="Normal 12 2 5 2 2" xfId="48532"/>
    <cellStyle name="Normal 12 2 5 2 3" xfId="48533"/>
    <cellStyle name="Normal 12 2 5 3" xfId="48534"/>
    <cellStyle name="Normal 12 2 5 4" xfId="48535"/>
    <cellStyle name="Normal 12 2 6" xfId="48536"/>
    <cellStyle name="Normal 12 2 6 2" xfId="48537"/>
    <cellStyle name="Normal 12 2 6 2 2" xfId="48538"/>
    <cellStyle name="Normal 12 2 6 2 3" xfId="48539"/>
    <cellStyle name="Normal 12 2 6 3" xfId="48540"/>
    <cellStyle name="Normal 12 2 6 4" xfId="48541"/>
    <cellStyle name="Normal 12 2 7" xfId="48542"/>
    <cellStyle name="Normal 12 2 7 2" xfId="48543"/>
    <cellStyle name="Normal 12 2 7 3" xfId="48544"/>
    <cellStyle name="Normal 12 2 8" xfId="48545"/>
    <cellStyle name="Normal 12 2 8 2" xfId="48546"/>
    <cellStyle name="Normal 12 2 8 3" xfId="48547"/>
    <cellStyle name="Normal 12 2 9" xfId="48548"/>
    <cellStyle name="Normal 12 3" xfId="48549"/>
    <cellStyle name="Normal 12 3 2" xfId="48550"/>
    <cellStyle name="Normal 12 3 2 2" xfId="48551"/>
    <cellStyle name="Normal 12 3 2 2 2" xfId="48552"/>
    <cellStyle name="Normal 12 3 2 2 2 2" xfId="48553"/>
    <cellStyle name="Normal 12 3 2 2 2 3" xfId="48554"/>
    <cellStyle name="Normal 12 3 2 2 3" xfId="48555"/>
    <cellStyle name="Normal 12 3 2 2 4" xfId="48556"/>
    <cellStyle name="Normal 12 3 2 3" xfId="48557"/>
    <cellStyle name="Normal 12 3 2 3 2" xfId="48558"/>
    <cellStyle name="Normal 12 3 2 3 3" xfId="48559"/>
    <cellStyle name="Normal 12 3 2 4" xfId="48560"/>
    <cellStyle name="Normal 12 3 2 4 2" xfId="48561"/>
    <cellStyle name="Normal 12 3 2 4 3" xfId="48562"/>
    <cellStyle name="Normal 12 3 2 5" xfId="48563"/>
    <cellStyle name="Normal 12 3 2 6" xfId="48564"/>
    <cellStyle name="Normal 12 3 3" xfId="48565"/>
    <cellStyle name="Normal 12 3 3 2" xfId="48566"/>
    <cellStyle name="Normal 12 3 3 2 2" xfId="48567"/>
    <cellStyle name="Normal 12 3 3 2 2 2" xfId="48568"/>
    <cellStyle name="Normal 12 3 3 2 2 3" xfId="48569"/>
    <cellStyle name="Normal 12 3 3 2 3" xfId="48570"/>
    <cellStyle name="Normal 12 3 3 2 4" xfId="48571"/>
    <cellStyle name="Normal 12 3 3 3" xfId="48572"/>
    <cellStyle name="Normal 12 3 3 3 2" xfId="48573"/>
    <cellStyle name="Normal 12 3 3 3 3" xfId="48574"/>
    <cellStyle name="Normal 12 3 3 4" xfId="48575"/>
    <cellStyle name="Normal 12 3 3 4 2" xfId="48576"/>
    <cellStyle name="Normal 12 3 3 4 3" xfId="48577"/>
    <cellStyle name="Normal 12 3 3 5" xfId="48578"/>
    <cellStyle name="Normal 12 3 3 6" xfId="48579"/>
    <cellStyle name="Normal 12 3 4" xfId="48580"/>
    <cellStyle name="Normal 12 3 4 2" xfId="48581"/>
    <cellStyle name="Normal 12 3 4 2 2" xfId="48582"/>
    <cellStyle name="Normal 12 3 4 2 3" xfId="48583"/>
    <cellStyle name="Normal 12 3 4 3" xfId="48584"/>
    <cellStyle name="Normal 12 3 4 4" xfId="48585"/>
    <cellStyle name="Normal 12 3 5" xfId="48586"/>
    <cellStyle name="Normal 12 3 5 2" xfId="48587"/>
    <cellStyle name="Normal 12 3 5 3" xfId="48588"/>
    <cellStyle name="Normal 12 3 6" xfId="48589"/>
    <cellStyle name="Normal 12 3 6 2" xfId="48590"/>
    <cellStyle name="Normal 12 3 6 3" xfId="48591"/>
    <cellStyle name="Normal 12 3 7" xfId="48592"/>
    <cellStyle name="Normal 12 3 8" xfId="48593"/>
    <cellStyle name="Normal 12 4" xfId="48594"/>
    <cellStyle name="Normal 12 4 2" xfId="48595"/>
    <cellStyle name="Normal 12 4 2 2" xfId="48596"/>
    <cellStyle name="Normal 12 4 2 2 2" xfId="48597"/>
    <cellStyle name="Normal 12 4 2 2 3" xfId="48598"/>
    <cellStyle name="Normal 12 4 2 3" xfId="48599"/>
    <cellStyle name="Normal 12 4 2 4" xfId="48600"/>
    <cellStyle name="Normal 12 4 3" xfId="48601"/>
    <cellStyle name="Normal 12 4 3 2" xfId="48602"/>
    <cellStyle name="Normal 12 4 3 3" xfId="48603"/>
    <cellStyle name="Normal 12 4 4" xfId="48604"/>
    <cellStyle name="Normal 12 4 4 2" xfId="48605"/>
    <cellStyle name="Normal 12 4 4 3" xfId="48606"/>
    <cellStyle name="Normal 12 4 5" xfId="48607"/>
    <cellStyle name="Normal 12 4 6" xfId="48608"/>
    <cellStyle name="Normal 12 5" xfId="48609"/>
    <cellStyle name="Normal 12 5 2" xfId="48610"/>
    <cellStyle name="Normal 12 5 2 2" xfId="48611"/>
    <cellStyle name="Normal 12 5 2 2 2" xfId="48612"/>
    <cellStyle name="Normal 12 5 2 2 3" xfId="48613"/>
    <cellStyle name="Normal 12 5 2 3" xfId="48614"/>
    <cellStyle name="Normal 12 5 2 4" xfId="48615"/>
    <cellStyle name="Normal 12 5 3" xfId="48616"/>
    <cellStyle name="Normal 12 5 3 2" xfId="48617"/>
    <cellStyle name="Normal 12 5 3 3" xfId="48618"/>
    <cellStyle name="Normal 12 5 4" xfId="48619"/>
    <cellStyle name="Normal 12 5 4 2" xfId="48620"/>
    <cellStyle name="Normal 12 5 4 3" xfId="48621"/>
    <cellStyle name="Normal 12 5 5" xfId="48622"/>
    <cellStyle name="Normal 12 5 6" xfId="48623"/>
    <cellStyle name="Normal 12 6" xfId="48624"/>
    <cellStyle name="Normal 12 6 2" xfId="48625"/>
    <cellStyle name="Normal 12 6 2 2" xfId="48626"/>
    <cellStyle name="Normal 12 6 2 3" xfId="48627"/>
    <cellStyle name="Normal 12 6 3" xfId="48628"/>
    <cellStyle name="Normal 12 6 4" xfId="48629"/>
    <cellStyle name="Normal 12 7" xfId="48630"/>
    <cellStyle name="Normal 12 7 2" xfId="48631"/>
    <cellStyle name="Normal 12 7 2 2" xfId="48632"/>
    <cellStyle name="Normal 12 7 2 3" xfId="48633"/>
    <cellStyle name="Normal 12 7 3" xfId="48634"/>
    <cellStyle name="Normal 12 7 4" xfId="48635"/>
    <cellStyle name="Normal 12 8" xfId="48636"/>
    <cellStyle name="Normal 12 8 2" xfId="48637"/>
    <cellStyle name="Normal 12 8 3" xfId="48638"/>
    <cellStyle name="Normal 12 9" xfId="48639"/>
    <cellStyle name="Normal 12 9 2" xfId="48640"/>
    <cellStyle name="Normal 12 9 3" xfId="48641"/>
    <cellStyle name="Normal 12_T1_TP_MASTER_032112_Rev A" xfId="48642"/>
    <cellStyle name="Normal 120" xfId="48643"/>
    <cellStyle name="Normal 120 2" xfId="48644"/>
    <cellStyle name="Normal 120 2 2" xfId="48645"/>
    <cellStyle name="Normal 120 2 3" xfId="48646"/>
    <cellStyle name="Normal 120 3" xfId="48647"/>
    <cellStyle name="Normal 120 3 2" xfId="48648"/>
    <cellStyle name="Normal 120 3 3" xfId="48649"/>
    <cellStyle name="Normal 120 4" xfId="48650"/>
    <cellStyle name="Normal 120 5" xfId="48651"/>
    <cellStyle name="Normal 121" xfId="48652"/>
    <cellStyle name="Normal 121 2" xfId="48653"/>
    <cellStyle name="Normal 121 2 2" xfId="48654"/>
    <cellStyle name="Normal 121 2 3" xfId="48655"/>
    <cellStyle name="Normal 121 3" xfId="48656"/>
    <cellStyle name="Normal 121 3 2" xfId="48657"/>
    <cellStyle name="Normal 121 3 3" xfId="48658"/>
    <cellStyle name="Normal 121 4" xfId="48659"/>
    <cellStyle name="Normal 121 5" xfId="48660"/>
    <cellStyle name="Normal 122" xfId="48661"/>
    <cellStyle name="Normal 122 2" xfId="48662"/>
    <cellStyle name="Normal 122 2 2" xfId="48663"/>
    <cellStyle name="Normal 122 2 3" xfId="48664"/>
    <cellStyle name="Normal 122 3" xfId="48665"/>
    <cellStyle name="Normal 122 3 2" xfId="48666"/>
    <cellStyle name="Normal 122 3 3" xfId="48667"/>
    <cellStyle name="Normal 122 4" xfId="48668"/>
    <cellStyle name="Normal 122 5" xfId="48669"/>
    <cellStyle name="Normal 123" xfId="48670"/>
    <cellStyle name="Normal 123 2" xfId="48671"/>
    <cellStyle name="Normal 123 2 2" xfId="48672"/>
    <cellStyle name="Normal 123 2 3" xfId="48673"/>
    <cellStyle name="Normal 123 3" xfId="48674"/>
    <cellStyle name="Normal 123 3 2" xfId="48675"/>
    <cellStyle name="Normal 123 3 3" xfId="48676"/>
    <cellStyle name="Normal 123 4" xfId="48677"/>
    <cellStyle name="Normal 123 5" xfId="48678"/>
    <cellStyle name="Normal 124" xfId="48679"/>
    <cellStyle name="Normal 124 2" xfId="48680"/>
    <cellStyle name="Normal 124 2 2" xfId="48681"/>
    <cellStyle name="Normal 124 2 3" xfId="48682"/>
    <cellStyle name="Normal 124 3" xfId="48683"/>
    <cellStyle name="Normal 124 3 2" xfId="48684"/>
    <cellStyle name="Normal 124 3 3" xfId="48685"/>
    <cellStyle name="Normal 124 4" xfId="48686"/>
    <cellStyle name="Normal 124 5" xfId="48687"/>
    <cellStyle name="Normal 125" xfId="48688"/>
    <cellStyle name="Normal 125 2" xfId="48689"/>
    <cellStyle name="Normal 125 2 2" xfId="48690"/>
    <cellStyle name="Normal 125 2 3" xfId="48691"/>
    <cellStyle name="Normal 125 3" xfId="48692"/>
    <cellStyle name="Normal 125 3 2" xfId="48693"/>
    <cellStyle name="Normal 125 3 3" xfId="48694"/>
    <cellStyle name="Normal 125 4" xfId="48695"/>
    <cellStyle name="Normal 125 5" xfId="48696"/>
    <cellStyle name="Normal 126" xfId="48697"/>
    <cellStyle name="Normal 126 2" xfId="48698"/>
    <cellStyle name="Normal 126 2 2" xfId="48699"/>
    <cellStyle name="Normal 126 2 3" xfId="48700"/>
    <cellStyle name="Normal 126 3" xfId="48701"/>
    <cellStyle name="Normal 126 3 2" xfId="48702"/>
    <cellStyle name="Normal 126 3 3" xfId="48703"/>
    <cellStyle name="Normal 126 4" xfId="48704"/>
    <cellStyle name="Normal 126 5" xfId="48705"/>
    <cellStyle name="Normal 127" xfId="48706"/>
    <cellStyle name="Normal 127 2" xfId="48707"/>
    <cellStyle name="Normal 127 2 2" xfId="48708"/>
    <cellStyle name="Normal 127 2 3" xfId="48709"/>
    <cellStyle name="Normal 127 3" xfId="48710"/>
    <cellStyle name="Normal 127 3 2" xfId="48711"/>
    <cellStyle name="Normal 127 3 3" xfId="48712"/>
    <cellStyle name="Normal 127 4" xfId="48713"/>
    <cellStyle name="Normal 127 5" xfId="48714"/>
    <cellStyle name="Normal 128" xfId="48715"/>
    <cellStyle name="Normal 128 2" xfId="48716"/>
    <cellStyle name="Normal 128 2 2" xfId="48717"/>
    <cellStyle name="Normal 128 2 3" xfId="48718"/>
    <cellStyle name="Normal 128 3" xfId="48719"/>
    <cellStyle name="Normal 128 3 2" xfId="48720"/>
    <cellStyle name="Normal 128 3 3" xfId="48721"/>
    <cellStyle name="Normal 128 4" xfId="48722"/>
    <cellStyle name="Normal 128 5" xfId="48723"/>
    <cellStyle name="Normal 129" xfId="48724"/>
    <cellStyle name="Normal 129 2" xfId="48725"/>
    <cellStyle name="Normal 129 2 2" xfId="48726"/>
    <cellStyle name="Normal 129 2 3" xfId="48727"/>
    <cellStyle name="Normal 129 3" xfId="48728"/>
    <cellStyle name="Normal 129 3 2" xfId="48729"/>
    <cellStyle name="Normal 129 3 3" xfId="48730"/>
    <cellStyle name="Normal 129 4" xfId="48731"/>
    <cellStyle name="Normal 129 5" xfId="48732"/>
    <cellStyle name="Normal 13" xfId="48733"/>
    <cellStyle name="Normal 13 10" xfId="48734"/>
    <cellStyle name="Normal 13 11" xfId="48735"/>
    <cellStyle name="Normal 13 12" xfId="48736"/>
    <cellStyle name="Normal 13 2" xfId="48737"/>
    <cellStyle name="Normal 13 2 10" xfId="48738"/>
    <cellStyle name="Normal 13 2 2" xfId="48739"/>
    <cellStyle name="Normal 13 2 2 2" xfId="48740"/>
    <cellStyle name="Normal 13 2 2 2 2" xfId="48741"/>
    <cellStyle name="Normal 13 2 2 2 2 2" xfId="48742"/>
    <cellStyle name="Normal 13 2 2 2 2 2 2" xfId="48743"/>
    <cellStyle name="Normal 13 2 2 2 2 2 3" xfId="48744"/>
    <cellStyle name="Normal 13 2 2 2 2 3" xfId="48745"/>
    <cellStyle name="Normal 13 2 2 2 2 4" xfId="48746"/>
    <cellStyle name="Normal 13 2 2 2 3" xfId="48747"/>
    <cellStyle name="Normal 13 2 2 2 3 2" xfId="48748"/>
    <cellStyle name="Normal 13 2 2 2 3 3" xfId="48749"/>
    <cellStyle name="Normal 13 2 2 2 4" xfId="48750"/>
    <cellStyle name="Normal 13 2 2 2 4 2" xfId="48751"/>
    <cellStyle name="Normal 13 2 2 2 4 3" xfId="48752"/>
    <cellStyle name="Normal 13 2 2 2 5" xfId="48753"/>
    <cellStyle name="Normal 13 2 2 2 6" xfId="48754"/>
    <cellStyle name="Normal 13 2 2 3" xfId="48755"/>
    <cellStyle name="Normal 13 2 2 3 2" xfId="48756"/>
    <cellStyle name="Normal 13 2 2 3 2 2" xfId="48757"/>
    <cellStyle name="Normal 13 2 2 3 2 2 2" xfId="48758"/>
    <cellStyle name="Normal 13 2 2 3 2 2 3" xfId="48759"/>
    <cellStyle name="Normal 13 2 2 3 2 3" xfId="48760"/>
    <cellStyle name="Normal 13 2 2 3 2 4" xfId="48761"/>
    <cellStyle name="Normal 13 2 2 3 3" xfId="48762"/>
    <cellStyle name="Normal 13 2 2 3 3 2" xfId="48763"/>
    <cellStyle name="Normal 13 2 2 3 3 3" xfId="48764"/>
    <cellStyle name="Normal 13 2 2 3 4" xfId="48765"/>
    <cellStyle name="Normal 13 2 2 3 4 2" xfId="48766"/>
    <cellStyle name="Normal 13 2 2 3 4 3" xfId="48767"/>
    <cellStyle name="Normal 13 2 2 3 5" xfId="48768"/>
    <cellStyle name="Normal 13 2 2 3 6" xfId="48769"/>
    <cellStyle name="Normal 13 2 2 4" xfId="48770"/>
    <cellStyle name="Normal 13 2 2 4 2" xfId="48771"/>
    <cellStyle name="Normal 13 2 2 4 2 2" xfId="48772"/>
    <cellStyle name="Normal 13 2 2 4 2 3" xfId="48773"/>
    <cellStyle name="Normal 13 2 2 4 3" xfId="48774"/>
    <cellStyle name="Normal 13 2 2 4 4" xfId="48775"/>
    <cellStyle name="Normal 13 2 2 5" xfId="48776"/>
    <cellStyle name="Normal 13 2 2 5 2" xfId="48777"/>
    <cellStyle name="Normal 13 2 2 5 3" xfId="48778"/>
    <cellStyle name="Normal 13 2 2 6" xfId="48779"/>
    <cellStyle name="Normal 13 2 2 6 2" xfId="48780"/>
    <cellStyle name="Normal 13 2 2 6 3" xfId="48781"/>
    <cellStyle name="Normal 13 2 2 7" xfId="48782"/>
    <cellStyle name="Normal 13 2 2 8" xfId="48783"/>
    <cellStyle name="Normal 13 2 3" xfId="48784"/>
    <cellStyle name="Normal 13 2 3 2" xfId="48785"/>
    <cellStyle name="Normal 13 2 3 2 2" xfId="48786"/>
    <cellStyle name="Normal 13 2 3 2 2 2" xfId="48787"/>
    <cellStyle name="Normal 13 2 3 2 2 3" xfId="48788"/>
    <cellStyle name="Normal 13 2 3 2 3" xfId="48789"/>
    <cellStyle name="Normal 13 2 3 2 4" xfId="48790"/>
    <cellStyle name="Normal 13 2 3 3" xfId="48791"/>
    <cellStyle name="Normal 13 2 3 3 2" xfId="48792"/>
    <cellStyle name="Normal 13 2 3 3 3" xfId="48793"/>
    <cellStyle name="Normal 13 2 3 4" xfId="48794"/>
    <cellStyle name="Normal 13 2 3 4 2" xfId="48795"/>
    <cellStyle name="Normal 13 2 3 4 3" xfId="48796"/>
    <cellStyle name="Normal 13 2 3 5" xfId="48797"/>
    <cellStyle name="Normal 13 2 3 6" xfId="48798"/>
    <cellStyle name="Normal 13 2 4" xfId="48799"/>
    <cellStyle name="Normal 13 2 4 2" xfId="48800"/>
    <cellStyle name="Normal 13 2 4 2 2" xfId="48801"/>
    <cellStyle name="Normal 13 2 4 2 2 2" xfId="48802"/>
    <cellStyle name="Normal 13 2 4 2 2 3" xfId="48803"/>
    <cellStyle name="Normal 13 2 4 2 3" xfId="48804"/>
    <cellStyle name="Normal 13 2 4 2 4" xfId="48805"/>
    <cellStyle name="Normal 13 2 4 3" xfId="48806"/>
    <cellStyle name="Normal 13 2 4 3 2" xfId="48807"/>
    <cellStyle name="Normal 13 2 4 3 3" xfId="48808"/>
    <cellStyle name="Normal 13 2 4 4" xfId="48809"/>
    <cellStyle name="Normal 13 2 4 4 2" xfId="48810"/>
    <cellStyle name="Normal 13 2 4 4 3" xfId="48811"/>
    <cellStyle name="Normal 13 2 4 5" xfId="48812"/>
    <cellStyle name="Normal 13 2 4 6" xfId="48813"/>
    <cellStyle name="Normal 13 2 5" xfId="48814"/>
    <cellStyle name="Normal 13 2 5 2" xfId="48815"/>
    <cellStyle name="Normal 13 2 5 2 2" xfId="48816"/>
    <cellStyle name="Normal 13 2 5 2 3" xfId="48817"/>
    <cellStyle name="Normal 13 2 5 3" xfId="48818"/>
    <cellStyle name="Normal 13 2 5 4" xfId="48819"/>
    <cellStyle name="Normal 13 2 6" xfId="48820"/>
    <cellStyle name="Normal 13 2 6 2" xfId="48821"/>
    <cellStyle name="Normal 13 2 6 2 2" xfId="48822"/>
    <cellStyle name="Normal 13 2 6 2 3" xfId="48823"/>
    <cellStyle name="Normal 13 2 6 3" xfId="48824"/>
    <cellStyle name="Normal 13 2 6 4" xfId="48825"/>
    <cellStyle name="Normal 13 2 7" xfId="48826"/>
    <cellStyle name="Normal 13 2 7 2" xfId="48827"/>
    <cellStyle name="Normal 13 2 7 3" xfId="48828"/>
    <cellStyle name="Normal 13 2 8" xfId="48829"/>
    <cellStyle name="Normal 13 2 8 2" xfId="48830"/>
    <cellStyle name="Normal 13 2 8 3" xfId="48831"/>
    <cellStyle name="Normal 13 2 9" xfId="48832"/>
    <cellStyle name="Normal 13 3" xfId="48833"/>
    <cellStyle name="Normal 13 3 2" xfId="48834"/>
    <cellStyle name="Normal 13 3 2 2" xfId="48835"/>
    <cellStyle name="Normal 13 3 2 2 2" xfId="48836"/>
    <cellStyle name="Normal 13 3 2 2 2 2" xfId="48837"/>
    <cellStyle name="Normal 13 3 2 2 2 2 2" xfId="48838"/>
    <cellStyle name="Normal 13 3 2 2 2 3" xfId="48839"/>
    <cellStyle name="Normal 13 3 2 2 3" xfId="48840"/>
    <cellStyle name="Normal 13 3 2 2 3 2" xfId="48841"/>
    <cellStyle name="Normal 13 3 2 2 3 2 2" xfId="48842"/>
    <cellStyle name="Normal 13 3 2 2 3 3" xfId="48843"/>
    <cellStyle name="Normal 13 3 2 2 4" xfId="48844"/>
    <cellStyle name="Normal 13 3 2 2 4 2" xfId="48845"/>
    <cellStyle name="Normal 13 3 2 2 5" xfId="48846"/>
    <cellStyle name="Normal 13 3 2 3" xfId="48847"/>
    <cellStyle name="Normal 13 3 2 3 2" xfId="48848"/>
    <cellStyle name="Normal 13 3 2 3 2 2" xfId="48849"/>
    <cellStyle name="Normal 13 3 2 3 3" xfId="48850"/>
    <cellStyle name="Normal 13 3 2 4" xfId="48851"/>
    <cellStyle name="Normal 13 3 2 4 2" xfId="48852"/>
    <cellStyle name="Normal 13 3 2 4 2 2" xfId="48853"/>
    <cellStyle name="Normal 13 3 2 4 3" xfId="48854"/>
    <cellStyle name="Normal 13 3 2 5" xfId="48855"/>
    <cellStyle name="Normal 13 3 2 5 2" xfId="48856"/>
    <cellStyle name="Normal 13 3 2 6" xfId="48857"/>
    <cellStyle name="Normal 13 3 3" xfId="48858"/>
    <cellStyle name="Normal 13 3 3 2" xfId="48859"/>
    <cellStyle name="Normal 13 3 3 2 2" xfId="48860"/>
    <cellStyle name="Normal 13 3 3 2 2 2" xfId="48861"/>
    <cellStyle name="Normal 13 3 3 2 2 3" xfId="48862"/>
    <cellStyle name="Normal 13 3 3 2 3" xfId="48863"/>
    <cellStyle name="Normal 13 3 3 2 4" xfId="48864"/>
    <cellStyle name="Normal 13 3 3 3" xfId="48865"/>
    <cellStyle name="Normal 13 3 3 3 2" xfId="48866"/>
    <cellStyle name="Normal 13 3 3 3 3" xfId="48867"/>
    <cellStyle name="Normal 13 3 3 4" xfId="48868"/>
    <cellStyle name="Normal 13 3 3 4 2" xfId="48869"/>
    <cellStyle name="Normal 13 3 3 4 3" xfId="48870"/>
    <cellStyle name="Normal 13 3 3 5" xfId="48871"/>
    <cellStyle name="Normal 13 3 3 6" xfId="48872"/>
    <cellStyle name="Normal 13 3 4" xfId="48873"/>
    <cellStyle name="Normal 13 3 4 2" xfId="48874"/>
    <cellStyle name="Normal 13 3 4 2 2" xfId="48875"/>
    <cellStyle name="Normal 13 3 4 2 3" xfId="48876"/>
    <cellStyle name="Normal 13 3 4 3" xfId="48877"/>
    <cellStyle name="Normal 13 3 4 4" xfId="48878"/>
    <cellStyle name="Normal 13 3 5" xfId="48879"/>
    <cellStyle name="Normal 13 3 5 2" xfId="48880"/>
    <cellStyle name="Normal 13 3 5 3" xfId="48881"/>
    <cellStyle name="Normal 13 3 6" xfId="48882"/>
    <cellStyle name="Normal 13 3 6 2" xfId="48883"/>
    <cellStyle name="Normal 13 3 6 3" xfId="48884"/>
    <cellStyle name="Normal 13 3 7" xfId="48885"/>
    <cellStyle name="Normal 13 3 8" xfId="48886"/>
    <cellStyle name="Normal 13 4" xfId="48887"/>
    <cellStyle name="Normal 13 4 2" xfId="48888"/>
    <cellStyle name="Normal 13 4 2 2" xfId="48889"/>
    <cellStyle name="Normal 13 4 2 2 2" xfId="48890"/>
    <cellStyle name="Normal 13 4 2 2 3" xfId="48891"/>
    <cellStyle name="Normal 13 4 2 3" xfId="48892"/>
    <cellStyle name="Normal 13 4 2 4" xfId="48893"/>
    <cellStyle name="Normal 13 4 3" xfId="48894"/>
    <cellStyle name="Normal 13 4 3 2" xfId="48895"/>
    <cellStyle name="Normal 13 4 3 3" xfId="48896"/>
    <cellStyle name="Normal 13 4 4" xfId="48897"/>
    <cellStyle name="Normal 13 4 4 2" xfId="48898"/>
    <cellStyle name="Normal 13 4 4 3" xfId="48899"/>
    <cellStyle name="Normal 13 4 5" xfId="48900"/>
    <cellStyle name="Normal 13 4 6" xfId="48901"/>
    <cellStyle name="Normal 13 5" xfId="48902"/>
    <cellStyle name="Normal 13 5 2" xfId="48903"/>
    <cellStyle name="Normal 13 5 2 2" xfId="48904"/>
    <cellStyle name="Normal 13 5 2 2 2" xfId="48905"/>
    <cellStyle name="Normal 13 5 2 2 3" xfId="48906"/>
    <cellStyle name="Normal 13 5 2 3" xfId="48907"/>
    <cellStyle name="Normal 13 5 2 4" xfId="48908"/>
    <cellStyle name="Normal 13 5 3" xfId="48909"/>
    <cellStyle name="Normal 13 5 3 2" xfId="48910"/>
    <cellStyle name="Normal 13 5 3 3" xfId="48911"/>
    <cellStyle name="Normal 13 5 4" xfId="48912"/>
    <cellStyle name="Normal 13 5 4 2" xfId="48913"/>
    <cellStyle name="Normal 13 5 4 3" xfId="48914"/>
    <cellStyle name="Normal 13 5 5" xfId="48915"/>
    <cellStyle name="Normal 13 5 6" xfId="48916"/>
    <cellStyle name="Normal 13 6" xfId="48917"/>
    <cellStyle name="Normal 13 6 2" xfId="48918"/>
    <cellStyle name="Normal 13 6 2 2" xfId="48919"/>
    <cellStyle name="Normal 13 6 2 3" xfId="48920"/>
    <cellStyle name="Normal 13 6 3" xfId="48921"/>
    <cellStyle name="Normal 13 6 4" xfId="48922"/>
    <cellStyle name="Normal 13 7" xfId="48923"/>
    <cellStyle name="Normal 13 7 2" xfId="48924"/>
    <cellStyle name="Normal 13 7 2 2" xfId="48925"/>
    <cellStyle name="Normal 13 7 2 3" xfId="48926"/>
    <cellStyle name="Normal 13 7 3" xfId="48927"/>
    <cellStyle name="Normal 13 7 4" xfId="48928"/>
    <cellStyle name="Normal 13 8" xfId="48929"/>
    <cellStyle name="Normal 13 8 2" xfId="48930"/>
    <cellStyle name="Normal 13 8 3" xfId="48931"/>
    <cellStyle name="Normal 13 9" xfId="48932"/>
    <cellStyle name="Normal 13 9 2" xfId="48933"/>
    <cellStyle name="Normal 13 9 3" xfId="48934"/>
    <cellStyle name="Normal 130" xfId="48935"/>
    <cellStyle name="Normal 130 2" xfId="48936"/>
    <cellStyle name="Normal 130 2 2" xfId="48937"/>
    <cellStyle name="Normal 130 2 3" xfId="48938"/>
    <cellStyle name="Normal 130 3" xfId="48939"/>
    <cellStyle name="Normal 130 3 2" xfId="48940"/>
    <cellStyle name="Normal 130 3 3" xfId="48941"/>
    <cellStyle name="Normal 130 4" xfId="48942"/>
    <cellStyle name="Normal 130 5" xfId="48943"/>
    <cellStyle name="Normal 131" xfId="48944"/>
    <cellStyle name="Normal 131 2" xfId="48945"/>
    <cellStyle name="Normal 131 2 2" xfId="48946"/>
    <cellStyle name="Normal 131 2 3" xfId="48947"/>
    <cellStyle name="Normal 131 3" xfId="48948"/>
    <cellStyle name="Normal 131 3 2" xfId="48949"/>
    <cellStyle name="Normal 131 3 3" xfId="48950"/>
    <cellStyle name="Normal 131 4" xfId="48951"/>
    <cellStyle name="Normal 131 5" xfId="48952"/>
    <cellStyle name="Normal 132" xfId="48953"/>
    <cellStyle name="Normal 132 2" xfId="48954"/>
    <cellStyle name="Normal 132 2 2" xfId="48955"/>
    <cellStyle name="Normal 132 2 3" xfId="48956"/>
    <cellStyle name="Normal 132 3" xfId="48957"/>
    <cellStyle name="Normal 132 3 2" xfId="48958"/>
    <cellStyle name="Normal 132 3 3" xfId="48959"/>
    <cellStyle name="Normal 132 4" xfId="48960"/>
    <cellStyle name="Normal 132 5" xfId="48961"/>
    <cellStyle name="Normal 133" xfId="48962"/>
    <cellStyle name="Normal 133 2" xfId="48963"/>
    <cellStyle name="Normal 133 2 2" xfId="48964"/>
    <cellStyle name="Normal 133 2 3" xfId="48965"/>
    <cellStyle name="Normal 133 3" xfId="48966"/>
    <cellStyle name="Normal 133 3 2" xfId="48967"/>
    <cellStyle name="Normal 133 3 3" xfId="48968"/>
    <cellStyle name="Normal 133 4" xfId="48969"/>
    <cellStyle name="Normal 133 5" xfId="48970"/>
    <cellStyle name="Normal 133 6" xfId="48971"/>
    <cellStyle name="Normal 134" xfId="48972"/>
    <cellStyle name="Normal 134 2" xfId="48973"/>
    <cellStyle name="Normal 134 2 2" xfId="48974"/>
    <cellStyle name="Normal 134 2 3" xfId="48975"/>
    <cellStyle name="Normal 134 3" xfId="48976"/>
    <cellStyle name="Normal 134 3 2" xfId="48977"/>
    <cellStyle name="Normal 134 3 3" xfId="48978"/>
    <cellStyle name="Normal 134 4" xfId="48979"/>
    <cellStyle name="Normal 134 5" xfId="48980"/>
    <cellStyle name="Normal 135" xfId="48981"/>
    <cellStyle name="Normal 135 2" xfId="48982"/>
    <cellStyle name="Normal 135 2 2" xfId="48983"/>
    <cellStyle name="Normal 135 2 3" xfId="48984"/>
    <cellStyle name="Normal 135 3" xfId="48985"/>
    <cellStyle name="Normal 135 3 2" xfId="48986"/>
    <cellStyle name="Normal 135 3 3" xfId="48987"/>
    <cellStyle name="Normal 135 4" xfId="48988"/>
    <cellStyle name="Normal 135 5" xfId="48989"/>
    <cellStyle name="Normal 136" xfId="48990"/>
    <cellStyle name="Normal 136 2" xfId="48991"/>
    <cellStyle name="Normal 136 2 2" xfId="48992"/>
    <cellStyle name="Normal 136 2 3" xfId="48993"/>
    <cellStyle name="Normal 136 3" xfId="48994"/>
    <cellStyle name="Normal 136 3 2" xfId="48995"/>
    <cellStyle name="Normal 136 3 3" xfId="48996"/>
    <cellStyle name="Normal 136 4" xfId="48997"/>
    <cellStyle name="Normal 136 5" xfId="48998"/>
    <cellStyle name="Normal 137" xfId="48999"/>
    <cellStyle name="Normal 137 2" xfId="49000"/>
    <cellStyle name="Normal 137 2 2" xfId="49001"/>
    <cellStyle name="Normal 137 2 3" xfId="49002"/>
    <cellStyle name="Normal 137 3" xfId="49003"/>
    <cellStyle name="Normal 137 3 2" xfId="49004"/>
    <cellStyle name="Normal 137 3 3" xfId="49005"/>
    <cellStyle name="Normal 137 4" xfId="49006"/>
    <cellStyle name="Normal 137 5" xfId="49007"/>
    <cellStyle name="Normal 138" xfId="49008"/>
    <cellStyle name="Normal 138 2" xfId="49009"/>
    <cellStyle name="Normal 138 2 2" xfId="49010"/>
    <cellStyle name="Normal 138 2 3" xfId="49011"/>
    <cellStyle name="Normal 138 3" xfId="49012"/>
    <cellStyle name="Normal 138 3 2" xfId="49013"/>
    <cellStyle name="Normal 138 3 3" xfId="49014"/>
    <cellStyle name="Normal 138 4" xfId="49015"/>
    <cellStyle name="Normal 138 5" xfId="49016"/>
    <cellStyle name="Normal 139" xfId="49017"/>
    <cellStyle name="Normal 139 2" xfId="49018"/>
    <cellStyle name="Normal 139 2 2" xfId="49019"/>
    <cellStyle name="Normal 139 2 3" xfId="49020"/>
    <cellStyle name="Normal 139 3" xfId="49021"/>
    <cellStyle name="Normal 139 3 2" xfId="49022"/>
    <cellStyle name="Normal 139 3 3" xfId="49023"/>
    <cellStyle name="Normal 139 4" xfId="49024"/>
    <cellStyle name="Normal 139 5" xfId="49025"/>
    <cellStyle name="Normal 14" xfId="49026"/>
    <cellStyle name="Normal 14 10" xfId="49027"/>
    <cellStyle name="Normal 14 11" xfId="49028"/>
    <cellStyle name="Normal 14 2" xfId="49029"/>
    <cellStyle name="Normal 14 2 10" xfId="49030"/>
    <cellStyle name="Normal 14 2 2" xfId="49031"/>
    <cellStyle name="Normal 14 2 2 2" xfId="49032"/>
    <cellStyle name="Normal 14 2 2 2 2" xfId="49033"/>
    <cellStyle name="Normal 14 2 2 2 2 2" xfId="49034"/>
    <cellStyle name="Normal 14 2 2 2 2 2 2" xfId="49035"/>
    <cellStyle name="Normal 14 2 2 2 2 2 3" xfId="49036"/>
    <cellStyle name="Normal 14 2 2 2 2 3" xfId="49037"/>
    <cellStyle name="Normal 14 2 2 2 2 4" xfId="49038"/>
    <cellStyle name="Normal 14 2 2 2 3" xfId="49039"/>
    <cellStyle name="Normal 14 2 2 2 3 2" xfId="49040"/>
    <cellStyle name="Normal 14 2 2 2 3 3" xfId="49041"/>
    <cellStyle name="Normal 14 2 2 2 4" xfId="49042"/>
    <cellStyle name="Normal 14 2 2 2 4 2" xfId="49043"/>
    <cellStyle name="Normal 14 2 2 2 4 3" xfId="49044"/>
    <cellStyle name="Normal 14 2 2 2 5" xfId="49045"/>
    <cellStyle name="Normal 14 2 2 2 6" xfId="49046"/>
    <cellStyle name="Normal 14 2 2 3" xfId="49047"/>
    <cellStyle name="Normal 14 2 2 3 2" xfId="49048"/>
    <cellStyle name="Normal 14 2 2 3 2 2" xfId="49049"/>
    <cellStyle name="Normal 14 2 2 3 2 2 2" xfId="49050"/>
    <cellStyle name="Normal 14 2 2 3 2 2 3" xfId="49051"/>
    <cellStyle name="Normal 14 2 2 3 2 3" xfId="49052"/>
    <cellStyle name="Normal 14 2 2 3 2 4" xfId="49053"/>
    <cellStyle name="Normal 14 2 2 3 3" xfId="49054"/>
    <cellStyle name="Normal 14 2 2 3 3 2" xfId="49055"/>
    <cellStyle name="Normal 14 2 2 3 3 3" xfId="49056"/>
    <cellStyle name="Normal 14 2 2 3 4" xfId="49057"/>
    <cellStyle name="Normal 14 2 2 3 4 2" xfId="49058"/>
    <cellStyle name="Normal 14 2 2 3 4 3" xfId="49059"/>
    <cellStyle name="Normal 14 2 2 3 5" xfId="49060"/>
    <cellStyle name="Normal 14 2 2 3 6" xfId="49061"/>
    <cellStyle name="Normal 14 2 2 4" xfId="49062"/>
    <cellStyle name="Normal 14 2 2 4 2" xfId="49063"/>
    <cellStyle name="Normal 14 2 2 4 2 2" xfId="49064"/>
    <cellStyle name="Normal 14 2 2 4 2 3" xfId="49065"/>
    <cellStyle name="Normal 14 2 2 4 3" xfId="49066"/>
    <cellStyle name="Normal 14 2 2 4 4" xfId="49067"/>
    <cellStyle name="Normal 14 2 2 5" xfId="49068"/>
    <cellStyle name="Normal 14 2 2 5 2" xfId="49069"/>
    <cellStyle name="Normal 14 2 2 5 3" xfId="49070"/>
    <cellStyle name="Normal 14 2 2 6" xfId="49071"/>
    <cellStyle name="Normal 14 2 2 6 2" xfId="49072"/>
    <cellStyle name="Normal 14 2 2 6 3" xfId="49073"/>
    <cellStyle name="Normal 14 2 2 7" xfId="49074"/>
    <cellStyle name="Normal 14 2 2 8" xfId="49075"/>
    <cellStyle name="Normal 14 2 3" xfId="49076"/>
    <cellStyle name="Normal 14 2 3 2" xfId="49077"/>
    <cellStyle name="Normal 14 2 3 2 2" xfId="49078"/>
    <cellStyle name="Normal 14 2 3 2 2 2" xfId="49079"/>
    <cellStyle name="Normal 14 2 3 2 2 3" xfId="49080"/>
    <cellStyle name="Normal 14 2 3 2 3" xfId="49081"/>
    <cellStyle name="Normal 14 2 3 2 4" xfId="49082"/>
    <cellStyle name="Normal 14 2 3 3" xfId="49083"/>
    <cellStyle name="Normal 14 2 3 3 2" xfId="49084"/>
    <cellStyle name="Normal 14 2 3 3 3" xfId="49085"/>
    <cellStyle name="Normal 14 2 3 4" xfId="49086"/>
    <cellStyle name="Normal 14 2 3 4 2" xfId="49087"/>
    <cellStyle name="Normal 14 2 3 4 3" xfId="49088"/>
    <cellStyle name="Normal 14 2 3 5" xfId="49089"/>
    <cellStyle name="Normal 14 2 3 6" xfId="49090"/>
    <cellStyle name="Normal 14 2 4" xfId="49091"/>
    <cellStyle name="Normal 14 2 4 2" xfId="49092"/>
    <cellStyle name="Normal 14 2 4 2 2" xfId="49093"/>
    <cellStyle name="Normal 14 2 4 2 2 2" xfId="49094"/>
    <cellStyle name="Normal 14 2 4 2 2 3" xfId="49095"/>
    <cellStyle name="Normal 14 2 4 2 3" xfId="49096"/>
    <cellStyle name="Normal 14 2 4 2 4" xfId="49097"/>
    <cellStyle name="Normal 14 2 4 3" xfId="49098"/>
    <cellStyle name="Normal 14 2 4 3 2" xfId="49099"/>
    <cellStyle name="Normal 14 2 4 3 3" xfId="49100"/>
    <cellStyle name="Normal 14 2 4 4" xfId="49101"/>
    <cellStyle name="Normal 14 2 4 4 2" xfId="49102"/>
    <cellStyle name="Normal 14 2 4 4 3" xfId="49103"/>
    <cellStyle name="Normal 14 2 4 5" xfId="49104"/>
    <cellStyle name="Normal 14 2 4 6" xfId="49105"/>
    <cellStyle name="Normal 14 2 5" xfId="49106"/>
    <cellStyle name="Normal 14 2 5 2" xfId="49107"/>
    <cellStyle name="Normal 14 2 5 2 2" xfId="49108"/>
    <cellStyle name="Normal 14 2 5 2 3" xfId="49109"/>
    <cellStyle name="Normal 14 2 5 3" xfId="49110"/>
    <cellStyle name="Normal 14 2 5 4" xfId="49111"/>
    <cellStyle name="Normal 14 2 6" xfId="49112"/>
    <cellStyle name="Normal 14 2 6 2" xfId="49113"/>
    <cellStyle name="Normal 14 2 6 2 2" xfId="49114"/>
    <cellStyle name="Normal 14 2 6 2 3" xfId="49115"/>
    <cellStyle name="Normal 14 2 6 3" xfId="49116"/>
    <cellStyle name="Normal 14 2 6 4" xfId="49117"/>
    <cellStyle name="Normal 14 2 7" xfId="49118"/>
    <cellStyle name="Normal 14 2 7 2" xfId="49119"/>
    <cellStyle name="Normal 14 2 7 3" xfId="49120"/>
    <cellStyle name="Normal 14 2 8" xfId="49121"/>
    <cellStyle name="Normal 14 2 8 2" xfId="49122"/>
    <cellStyle name="Normal 14 2 8 3" xfId="49123"/>
    <cellStyle name="Normal 14 2 9" xfId="49124"/>
    <cellStyle name="Normal 14 3" xfId="49125"/>
    <cellStyle name="Normal 14 3 2" xfId="49126"/>
    <cellStyle name="Normal 14 3 2 2" xfId="49127"/>
    <cellStyle name="Normal 14 3 2 2 2" xfId="49128"/>
    <cellStyle name="Normal 14 3 2 2 2 2" xfId="49129"/>
    <cellStyle name="Normal 14 3 2 2 2 3" xfId="49130"/>
    <cellStyle name="Normal 14 3 2 2 3" xfId="49131"/>
    <cellStyle name="Normal 14 3 2 2 4" xfId="49132"/>
    <cellStyle name="Normal 14 3 2 3" xfId="49133"/>
    <cellStyle name="Normal 14 3 2 3 2" xfId="49134"/>
    <cellStyle name="Normal 14 3 2 3 3" xfId="49135"/>
    <cellStyle name="Normal 14 3 2 4" xfId="49136"/>
    <cellStyle name="Normal 14 3 2 4 2" xfId="49137"/>
    <cellStyle name="Normal 14 3 2 4 3" xfId="49138"/>
    <cellStyle name="Normal 14 3 2 5" xfId="49139"/>
    <cellStyle name="Normal 14 3 2 6" xfId="49140"/>
    <cellStyle name="Normal 14 3 3" xfId="49141"/>
    <cellStyle name="Normal 14 3 3 2" xfId="49142"/>
    <cellStyle name="Normal 14 3 3 2 2" xfId="49143"/>
    <cellStyle name="Normal 14 3 3 2 2 2" xfId="49144"/>
    <cellStyle name="Normal 14 3 3 2 2 3" xfId="49145"/>
    <cellStyle name="Normal 14 3 3 2 3" xfId="49146"/>
    <cellStyle name="Normal 14 3 3 2 4" xfId="49147"/>
    <cellStyle name="Normal 14 3 3 3" xfId="49148"/>
    <cellStyle name="Normal 14 3 3 3 2" xfId="49149"/>
    <cellStyle name="Normal 14 3 3 3 3" xfId="49150"/>
    <cellStyle name="Normal 14 3 3 4" xfId="49151"/>
    <cellStyle name="Normal 14 3 3 4 2" xfId="49152"/>
    <cellStyle name="Normal 14 3 3 4 3" xfId="49153"/>
    <cellStyle name="Normal 14 3 3 5" xfId="49154"/>
    <cellStyle name="Normal 14 3 3 6" xfId="49155"/>
    <cellStyle name="Normal 14 3 4" xfId="49156"/>
    <cellStyle name="Normal 14 3 4 2" xfId="49157"/>
    <cellStyle name="Normal 14 3 4 2 2" xfId="49158"/>
    <cellStyle name="Normal 14 3 4 2 3" xfId="49159"/>
    <cellStyle name="Normal 14 3 4 3" xfId="49160"/>
    <cellStyle name="Normal 14 3 4 4" xfId="49161"/>
    <cellStyle name="Normal 14 3 5" xfId="49162"/>
    <cellStyle name="Normal 14 3 5 2" xfId="49163"/>
    <cellStyle name="Normal 14 3 5 3" xfId="49164"/>
    <cellStyle name="Normal 14 3 6" xfId="49165"/>
    <cellStyle name="Normal 14 3 6 2" xfId="49166"/>
    <cellStyle name="Normal 14 3 6 3" xfId="49167"/>
    <cellStyle name="Normal 14 3 7" xfId="49168"/>
    <cellStyle name="Normal 14 3 8" xfId="49169"/>
    <cellStyle name="Normal 14 4" xfId="49170"/>
    <cellStyle name="Normal 14 4 2" xfId="49171"/>
    <cellStyle name="Normal 14 4 2 2" xfId="49172"/>
    <cellStyle name="Normal 14 4 2 2 2" xfId="49173"/>
    <cellStyle name="Normal 14 4 2 2 3" xfId="49174"/>
    <cellStyle name="Normal 14 4 2 3" xfId="49175"/>
    <cellStyle name="Normal 14 4 2 4" xfId="49176"/>
    <cellStyle name="Normal 14 4 3" xfId="49177"/>
    <cellStyle name="Normal 14 4 3 2" xfId="49178"/>
    <cellStyle name="Normal 14 4 3 3" xfId="49179"/>
    <cellStyle name="Normal 14 4 4" xfId="49180"/>
    <cellStyle name="Normal 14 4 4 2" xfId="49181"/>
    <cellStyle name="Normal 14 4 4 3" xfId="49182"/>
    <cellStyle name="Normal 14 4 5" xfId="49183"/>
    <cellStyle name="Normal 14 4 6" xfId="49184"/>
    <cellStyle name="Normal 14 5" xfId="49185"/>
    <cellStyle name="Normal 14 5 2" xfId="49186"/>
    <cellStyle name="Normal 14 5 2 2" xfId="49187"/>
    <cellStyle name="Normal 14 5 2 2 2" xfId="49188"/>
    <cellStyle name="Normal 14 5 2 2 3" xfId="49189"/>
    <cellStyle name="Normal 14 5 2 3" xfId="49190"/>
    <cellStyle name="Normal 14 5 2 4" xfId="49191"/>
    <cellStyle name="Normal 14 5 3" xfId="49192"/>
    <cellStyle name="Normal 14 5 3 2" xfId="49193"/>
    <cellStyle name="Normal 14 5 3 3" xfId="49194"/>
    <cellStyle name="Normal 14 5 4" xfId="49195"/>
    <cellStyle name="Normal 14 5 4 2" xfId="49196"/>
    <cellStyle name="Normal 14 5 4 3" xfId="49197"/>
    <cellStyle name="Normal 14 5 5" xfId="49198"/>
    <cellStyle name="Normal 14 5 6" xfId="49199"/>
    <cellStyle name="Normal 14 6" xfId="49200"/>
    <cellStyle name="Normal 14 6 2" xfId="49201"/>
    <cellStyle name="Normal 14 6 2 2" xfId="49202"/>
    <cellStyle name="Normal 14 6 2 3" xfId="49203"/>
    <cellStyle name="Normal 14 6 3" xfId="49204"/>
    <cellStyle name="Normal 14 6 4" xfId="49205"/>
    <cellStyle name="Normal 14 7" xfId="49206"/>
    <cellStyle name="Normal 14 7 2" xfId="49207"/>
    <cellStyle name="Normal 14 7 2 2" xfId="49208"/>
    <cellStyle name="Normal 14 7 2 3" xfId="49209"/>
    <cellStyle name="Normal 14 7 3" xfId="49210"/>
    <cellStyle name="Normal 14 7 4" xfId="49211"/>
    <cellStyle name="Normal 14 8" xfId="49212"/>
    <cellStyle name="Normal 14 8 2" xfId="49213"/>
    <cellStyle name="Normal 14 8 3" xfId="49214"/>
    <cellStyle name="Normal 14 9" xfId="49215"/>
    <cellStyle name="Normal 14 9 2" xfId="49216"/>
    <cellStyle name="Normal 14 9 3" xfId="49217"/>
    <cellStyle name="Normal 140" xfId="49218"/>
    <cellStyle name="Normal 140 2" xfId="49219"/>
    <cellStyle name="Normal 140 2 2" xfId="49220"/>
    <cellStyle name="Normal 140 2 3" xfId="49221"/>
    <cellStyle name="Normal 140 3" xfId="49222"/>
    <cellStyle name="Normal 140 3 2" xfId="49223"/>
    <cellStyle name="Normal 140 3 3" xfId="49224"/>
    <cellStyle name="Normal 140 4" xfId="49225"/>
    <cellStyle name="Normal 140 5" xfId="49226"/>
    <cellStyle name="Normal 141" xfId="49227"/>
    <cellStyle name="Normal 141 2" xfId="49228"/>
    <cellStyle name="Normal 141 2 2" xfId="49229"/>
    <cellStyle name="Normal 141 2 3" xfId="49230"/>
    <cellStyle name="Normal 141 3" xfId="49231"/>
    <cellStyle name="Normal 141 3 2" xfId="49232"/>
    <cellStyle name="Normal 141 3 3" xfId="49233"/>
    <cellStyle name="Normal 141 4" xfId="49234"/>
    <cellStyle name="Normal 141 5" xfId="49235"/>
    <cellStyle name="Normal 142" xfId="49236"/>
    <cellStyle name="Normal 142 2" xfId="49237"/>
    <cellStyle name="Normal 142 2 2" xfId="49238"/>
    <cellStyle name="Normal 142 2 3" xfId="49239"/>
    <cellStyle name="Normal 142 3" xfId="49240"/>
    <cellStyle name="Normal 142 3 2" xfId="49241"/>
    <cellStyle name="Normal 142 3 3" xfId="49242"/>
    <cellStyle name="Normal 142 4" xfId="49243"/>
    <cellStyle name="Normal 142 5" xfId="49244"/>
    <cellStyle name="Normal 143" xfId="49245"/>
    <cellStyle name="Normal 143 2" xfId="49246"/>
    <cellStyle name="Normal 143 2 2" xfId="49247"/>
    <cellStyle name="Normal 143 2 3" xfId="49248"/>
    <cellStyle name="Normal 143 3" xfId="49249"/>
    <cellStyle name="Normal 143 3 2" xfId="49250"/>
    <cellStyle name="Normal 143 3 3" xfId="49251"/>
    <cellStyle name="Normal 143 4" xfId="49252"/>
    <cellStyle name="Normal 143 4 2" xfId="49253"/>
    <cellStyle name="Normal 143 4 3" xfId="49254"/>
    <cellStyle name="Normal 143 5" xfId="49255"/>
    <cellStyle name="Normal 144" xfId="49256"/>
    <cellStyle name="Normal 144 2" xfId="49257"/>
    <cellStyle name="Normal 144 2 2" xfId="49258"/>
    <cellStyle name="Normal 144 2 3" xfId="49259"/>
    <cellStyle name="Normal 144 3" xfId="49260"/>
    <cellStyle name="Normal 144 3 2" xfId="49261"/>
    <cellStyle name="Normal 144 3 3" xfId="49262"/>
    <cellStyle name="Normal 144 4" xfId="49263"/>
    <cellStyle name="Normal 144 5" xfId="49264"/>
    <cellStyle name="Normal 145" xfId="49265"/>
    <cellStyle name="Normal 145 2" xfId="49266"/>
    <cellStyle name="Normal 145 2 2" xfId="49267"/>
    <cellStyle name="Normal 145 2 3" xfId="49268"/>
    <cellStyle name="Normal 145 3" xfId="49269"/>
    <cellStyle name="Normal 145 3 2" xfId="49270"/>
    <cellStyle name="Normal 145 3 3" xfId="49271"/>
    <cellStyle name="Normal 145 4" xfId="49272"/>
    <cellStyle name="Normal 145 5" xfId="49273"/>
    <cellStyle name="Normal 146" xfId="49274"/>
    <cellStyle name="Normal 146 2" xfId="49275"/>
    <cellStyle name="Normal 146 2 2" xfId="49276"/>
    <cellStyle name="Normal 146 2 3" xfId="49277"/>
    <cellStyle name="Normal 146 3" xfId="49278"/>
    <cellStyle name="Normal 146 3 2" xfId="49279"/>
    <cellStyle name="Normal 146 3 3" xfId="49280"/>
    <cellStyle name="Normal 146 4" xfId="49281"/>
    <cellStyle name="Normal 146 5" xfId="49282"/>
    <cellStyle name="Normal 147" xfId="49283"/>
    <cellStyle name="Normal 147 2" xfId="49284"/>
    <cellStyle name="Normal 147 2 2" xfId="49285"/>
    <cellStyle name="Normal 147 2 3" xfId="49286"/>
    <cellStyle name="Normal 147 3" xfId="49287"/>
    <cellStyle name="Normal 147 3 2" xfId="49288"/>
    <cellStyle name="Normal 147 3 3" xfId="49289"/>
    <cellStyle name="Normal 147 4" xfId="49290"/>
    <cellStyle name="Normal 147 5" xfId="49291"/>
    <cellStyle name="Normal 148" xfId="49292"/>
    <cellStyle name="Normal 148 2" xfId="49293"/>
    <cellStyle name="Normal 148 2 2" xfId="49294"/>
    <cellStyle name="Normal 148 2 3" xfId="49295"/>
    <cellStyle name="Normal 148 3" xfId="49296"/>
    <cellStyle name="Normal 148 3 2" xfId="49297"/>
    <cellStyle name="Normal 148 3 3" xfId="49298"/>
    <cellStyle name="Normal 148 4" xfId="49299"/>
    <cellStyle name="Normal 148 5" xfId="49300"/>
    <cellStyle name="Normal 149" xfId="49301"/>
    <cellStyle name="Normal 149 2" xfId="49302"/>
    <cellStyle name="Normal 149 2 2" xfId="49303"/>
    <cellStyle name="Normal 149 2 3" xfId="49304"/>
    <cellStyle name="Normal 149 3" xfId="49305"/>
    <cellStyle name="Normal 149 3 2" xfId="49306"/>
    <cellStyle name="Normal 149 3 3" xfId="49307"/>
    <cellStyle name="Normal 149 4" xfId="49308"/>
    <cellStyle name="Normal 149 5" xfId="49309"/>
    <cellStyle name="Normal 15" xfId="49310"/>
    <cellStyle name="Normal 15 10" xfId="49311"/>
    <cellStyle name="Normal 15 11" xfId="49312"/>
    <cellStyle name="Normal 15 12" xfId="49313"/>
    <cellStyle name="Normal 15 2" xfId="49314"/>
    <cellStyle name="Normal 15 2 10" xfId="49315"/>
    <cellStyle name="Normal 15 2 2" xfId="49316"/>
    <cellStyle name="Normal 15 2 2 2" xfId="49317"/>
    <cellStyle name="Normal 15 2 2 2 2" xfId="49318"/>
    <cellStyle name="Normal 15 2 2 2 2 2" xfId="49319"/>
    <cellStyle name="Normal 15 2 2 2 2 2 2" xfId="49320"/>
    <cellStyle name="Normal 15 2 2 2 2 2 3" xfId="49321"/>
    <cellStyle name="Normal 15 2 2 2 2 3" xfId="49322"/>
    <cellStyle name="Normal 15 2 2 2 2 4" xfId="49323"/>
    <cellStyle name="Normal 15 2 2 2 3" xfId="49324"/>
    <cellStyle name="Normal 15 2 2 2 3 2" xfId="49325"/>
    <cellStyle name="Normal 15 2 2 2 3 3" xfId="49326"/>
    <cellStyle name="Normal 15 2 2 2 4" xfId="49327"/>
    <cellStyle name="Normal 15 2 2 2 4 2" xfId="49328"/>
    <cellStyle name="Normal 15 2 2 2 4 3" xfId="49329"/>
    <cellStyle name="Normal 15 2 2 2 5" xfId="49330"/>
    <cellStyle name="Normal 15 2 2 2 6" xfId="49331"/>
    <cellStyle name="Normal 15 2 2 3" xfId="49332"/>
    <cellStyle name="Normal 15 2 2 3 2" xfId="49333"/>
    <cellStyle name="Normal 15 2 2 3 2 2" xfId="49334"/>
    <cellStyle name="Normal 15 2 2 3 2 2 2" xfId="49335"/>
    <cellStyle name="Normal 15 2 2 3 2 2 3" xfId="49336"/>
    <cellStyle name="Normal 15 2 2 3 2 3" xfId="49337"/>
    <cellStyle name="Normal 15 2 2 3 2 4" xfId="49338"/>
    <cellStyle name="Normal 15 2 2 3 3" xfId="49339"/>
    <cellStyle name="Normal 15 2 2 3 3 2" xfId="49340"/>
    <cellStyle name="Normal 15 2 2 3 3 3" xfId="49341"/>
    <cellStyle name="Normal 15 2 2 3 4" xfId="49342"/>
    <cellStyle name="Normal 15 2 2 3 4 2" xfId="49343"/>
    <cellStyle name="Normal 15 2 2 3 4 3" xfId="49344"/>
    <cellStyle name="Normal 15 2 2 3 5" xfId="49345"/>
    <cellStyle name="Normal 15 2 2 3 6" xfId="49346"/>
    <cellStyle name="Normal 15 2 2 4" xfId="49347"/>
    <cellStyle name="Normal 15 2 2 4 2" xfId="49348"/>
    <cellStyle name="Normal 15 2 2 4 2 2" xfId="49349"/>
    <cellStyle name="Normal 15 2 2 4 2 3" xfId="49350"/>
    <cellStyle name="Normal 15 2 2 4 3" xfId="49351"/>
    <cellStyle name="Normal 15 2 2 4 4" xfId="49352"/>
    <cellStyle name="Normal 15 2 2 5" xfId="49353"/>
    <cellStyle name="Normal 15 2 2 5 2" xfId="49354"/>
    <cellStyle name="Normal 15 2 2 5 3" xfId="49355"/>
    <cellStyle name="Normal 15 2 2 6" xfId="49356"/>
    <cellStyle name="Normal 15 2 2 6 2" xfId="49357"/>
    <cellStyle name="Normal 15 2 2 6 3" xfId="49358"/>
    <cellStyle name="Normal 15 2 2 7" xfId="49359"/>
    <cellStyle name="Normal 15 2 2 8" xfId="49360"/>
    <cellStyle name="Normal 15 2 3" xfId="49361"/>
    <cellStyle name="Normal 15 2 3 2" xfId="49362"/>
    <cellStyle name="Normal 15 2 3 2 2" xfId="49363"/>
    <cellStyle name="Normal 15 2 3 2 2 2" xfId="49364"/>
    <cellStyle name="Normal 15 2 3 2 2 3" xfId="49365"/>
    <cellStyle name="Normal 15 2 3 2 3" xfId="49366"/>
    <cellStyle name="Normal 15 2 3 2 4" xfId="49367"/>
    <cellStyle name="Normal 15 2 3 3" xfId="49368"/>
    <cellStyle name="Normal 15 2 3 3 2" xfId="49369"/>
    <cellStyle name="Normal 15 2 3 3 3" xfId="49370"/>
    <cellStyle name="Normal 15 2 3 4" xfId="49371"/>
    <cellStyle name="Normal 15 2 3 4 2" xfId="49372"/>
    <cellStyle name="Normal 15 2 3 4 3" xfId="49373"/>
    <cellStyle name="Normal 15 2 3 5" xfId="49374"/>
    <cellStyle name="Normal 15 2 3 6" xfId="49375"/>
    <cellStyle name="Normal 15 2 4" xfId="49376"/>
    <cellStyle name="Normal 15 2 4 2" xfId="49377"/>
    <cellStyle name="Normal 15 2 4 2 2" xfId="49378"/>
    <cellStyle name="Normal 15 2 4 2 2 2" xfId="49379"/>
    <cellStyle name="Normal 15 2 4 2 2 3" xfId="49380"/>
    <cellStyle name="Normal 15 2 4 2 3" xfId="49381"/>
    <cellStyle name="Normal 15 2 4 2 4" xfId="49382"/>
    <cellStyle name="Normal 15 2 4 3" xfId="49383"/>
    <cellStyle name="Normal 15 2 4 3 2" xfId="49384"/>
    <cellStyle name="Normal 15 2 4 3 3" xfId="49385"/>
    <cellStyle name="Normal 15 2 4 4" xfId="49386"/>
    <cellStyle name="Normal 15 2 4 4 2" xfId="49387"/>
    <cellStyle name="Normal 15 2 4 4 3" xfId="49388"/>
    <cellStyle name="Normal 15 2 4 5" xfId="49389"/>
    <cellStyle name="Normal 15 2 4 6" xfId="49390"/>
    <cellStyle name="Normal 15 2 5" xfId="49391"/>
    <cellStyle name="Normal 15 2 5 2" xfId="49392"/>
    <cellStyle name="Normal 15 2 5 2 2" xfId="49393"/>
    <cellStyle name="Normal 15 2 5 2 3" xfId="49394"/>
    <cellStyle name="Normal 15 2 5 3" xfId="49395"/>
    <cellStyle name="Normal 15 2 5 4" xfId="49396"/>
    <cellStyle name="Normal 15 2 6" xfId="49397"/>
    <cellStyle name="Normal 15 2 6 2" xfId="49398"/>
    <cellStyle name="Normal 15 2 6 2 2" xfId="49399"/>
    <cellStyle name="Normal 15 2 6 2 3" xfId="49400"/>
    <cellStyle name="Normal 15 2 6 3" xfId="49401"/>
    <cellStyle name="Normal 15 2 6 4" xfId="49402"/>
    <cellStyle name="Normal 15 2 7" xfId="49403"/>
    <cellStyle name="Normal 15 2 7 2" xfId="49404"/>
    <cellStyle name="Normal 15 2 7 3" xfId="49405"/>
    <cellStyle name="Normal 15 2 8" xfId="49406"/>
    <cellStyle name="Normal 15 2 8 2" xfId="49407"/>
    <cellStyle name="Normal 15 2 8 3" xfId="49408"/>
    <cellStyle name="Normal 15 2 9" xfId="49409"/>
    <cellStyle name="Normal 15 3" xfId="49410"/>
    <cellStyle name="Normal 15 3 2" xfId="49411"/>
    <cellStyle name="Normal 15 3 2 2" xfId="49412"/>
    <cellStyle name="Normal 15 3 2 2 2" xfId="49413"/>
    <cellStyle name="Normal 15 3 2 2 2 2" xfId="49414"/>
    <cellStyle name="Normal 15 3 2 2 2 3" xfId="49415"/>
    <cellStyle name="Normal 15 3 2 2 3" xfId="49416"/>
    <cellStyle name="Normal 15 3 2 2 4" xfId="49417"/>
    <cellStyle name="Normal 15 3 2 3" xfId="49418"/>
    <cellStyle name="Normal 15 3 2 3 2" xfId="49419"/>
    <cellStyle name="Normal 15 3 2 3 3" xfId="49420"/>
    <cellStyle name="Normal 15 3 2 4" xfId="49421"/>
    <cellStyle name="Normal 15 3 2 4 2" xfId="49422"/>
    <cellStyle name="Normal 15 3 2 4 3" xfId="49423"/>
    <cellStyle name="Normal 15 3 2 5" xfId="49424"/>
    <cellStyle name="Normal 15 3 2 6" xfId="49425"/>
    <cellStyle name="Normal 15 3 3" xfId="49426"/>
    <cellStyle name="Normal 15 3 3 2" xfId="49427"/>
    <cellStyle name="Normal 15 3 3 2 2" xfId="49428"/>
    <cellStyle name="Normal 15 3 3 2 2 2" xfId="49429"/>
    <cellStyle name="Normal 15 3 3 2 2 3" xfId="49430"/>
    <cellStyle name="Normal 15 3 3 2 3" xfId="49431"/>
    <cellStyle name="Normal 15 3 3 2 4" xfId="49432"/>
    <cellStyle name="Normal 15 3 3 3" xfId="49433"/>
    <cellStyle name="Normal 15 3 3 3 2" xfId="49434"/>
    <cellStyle name="Normal 15 3 3 3 3" xfId="49435"/>
    <cellStyle name="Normal 15 3 3 4" xfId="49436"/>
    <cellStyle name="Normal 15 3 3 4 2" xfId="49437"/>
    <cellStyle name="Normal 15 3 3 4 3" xfId="49438"/>
    <cellStyle name="Normal 15 3 3 5" xfId="49439"/>
    <cellStyle name="Normal 15 3 3 6" xfId="49440"/>
    <cellStyle name="Normal 15 3 4" xfId="49441"/>
    <cellStyle name="Normal 15 3 4 2" xfId="49442"/>
    <cellStyle name="Normal 15 3 4 2 2" xfId="49443"/>
    <cellStyle name="Normal 15 3 4 2 3" xfId="49444"/>
    <cellStyle name="Normal 15 3 4 3" xfId="49445"/>
    <cellStyle name="Normal 15 3 4 4" xfId="49446"/>
    <cellStyle name="Normal 15 3 5" xfId="49447"/>
    <cellStyle name="Normal 15 3 5 2" xfId="49448"/>
    <cellStyle name="Normal 15 3 5 3" xfId="49449"/>
    <cellStyle name="Normal 15 3 6" xfId="49450"/>
    <cellStyle name="Normal 15 3 6 2" xfId="49451"/>
    <cellStyle name="Normal 15 3 6 3" xfId="49452"/>
    <cellStyle name="Normal 15 3 7" xfId="49453"/>
    <cellStyle name="Normal 15 3 8" xfId="49454"/>
    <cellStyle name="Normal 15 4" xfId="49455"/>
    <cellStyle name="Normal 15 4 2" xfId="49456"/>
    <cellStyle name="Normal 15 4 2 2" xfId="49457"/>
    <cellStyle name="Normal 15 4 2 2 2" xfId="49458"/>
    <cellStyle name="Normal 15 4 2 2 3" xfId="49459"/>
    <cellStyle name="Normal 15 4 2 3" xfId="49460"/>
    <cellStyle name="Normal 15 4 2 4" xfId="49461"/>
    <cellStyle name="Normal 15 4 3" xfId="49462"/>
    <cellStyle name="Normal 15 4 3 2" xfId="49463"/>
    <cellStyle name="Normal 15 4 3 3" xfId="49464"/>
    <cellStyle name="Normal 15 4 4" xfId="49465"/>
    <cellStyle name="Normal 15 4 4 2" xfId="49466"/>
    <cellStyle name="Normal 15 4 4 3" xfId="49467"/>
    <cellStyle name="Normal 15 4 5" xfId="49468"/>
    <cellStyle name="Normal 15 4 6" xfId="49469"/>
    <cellStyle name="Normal 15 5" xfId="49470"/>
    <cellStyle name="Normal 15 5 2" xfId="49471"/>
    <cellStyle name="Normal 15 5 2 2" xfId="49472"/>
    <cellStyle name="Normal 15 5 2 2 2" xfId="49473"/>
    <cellStyle name="Normal 15 5 2 2 3" xfId="49474"/>
    <cellStyle name="Normal 15 5 2 3" xfId="49475"/>
    <cellStyle name="Normal 15 5 2 4" xfId="49476"/>
    <cellStyle name="Normal 15 5 3" xfId="49477"/>
    <cellStyle name="Normal 15 5 3 2" xfId="49478"/>
    <cellStyle name="Normal 15 5 3 3" xfId="49479"/>
    <cellStyle name="Normal 15 5 4" xfId="49480"/>
    <cellStyle name="Normal 15 5 4 2" xfId="49481"/>
    <cellStyle name="Normal 15 5 4 3" xfId="49482"/>
    <cellStyle name="Normal 15 5 5" xfId="49483"/>
    <cellStyle name="Normal 15 5 6" xfId="49484"/>
    <cellStyle name="Normal 15 6" xfId="49485"/>
    <cellStyle name="Normal 15 6 2" xfId="49486"/>
    <cellStyle name="Normal 15 6 2 2" xfId="49487"/>
    <cellStyle name="Normal 15 6 2 3" xfId="49488"/>
    <cellStyle name="Normal 15 6 3" xfId="49489"/>
    <cellStyle name="Normal 15 6 4" xfId="49490"/>
    <cellStyle name="Normal 15 7" xfId="49491"/>
    <cellStyle name="Normal 15 7 2" xfId="49492"/>
    <cellStyle name="Normal 15 7 2 2" xfId="49493"/>
    <cellStyle name="Normal 15 7 2 3" xfId="49494"/>
    <cellStyle name="Normal 15 7 3" xfId="49495"/>
    <cellStyle name="Normal 15 7 4" xfId="49496"/>
    <cellStyle name="Normal 15 8" xfId="49497"/>
    <cellStyle name="Normal 15 8 2" xfId="49498"/>
    <cellStyle name="Normal 15 8 3" xfId="49499"/>
    <cellStyle name="Normal 15 9" xfId="49500"/>
    <cellStyle name="Normal 15 9 2" xfId="49501"/>
    <cellStyle name="Normal 15 9 3" xfId="49502"/>
    <cellStyle name="Normal 150" xfId="49503"/>
    <cellStyle name="Normal 150 2" xfId="49504"/>
    <cellStyle name="Normal 150 2 2" xfId="49505"/>
    <cellStyle name="Normal 150 2 3" xfId="49506"/>
    <cellStyle name="Normal 150 3" xfId="49507"/>
    <cellStyle name="Normal 150 3 2" xfId="49508"/>
    <cellStyle name="Normal 150 3 3" xfId="49509"/>
    <cellStyle name="Normal 150 4" xfId="49510"/>
    <cellStyle name="Normal 150 5" xfId="49511"/>
    <cellStyle name="Normal 151" xfId="49512"/>
    <cellStyle name="Normal 151 2" xfId="49513"/>
    <cellStyle name="Normal 151 2 2" xfId="49514"/>
    <cellStyle name="Normal 151 2 3" xfId="49515"/>
    <cellStyle name="Normal 151 3" xfId="49516"/>
    <cellStyle name="Normal 151 3 2" xfId="49517"/>
    <cellStyle name="Normal 151 3 3" xfId="49518"/>
    <cellStyle name="Normal 151 4" xfId="49519"/>
    <cellStyle name="Normal 151 5" xfId="49520"/>
    <cellStyle name="Normal 152" xfId="49521"/>
    <cellStyle name="Normal 152 2" xfId="49522"/>
    <cellStyle name="Normal 152 2 2" xfId="49523"/>
    <cellStyle name="Normal 152 2 3" xfId="49524"/>
    <cellStyle name="Normal 152 3" xfId="49525"/>
    <cellStyle name="Normal 152 3 2" xfId="49526"/>
    <cellStyle name="Normal 152 3 3" xfId="49527"/>
    <cellStyle name="Normal 152 4" xfId="49528"/>
    <cellStyle name="Normal 152 5" xfId="49529"/>
    <cellStyle name="Normal 153" xfId="49530"/>
    <cellStyle name="Normal 153 2" xfId="49531"/>
    <cellStyle name="Normal 153 2 2" xfId="49532"/>
    <cellStyle name="Normal 153 2 3" xfId="49533"/>
    <cellStyle name="Normal 153 3" xfId="49534"/>
    <cellStyle name="Normal 153 3 2" xfId="49535"/>
    <cellStyle name="Normal 153 3 3" xfId="49536"/>
    <cellStyle name="Normal 153 4" xfId="49537"/>
    <cellStyle name="Normal 153 5" xfId="49538"/>
    <cellStyle name="Normal 154" xfId="49539"/>
    <cellStyle name="Normal 154 2" xfId="49540"/>
    <cellStyle name="Normal 154 2 2" xfId="49541"/>
    <cellStyle name="Normal 154 2 3" xfId="49542"/>
    <cellStyle name="Normal 154 3" xfId="49543"/>
    <cellStyle name="Normal 154 3 2" xfId="49544"/>
    <cellStyle name="Normal 154 3 3" xfId="49545"/>
    <cellStyle name="Normal 154 4" xfId="49546"/>
    <cellStyle name="Normal 154 5" xfId="49547"/>
    <cellStyle name="Normal 155" xfId="49548"/>
    <cellStyle name="Normal 155 2" xfId="49549"/>
    <cellStyle name="Normal 155 2 2" xfId="49550"/>
    <cellStyle name="Normal 155 2 3" xfId="49551"/>
    <cellStyle name="Normal 155 3" xfId="49552"/>
    <cellStyle name="Normal 155 3 2" xfId="49553"/>
    <cellStyle name="Normal 155 3 3" xfId="49554"/>
    <cellStyle name="Normal 155 4" xfId="49555"/>
    <cellStyle name="Normal 155 5" xfId="49556"/>
    <cellStyle name="Normal 156" xfId="49557"/>
    <cellStyle name="Normal 156 2" xfId="49558"/>
    <cellStyle name="Normal 156 2 2" xfId="49559"/>
    <cellStyle name="Normal 156 2 3" xfId="49560"/>
    <cellStyle name="Normal 156 3" xfId="49561"/>
    <cellStyle name="Normal 156 3 2" xfId="49562"/>
    <cellStyle name="Normal 156 3 3" xfId="49563"/>
    <cellStyle name="Normal 156 4" xfId="49564"/>
    <cellStyle name="Normal 156 5" xfId="49565"/>
    <cellStyle name="Normal 157" xfId="49566"/>
    <cellStyle name="Normal 157 2" xfId="49567"/>
    <cellStyle name="Normal 157 2 2" xfId="49568"/>
    <cellStyle name="Normal 157 2 3" xfId="49569"/>
    <cellStyle name="Normal 157 3" xfId="49570"/>
    <cellStyle name="Normal 157 3 2" xfId="49571"/>
    <cellStyle name="Normal 157 3 3" xfId="49572"/>
    <cellStyle name="Normal 157 4" xfId="49573"/>
    <cellStyle name="Normal 157 5" xfId="49574"/>
    <cellStyle name="Normal 158" xfId="49575"/>
    <cellStyle name="Normal 158 2" xfId="49576"/>
    <cellStyle name="Normal 158 2 2" xfId="49577"/>
    <cellStyle name="Normal 158 2 3" xfId="49578"/>
    <cellStyle name="Normal 158 3" xfId="49579"/>
    <cellStyle name="Normal 158 3 2" xfId="49580"/>
    <cellStyle name="Normal 158 3 3" xfId="49581"/>
    <cellStyle name="Normal 158 4" xfId="49582"/>
    <cellStyle name="Normal 158 4 2" xfId="49583"/>
    <cellStyle name="Normal 158 4 3" xfId="49584"/>
    <cellStyle name="Normal 158 5" xfId="49585"/>
    <cellStyle name="Normal 158 6" xfId="49586"/>
    <cellStyle name="Normal 159" xfId="49587"/>
    <cellStyle name="Normal 159 2" xfId="49588"/>
    <cellStyle name="Normal 159 2 2" xfId="49589"/>
    <cellStyle name="Normal 159 2 3" xfId="49590"/>
    <cellStyle name="Normal 159 3" xfId="49591"/>
    <cellStyle name="Normal 159 3 2" xfId="49592"/>
    <cellStyle name="Normal 159 3 3" xfId="49593"/>
    <cellStyle name="Normal 159 4" xfId="49594"/>
    <cellStyle name="Normal 159 4 2" xfId="49595"/>
    <cellStyle name="Normal 159 4 3" xfId="49596"/>
    <cellStyle name="Normal 159 5" xfId="49597"/>
    <cellStyle name="Normal 159 6" xfId="49598"/>
    <cellStyle name="Normal 16" xfId="49599"/>
    <cellStyle name="Normal 16 10" xfId="49600"/>
    <cellStyle name="Normal 16 11" xfId="49601"/>
    <cellStyle name="Normal 16 2" xfId="49602"/>
    <cellStyle name="Normal 16 2 10" xfId="49603"/>
    <cellStyle name="Normal 16 2 2" xfId="49604"/>
    <cellStyle name="Normal 16 2 2 2" xfId="49605"/>
    <cellStyle name="Normal 16 2 2 2 2" xfId="49606"/>
    <cellStyle name="Normal 16 2 2 2 2 2" xfId="49607"/>
    <cellStyle name="Normal 16 2 2 2 2 2 2" xfId="49608"/>
    <cellStyle name="Normal 16 2 2 2 2 2 3" xfId="49609"/>
    <cellStyle name="Normal 16 2 2 2 2 3" xfId="49610"/>
    <cellStyle name="Normal 16 2 2 2 2 4" xfId="49611"/>
    <cellStyle name="Normal 16 2 2 2 3" xfId="49612"/>
    <cellStyle name="Normal 16 2 2 2 3 2" xfId="49613"/>
    <cellStyle name="Normal 16 2 2 2 3 3" xfId="49614"/>
    <cellStyle name="Normal 16 2 2 2 4" xfId="49615"/>
    <cellStyle name="Normal 16 2 2 2 4 2" xfId="49616"/>
    <cellStyle name="Normal 16 2 2 2 4 3" xfId="49617"/>
    <cellStyle name="Normal 16 2 2 2 5" xfId="49618"/>
    <cellStyle name="Normal 16 2 2 2 6" xfId="49619"/>
    <cellStyle name="Normal 16 2 2 3" xfId="49620"/>
    <cellStyle name="Normal 16 2 2 3 2" xfId="49621"/>
    <cellStyle name="Normal 16 2 2 3 2 2" xfId="49622"/>
    <cellStyle name="Normal 16 2 2 3 2 2 2" xfId="49623"/>
    <cellStyle name="Normal 16 2 2 3 2 2 3" xfId="49624"/>
    <cellStyle name="Normal 16 2 2 3 2 3" xfId="49625"/>
    <cellStyle name="Normal 16 2 2 3 2 4" xfId="49626"/>
    <cellStyle name="Normal 16 2 2 3 3" xfId="49627"/>
    <cellStyle name="Normal 16 2 2 3 3 2" xfId="49628"/>
    <cellStyle name="Normal 16 2 2 3 3 3" xfId="49629"/>
    <cellStyle name="Normal 16 2 2 3 4" xfId="49630"/>
    <cellStyle name="Normal 16 2 2 3 4 2" xfId="49631"/>
    <cellStyle name="Normal 16 2 2 3 4 3" xfId="49632"/>
    <cellStyle name="Normal 16 2 2 3 5" xfId="49633"/>
    <cellStyle name="Normal 16 2 2 3 6" xfId="49634"/>
    <cellStyle name="Normal 16 2 2 4" xfId="49635"/>
    <cellStyle name="Normal 16 2 2 4 2" xfId="49636"/>
    <cellStyle name="Normal 16 2 2 4 2 2" xfId="49637"/>
    <cellStyle name="Normal 16 2 2 4 2 3" xfId="49638"/>
    <cellStyle name="Normal 16 2 2 4 3" xfId="49639"/>
    <cellStyle name="Normal 16 2 2 4 4" xfId="49640"/>
    <cellStyle name="Normal 16 2 2 5" xfId="49641"/>
    <cellStyle name="Normal 16 2 2 5 2" xfId="49642"/>
    <cellStyle name="Normal 16 2 2 5 3" xfId="49643"/>
    <cellStyle name="Normal 16 2 2 6" xfId="49644"/>
    <cellStyle name="Normal 16 2 2 6 2" xfId="49645"/>
    <cellStyle name="Normal 16 2 2 6 3" xfId="49646"/>
    <cellStyle name="Normal 16 2 2 7" xfId="49647"/>
    <cellStyle name="Normal 16 2 2 8" xfId="49648"/>
    <cellStyle name="Normal 16 2 3" xfId="49649"/>
    <cellStyle name="Normal 16 2 3 2" xfId="49650"/>
    <cellStyle name="Normal 16 2 3 2 2" xfId="49651"/>
    <cellStyle name="Normal 16 2 3 2 2 2" xfId="49652"/>
    <cellStyle name="Normal 16 2 3 2 2 3" xfId="49653"/>
    <cellStyle name="Normal 16 2 3 2 3" xfId="49654"/>
    <cellStyle name="Normal 16 2 3 2 4" xfId="49655"/>
    <cellStyle name="Normal 16 2 3 3" xfId="49656"/>
    <cellStyle name="Normal 16 2 3 3 2" xfId="49657"/>
    <cellStyle name="Normal 16 2 3 3 3" xfId="49658"/>
    <cellStyle name="Normal 16 2 3 4" xfId="49659"/>
    <cellStyle name="Normal 16 2 3 4 2" xfId="49660"/>
    <cellStyle name="Normal 16 2 3 4 3" xfId="49661"/>
    <cellStyle name="Normal 16 2 3 5" xfId="49662"/>
    <cellStyle name="Normal 16 2 3 6" xfId="49663"/>
    <cellStyle name="Normal 16 2 4" xfId="49664"/>
    <cellStyle name="Normal 16 2 4 2" xfId="49665"/>
    <cellStyle name="Normal 16 2 4 2 2" xfId="49666"/>
    <cellStyle name="Normal 16 2 4 2 2 2" xfId="49667"/>
    <cellStyle name="Normal 16 2 4 2 2 3" xfId="49668"/>
    <cellStyle name="Normal 16 2 4 2 3" xfId="49669"/>
    <cellStyle name="Normal 16 2 4 2 4" xfId="49670"/>
    <cellStyle name="Normal 16 2 4 3" xfId="49671"/>
    <cellStyle name="Normal 16 2 4 3 2" xfId="49672"/>
    <cellStyle name="Normal 16 2 4 3 3" xfId="49673"/>
    <cellStyle name="Normal 16 2 4 4" xfId="49674"/>
    <cellStyle name="Normal 16 2 4 4 2" xfId="49675"/>
    <cellStyle name="Normal 16 2 4 4 3" xfId="49676"/>
    <cellStyle name="Normal 16 2 4 5" xfId="49677"/>
    <cellStyle name="Normal 16 2 4 6" xfId="49678"/>
    <cellStyle name="Normal 16 2 5" xfId="49679"/>
    <cellStyle name="Normal 16 2 5 2" xfId="49680"/>
    <cellStyle name="Normal 16 2 5 2 2" xfId="49681"/>
    <cellStyle name="Normal 16 2 5 2 3" xfId="49682"/>
    <cellStyle name="Normal 16 2 5 3" xfId="49683"/>
    <cellStyle name="Normal 16 2 5 4" xfId="49684"/>
    <cellStyle name="Normal 16 2 6" xfId="49685"/>
    <cellStyle name="Normal 16 2 6 2" xfId="49686"/>
    <cellStyle name="Normal 16 2 6 2 2" xfId="49687"/>
    <cellStyle name="Normal 16 2 6 2 3" xfId="49688"/>
    <cellStyle name="Normal 16 2 6 3" xfId="49689"/>
    <cellStyle name="Normal 16 2 6 4" xfId="49690"/>
    <cellStyle name="Normal 16 2 7" xfId="49691"/>
    <cellStyle name="Normal 16 2 7 2" xfId="49692"/>
    <cellStyle name="Normal 16 2 7 3" xfId="49693"/>
    <cellStyle name="Normal 16 2 8" xfId="49694"/>
    <cellStyle name="Normal 16 2 8 2" xfId="49695"/>
    <cellStyle name="Normal 16 2 8 3" xfId="49696"/>
    <cellStyle name="Normal 16 2 9" xfId="49697"/>
    <cellStyle name="Normal 16 3" xfId="49698"/>
    <cellStyle name="Normal 16 3 2" xfId="49699"/>
    <cellStyle name="Normal 16 3 2 2" xfId="49700"/>
    <cellStyle name="Normal 16 3 2 2 2" xfId="49701"/>
    <cellStyle name="Normal 16 3 2 2 2 2" xfId="49702"/>
    <cellStyle name="Normal 16 3 2 2 2 3" xfId="49703"/>
    <cellStyle name="Normal 16 3 2 2 3" xfId="49704"/>
    <cellStyle name="Normal 16 3 2 2 4" xfId="49705"/>
    <cellStyle name="Normal 16 3 2 3" xfId="49706"/>
    <cellStyle name="Normal 16 3 2 3 2" xfId="49707"/>
    <cellStyle name="Normal 16 3 2 3 3" xfId="49708"/>
    <cellStyle name="Normal 16 3 2 4" xfId="49709"/>
    <cellStyle name="Normal 16 3 2 4 2" xfId="49710"/>
    <cellStyle name="Normal 16 3 2 4 3" xfId="49711"/>
    <cellStyle name="Normal 16 3 2 5" xfId="49712"/>
    <cellStyle name="Normal 16 3 2 6" xfId="49713"/>
    <cellStyle name="Normal 16 3 3" xfId="49714"/>
    <cellStyle name="Normal 16 3 3 2" xfId="49715"/>
    <cellStyle name="Normal 16 3 3 2 2" xfId="49716"/>
    <cellStyle name="Normal 16 3 3 2 2 2" xfId="49717"/>
    <cellStyle name="Normal 16 3 3 2 2 3" xfId="49718"/>
    <cellStyle name="Normal 16 3 3 2 3" xfId="49719"/>
    <cellStyle name="Normal 16 3 3 2 4" xfId="49720"/>
    <cellStyle name="Normal 16 3 3 3" xfId="49721"/>
    <cellStyle name="Normal 16 3 3 3 2" xfId="49722"/>
    <cellStyle name="Normal 16 3 3 3 3" xfId="49723"/>
    <cellStyle name="Normal 16 3 3 4" xfId="49724"/>
    <cellStyle name="Normal 16 3 3 4 2" xfId="49725"/>
    <cellStyle name="Normal 16 3 3 4 3" xfId="49726"/>
    <cellStyle name="Normal 16 3 3 5" xfId="49727"/>
    <cellStyle name="Normal 16 3 3 6" xfId="49728"/>
    <cellStyle name="Normal 16 3 4" xfId="49729"/>
    <cellStyle name="Normal 16 3 4 2" xfId="49730"/>
    <cellStyle name="Normal 16 3 4 2 2" xfId="49731"/>
    <cellStyle name="Normal 16 3 4 2 3" xfId="49732"/>
    <cellStyle name="Normal 16 3 4 3" xfId="49733"/>
    <cellStyle name="Normal 16 3 4 4" xfId="49734"/>
    <cellStyle name="Normal 16 3 5" xfId="49735"/>
    <cellStyle name="Normal 16 3 5 2" xfId="49736"/>
    <cellStyle name="Normal 16 3 5 3" xfId="49737"/>
    <cellStyle name="Normal 16 3 6" xfId="49738"/>
    <cellStyle name="Normal 16 3 6 2" xfId="49739"/>
    <cellStyle name="Normal 16 3 6 3" xfId="49740"/>
    <cellStyle name="Normal 16 3 7" xfId="49741"/>
    <cellStyle name="Normal 16 3 8" xfId="49742"/>
    <cellStyle name="Normal 16 4" xfId="49743"/>
    <cellStyle name="Normal 16 4 2" xfId="49744"/>
    <cellStyle name="Normal 16 4 2 2" xfId="49745"/>
    <cellStyle name="Normal 16 4 2 2 2" xfId="49746"/>
    <cellStyle name="Normal 16 4 2 2 3" xfId="49747"/>
    <cellStyle name="Normal 16 4 2 3" xfId="49748"/>
    <cellStyle name="Normal 16 4 2 4" xfId="49749"/>
    <cellStyle name="Normal 16 4 3" xfId="49750"/>
    <cellStyle name="Normal 16 4 3 2" xfId="49751"/>
    <cellStyle name="Normal 16 4 3 3" xfId="49752"/>
    <cellStyle name="Normal 16 4 4" xfId="49753"/>
    <cellStyle name="Normal 16 4 4 2" xfId="49754"/>
    <cellStyle name="Normal 16 4 4 3" xfId="49755"/>
    <cellStyle name="Normal 16 4 5" xfId="49756"/>
    <cellStyle name="Normal 16 4 6" xfId="49757"/>
    <cellStyle name="Normal 16 5" xfId="49758"/>
    <cellStyle name="Normal 16 5 2" xfId="49759"/>
    <cellStyle name="Normal 16 5 2 2" xfId="49760"/>
    <cellStyle name="Normal 16 5 2 2 2" xfId="49761"/>
    <cellStyle name="Normal 16 5 2 2 3" xfId="49762"/>
    <cellStyle name="Normal 16 5 2 3" xfId="49763"/>
    <cellStyle name="Normal 16 5 2 4" xfId="49764"/>
    <cellStyle name="Normal 16 5 3" xfId="49765"/>
    <cellStyle name="Normal 16 5 3 2" xfId="49766"/>
    <cellStyle name="Normal 16 5 3 3" xfId="49767"/>
    <cellStyle name="Normal 16 5 4" xfId="49768"/>
    <cellStyle name="Normal 16 5 4 2" xfId="49769"/>
    <cellStyle name="Normal 16 5 4 3" xfId="49770"/>
    <cellStyle name="Normal 16 5 5" xfId="49771"/>
    <cellStyle name="Normal 16 5 6" xfId="49772"/>
    <cellStyle name="Normal 16 6" xfId="49773"/>
    <cellStyle name="Normal 16 6 2" xfId="49774"/>
    <cellStyle name="Normal 16 6 2 2" xfId="49775"/>
    <cellStyle name="Normal 16 6 2 3" xfId="49776"/>
    <cellStyle name="Normal 16 6 3" xfId="49777"/>
    <cellStyle name="Normal 16 6 4" xfId="49778"/>
    <cellStyle name="Normal 16 7" xfId="49779"/>
    <cellStyle name="Normal 16 7 2" xfId="49780"/>
    <cellStyle name="Normal 16 7 2 2" xfId="49781"/>
    <cellStyle name="Normal 16 7 2 3" xfId="49782"/>
    <cellStyle name="Normal 16 7 3" xfId="49783"/>
    <cellStyle name="Normal 16 7 4" xfId="49784"/>
    <cellStyle name="Normal 16 8" xfId="49785"/>
    <cellStyle name="Normal 16 8 2" xfId="49786"/>
    <cellStyle name="Normal 16 8 3" xfId="49787"/>
    <cellStyle name="Normal 16 9" xfId="49788"/>
    <cellStyle name="Normal 16 9 2" xfId="49789"/>
    <cellStyle name="Normal 16 9 3" xfId="49790"/>
    <cellStyle name="Normal 160" xfId="49791"/>
    <cellStyle name="Normal 160 2" xfId="49792"/>
    <cellStyle name="Normal 160 2 2" xfId="49793"/>
    <cellStyle name="Normal 160 2 3" xfId="49794"/>
    <cellStyle name="Normal 160 3" xfId="49795"/>
    <cellStyle name="Normal 160 3 2" xfId="49796"/>
    <cellStyle name="Normal 160 3 3" xfId="49797"/>
    <cellStyle name="Normal 160 4" xfId="49798"/>
    <cellStyle name="Normal 160 4 2" xfId="49799"/>
    <cellStyle name="Normal 160 4 3" xfId="49800"/>
    <cellStyle name="Normal 160 5" xfId="49801"/>
    <cellStyle name="Normal 160 6" xfId="49802"/>
    <cellStyle name="Normal 161" xfId="49803"/>
    <cellStyle name="Normal 161 2" xfId="49804"/>
    <cellStyle name="Normal 161 2 2" xfId="49805"/>
    <cellStyle name="Normal 161 2 3" xfId="49806"/>
    <cellStyle name="Normal 161 3" xfId="49807"/>
    <cellStyle name="Normal 161 3 2" xfId="49808"/>
    <cellStyle name="Normal 161 3 3" xfId="49809"/>
    <cellStyle name="Normal 161 4" xfId="49810"/>
    <cellStyle name="Normal 161 4 2" xfId="49811"/>
    <cellStyle name="Normal 161 4 3" xfId="49812"/>
    <cellStyle name="Normal 161 5" xfId="49813"/>
    <cellStyle name="Normal 161 6" xfId="49814"/>
    <cellStyle name="Normal 162" xfId="49815"/>
    <cellStyle name="Normal 162 2" xfId="49816"/>
    <cellStyle name="Normal 162 2 2" xfId="49817"/>
    <cellStyle name="Normal 162 2 3" xfId="49818"/>
    <cellStyle name="Normal 162 3" xfId="49819"/>
    <cellStyle name="Normal 162 3 2" xfId="49820"/>
    <cellStyle name="Normal 162 3 3" xfId="49821"/>
    <cellStyle name="Normal 162 4" xfId="49822"/>
    <cellStyle name="Normal 162 4 2" xfId="49823"/>
    <cellStyle name="Normal 162 4 3" xfId="49824"/>
    <cellStyle name="Normal 162 5" xfId="49825"/>
    <cellStyle name="Normal 162 6" xfId="49826"/>
    <cellStyle name="Normal 163" xfId="49827"/>
    <cellStyle name="Normal 163 2" xfId="49828"/>
    <cellStyle name="Normal 163 2 2" xfId="49829"/>
    <cellStyle name="Normal 163 2 3" xfId="49830"/>
    <cellStyle name="Normal 163 3" xfId="49831"/>
    <cellStyle name="Normal 163 3 2" xfId="49832"/>
    <cellStyle name="Normal 163 3 3" xfId="49833"/>
    <cellStyle name="Normal 163 4" xfId="49834"/>
    <cellStyle name="Normal 163 4 2" xfId="49835"/>
    <cellStyle name="Normal 163 4 3" xfId="49836"/>
    <cellStyle name="Normal 163 5" xfId="49837"/>
    <cellStyle name="Normal 163 6" xfId="49838"/>
    <cellStyle name="Normal 164" xfId="49839"/>
    <cellStyle name="Normal 164 2" xfId="49840"/>
    <cellStyle name="Normal 164 2 2" xfId="49841"/>
    <cellStyle name="Normal 164 2 2 2" xfId="49842"/>
    <cellStyle name="Normal 164 2 2 3" xfId="49843"/>
    <cellStyle name="Normal 164 2 3" xfId="49844"/>
    <cellStyle name="Normal 164 2 4" xfId="49845"/>
    <cellStyle name="Normal 164 3" xfId="49846"/>
    <cellStyle name="Normal 164 4" xfId="49847"/>
    <cellStyle name="Normal 165" xfId="49848"/>
    <cellStyle name="Normal 165 2" xfId="49849"/>
    <cellStyle name="Normal 165 2 2" xfId="49850"/>
    <cellStyle name="Normal 165 2 2 2" xfId="49851"/>
    <cellStyle name="Normal 165 2 2 3" xfId="49852"/>
    <cellStyle name="Normal 165 2 3" xfId="49853"/>
    <cellStyle name="Normal 165 2 4" xfId="49854"/>
    <cellStyle name="Normal 165 3" xfId="49855"/>
    <cellStyle name="Normal 165 4" xfId="49856"/>
    <cellStyle name="Normal 166" xfId="49857"/>
    <cellStyle name="Normal 166 2" xfId="49858"/>
    <cellStyle name="Normal 166 3" xfId="49859"/>
    <cellStyle name="Normal 167" xfId="49860"/>
    <cellStyle name="Normal 167 2" xfId="49861"/>
    <cellStyle name="Normal 167 2 2" xfId="49862"/>
    <cellStyle name="Normal 167 2 3" xfId="49863"/>
    <cellStyle name="Normal 167 3" xfId="49864"/>
    <cellStyle name="Normal 167 4" xfId="49865"/>
    <cellStyle name="Normal 168" xfId="49866"/>
    <cellStyle name="Normal 168 2" xfId="49867"/>
    <cellStyle name="Normal 168 2 2" xfId="49868"/>
    <cellStyle name="Normal 168 2 2 2" xfId="49869"/>
    <cellStyle name="Normal 168 2 2 3" xfId="49870"/>
    <cellStyle name="Normal 168 2 3" xfId="49871"/>
    <cellStyle name="Normal 168 2 3 2" xfId="49872"/>
    <cellStyle name="Normal 168 2 3 3" xfId="49873"/>
    <cellStyle name="Normal 168 2 4" xfId="49874"/>
    <cellStyle name="Normal 168 2 6" xfId="49875"/>
    <cellStyle name="Normal 168 3" xfId="49876"/>
    <cellStyle name="Normal 168 3 2" xfId="49877"/>
    <cellStyle name="Normal 168 3 3" xfId="49878"/>
    <cellStyle name="Normal 168 4" xfId="49879"/>
    <cellStyle name="Normal 168 5" xfId="49880"/>
    <cellStyle name="Normal 169" xfId="49881"/>
    <cellStyle name="Normal 169 2" xfId="49882"/>
    <cellStyle name="Normal 169 2 2" xfId="49883"/>
    <cellStyle name="Normal 169 2 2 2" xfId="49884"/>
    <cellStyle name="Normal 169 2 2 2 2" xfId="49885"/>
    <cellStyle name="Normal 169 2 2 2 3" xfId="49886"/>
    <cellStyle name="Normal 169 2 2 3" xfId="49887"/>
    <cellStyle name="Normal 169 2 2 4" xfId="49888"/>
    <cellStyle name="Normal 169 2 3" xfId="49889"/>
    <cellStyle name="Normal 169 2 3 2" xfId="49890"/>
    <cellStyle name="Normal 169 2 3 3" xfId="49891"/>
    <cellStyle name="Normal 169 2 4" xfId="49892"/>
    <cellStyle name="Normal 169 2 4 2" xfId="49893"/>
    <cellStyle name="Normal 169 2 4 3" xfId="49894"/>
    <cellStyle name="Normal 169 2 5" xfId="49895"/>
    <cellStyle name="Normal 169 2 6" xfId="49896"/>
    <cellStyle name="Normal 169 3" xfId="49897"/>
    <cellStyle name="Normal 169 3 2" xfId="49898"/>
    <cellStyle name="Normal 169 3 2 2" xfId="49899"/>
    <cellStyle name="Normal 169 3 2 2 2" xfId="49900"/>
    <cellStyle name="Normal 169 3 2 2 3" xfId="49901"/>
    <cellStyle name="Normal 169 3 2 3" xfId="49902"/>
    <cellStyle name="Normal 169 3 2 4" xfId="49903"/>
    <cellStyle name="Normal 169 3 3" xfId="49904"/>
    <cellStyle name="Normal 169 3 3 2" xfId="49905"/>
    <cellStyle name="Normal 169 3 3 3" xfId="49906"/>
    <cellStyle name="Normal 169 3 4" xfId="49907"/>
    <cellStyle name="Normal 169 3 4 2" xfId="49908"/>
    <cellStyle name="Normal 169 3 4 3" xfId="49909"/>
    <cellStyle name="Normal 169 3 5" xfId="49910"/>
    <cellStyle name="Normal 169 3 6" xfId="49911"/>
    <cellStyle name="Normal 169 4" xfId="49912"/>
    <cellStyle name="Normal 169 4 2" xfId="49913"/>
    <cellStyle name="Normal 169 4 2 2" xfId="49914"/>
    <cellStyle name="Normal 169 4 2 3" xfId="49915"/>
    <cellStyle name="Normal 169 4 3" xfId="49916"/>
    <cellStyle name="Normal 169 4 4" xfId="49917"/>
    <cellStyle name="Normal 169 5" xfId="49918"/>
    <cellStyle name="Normal 169 5 2" xfId="49919"/>
    <cellStyle name="Normal 169 5 3" xfId="49920"/>
    <cellStyle name="Normal 169 6" xfId="49921"/>
    <cellStyle name="Normal 169 6 2" xfId="49922"/>
    <cellStyle name="Normal 169 6 3" xfId="49923"/>
    <cellStyle name="Normal 169 7" xfId="49924"/>
    <cellStyle name="Normal 169 8" xfId="49925"/>
    <cellStyle name="Normal 17" xfId="49926"/>
    <cellStyle name="Normal 17 10" xfId="49927"/>
    <cellStyle name="Normal 17 11" xfId="49928"/>
    <cellStyle name="Normal 17 12" xfId="49929"/>
    <cellStyle name="Normal 17 2" xfId="49930"/>
    <cellStyle name="Normal 17 2 10" xfId="49931"/>
    <cellStyle name="Normal 17 2 2" xfId="49932"/>
    <cellStyle name="Normal 17 2 2 2" xfId="49933"/>
    <cellStyle name="Normal 17 2 2 2 2" xfId="49934"/>
    <cellStyle name="Normal 17 2 2 2 2 2" xfId="49935"/>
    <cellStyle name="Normal 17 2 2 2 2 2 2" xfId="49936"/>
    <cellStyle name="Normal 17 2 2 2 2 2 3" xfId="49937"/>
    <cellStyle name="Normal 17 2 2 2 2 3" xfId="49938"/>
    <cellStyle name="Normal 17 2 2 2 2 4" xfId="49939"/>
    <cellStyle name="Normal 17 2 2 2 3" xfId="49940"/>
    <cellStyle name="Normal 17 2 2 2 3 2" xfId="49941"/>
    <cellStyle name="Normal 17 2 2 2 3 3" xfId="49942"/>
    <cellStyle name="Normal 17 2 2 2 4" xfId="49943"/>
    <cellStyle name="Normal 17 2 2 2 4 2" xfId="49944"/>
    <cellStyle name="Normal 17 2 2 2 4 3" xfId="49945"/>
    <cellStyle name="Normal 17 2 2 2 5" xfId="49946"/>
    <cellStyle name="Normal 17 2 2 2 6" xfId="49947"/>
    <cellStyle name="Normal 17 2 2 3" xfId="49948"/>
    <cellStyle name="Normal 17 2 2 3 2" xfId="49949"/>
    <cellStyle name="Normal 17 2 2 3 2 2" xfId="49950"/>
    <cellStyle name="Normal 17 2 2 3 2 2 2" xfId="49951"/>
    <cellStyle name="Normal 17 2 2 3 2 2 3" xfId="49952"/>
    <cellStyle name="Normal 17 2 2 3 2 3" xfId="49953"/>
    <cellStyle name="Normal 17 2 2 3 2 4" xfId="49954"/>
    <cellStyle name="Normal 17 2 2 3 3" xfId="49955"/>
    <cellStyle name="Normal 17 2 2 3 3 2" xfId="49956"/>
    <cellStyle name="Normal 17 2 2 3 3 3" xfId="49957"/>
    <cellStyle name="Normal 17 2 2 3 4" xfId="49958"/>
    <cellStyle name="Normal 17 2 2 3 4 2" xfId="49959"/>
    <cellStyle name="Normal 17 2 2 3 4 3" xfId="49960"/>
    <cellStyle name="Normal 17 2 2 3 5" xfId="49961"/>
    <cellStyle name="Normal 17 2 2 3 6" xfId="49962"/>
    <cellStyle name="Normal 17 2 2 4" xfId="49963"/>
    <cellStyle name="Normal 17 2 2 4 2" xfId="49964"/>
    <cellStyle name="Normal 17 2 2 4 2 2" xfId="49965"/>
    <cellStyle name="Normal 17 2 2 4 2 3" xfId="49966"/>
    <cellStyle name="Normal 17 2 2 4 3" xfId="49967"/>
    <cellStyle name="Normal 17 2 2 4 4" xfId="49968"/>
    <cellStyle name="Normal 17 2 2 5" xfId="49969"/>
    <cellStyle name="Normal 17 2 2 5 2" xfId="49970"/>
    <cellStyle name="Normal 17 2 2 5 3" xfId="49971"/>
    <cellStyle name="Normal 17 2 2 6" xfId="49972"/>
    <cellStyle name="Normal 17 2 2 6 2" xfId="49973"/>
    <cellStyle name="Normal 17 2 2 6 3" xfId="49974"/>
    <cellStyle name="Normal 17 2 2 7" xfId="49975"/>
    <cellStyle name="Normal 17 2 2 8" xfId="49976"/>
    <cellStyle name="Normal 17 2 3" xfId="49977"/>
    <cellStyle name="Normal 17 2 3 2" xfId="49978"/>
    <cellStyle name="Normal 17 2 3 2 2" xfId="49979"/>
    <cellStyle name="Normal 17 2 3 2 2 2" xfId="49980"/>
    <cellStyle name="Normal 17 2 3 2 2 3" xfId="49981"/>
    <cellStyle name="Normal 17 2 3 2 3" xfId="49982"/>
    <cellStyle name="Normal 17 2 3 2 4" xfId="49983"/>
    <cellStyle name="Normal 17 2 3 3" xfId="49984"/>
    <cellStyle name="Normal 17 2 3 3 2" xfId="49985"/>
    <cellStyle name="Normal 17 2 3 3 3" xfId="49986"/>
    <cellStyle name="Normal 17 2 3 4" xfId="49987"/>
    <cellStyle name="Normal 17 2 3 4 2" xfId="49988"/>
    <cellStyle name="Normal 17 2 3 4 3" xfId="49989"/>
    <cellStyle name="Normal 17 2 3 5" xfId="49990"/>
    <cellStyle name="Normal 17 2 3 6" xfId="49991"/>
    <cellStyle name="Normal 17 2 4" xfId="49992"/>
    <cellStyle name="Normal 17 2 4 2" xfId="49993"/>
    <cellStyle name="Normal 17 2 4 2 2" xfId="49994"/>
    <cellStyle name="Normal 17 2 4 2 2 2" xfId="49995"/>
    <cellStyle name="Normal 17 2 4 2 2 3" xfId="49996"/>
    <cellStyle name="Normal 17 2 4 2 3" xfId="49997"/>
    <cellStyle name="Normal 17 2 4 2 4" xfId="49998"/>
    <cellStyle name="Normal 17 2 4 3" xfId="49999"/>
    <cellStyle name="Normal 17 2 4 3 2" xfId="50000"/>
    <cellStyle name="Normal 17 2 4 3 3" xfId="50001"/>
    <cellStyle name="Normal 17 2 4 4" xfId="50002"/>
    <cellStyle name="Normal 17 2 4 4 2" xfId="50003"/>
    <cellStyle name="Normal 17 2 4 4 3" xfId="50004"/>
    <cellStyle name="Normal 17 2 4 5" xfId="50005"/>
    <cellStyle name="Normal 17 2 4 6" xfId="50006"/>
    <cellStyle name="Normal 17 2 5" xfId="50007"/>
    <cellStyle name="Normal 17 2 5 2" xfId="50008"/>
    <cellStyle name="Normal 17 2 5 2 2" xfId="50009"/>
    <cellStyle name="Normal 17 2 5 2 3" xfId="50010"/>
    <cellStyle name="Normal 17 2 5 3" xfId="50011"/>
    <cellStyle name="Normal 17 2 5 4" xfId="50012"/>
    <cellStyle name="Normal 17 2 6" xfId="50013"/>
    <cellStyle name="Normal 17 2 6 2" xfId="50014"/>
    <cellStyle name="Normal 17 2 6 2 2" xfId="50015"/>
    <cellStyle name="Normal 17 2 6 2 3" xfId="50016"/>
    <cellStyle name="Normal 17 2 6 3" xfId="50017"/>
    <cellStyle name="Normal 17 2 6 4" xfId="50018"/>
    <cellStyle name="Normal 17 2 7" xfId="50019"/>
    <cellStyle name="Normal 17 2 7 2" xfId="50020"/>
    <cellStyle name="Normal 17 2 7 3" xfId="50021"/>
    <cellStyle name="Normal 17 2 8" xfId="50022"/>
    <cellStyle name="Normal 17 2 8 2" xfId="50023"/>
    <cellStyle name="Normal 17 2 8 3" xfId="50024"/>
    <cellStyle name="Normal 17 2 9" xfId="50025"/>
    <cellStyle name="Normal 17 3" xfId="50026"/>
    <cellStyle name="Normal 17 3 2" xfId="50027"/>
    <cellStyle name="Normal 17 3 2 2" xfId="50028"/>
    <cellStyle name="Normal 17 3 2 2 2" xfId="50029"/>
    <cellStyle name="Normal 17 3 2 2 2 2" xfId="50030"/>
    <cellStyle name="Normal 17 3 2 2 2 3" xfId="50031"/>
    <cellStyle name="Normal 17 3 2 2 3" xfId="50032"/>
    <cellStyle name="Normal 17 3 2 2 4" xfId="50033"/>
    <cellStyle name="Normal 17 3 2 3" xfId="50034"/>
    <cellStyle name="Normal 17 3 2 3 2" xfId="50035"/>
    <cellStyle name="Normal 17 3 2 3 3" xfId="50036"/>
    <cellStyle name="Normal 17 3 2 4" xfId="50037"/>
    <cellStyle name="Normal 17 3 2 4 2" xfId="50038"/>
    <cellStyle name="Normal 17 3 2 4 3" xfId="50039"/>
    <cellStyle name="Normal 17 3 2 5" xfId="50040"/>
    <cellStyle name="Normal 17 3 2 6" xfId="50041"/>
    <cellStyle name="Normal 17 3 3" xfId="50042"/>
    <cellStyle name="Normal 17 3 3 2" xfId="50043"/>
    <cellStyle name="Normal 17 3 3 2 2" xfId="50044"/>
    <cellStyle name="Normal 17 3 3 2 2 2" xfId="50045"/>
    <cellStyle name="Normal 17 3 3 2 2 3" xfId="50046"/>
    <cellStyle name="Normal 17 3 3 2 3" xfId="50047"/>
    <cellStyle name="Normal 17 3 3 2 4" xfId="50048"/>
    <cellStyle name="Normal 17 3 3 3" xfId="50049"/>
    <cellStyle name="Normal 17 3 3 3 2" xfId="50050"/>
    <cellStyle name="Normal 17 3 3 3 3" xfId="50051"/>
    <cellStyle name="Normal 17 3 3 4" xfId="50052"/>
    <cellStyle name="Normal 17 3 3 4 2" xfId="50053"/>
    <cellStyle name="Normal 17 3 3 4 3" xfId="50054"/>
    <cellStyle name="Normal 17 3 3 5" xfId="50055"/>
    <cellStyle name="Normal 17 3 3 6" xfId="50056"/>
    <cellStyle name="Normal 17 3 4" xfId="50057"/>
    <cellStyle name="Normal 17 3 4 2" xfId="50058"/>
    <cellStyle name="Normal 17 3 4 2 2" xfId="50059"/>
    <cellStyle name="Normal 17 3 4 2 3" xfId="50060"/>
    <cellStyle name="Normal 17 3 4 3" xfId="50061"/>
    <cellStyle name="Normal 17 3 4 4" xfId="50062"/>
    <cellStyle name="Normal 17 3 5" xfId="50063"/>
    <cellStyle name="Normal 17 3 5 2" xfId="50064"/>
    <cellStyle name="Normal 17 3 5 3" xfId="50065"/>
    <cellStyle name="Normal 17 3 6" xfId="50066"/>
    <cellStyle name="Normal 17 3 6 2" xfId="50067"/>
    <cellStyle name="Normal 17 3 6 3" xfId="50068"/>
    <cellStyle name="Normal 17 3 7" xfId="50069"/>
    <cellStyle name="Normal 17 3 8" xfId="50070"/>
    <cellStyle name="Normal 17 4" xfId="50071"/>
    <cellStyle name="Normal 17 4 2" xfId="50072"/>
    <cellStyle name="Normal 17 4 2 2" xfId="50073"/>
    <cellStyle name="Normal 17 4 2 2 2" xfId="50074"/>
    <cellStyle name="Normal 17 4 2 2 3" xfId="50075"/>
    <cellStyle name="Normal 17 4 2 3" xfId="50076"/>
    <cellStyle name="Normal 17 4 2 4" xfId="50077"/>
    <cellStyle name="Normal 17 4 3" xfId="50078"/>
    <cellStyle name="Normal 17 4 3 2" xfId="50079"/>
    <cellStyle name="Normal 17 4 3 3" xfId="50080"/>
    <cellStyle name="Normal 17 4 4" xfId="50081"/>
    <cellStyle name="Normal 17 4 4 2" xfId="50082"/>
    <cellStyle name="Normal 17 4 4 3" xfId="50083"/>
    <cellStyle name="Normal 17 4 5" xfId="50084"/>
    <cellStyle name="Normal 17 4 6" xfId="50085"/>
    <cellStyle name="Normal 17 5" xfId="50086"/>
    <cellStyle name="Normal 17 5 2" xfId="50087"/>
    <cellStyle name="Normal 17 5 2 2" xfId="50088"/>
    <cellStyle name="Normal 17 5 2 2 2" xfId="50089"/>
    <cellStyle name="Normal 17 5 2 2 3" xfId="50090"/>
    <cellStyle name="Normal 17 5 2 3" xfId="50091"/>
    <cellStyle name="Normal 17 5 2 4" xfId="50092"/>
    <cellStyle name="Normal 17 5 3" xfId="50093"/>
    <cellStyle name="Normal 17 5 3 2" xfId="50094"/>
    <cellStyle name="Normal 17 5 3 3" xfId="50095"/>
    <cellStyle name="Normal 17 5 4" xfId="50096"/>
    <cellStyle name="Normal 17 5 4 2" xfId="50097"/>
    <cellStyle name="Normal 17 5 4 3" xfId="50098"/>
    <cellStyle name="Normal 17 5 5" xfId="50099"/>
    <cellStyle name="Normal 17 5 6" xfId="50100"/>
    <cellStyle name="Normal 17 6" xfId="50101"/>
    <cellStyle name="Normal 17 6 2" xfId="50102"/>
    <cellStyle name="Normal 17 6 2 2" xfId="50103"/>
    <cellStyle name="Normal 17 6 2 3" xfId="50104"/>
    <cellStyle name="Normal 17 6 3" xfId="50105"/>
    <cellStyle name="Normal 17 6 4" xfId="50106"/>
    <cellStyle name="Normal 17 7" xfId="50107"/>
    <cellStyle name="Normal 17 7 2" xfId="50108"/>
    <cellStyle name="Normal 17 7 2 2" xfId="50109"/>
    <cellStyle name="Normal 17 7 2 3" xfId="50110"/>
    <cellStyle name="Normal 17 7 3" xfId="50111"/>
    <cellStyle name="Normal 17 7 4" xfId="50112"/>
    <cellStyle name="Normal 17 8" xfId="50113"/>
    <cellStyle name="Normal 17 8 2" xfId="50114"/>
    <cellStyle name="Normal 17 8 3" xfId="50115"/>
    <cellStyle name="Normal 17 9" xfId="50116"/>
    <cellStyle name="Normal 17 9 2" xfId="50117"/>
    <cellStyle name="Normal 17 9 3" xfId="50118"/>
    <cellStyle name="Normal 170" xfId="50119"/>
    <cellStyle name="Normal 170 2" xfId="50120"/>
    <cellStyle name="Normal 170 2 2" xfId="50121"/>
    <cellStyle name="Normal 170 2 2 2" xfId="50122"/>
    <cellStyle name="Normal 170 2 2 2 2" xfId="50123"/>
    <cellStyle name="Normal 170 2 2 2 3" xfId="50124"/>
    <cellStyle name="Normal 170 2 2 3" xfId="50125"/>
    <cellStyle name="Normal 170 2 2 4" xfId="50126"/>
    <cellStyle name="Normal 170 2 3" xfId="50127"/>
    <cellStyle name="Normal 170 2 3 2" xfId="50128"/>
    <cellStyle name="Normal 170 2 3 3" xfId="50129"/>
    <cellStyle name="Normal 170 2 4" xfId="50130"/>
    <cellStyle name="Normal 170 2 4 2" xfId="50131"/>
    <cellStyle name="Normal 170 2 4 3" xfId="50132"/>
    <cellStyle name="Normal 170 2 5" xfId="50133"/>
    <cellStyle name="Normal 170 2 6" xfId="50134"/>
    <cellStyle name="Normal 170 3" xfId="50135"/>
    <cellStyle name="Normal 170 3 2" xfId="50136"/>
    <cellStyle name="Normal 170 3 2 2" xfId="50137"/>
    <cellStyle name="Normal 170 3 2 2 2" xfId="50138"/>
    <cellStyle name="Normal 170 3 2 2 3" xfId="50139"/>
    <cellStyle name="Normal 170 3 2 3" xfId="50140"/>
    <cellStyle name="Normal 170 3 2 4" xfId="50141"/>
    <cellStyle name="Normal 170 3 3" xfId="50142"/>
    <cellStyle name="Normal 170 3 3 2" xfId="50143"/>
    <cellStyle name="Normal 170 3 3 3" xfId="50144"/>
    <cellStyle name="Normal 170 3 4" xfId="50145"/>
    <cellStyle name="Normal 170 3 4 2" xfId="50146"/>
    <cellStyle name="Normal 170 3 4 3" xfId="50147"/>
    <cellStyle name="Normal 170 3 5" xfId="50148"/>
    <cellStyle name="Normal 170 3 6" xfId="50149"/>
    <cellStyle name="Normal 170 4" xfId="50150"/>
    <cellStyle name="Normal 170 4 2" xfId="50151"/>
    <cellStyle name="Normal 170 4 2 2" xfId="50152"/>
    <cellStyle name="Normal 170 4 2 3" xfId="50153"/>
    <cellStyle name="Normal 170 4 3" xfId="50154"/>
    <cellStyle name="Normal 170 4 4" xfId="50155"/>
    <cellStyle name="Normal 170 5" xfId="50156"/>
    <cellStyle name="Normal 170 5 2" xfId="50157"/>
    <cellStyle name="Normal 170 5 3" xfId="50158"/>
    <cellStyle name="Normal 170 6" xfId="50159"/>
    <cellStyle name="Normal 170 6 2" xfId="50160"/>
    <cellStyle name="Normal 170 6 3" xfId="50161"/>
    <cellStyle name="Normal 170 7" xfId="50162"/>
    <cellStyle name="Normal 170 8" xfId="50163"/>
    <cellStyle name="Normal 171" xfId="50164"/>
    <cellStyle name="Normal 171 2" xfId="50165"/>
    <cellStyle name="Normal 171 2 2" xfId="50166"/>
    <cellStyle name="Normal 171 2 2 2" xfId="50167"/>
    <cellStyle name="Normal 171 2 2 2 2" xfId="50168"/>
    <cellStyle name="Normal 171 2 2 2 3" xfId="50169"/>
    <cellStyle name="Normal 171 2 2 3" xfId="50170"/>
    <cellStyle name="Normal 171 2 2 4" xfId="50171"/>
    <cellStyle name="Normal 171 2 3" xfId="50172"/>
    <cellStyle name="Normal 171 2 3 2" xfId="50173"/>
    <cellStyle name="Normal 171 2 3 3" xfId="50174"/>
    <cellStyle name="Normal 171 2 4" xfId="50175"/>
    <cellStyle name="Normal 171 2 4 2" xfId="50176"/>
    <cellStyle name="Normal 171 2 4 3" xfId="50177"/>
    <cellStyle name="Normal 171 2 5" xfId="50178"/>
    <cellStyle name="Normal 171 2 6" xfId="50179"/>
    <cellStyle name="Normal 171 3" xfId="50180"/>
    <cellStyle name="Normal 171 3 2" xfId="50181"/>
    <cellStyle name="Normal 171 3 2 2" xfId="50182"/>
    <cellStyle name="Normal 171 3 2 2 2" xfId="50183"/>
    <cellStyle name="Normal 171 3 2 2 3" xfId="50184"/>
    <cellStyle name="Normal 171 3 2 3" xfId="50185"/>
    <cellStyle name="Normal 171 3 2 4" xfId="50186"/>
    <cellStyle name="Normal 171 3 3" xfId="50187"/>
    <cellStyle name="Normal 171 3 3 2" xfId="50188"/>
    <cellStyle name="Normal 171 3 3 3" xfId="50189"/>
    <cellStyle name="Normal 171 3 4" xfId="50190"/>
    <cellStyle name="Normal 171 3 4 2" xfId="50191"/>
    <cellStyle name="Normal 171 3 4 3" xfId="50192"/>
    <cellStyle name="Normal 171 3 5" xfId="50193"/>
    <cellStyle name="Normal 171 3 6" xfId="50194"/>
    <cellStyle name="Normal 171 4" xfId="50195"/>
    <cellStyle name="Normal 171 4 2" xfId="50196"/>
    <cellStyle name="Normal 171 4 2 2" xfId="50197"/>
    <cellStyle name="Normal 171 4 2 3" xfId="50198"/>
    <cellStyle name="Normal 171 4 3" xfId="50199"/>
    <cellStyle name="Normal 171 4 4" xfId="50200"/>
    <cellStyle name="Normal 171 5" xfId="50201"/>
    <cellStyle name="Normal 171 5 2" xfId="50202"/>
    <cellStyle name="Normal 171 5 3" xfId="50203"/>
    <cellStyle name="Normal 171 6" xfId="50204"/>
    <cellStyle name="Normal 171 6 2" xfId="50205"/>
    <cellStyle name="Normal 171 6 3" xfId="50206"/>
    <cellStyle name="Normal 171 7" xfId="50207"/>
    <cellStyle name="Normal 171 8" xfId="50208"/>
    <cellStyle name="Normal 172" xfId="50209"/>
    <cellStyle name="Normal 172 2" xfId="50210"/>
    <cellStyle name="Normal 172 2 2" xfId="50211"/>
    <cellStyle name="Normal 172 2 2 2" xfId="50212"/>
    <cellStyle name="Normal 172 2 2 2 2" xfId="50213"/>
    <cellStyle name="Normal 172 2 2 2 3" xfId="50214"/>
    <cellStyle name="Normal 172 2 2 3" xfId="50215"/>
    <cellStyle name="Normal 172 2 2 4" xfId="50216"/>
    <cellStyle name="Normal 172 2 3" xfId="50217"/>
    <cellStyle name="Normal 172 2 3 2" xfId="50218"/>
    <cellStyle name="Normal 172 2 3 3" xfId="50219"/>
    <cellStyle name="Normal 172 2 4" xfId="50220"/>
    <cellStyle name="Normal 172 2 4 2" xfId="50221"/>
    <cellStyle name="Normal 172 2 4 3" xfId="50222"/>
    <cellStyle name="Normal 172 2 5" xfId="50223"/>
    <cellStyle name="Normal 172 2 6" xfId="50224"/>
    <cellStyle name="Normal 172 3" xfId="50225"/>
    <cellStyle name="Normal 172 3 2" xfId="50226"/>
    <cellStyle name="Normal 172 3 2 2" xfId="50227"/>
    <cellStyle name="Normal 172 3 2 2 2" xfId="50228"/>
    <cellStyle name="Normal 172 3 2 2 3" xfId="50229"/>
    <cellStyle name="Normal 172 3 2 3" xfId="50230"/>
    <cellStyle name="Normal 172 3 2 4" xfId="50231"/>
    <cellStyle name="Normal 172 3 3" xfId="50232"/>
    <cellStyle name="Normal 172 3 3 2" xfId="50233"/>
    <cellStyle name="Normal 172 3 3 3" xfId="50234"/>
    <cellStyle name="Normal 172 3 4" xfId="50235"/>
    <cellStyle name="Normal 172 3 4 2" xfId="50236"/>
    <cellStyle name="Normal 172 3 4 3" xfId="50237"/>
    <cellStyle name="Normal 172 3 5" xfId="50238"/>
    <cellStyle name="Normal 172 3 6" xfId="50239"/>
    <cellStyle name="Normal 172 4" xfId="50240"/>
    <cellStyle name="Normal 172 4 2" xfId="50241"/>
    <cellStyle name="Normal 172 4 2 2" xfId="50242"/>
    <cellStyle name="Normal 172 4 2 3" xfId="50243"/>
    <cellStyle name="Normal 172 4 3" xfId="50244"/>
    <cellStyle name="Normal 172 4 4" xfId="50245"/>
    <cellStyle name="Normal 172 5" xfId="50246"/>
    <cellStyle name="Normal 172 5 2" xfId="50247"/>
    <cellStyle name="Normal 172 5 3" xfId="50248"/>
    <cellStyle name="Normal 172 6" xfId="50249"/>
    <cellStyle name="Normal 172 6 2" xfId="50250"/>
    <cellStyle name="Normal 172 6 3" xfId="50251"/>
    <cellStyle name="Normal 172 7" xfId="50252"/>
    <cellStyle name="Normal 172 8" xfId="50253"/>
    <cellStyle name="Normal 173" xfId="50254"/>
    <cellStyle name="Normal 173 2" xfId="50255"/>
    <cellStyle name="Normal 173 2 2" xfId="50256"/>
    <cellStyle name="Normal 173 2 2 2" xfId="50257"/>
    <cellStyle name="Normal 173 2 2 2 2" xfId="50258"/>
    <cellStyle name="Normal 173 2 2 2 3" xfId="50259"/>
    <cellStyle name="Normal 173 2 2 3" xfId="50260"/>
    <cellStyle name="Normal 173 2 2 4" xfId="50261"/>
    <cellStyle name="Normal 173 2 3" xfId="50262"/>
    <cellStyle name="Normal 173 2 3 2" xfId="50263"/>
    <cellStyle name="Normal 173 2 3 3" xfId="50264"/>
    <cellStyle name="Normal 173 2 4" xfId="50265"/>
    <cellStyle name="Normal 173 2 4 2" xfId="50266"/>
    <cellStyle name="Normal 173 2 4 3" xfId="50267"/>
    <cellStyle name="Normal 173 2 5" xfId="50268"/>
    <cellStyle name="Normal 173 2 6" xfId="50269"/>
    <cellStyle name="Normal 173 3" xfId="50270"/>
    <cellStyle name="Normal 173 3 2" xfId="50271"/>
    <cellStyle name="Normal 173 3 2 2" xfId="50272"/>
    <cellStyle name="Normal 173 3 2 2 2" xfId="50273"/>
    <cellStyle name="Normal 173 3 2 2 3" xfId="50274"/>
    <cellStyle name="Normal 173 3 2 3" xfId="50275"/>
    <cellStyle name="Normal 173 3 2 4" xfId="50276"/>
    <cellStyle name="Normal 173 3 3" xfId="50277"/>
    <cellStyle name="Normal 173 3 3 2" xfId="50278"/>
    <cellStyle name="Normal 173 3 3 3" xfId="50279"/>
    <cellStyle name="Normal 173 3 4" xfId="50280"/>
    <cellStyle name="Normal 173 3 4 2" xfId="50281"/>
    <cellStyle name="Normal 173 3 4 3" xfId="50282"/>
    <cellStyle name="Normal 173 3 5" xfId="50283"/>
    <cellStyle name="Normal 173 3 6" xfId="50284"/>
    <cellStyle name="Normal 173 4" xfId="50285"/>
    <cellStyle name="Normal 173 4 2" xfId="50286"/>
    <cellStyle name="Normal 173 4 2 2" xfId="50287"/>
    <cellStyle name="Normal 173 4 2 3" xfId="50288"/>
    <cellStyle name="Normal 173 4 3" xfId="50289"/>
    <cellStyle name="Normal 173 4 4" xfId="50290"/>
    <cellStyle name="Normal 173 5" xfId="50291"/>
    <cellStyle name="Normal 173 5 2" xfId="50292"/>
    <cellStyle name="Normal 173 5 3" xfId="50293"/>
    <cellStyle name="Normal 173 6" xfId="50294"/>
    <cellStyle name="Normal 173 6 2" xfId="50295"/>
    <cellStyle name="Normal 173 6 3" xfId="50296"/>
    <cellStyle name="Normal 173 7" xfId="50297"/>
    <cellStyle name="Normal 173 8" xfId="50298"/>
    <cellStyle name="Normal 174" xfId="50299"/>
    <cellStyle name="Normal 174 2" xfId="50300"/>
    <cellStyle name="Normal 174 3" xfId="50301"/>
    <cellStyle name="Normal 175" xfId="50302"/>
    <cellStyle name="Normal 175 2" xfId="50303"/>
    <cellStyle name="Normal 175 2 2" xfId="50304"/>
    <cellStyle name="Normal 175 2 2 2" xfId="50305"/>
    <cellStyle name="Normal 175 2 2 2 2" xfId="50306"/>
    <cellStyle name="Normal 175 2 2 2 3" xfId="50307"/>
    <cellStyle name="Normal 175 2 2 3" xfId="50308"/>
    <cellStyle name="Normal 175 2 2 4" xfId="50309"/>
    <cellStyle name="Normal 175 2 3" xfId="50310"/>
    <cellStyle name="Normal 175 2 3 2" xfId="50311"/>
    <cellStyle name="Normal 175 2 3 3" xfId="50312"/>
    <cellStyle name="Normal 175 2 4" xfId="50313"/>
    <cellStyle name="Normal 175 2 4 2" xfId="50314"/>
    <cellStyle name="Normal 175 2 4 3" xfId="50315"/>
    <cellStyle name="Normal 175 2 5" xfId="50316"/>
    <cellStyle name="Normal 175 2 6" xfId="50317"/>
    <cellStyle name="Normal 175 3" xfId="50318"/>
    <cellStyle name="Normal 175 3 2" xfId="50319"/>
    <cellStyle name="Normal 175 3 2 2" xfId="50320"/>
    <cellStyle name="Normal 175 3 2 2 2" xfId="50321"/>
    <cellStyle name="Normal 175 3 2 2 3" xfId="50322"/>
    <cellStyle name="Normal 175 3 2 3" xfId="50323"/>
    <cellStyle name="Normal 175 3 2 4" xfId="50324"/>
    <cellStyle name="Normal 175 3 3" xfId="50325"/>
    <cellStyle name="Normal 175 3 3 2" xfId="50326"/>
    <cellStyle name="Normal 175 3 3 3" xfId="50327"/>
    <cellStyle name="Normal 175 3 4" xfId="50328"/>
    <cellStyle name="Normal 175 3 4 2" xfId="50329"/>
    <cellStyle name="Normal 175 3 4 3" xfId="50330"/>
    <cellStyle name="Normal 175 3 5" xfId="50331"/>
    <cellStyle name="Normal 175 3 6" xfId="50332"/>
    <cellStyle name="Normal 175 4" xfId="50333"/>
    <cellStyle name="Normal 175 4 2" xfId="50334"/>
    <cellStyle name="Normal 175 4 2 2" xfId="50335"/>
    <cellStyle name="Normal 175 4 2 3" xfId="50336"/>
    <cellStyle name="Normal 175 4 3" xfId="50337"/>
    <cellStyle name="Normal 175 4 4" xfId="50338"/>
    <cellStyle name="Normal 175 5" xfId="50339"/>
    <cellStyle name="Normal 175 5 2" xfId="50340"/>
    <cellStyle name="Normal 175 5 3" xfId="50341"/>
    <cellStyle name="Normal 175 6" xfId="50342"/>
    <cellStyle name="Normal 175 6 2" xfId="50343"/>
    <cellStyle name="Normal 175 6 3" xfId="50344"/>
    <cellStyle name="Normal 175 7" xfId="50345"/>
    <cellStyle name="Normal 175 8" xfId="50346"/>
    <cellStyle name="Normal 176" xfId="50347"/>
    <cellStyle name="Normal 176 2" xfId="50348"/>
    <cellStyle name="Normal 176 2 2" xfId="50349"/>
    <cellStyle name="Normal 176 2 2 2" xfId="50350"/>
    <cellStyle name="Normal 176 2 2 2 2" xfId="50351"/>
    <cellStyle name="Normal 176 2 2 2 3" xfId="50352"/>
    <cellStyle name="Normal 176 2 2 3" xfId="50353"/>
    <cellStyle name="Normal 176 2 2 4" xfId="50354"/>
    <cellStyle name="Normal 176 2 3" xfId="50355"/>
    <cellStyle name="Normal 176 2 3 2" xfId="50356"/>
    <cellStyle name="Normal 176 2 3 3" xfId="50357"/>
    <cellStyle name="Normal 176 2 4" xfId="50358"/>
    <cellStyle name="Normal 176 2 4 2" xfId="50359"/>
    <cellStyle name="Normal 176 2 4 3" xfId="50360"/>
    <cellStyle name="Normal 176 2 5" xfId="50361"/>
    <cellStyle name="Normal 176 2 6" xfId="50362"/>
    <cellStyle name="Normal 176 3" xfId="50363"/>
    <cellStyle name="Normal 176 3 2" xfId="50364"/>
    <cellStyle name="Normal 176 3 2 2" xfId="50365"/>
    <cellStyle name="Normal 176 3 2 2 2" xfId="50366"/>
    <cellStyle name="Normal 176 3 2 2 3" xfId="50367"/>
    <cellStyle name="Normal 176 3 2 3" xfId="50368"/>
    <cellStyle name="Normal 176 3 2 4" xfId="50369"/>
    <cellStyle name="Normal 176 3 3" xfId="50370"/>
    <cellStyle name="Normal 176 3 3 2" xfId="50371"/>
    <cellStyle name="Normal 176 3 3 3" xfId="50372"/>
    <cellStyle name="Normal 176 3 4" xfId="50373"/>
    <cellStyle name="Normal 176 3 4 2" xfId="50374"/>
    <cellStyle name="Normal 176 3 4 3" xfId="50375"/>
    <cellStyle name="Normal 176 3 5" xfId="50376"/>
    <cellStyle name="Normal 176 3 6" xfId="50377"/>
    <cellStyle name="Normal 176 4" xfId="50378"/>
    <cellStyle name="Normal 176 4 2" xfId="50379"/>
    <cellStyle name="Normal 176 4 2 2" xfId="50380"/>
    <cellStyle name="Normal 176 4 2 3" xfId="50381"/>
    <cellStyle name="Normal 176 4 3" xfId="50382"/>
    <cellStyle name="Normal 176 4 4" xfId="50383"/>
    <cellStyle name="Normal 176 5" xfId="50384"/>
    <cellStyle name="Normal 176 5 2" xfId="50385"/>
    <cellStyle name="Normal 176 5 3" xfId="50386"/>
    <cellStyle name="Normal 176 6" xfId="50387"/>
    <cellStyle name="Normal 176 6 2" xfId="50388"/>
    <cellStyle name="Normal 176 6 3" xfId="50389"/>
    <cellStyle name="Normal 176 7" xfId="50390"/>
    <cellStyle name="Normal 176 8" xfId="50391"/>
    <cellStyle name="Normal 177" xfId="50392"/>
    <cellStyle name="Normal 177 2" xfId="50393"/>
    <cellStyle name="Normal 177 3" xfId="50394"/>
    <cellStyle name="Normal 178" xfId="50395"/>
    <cellStyle name="Normal 178 2" xfId="50396"/>
    <cellStyle name="Normal 178 3" xfId="50397"/>
    <cellStyle name="Normal 179" xfId="50398"/>
    <cellStyle name="Normal 179 2" xfId="50399"/>
    <cellStyle name="Normal 179 3" xfId="50400"/>
    <cellStyle name="Normal 18" xfId="50401"/>
    <cellStyle name="Normal 18 10" xfId="50402"/>
    <cellStyle name="Normal 18 11" xfId="50403"/>
    <cellStyle name="Normal 18 12" xfId="50404"/>
    <cellStyle name="Normal 18 2" xfId="50405"/>
    <cellStyle name="Normal 18 2 10" xfId="50406"/>
    <cellStyle name="Normal 18 2 2" xfId="50407"/>
    <cellStyle name="Normal 18 2 2 2" xfId="50408"/>
    <cellStyle name="Normal 18 2 2 2 2" xfId="50409"/>
    <cellStyle name="Normal 18 2 2 2 2 2" xfId="50410"/>
    <cellStyle name="Normal 18 2 2 2 2 2 2" xfId="50411"/>
    <cellStyle name="Normal 18 2 2 2 2 2 3" xfId="50412"/>
    <cellStyle name="Normal 18 2 2 2 2 3" xfId="50413"/>
    <cellStyle name="Normal 18 2 2 2 2 4" xfId="50414"/>
    <cellStyle name="Normal 18 2 2 2 3" xfId="50415"/>
    <cellStyle name="Normal 18 2 2 2 3 2" xfId="50416"/>
    <cellStyle name="Normal 18 2 2 2 3 3" xfId="50417"/>
    <cellStyle name="Normal 18 2 2 2 4" xfId="50418"/>
    <cellStyle name="Normal 18 2 2 2 4 2" xfId="50419"/>
    <cellStyle name="Normal 18 2 2 2 4 3" xfId="50420"/>
    <cellStyle name="Normal 18 2 2 2 5" xfId="50421"/>
    <cellStyle name="Normal 18 2 2 2 6" xfId="50422"/>
    <cellStyle name="Normal 18 2 2 3" xfId="50423"/>
    <cellStyle name="Normal 18 2 2 3 2" xfId="50424"/>
    <cellStyle name="Normal 18 2 2 3 2 2" xfId="50425"/>
    <cellStyle name="Normal 18 2 2 3 2 2 2" xfId="50426"/>
    <cellStyle name="Normal 18 2 2 3 2 2 3" xfId="50427"/>
    <cellStyle name="Normal 18 2 2 3 2 3" xfId="50428"/>
    <cellStyle name="Normal 18 2 2 3 2 4" xfId="50429"/>
    <cellStyle name="Normal 18 2 2 3 3" xfId="50430"/>
    <cellStyle name="Normal 18 2 2 3 3 2" xfId="50431"/>
    <cellStyle name="Normal 18 2 2 3 3 3" xfId="50432"/>
    <cellStyle name="Normal 18 2 2 3 4" xfId="50433"/>
    <cellStyle name="Normal 18 2 2 3 4 2" xfId="50434"/>
    <cellStyle name="Normal 18 2 2 3 4 3" xfId="50435"/>
    <cellStyle name="Normal 18 2 2 3 5" xfId="50436"/>
    <cellStyle name="Normal 18 2 2 3 6" xfId="50437"/>
    <cellStyle name="Normal 18 2 2 4" xfId="50438"/>
    <cellStyle name="Normal 18 2 2 4 2" xfId="50439"/>
    <cellStyle name="Normal 18 2 2 4 2 2" xfId="50440"/>
    <cellStyle name="Normal 18 2 2 4 2 3" xfId="50441"/>
    <cellStyle name="Normal 18 2 2 4 3" xfId="50442"/>
    <cellStyle name="Normal 18 2 2 4 4" xfId="50443"/>
    <cellStyle name="Normal 18 2 2 5" xfId="50444"/>
    <cellStyle name="Normal 18 2 2 5 2" xfId="50445"/>
    <cellStyle name="Normal 18 2 2 5 3" xfId="50446"/>
    <cellStyle name="Normal 18 2 2 6" xfId="50447"/>
    <cellStyle name="Normal 18 2 2 6 2" xfId="50448"/>
    <cellStyle name="Normal 18 2 2 6 3" xfId="50449"/>
    <cellStyle name="Normal 18 2 2 7" xfId="50450"/>
    <cellStyle name="Normal 18 2 2 8" xfId="50451"/>
    <cellStyle name="Normal 18 2 3" xfId="50452"/>
    <cellStyle name="Normal 18 2 3 2" xfId="50453"/>
    <cellStyle name="Normal 18 2 3 2 2" xfId="50454"/>
    <cellStyle name="Normal 18 2 3 2 2 2" xfId="50455"/>
    <cellStyle name="Normal 18 2 3 2 2 3" xfId="50456"/>
    <cellStyle name="Normal 18 2 3 2 3" xfId="50457"/>
    <cellStyle name="Normal 18 2 3 2 4" xfId="50458"/>
    <cellStyle name="Normal 18 2 3 3" xfId="50459"/>
    <cellStyle name="Normal 18 2 3 3 2" xfId="50460"/>
    <cellStyle name="Normal 18 2 3 3 3" xfId="50461"/>
    <cellStyle name="Normal 18 2 3 4" xfId="50462"/>
    <cellStyle name="Normal 18 2 3 4 2" xfId="50463"/>
    <cellStyle name="Normal 18 2 3 4 3" xfId="50464"/>
    <cellStyle name="Normal 18 2 3 5" xfId="50465"/>
    <cellStyle name="Normal 18 2 3 6" xfId="50466"/>
    <cellStyle name="Normal 18 2 4" xfId="50467"/>
    <cellStyle name="Normal 18 2 4 2" xfId="50468"/>
    <cellStyle name="Normal 18 2 4 2 2" xfId="50469"/>
    <cellStyle name="Normal 18 2 4 2 2 2" xfId="50470"/>
    <cellStyle name="Normal 18 2 4 2 2 3" xfId="50471"/>
    <cellStyle name="Normal 18 2 4 2 3" xfId="50472"/>
    <cellStyle name="Normal 18 2 4 2 4" xfId="50473"/>
    <cellStyle name="Normal 18 2 4 3" xfId="50474"/>
    <cellStyle name="Normal 18 2 4 3 2" xfId="50475"/>
    <cellStyle name="Normal 18 2 4 3 3" xfId="50476"/>
    <cellStyle name="Normal 18 2 4 4" xfId="50477"/>
    <cellStyle name="Normal 18 2 4 4 2" xfId="50478"/>
    <cellStyle name="Normal 18 2 4 4 3" xfId="50479"/>
    <cellStyle name="Normal 18 2 4 5" xfId="50480"/>
    <cellStyle name="Normal 18 2 4 6" xfId="50481"/>
    <cellStyle name="Normal 18 2 5" xfId="50482"/>
    <cellStyle name="Normal 18 2 5 2" xfId="50483"/>
    <cellStyle name="Normal 18 2 5 2 2" xfId="50484"/>
    <cellStyle name="Normal 18 2 5 2 3" xfId="50485"/>
    <cellStyle name="Normal 18 2 5 3" xfId="50486"/>
    <cellStyle name="Normal 18 2 5 4" xfId="50487"/>
    <cellStyle name="Normal 18 2 6" xfId="50488"/>
    <cellStyle name="Normal 18 2 6 2" xfId="50489"/>
    <cellStyle name="Normal 18 2 6 2 2" xfId="50490"/>
    <cellStyle name="Normal 18 2 6 2 3" xfId="50491"/>
    <cellStyle name="Normal 18 2 6 3" xfId="50492"/>
    <cellStyle name="Normal 18 2 6 4" xfId="50493"/>
    <cellStyle name="Normal 18 2 7" xfId="50494"/>
    <cellStyle name="Normal 18 2 7 2" xfId="50495"/>
    <cellStyle name="Normal 18 2 7 3" xfId="50496"/>
    <cellStyle name="Normal 18 2 8" xfId="50497"/>
    <cellStyle name="Normal 18 2 8 2" xfId="50498"/>
    <cellStyle name="Normal 18 2 8 3" xfId="50499"/>
    <cellStyle name="Normal 18 2 9" xfId="50500"/>
    <cellStyle name="Normal 18 3" xfId="50501"/>
    <cellStyle name="Normal 18 3 2" xfId="50502"/>
    <cellStyle name="Normal 18 3 2 2" xfId="50503"/>
    <cellStyle name="Normal 18 3 2 2 2" xfId="50504"/>
    <cellStyle name="Normal 18 3 2 2 2 2" xfId="50505"/>
    <cellStyle name="Normal 18 3 2 2 2 3" xfId="50506"/>
    <cellStyle name="Normal 18 3 2 2 3" xfId="50507"/>
    <cellStyle name="Normal 18 3 2 2 4" xfId="50508"/>
    <cellStyle name="Normal 18 3 2 3" xfId="50509"/>
    <cellStyle name="Normal 18 3 2 3 2" xfId="50510"/>
    <cellStyle name="Normal 18 3 2 3 3" xfId="50511"/>
    <cellStyle name="Normal 18 3 2 4" xfId="50512"/>
    <cellStyle name="Normal 18 3 2 4 2" xfId="50513"/>
    <cellStyle name="Normal 18 3 2 4 3" xfId="50514"/>
    <cellStyle name="Normal 18 3 2 5" xfId="50515"/>
    <cellStyle name="Normal 18 3 2 6" xfId="50516"/>
    <cellStyle name="Normal 18 3 3" xfId="50517"/>
    <cellStyle name="Normal 18 3 3 2" xfId="50518"/>
    <cellStyle name="Normal 18 3 3 2 2" xfId="50519"/>
    <cellStyle name="Normal 18 3 3 2 2 2" xfId="50520"/>
    <cellStyle name="Normal 18 3 3 2 2 3" xfId="50521"/>
    <cellStyle name="Normal 18 3 3 2 3" xfId="50522"/>
    <cellStyle name="Normal 18 3 3 2 4" xfId="50523"/>
    <cellStyle name="Normal 18 3 3 3" xfId="50524"/>
    <cellStyle name="Normal 18 3 3 3 2" xfId="50525"/>
    <cellStyle name="Normal 18 3 3 3 3" xfId="50526"/>
    <cellStyle name="Normal 18 3 3 4" xfId="50527"/>
    <cellStyle name="Normal 18 3 3 4 2" xfId="50528"/>
    <cellStyle name="Normal 18 3 3 4 3" xfId="50529"/>
    <cellStyle name="Normal 18 3 3 5" xfId="50530"/>
    <cellStyle name="Normal 18 3 3 6" xfId="50531"/>
    <cellStyle name="Normal 18 3 4" xfId="50532"/>
    <cellStyle name="Normal 18 3 4 2" xfId="50533"/>
    <cellStyle name="Normal 18 3 4 2 2" xfId="50534"/>
    <cellStyle name="Normal 18 3 4 2 3" xfId="50535"/>
    <cellStyle name="Normal 18 3 4 3" xfId="50536"/>
    <cellStyle name="Normal 18 3 4 4" xfId="50537"/>
    <cellStyle name="Normal 18 3 5" xfId="50538"/>
    <cellStyle name="Normal 18 3 5 2" xfId="50539"/>
    <cellStyle name="Normal 18 3 5 3" xfId="50540"/>
    <cellStyle name="Normal 18 3 6" xfId="50541"/>
    <cellStyle name="Normal 18 3 6 2" xfId="50542"/>
    <cellStyle name="Normal 18 3 6 3" xfId="50543"/>
    <cellStyle name="Normal 18 3 7" xfId="50544"/>
    <cellStyle name="Normal 18 3 8" xfId="50545"/>
    <cellStyle name="Normal 18 4" xfId="50546"/>
    <cellStyle name="Normal 18 4 2" xfId="50547"/>
    <cellStyle name="Normal 18 4 2 2" xfId="50548"/>
    <cellStyle name="Normal 18 4 2 2 2" xfId="50549"/>
    <cellStyle name="Normal 18 4 2 2 3" xfId="50550"/>
    <cellStyle name="Normal 18 4 2 3" xfId="50551"/>
    <cellStyle name="Normal 18 4 2 4" xfId="50552"/>
    <cellStyle name="Normal 18 4 3" xfId="50553"/>
    <cellStyle name="Normal 18 4 3 2" xfId="50554"/>
    <cellStyle name="Normal 18 4 3 3" xfId="50555"/>
    <cellStyle name="Normal 18 4 4" xfId="50556"/>
    <cellStyle name="Normal 18 4 4 2" xfId="50557"/>
    <cellStyle name="Normal 18 4 4 3" xfId="50558"/>
    <cellStyle name="Normal 18 4 5" xfId="50559"/>
    <cellStyle name="Normal 18 4 6" xfId="50560"/>
    <cellStyle name="Normal 18 5" xfId="50561"/>
    <cellStyle name="Normal 18 5 2" xfId="50562"/>
    <cellStyle name="Normal 18 5 2 2" xfId="50563"/>
    <cellStyle name="Normal 18 5 2 2 2" xfId="50564"/>
    <cellStyle name="Normal 18 5 2 2 3" xfId="50565"/>
    <cellStyle name="Normal 18 5 2 3" xfId="50566"/>
    <cellStyle name="Normal 18 5 2 4" xfId="50567"/>
    <cellStyle name="Normal 18 5 3" xfId="50568"/>
    <cellStyle name="Normal 18 5 3 2" xfId="50569"/>
    <cellStyle name="Normal 18 5 3 3" xfId="50570"/>
    <cellStyle name="Normal 18 5 4" xfId="50571"/>
    <cellStyle name="Normal 18 5 4 2" xfId="50572"/>
    <cellStyle name="Normal 18 5 4 3" xfId="50573"/>
    <cellStyle name="Normal 18 5 5" xfId="50574"/>
    <cellStyle name="Normal 18 5 6" xfId="50575"/>
    <cellStyle name="Normal 18 6" xfId="50576"/>
    <cellStyle name="Normal 18 6 2" xfId="50577"/>
    <cellStyle name="Normal 18 6 2 2" xfId="50578"/>
    <cellStyle name="Normal 18 6 2 3" xfId="50579"/>
    <cellStyle name="Normal 18 6 3" xfId="50580"/>
    <cellStyle name="Normal 18 6 4" xfId="50581"/>
    <cellStyle name="Normal 18 7" xfId="50582"/>
    <cellStyle name="Normal 18 7 2" xfId="50583"/>
    <cellStyle name="Normal 18 7 2 2" xfId="50584"/>
    <cellStyle name="Normal 18 7 2 3" xfId="50585"/>
    <cellStyle name="Normal 18 7 3" xfId="50586"/>
    <cellStyle name="Normal 18 7 4" xfId="50587"/>
    <cellStyle name="Normal 18 8" xfId="50588"/>
    <cellStyle name="Normal 18 8 2" xfId="50589"/>
    <cellStyle name="Normal 18 8 3" xfId="50590"/>
    <cellStyle name="Normal 18 9" xfId="50591"/>
    <cellStyle name="Normal 18 9 2" xfId="50592"/>
    <cellStyle name="Normal 18 9 3" xfId="50593"/>
    <cellStyle name="Normal 180" xfId="50594"/>
    <cellStyle name="Normal 180 10" xfId="50595"/>
    <cellStyle name="Normal 180 2" xfId="50596"/>
    <cellStyle name="Normal 180 2 10" xfId="50597"/>
    <cellStyle name="Normal 180 2 2" xfId="50598"/>
    <cellStyle name="Normal 180 2 2 2" xfId="50599"/>
    <cellStyle name="Normal 180 2 2 2 2" xfId="50600"/>
    <cellStyle name="Normal 180 2 2 2 2 2" xfId="50601"/>
    <cellStyle name="Normal 180 2 2 2 2 2 2" xfId="50602"/>
    <cellStyle name="Normal 180 2 2 2 2 2 3" xfId="50603"/>
    <cellStyle name="Normal 180 2 2 2 2 3" xfId="50604"/>
    <cellStyle name="Normal 180 2 2 2 2 4" xfId="50605"/>
    <cellStyle name="Normal 180 2 2 2 3" xfId="50606"/>
    <cellStyle name="Normal 180 2 2 2 3 2" xfId="50607"/>
    <cellStyle name="Normal 180 2 2 2 3 3" xfId="50608"/>
    <cellStyle name="Normal 180 2 2 2 4" xfId="50609"/>
    <cellStyle name="Normal 180 2 2 2 4 2" xfId="50610"/>
    <cellStyle name="Normal 180 2 2 2 4 3" xfId="50611"/>
    <cellStyle name="Normal 180 2 2 2 5" xfId="50612"/>
    <cellStyle name="Normal 180 2 2 2 6" xfId="50613"/>
    <cellStyle name="Normal 180 2 2 3" xfId="50614"/>
    <cellStyle name="Normal 180 2 2 3 2" xfId="50615"/>
    <cellStyle name="Normal 180 2 2 3 2 2" xfId="50616"/>
    <cellStyle name="Normal 180 2 2 3 2 2 2" xfId="50617"/>
    <cellStyle name="Normal 180 2 2 3 2 2 3" xfId="50618"/>
    <cellStyle name="Normal 180 2 2 3 2 3" xfId="50619"/>
    <cellStyle name="Normal 180 2 2 3 2 4" xfId="50620"/>
    <cellStyle name="Normal 180 2 2 3 3" xfId="50621"/>
    <cellStyle name="Normal 180 2 2 3 3 2" xfId="50622"/>
    <cellStyle name="Normal 180 2 2 3 3 3" xfId="50623"/>
    <cellStyle name="Normal 180 2 2 3 4" xfId="50624"/>
    <cellStyle name="Normal 180 2 2 3 4 2" xfId="50625"/>
    <cellStyle name="Normal 180 2 2 3 4 3" xfId="50626"/>
    <cellStyle name="Normal 180 2 2 3 5" xfId="50627"/>
    <cellStyle name="Normal 180 2 2 3 6" xfId="50628"/>
    <cellStyle name="Normal 180 2 2 4" xfId="50629"/>
    <cellStyle name="Normal 180 2 2 4 2" xfId="50630"/>
    <cellStyle name="Normal 180 2 2 4 2 2" xfId="50631"/>
    <cellStyle name="Normal 180 2 2 4 2 3" xfId="50632"/>
    <cellStyle name="Normal 180 2 2 4 3" xfId="50633"/>
    <cellStyle name="Normal 180 2 2 4 4" xfId="50634"/>
    <cellStyle name="Normal 180 2 2 5" xfId="50635"/>
    <cellStyle name="Normal 180 2 2 5 2" xfId="50636"/>
    <cellStyle name="Normal 180 2 2 5 3" xfId="50637"/>
    <cellStyle name="Normal 180 2 2 6" xfId="50638"/>
    <cellStyle name="Normal 180 2 2 6 2" xfId="50639"/>
    <cellStyle name="Normal 180 2 2 6 3" xfId="50640"/>
    <cellStyle name="Normal 180 2 2 7" xfId="50641"/>
    <cellStyle name="Normal 180 2 2 8" xfId="50642"/>
    <cellStyle name="Normal 180 2 3" xfId="50643"/>
    <cellStyle name="Normal 180 2 3 2" xfId="50644"/>
    <cellStyle name="Normal 180 2 3 2 2" xfId="50645"/>
    <cellStyle name="Normal 180 2 3 2 2 2" xfId="50646"/>
    <cellStyle name="Normal 180 2 3 2 2 2 2" xfId="50647"/>
    <cellStyle name="Normal 180 2 3 2 2 2 3" xfId="50648"/>
    <cellStyle name="Normal 180 2 3 2 2 3" xfId="50649"/>
    <cellStyle name="Normal 180 2 3 2 2 4" xfId="50650"/>
    <cellStyle name="Normal 180 2 3 2 3" xfId="50651"/>
    <cellStyle name="Normal 180 2 3 2 3 2" xfId="50652"/>
    <cellStyle name="Normal 180 2 3 2 3 3" xfId="50653"/>
    <cellStyle name="Normal 180 2 3 2 4" xfId="50654"/>
    <cellStyle name="Normal 180 2 3 2 4 2" xfId="50655"/>
    <cellStyle name="Normal 180 2 3 2 4 3" xfId="50656"/>
    <cellStyle name="Normal 180 2 3 2 5" xfId="50657"/>
    <cellStyle name="Normal 180 2 3 2 6" xfId="50658"/>
    <cellStyle name="Normal 180 2 3 3" xfId="50659"/>
    <cellStyle name="Normal 180 2 3 3 2" xfId="50660"/>
    <cellStyle name="Normal 180 2 3 3 2 2" xfId="50661"/>
    <cellStyle name="Normal 180 2 3 3 2 2 2" xfId="50662"/>
    <cellStyle name="Normal 180 2 3 3 2 2 3" xfId="50663"/>
    <cellStyle name="Normal 180 2 3 3 2 3" xfId="50664"/>
    <cellStyle name="Normal 180 2 3 3 2 4" xfId="50665"/>
    <cellStyle name="Normal 180 2 3 3 3" xfId="50666"/>
    <cellStyle name="Normal 180 2 3 3 3 2" xfId="50667"/>
    <cellStyle name="Normal 180 2 3 3 3 3" xfId="50668"/>
    <cellStyle name="Normal 180 2 3 3 4" xfId="50669"/>
    <cellStyle name="Normal 180 2 3 3 4 2" xfId="50670"/>
    <cellStyle name="Normal 180 2 3 3 4 3" xfId="50671"/>
    <cellStyle name="Normal 180 2 3 3 5" xfId="50672"/>
    <cellStyle name="Normal 180 2 3 3 6" xfId="50673"/>
    <cellStyle name="Normal 180 2 3 4" xfId="50674"/>
    <cellStyle name="Normal 180 2 3 4 2" xfId="50675"/>
    <cellStyle name="Normal 180 2 3 4 2 2" xfId="50676"/>
    <cellStyle name="Normal 180 2 3 4 2 3" xfId="50677"/>
    <cellStyle name="Normal 180 2 3 4 3" xfId="50678"/>
    <cellStyle name="Normal 180 2 3 4 4" xfId="50679"/>
    <cellStyle name="Normal 180 2 3 5" xfId="50680"/>
    <cellStyle name="Normal 180 2 3 5 2" xfId="50681"/>
    <cellStyle name="Normal 180 2 3 5 3" xfId="50682"/>
    <cellStyle name="Normal 180 2 3 6" xfId="50683"/>
    <cellStyle name="Normal 180 2 3 6 2" xfId="50684"/>
    <cellStyle name="Normal 180 2 3 6 3" xfId="50685"/>
    <cellStyle name="Normal 180 2 3 7" xfId="50686"/>
    <cellStyle name="Normal 180 2 3 8" xfId="50687"/>
    <cellStyle name="Normal 180 2 4" xfId="50688"/>
    <cellStyle name="Normal 180 2 4 2" xfId="50689"/>
    <cellStyle name="Normal 180 2 4 2 2" xfId="50690"/>
    <cellStyle name="Normal 180 2 4 2 2 2" xfId="50691"/>
    <cellStyle name="Normal 180 2 4 2 2 3" xfId="50692"/>
    <cellStyle name="Normal 180 2 4 2 3" xfId="50693"/>
    <cellStyle name="Normal 180 2 4 2 4" xfId="50694"/>
    <cellStyle name="Normal 180 2 4 3" xfId="50695"/>
    <cellStyle name="Normal 180 2 4 3 2" xfId="50696"/>
    <cellStyle name="Normal 180 2 4 3 3" xfId="50697"/>
    <cellStyle name="Normal 180 2 4 4" xfId="50698"/>
    <cellStyle name="Normal 180 2 4 4 2" xfId="50699"/>
    <cellStyle name="Normal 180 2 4 4 3" xfId="50700"/>
    <cellStyle name="Normal 180 2 4 5" xfId="50701"/>
    <cellStyle name="Normal 180 2 4 6" xfId="50702"/>
    <cellStyle name="Normal 180 2 5" xfId="50703"/>
    <cellStyle name="Normal 180 2 5 2" xfId="50704"/>
    <cellStyle name="Normal 180 2 5 2 2" xfId="50705"/>
    <cellStyle name="Normal 180 2 5 2 2 2" xfId="50706"/>
    <cellStyle name="Normal 180 2 5 2 2 3" xfId="50707"/>
    <cellStyle name="Normal 180 2 5 2 3" xfId="50708"/>
    <cellStyle name="Normal 180 2 5 2 4" xfId="50709"/>
    <cellStyle name="Normal 180 2 5 3" xfId="50710"/>
    <cellStyle name="Normal 180 2 5 3 2" xfId="50711"/>
    <cellStyle name="Normal 180 2 5 3 3" xfId="50712"/>
    <cellStyle name="Normal 180 2 5 4" xfId="50713"/>
    <cellStyle name="Normal 180 2 5 4 2" xfId="50714"/>
    <cellStyle name="Normal 180 2 5 4 3" xfId="50715"/>
    <cellStyle name="Normal 180 2 5 5" xfId="50716"/>
    <cellStyle name="Normal 180 2 5 6" xfId="50717"/>
    <cellStyle name="Normal 180 2 6" xfId="50718"/>
    <cellStyle name="Normal 180 2 6 2" xfId="50719"/>
    <cellStyle name="Normal 180 2 6 2 2" xfId="50720"/>
    <cellStyle name="Normal 180 2 6 2 3" xfId="50721"/>
    <cellStyle name="Normal 180 2 6 3" xfId="50722"/>
    <cellStyle name="Normal 180 2 6 4" xfId="50723"/>
    <cellStyle name="Normal 180 2 7" xfId="50724"/>
    <cellStyle name="Normal 180 2 7 2" xfId="50725"/>
    <cellStyle name="Normal 180 2 7 3" xfId="50726"/>
    <cellStyle name="Normal 180 2 8" xfId="50727"/>
    <cellStyle name="Normal 180 2 8 2" xfId="50728"/>
    <cellStyle name="Normal 180 2 8 3" xfId="50729"/>
    <cellStyle name="Normal 180 2 9" xfId="50730"/>
    <cellStyle name="Normal 180 3" xfId="50731"/>
    <cellStyle name="Normal 180 3 2" xfId="50732"/>
    <cellStyle name="Normal 180 3 2 2" xfId="50733"/>
    <cellStyle name="Normal 180 3 2 2 2" xfId="50734"/>
    <cellStyle name="Normal 180 3 2 2 2 2" xfId="50735"/>
    <cellStyle name="Normal 180 3 2 2 2 3" xfId="50736"/>
    <cellStyle name="Normal 180 3 2 2 3" xfId="50737"/>
    <cellStyle name="Normal 180 3 2 2 4" xfId="50738"/>
    <cellStyle name="Normal 180 3 2 3" xfId="50739"/>
    <cellStyle name="Normal 180 3 2 3 2" xfId="50740"/>
    <cellStyle name="Normal 180 3 2 3 3" xfId="50741"/>
    <cellStyle name="Normal 180 3 2 4" xfId="50742"/>
    <cellStyle name="Normal 180 3 2 4 2" xfId="50743"/>
    <cellStyle name="Normal 180 3 2 4 3" xfId="50744"/>
    <cellStyle name="Normal 180 3 2 5" xfId="50745"/>
    <cellStyle name="Normal 180 3 2 6" xfId="50746"/>
    <cellStyle name="Normal 180 3 3" xfId="50747"/>
    <cellStyle name="Normal 180 3 3 2" xfId="50748"/>
    <cellStyle name="Normal 180 3 3 2 2" xfId="50749"/>
    <cellStyle name="Normal 180 3 3 2 2 2" xfId="50750"/>
    <cellStyle name="Normal 180 3 3 2 2 3" xfId="50751"/>
    <cellStyle name="Normal 180 3 3 2 3" xfId="50752"/>
    <cellStyle name="Normal 180 3 3 2 4" xfId="50753"/>
    <cellStyle name="Normal 180 3 3 3" xfId="50754"/>
    <cellStyle name="Normal 180 3 3 3 2" xfId="50755"/>
    <cellStyle name="Normal 180 3 3 3 3" xfId="50756"/>
    <cellStyle name="Normal 180 3 3 4" xfId="50757"/>
    <cellStyle name="Normal 180 3 3 4 2" xfId="50758"/>
    <cellStyle name="Normal 180 3 3 4 3" xfId="50759"/>
    <cellStyle name="Normal 180 3 3 5" xfId="50760"/>
    <cellStyle name="Normal 180 3 3 6" xfId="50761"/>
    <cellStyle name="Normal 180 3 4" xfId="50762"/>
    <cellStyle name="Normal 180 3 4 2" xfId="50763"/>
    <cellStyle name="Normal 180 3 4 2 2" xfId="50764"/>
    <cellStyle name="Normal 180 3 4 2 3" xfId="50765"/>
    <cellStyle name="Normal 180 3 4 3" xfId="50766"/>
    <cellStyle name="Normal 180 3 4 4" xfId="50767"/>
    <cellStyle name="Normal 180 3 5" xfId="50768"/>
    <cellStyle name="Normal 180 3 5 2" xfId="50769"/>
    <cellStyle name="Normal 180 3 5 3" xfId="50770"/>
    <cellStyle name="Normal 180 3 6" xfId="50771"/>
    <cellStyle name="Normal 180 3 6 2" xfId="50772"/>
    <cellStyle name="Normal 180 3 6 3" xfId="50773"/>
    <cellStyle name="Normal 180 3 7" xfId="50774"/>
    <cellStyle name="Normal 180 3 7 2" xfId="50775"/>
    <cellStyle name="Normal 180 3 7 2 2" xfId="50776"/>
    <cellStyle name="Normal 180 3 7 3" xfId="50777"/>
    <cellStyle name="Normal 180 3 7 4" xfId="50778"/>
    <cellStyle name="Normal 180 3 7 5 2" xfId="50779"/>
    <cellStyle name="Normal 180 3 7 5 2 2" xfId="50780"/>
    <cellStyle name="Normal 180 3 8" xfId="50781"/>
    <cellStyle name="Normal 180 4" xfId="50782"/>
    <cellStyle name="Normal 180 4 2" xfId="50783"/>
    <cellStyle name="Normal 180 4 2 2" xfId="50784"/>
    <cellStyle name="Normal 180 4 2 2 2" xfId="50785"/>
    <cellStyle name="Normal 180 4 2 2 3" xfId="50786"/>
    <cellStyle name="Normal 180 4 2 3" xfId="50787"/>
    <cellStyle name="Normal 180 4 2 4" xfId="50788"/>
    <cellStyle name="Normal 180 4 3" xfId="50789"/>
    <cellStyle name="Normal 180 4 3 2" xfId="50790"/>
    <cellStyle name="Normal 180 4 3 3" xfId="50791"/>
    <cellStyle name="Normal 180 4 4" xfId="50792"/>
    <cellStyle name="Normal 180 4 4 2" xfId="50793"/>
    <cellStyle name="Normal 180 4 4 3" xfId="50794"/>
    <cellStyle name="Normal 180 4 5" xfId="50795"/>
    <cellStyle name="Normal 180 4 6" xfId="50796"/>
    <cellStyle name="Normal 180 5" xfId="50797"/>
    <cellStyle name="Normal 180 5 2" xfId="50798"/>
    <cellStyle name="Normal 180 5 2 2" xfId="50799"/>
    <cellStyle name="Normal 180 5 2 2 2" xfId="50800"/>
    <cellStyle name="Normal 180 5 2 2 3" xfId="50801"/>
    <cellStyle name="Normal 180 5 2 3" xfId="50802"/>
    <cellStyle name="Normal 180 5 2 4" xfId="50803"/>
    <cellStyle name="Normal 180 5 3" xfId="50804"/>
    <cellStyle name="Normal 180 5 3 2" xfId="50805"/>
    <cellStyle name="Normal 180 5 3 3" xfId="50806"/>
    <cellStyle name="Normal 180 5 4" xfId="50807"/>
    <cellStyle name="Normal 180 5 4 2" xfId="50808"/>
    <cellStyle name="Normal 180 5 4 3" xfId="50809"/>
    <cellStyle name="Normal 180 5 5" xfId="50810"/>
    <cellStyle name="Normal 180 5 6" xfId="50811"/>
    <cellStyle name="Normal 180 6" xfId="50812"/>
    <cellStyle name="Normal 180 6 2" xfId="50813"/>
    <cellStyle name="Normal 180 6 2 2" xfId="50814"/>
    <cellStyle name="Normal 180 6 2 3" xfId="50815"/>
    <cellStyle name="Normal 180 6 3" xfId="50816"/>
    <cellStyle name="Normal 180 6 4" xfId="50817"/>
    <cellStyle name="Normal 180 7" xfId="50818"/>
    <cellStyle name="Normal 180 7 2" xfId="50819"/>
    <cellStyle name="Normal 180 7 3" xfId="50820"/>
    <cellStyle name="Normal 180 8" xfId="50821"/>
    <cellStyle name="Normal 180 8 2" xfId="50822"/>
    <cellStyle name="Normal 180 8 3" xfId="50823"/>
    <cellStyle name="Normal 180 9" xfId="50824"/>
    <cellStyle name="Normal 181" xfId="50825"/>
    <cellStyle name="Normal 181 2" xfId="50826"/>
    <cellStyle name="Normal 181 2 2" xfId="50827"/>
    <cellStyle name="Normal 181 2 2 2" xfId="50828"/>
    <cellStyle name="Normal 181 2 2 2 2" xfId="50829"/>
    <cellStyle name="Normal 181 2 2 2 3" xfId="50830"/>
    <cellStyle name="Normal 181 2 2 3" xfId="50831"/>
    <cellStyle name="Normal 181 2 2 4" xfId="50832"/>
    <cellStyle name="Normal 181 2 3" xfId="50833"/>
    <cellStyle name="Normal 181 2 3 2" xfId="50834"/>
    <cellStyle name="Normal 181 2 3 3" xfId="50835"/>
    <cellStyle name="Normal 181 2 4" xfId="50836"/>
    <cellStyle name="Normal 181 2 4 2" xfId="50837"/>
    <cellStyle name="Normal 181 2 4 3" xfId="50838"/>
    <cellStyle name="Normal 181 2 5" xfId="50839"/>
    <cellStyle name="Normal 181 2 6" xfId="50840"/>
    <cellStyle name="Normal 181 3" xfId="50841"/>
    <cellStyle name="Normal 181 3 2" xfId="50842"/>
    <cellStyle name="Normal 181 3 2 2" xfId="50843"/>
    <cellStyle name="Normal 181 3 2 2 2" xfId="50844"/>
    <cellStyle name="Normal 181 3 2 2 3" xfId="50845"/>
    <cellStyle name="Normal 181 3 2 3" xfId="50846"/>
    <cellStyle name="Normal 181 3 2 4" xfId="50847"/>
    <cellStyle name="Normal 181 3 3" xfId="50848"/>
    <cellStyle name="Normal 181 3 3 2" xfId="50849"/>
    <cellStyle name="Normal 181 3 3 3" xfId="50850"/>
    <cellStyle name="Normal 181 3 4" xfId="50851"/>
    <cellStyle name="Normal 181 3 4 2" xfId="50852"/>
    <cellStyle name="Normal 181 3 4 3" xfId="50853"/>
    <cellStyle name="Normal 181 3 5" xfId="50854"/>
    <cellStyle name="Normal 181 3 6" xfId="50855"/>
    <cellStyle name="Normal 181 4" xfId="50856"/>
    <cellStyle name="Normal 181 4 2" xfId="50857"/>
    <cellStyle name="Normal 181 4 2 2" xfId="50858"/>
    <cellStyle name="Normal 181 4 2 3" xfId="50859"/>
    <cellStyle name="Normal 181 4 3" xfId="50860"/>
    <cellStyle name="Normal 181 4 4" xfId="50861"/>
    <cellStyle name="Normal 181 5" xfId="50862"/>
    <cellStyle name="Normal 181 5 2" xfId="50863"/>
    <cellStyle name="Normal 181 5 3" xfId="50864"/>
    <cellStyle name="Normal 181 6" xfId="50865"/>
    <cellStyle name="Normal 181 6 2" xfId="50866"/>
    <cellStyle name="Normal 181 6 3" xfId="50867"/>
    <cellStyle name="Normal 181 7" xfId="50868"/>
    <cellStyle name="Normal 181 8" xfId="50869"/>
    <cellStyle name="Normal 182" xfId="50870"/>
    <cellStyle name="Normal 182 2" xfId="50871"/>
    <cellStyle name="Normal 182 2 2" xfId="50872"/>
    <cellStyle name="Normal 182 2 3" xfId="50873"/>
    <cellStyle name="Normal 182 3" xfId="50874"/>
    <cellStyle name="Normal 182 4" xfId="50875"/>
    <cellStyle name="Normal 183" xfId="50876"/>
    <cellStyle name="Normal 183 2" xfId="50877"/>
    <cellStyle name="Normal 183 2 2" xfId="50878"/>
    <cellStyle name="Normal 183 2 3" xfId="50879"/>
    <cellStyle name="Normal 183 3" xfId="50880"/>
    <cellStyle name="Normal 183 3 2" xfId="50881"/>
    <cellStyle name="Normal 183 3 3" xfId="50882"/>
    <cellStyle name="Normal 183 4" xfId="50883"/>
    <cellStyle name="Normal 183 5" xfId="50884"/>
    <cellStyle name="Normal 184" xfId="50885"/>
    <cellStyle name="Normal 184 2" xfId="50886"/>
    <cellStyle name="Normal 184 2 10" xfId="50887"/>
    <cellStyle name="Normal 184 2 11" xfId="50888"/>
    <cellStyle name="Normal 184 2 2" xfId="50889"/>
    <cellStyle name="Normal 184 2 2 2" xfId="50890"/>
    <cellStyle name="Normal 184 2 2 2 2" xfId="50891"/>
    <cellStyle name="Normal 184 2 2 2 2 2" xfId="50892"/>
    <cellStyle name="Normal 184 2 2 2 2 2 2" xfId="50893"/>
    <cellStyle name="Normal 184 2 2 2 2 2 3" xfId="50894"/>
    <cellStyle name="Normal 184 2 2 2 2 3" xfId="50895"/>
    <cellStyle name="Normal 184 2 2 2 2 4" xfId="50896"/>
    <cellStyle name="Normal 184 2 2 2 3" xfId="50897"/>
    <cellStyle name="Normal 184 2 2 2 3 2" xfId="50898"/>
    <cellStyle name="Normal 184 2 2 2 3 3" xfId="50899"/>
    <cellStyle name="Normal 184 2 2 2 4" xfId="50900"/>
    <cellStyle name="Normal 184 2 2 2 4 2" xfId="50901"/>
    <cellStyle name="Normal 184 2 2 2 4 3" xfId="50902"/>
    <cellStyle name="Normal 184 2 2 2 5" xfId="50903"/>
    <cellStyle name="Normal 184 2 2 2 6" xfId="50904"/>
    <cellStyle name="Normal 184 2 2 3" xfId="50905"/>
    <cellStyle name="Normal 184 2 2 3 2" xfId="50906"/>
    <cellStyle name="Normal 184 2 2 3 2 2" xfId="50907"/>
    <cellStyle name="Normal 184 2 2 3 2 2 2" xfId="50908"/>
    <cellStyle name="Normal 184 2 2 3 2 2 3" xfId="50909"/>
    <cellStyle name="Normal 184 2 2 3 2 3" xfId="50910"/>
    <cellStyle name="Normal 184 2 2 3 2 4" xfId="50911"/>
    <cellStyle name="Normal 184 2 2 3 3" xfId="50912"/>
    <cellStyle name="Normal 184 2 2 3 3 2" xfId="50913"/>
    <cellStyle name="Normal 184 2 2 3 3 3" xfId="50914"/>
    <cellStyle name="Normal 184 2 2 3 4" xfId="50915"/>
    <cellStyle name="Normal 184 2 2 3 4 2" xfId="50916"/>
    <cellStyle name="Normal 184 2 2 3 4 3" xfId="50917"/>
    <cellStyle name="Normal 184 2 2 3 5" xfId="50918"/>
    <cellStyle name="Normal 184 2 2 3 6" xfId="50919"/>
    <cellStyle name="Normal 184 2 2 4" xfId="50920"/>
    <cellStyle name="Normal 184 2 2 4 2" xfId="50921"/>
    <cellStyle name="Normal 184 2 2 4 2 2" xfId="50922"/>
    <cellStyle name="Normal 184 2 2 4 2 3" xfId="50923"/>
    <cellStyle name="Normal 184 2 2 4 3" xfId="50924"/>
    <cellStyle name="Normal 184 2 2 4 4" xfId="50925"/>
    <cellStyle name="Normal 184 2 2 5" xfId="50926"/>
    <cellStyle name="Normal 184 2 2 5 2" xfId="50927"/>
    <cellStyle name="Normal 184 2 2 5 3" xfId="50928"/>
    <cellStyle name="Normal 184 2 2 6" xfId="50929"/>
    <cellStyle name="Normal 184 2 2 6 2" xfId="50930"/>
    <cellStyle name="Normal 184 2 2 6 3" xfId="50931"/>
    <cellStyle name="Normal 184 2 2 7" xfId="50932"/>
    <cellStyle name="Normal 184 2 2 8" xfId="50933"/>
    <cellStyle name="Normal 184 2 3" xfId="50934"/>
    <cellStyle name="Normal 184 2 3 2" xfId="50935"/>
    <cellStyle name="Normal 184 2 3 2 2" xfId="50936"/>
    <cellStyle name="Normal 184 2 3 2 2 2" xfId="50937"/>
    <cellStyle name="Normal 184 2 3 2 2 2 2" xfId="50938"/>
    <cellStyle name="Normal 184 2 3 2 2 2 3" xfId="50939"/>
    <cellStyle name="Normal 184 2 3 2 2 3" xfId="50940"/>
    <cellStyle name="Normal 184 2 3 2 2 4" xfId="50941"/>
    <cellStyle name="Normal 184 2 3 2 3" xfId="50942"/>
    <cellStyle name="Normal 184 2 3 2 3 2" xfId="50943"/>
    <cellStyle name="Normal 184 2 3 2 3 3" xfId="50944"/>
    <cellStyle name="Normal 184 2 3 2 4" xfId="50945"/>
    <cellStyle name="Normal 184 2 3 2 4 2" xfId="50946"/>
    <cellStyle name="Normal 184 2 3 2 4 3" xfId="50947"/>
    <cellStyle name="Normal 184 2 3 2 5" xfId="50948"/>
    <cellStyle name="Normal 184 2 3 2 6" xfId="50949"/>
    <cellStyle name="Normal 184 2 3 3" xfId="50950"/>
    <cellStyle name="Normal 184 2 3 3 2" xfId="50951"/>
    <cellStyle name="Normal 184 2 3 3 2 2" xfId="50952"/>
    <cellStyle name="Normal 184 2 3 3 2 2 2" xfId="50953"/>
    <cellStyle name="Normal 184 2 3 3 2 2 3" xfId="50954"/>
    <cellStyle name="Normal 184 2 3 3 2 3" xfId="50955"/>
    <cellStyle name="Normal 184 2 3 3 2 4" xfId="50956"/>
    <cellStyle name="Normal 184 2 3 3 3" xfId="50957"/>
    <cellStyle name="Normal 184 2 3 3 3 2" xfId="50958"/>
    <cellStyle name="Normal 184 2 3 3 3 3" xfId="50959"/>
    <cellStyle name="Normal 184 2 3 3 4" xfId="50960"/>
    <cellStyle name="Normal 184 2 3 3 4 2" xfId="50961"/>
    <cellStyle name="Normal 184 2 3 3 4 3" xfId="50962"/>
    <cellStyle name="Normal 184 2 3 3 5" xfId="50963"/>
    <cellStyle name="Normal 184 2 3 3 6" xfId="50964"/>
    <cellStyle name="Normal 184 2 3 4" xfId="50965"/>
    <cellStyle name="Normal 184 2 3 4 2" xfId="50966"/>
    <cellStyle name="Normal 184 2 3 4 2 2" xfId="50967"/>
    <cellStyle name="Normal 184 2 3 4 2 3" xfId="50968"/>
    <cellStyle name="Normal 184 2 3 4 3" xfId="50969"/>
    <cellStyle name="Normal 184 2 3 4 4" xfId="50970"/>
    <cellStyle name="Normal 184 2 3 5" xfId="50971"/>
    <cellStyle name="Normal 184 2 3 5 2" xfId="50972"/>
    <cellStyle name="Normal 184 2 3 5 3" xfId="50973"/>
    <cellStyle name="Normal 184 2 3 6" xfId="50974"/>
    <cellStyle name="Normal 184 2 3 6 2" xfId="50975"/>
    <cellStyle name="Normal 184 2 3 6 3" xfId="50976"/>
    <cellStyle name="Normal 184 2 3 7" xfId="50977"/>
    <cellStyle name="Normal 184 2 3 8" xfId="50978"/>
    <cellStyle name="Normal 184 2 4" xfId="50979"/>
    <cellStyle name="Normal 184 2 4 2" xfId="50980"/>
    <cellStyle name="Normal 184 2 4 2 2" xfId="50981"/>
    <cellStyle name="Normal 184 2 4 2 2 2" xfId="50982"/>
    <cellStyle name="Normal 184 2 4 2 2 2 2" xfId="50983"/>
    <cellStyle name="Normal 184 2 4 2 2 2 3" xfId="50984"/>
    <cellStyle name="Normal 184 2 4 2 2 3" xfId="50985"/>
    <cellStyle name="Normal 184 2 4 2 2 4" xfId="50986"/>
    <cellStyle name="Normal 184 2 4 2 3" xfId="50987"/>
    <cellStyle name="Normal 184 2 4 2 3 2" xfId="50988"/>
    <cellStyle name="Normal 184 2 4 2 3 3" xfId="50989"/>
    <cellStyle name="Normal 184 2 4 2 4" xfId="50990"/>
    <cellStyle name="Normal 184 2 4 2 4 2" xfId="50991"/>
    <cellStyle name="Normal 184 2 4 2 4 3" xfId="50992"/>
    <cellStyle name="Normal 184 2 4 2 5" xfId="50993"/>
    <cellStyle name="Normal 184 2 4 2 6" xfId="50994"/>
    <cellStyle name="Normal 184 2 4 3" xfId="50995"/>
    <cellStyle name="Normal 184 2 4 3 2" xfId="50996"/>
    <cellStyle name="Normal 184 2 4 3 2 2" xfId="50997"/>
    <cellStyle name="Normal 184 2 4 3 2 2 2" xfId="50998"/>
    <cellStyle name="Normal 184 2 4 3 2 2 3" xfId="50999"/>
    <cellStyle name="Normal 184 2 4 3 2 3" xfId="51000"/>
    <cellStyle name="Normal 184 2 4 3 2 4" xfId="51001"/>
    <cellStyle name="Normal 184 2 4 3 3" xfId="51002"/>
    <cellStyle name="Normal 184 2 4 3 3 2" xfId="51003"/>
    <cellStyle name="Normal 184 2 4 3 3 3" xfId="51004"/>
    <cellStyle name="Normal 184 2 4 3 4" xfId="51005"/>
    <cellStyle name="Normal 184 2 4 3 4 2" xfId="51006"/>
    <cellStyle name="Normal 184 2 4 3 4 3" xfId="51007"/>
    <cellStyle name="Normal 184 2 4 3 5" xfId="51008"/>
    <cellStyle name="Normal 184 2 4 3 6" xfId="51009"/>
    <cellStyle name="Normal 184 2 4 4" xfId="51010"/>
    <cellStyle name="Normal 184 2 4 4 2" xfId="51011"/>
    <cellStyle name="Normal 184 2 4 4 2 2" xfId="51012"/>
    <cellStyle name="Normal 184 2 4 4 2 3" xfId="51013"/>
    <cellStyle name="Normal 184 2 4 4 3" xfId="51014"/>
    <cellStyle name="Normal 184 2 4 4 4" xfId="51015"/>
    <cellStyle name="Normal 184 2 4 5" xfId="51016"/>
    <cellStyle name="Normal 184 2 4 5 2" xfId="51017"/>
    <cellStyle name="Normal 184 2 4 5 3" xfId="51018"/>
    <cellStyle name="Normal 184 2 4 6" xfId="51019"/>
    <cellStyle name="Normal 184 2 4 6 2" xfId="51020"/>
    <cellStyle name="Normal 184 2 4 6 3" xfId="51021"/>
    <cellStyle name="Normal 184 2 4 7" xfId="51022"/>
    <cellStyle name="Normal 184 2 4 8" xfId="51023"/>
    <cellStyle name="Normal 184 2 5" xfId="51024"/>
    <cellStyle name="Normal 184 2 5 2" xfId="51025"/>
    <cellStyle name="Normal 184 2 5 2 2" xfId="51026"/>
    <cellStyle name="Normal 184 2 5 2 2 2" xfId="51027"/>
    <cellStyle name="Normal 184 2 5 2 2 3" xfId="51028"/>
    <cellStyle name="Normal 184 2 5 2 3" xfId="51029"/>
    <cellStyle name="Normal 184 2 5 2 4" xfId="51030"/>
    <cellStyle name="Normal 184 2 5 3" xfId="51031"/>
    <cellStyle name="Normal 184 2 5 3 2" xfId="51032"/>
    <cellStyle name="Normal 184 2 5 3 3" xfId="51033"/>
    <cellStyle name="Normal 184 2 5 4" xfId="51034"/>
    <cellStyle name="Normal 184 2 5 4 2" xfId="51035"/>
    <cellStyle name="Normal 184 2 5 4 3" xfId="51036"/>
    <cellStyle name="Normal 184 2 5 5" xfId="51037"/>
    <cellStyle name="Normal 184 2 5 6" xfId="51038"/>
    <cellStyle name="Normal 184 2 6" xfId="51039"/>
    <cellStyle name="Normal 184 2 6 2" xfId="51040"/>
    <cellStyle name="Normal 184 2 6 2 2" xfId="51041"/>
    <cellStyle name="Normal 184 2 6 2 2 2" xfId="51042"/>
    <cellStyle name="Normal 184 2 6 2 2 3" xfId="51043"/>
    <cellStyle name="Normal 184 2 6 2 3" xfId="51044"/>
    <cellStyle name="Normal 184 2 6 2 4" xfId="51045"/>
    <cellStyle name="Normal 184 2 6 3" xfId="51046"/>
    <cellStyle name="Normal 184 2 6 3 2" xfId="51047"/>
    <cellStyle name="Normal 184 2 6 3 3" xfId="51048"/>
    <cellStyle name="Normal 184 2 6 4" xfId="51049"/>
    <cellStyle name="Normal 184 2 6 4 2" xfId="51050"/>
    <cellStyle name="Normal 184 2 6 4 3" xfId="51051"/>
    <cellStyle name="Normal 184 2 6 5" xfId="51052"/>
    <cellStyle name="Normal 184 2 6 6" xfId="51053"/>
    <cellStyle name="Normal 184 2 7" xfId="51054"/>
    <cellStyle name="Normal 184 2 7 2" xfId="51055"/>
    <cellStyle name="Normal 184 2 7 2 2" xfId="51056"/>
    <cellStyle name="Normal 184 2 7 2 3" xfId="51057"/>
    <cellStyle name="Normal 184 2 7 3" xfId="51058"/>
    <cellStyle name="Normal 184 2 7 4" xfId="51059"/>
    <cellStyle name="Normal 184 2 8" xfId="51060"/>
    <cellStyle name="Normal 184 2 8 2" xfId="51061"/>
    <cellStyle name="Normal 184 2 8 3" xfId="51062"/>
    <cellStyle name="Normal 184 2 9" xfId="51063"/>
    <cellStyle name="Normal 184 2 9 2" xfId="51064"/>
    <cellStyle name="Normal 184 2 9 3" xfId="51065"/>
    <cellStyle name="Normal 184 3" xfId="51066"/>
    <cellStyle name="Normal 184 3 2" xfId="51067"/>
    <cellStyle name="Normal 184 3 2 2" xfId="51068"/>
    <cellStyle name="Normal 184 3 2 2 2" xfId="51069"/>
    <cellStyle name="Normal 184 3 2 2 3" xfId="51070"/>
    <cellStyle name="Normal 184 3 2 3" xfId="51071"/>
    <cellStyle name="Normal 184 3 2 4" xfId="51072"/>
    <cellStyle name="Normal 184 3 3" xfId="51073"/>
    <cellStyle name="Normal 184 3 3 2" xfId="51074"/>
    <cellStyle name="Normal 184 3 3 3" xfId="51075"/>
    <cellStyle name="Normal 184 3 4" xfId="51076"/>
    <cellStyle name="Normal 184 3 4 2" xfId="51077"/>
    <cellStyle name="Normal 184 3 4 3" xfId="51078"/>
    <cellStyle name="Normal 184 3 5" xfId="51079"/>
    <cellStyle name="Normal 184 3 6" xfId="51080"/>
    <cellStyle name="Normal 184 4" xfId="51081"/>
    <cellStyle name="Normal 184 4 2" xfId="51082"/>
    <cellStyle name="Normal 184 4 2 2" xfId="51083"/>
    <cellStyle name="Normal 184 4 2 2 2" xfId="51084"/>
    <cellStyle name="Normal 184 4 2 2 3" xfId="51085"/>
    <cellStyle name="Normal 184 4 2 3" xfId="51086"/>
    <cellStyle name="Normal 184 4 2 4" xfId="51087"/>
    <cellStyle name="Normal 184 4 3" xfId="51088"/>
    <cellStyle name="Normal 184 4 3 2" xfId="51089"/>
    <cellStyle name="Normal 184 4 3 3" xfId="51090"/>
    <cellStyle name="Normal 184 4 4" xfId="51091"/>
    <cellStyle name="Normal 184 4 4 2" xfId="51092"/>
    <cellStyle name="Normal 184 4 4 3" xfId="51093"/>
    <cellStyle name="Normal 184 4 5" xfId="51094"/>
    <cellStyle name="Normal 184 4 6" xfId="51095"/>
    <cellStyle name="Normal 184 5" xfId="51096"/>
    <cellStyle name="Normal 184 5 2" xfId="51097"/>
    <cellStyle name="Normal 184 5 2 2" xfId="51098"/>
    <cellStyle name="Normal 184 5 2 3" xfId="51099"/>
    <cellStyle name="Normal 184 5 3" xfId="51100"/>
    <cellStyle name="Normal 184 5 4" xfId="51101"/>
    <cellStyle name="Normal 184 6" xfId="51102"/>
    <cellStyle name="Normal 184 6 2" xfId="51103"/>
    <cellStyle name="Normal 184 6 3" xfId="51104"/>
    <cellStyle name="Normal 184 7" xfId="51105"/>
    <cellStyle name="Normal 184 7 2" xfId="51106"/>
    <cellStyle name="Normal 184 7 3" xfId="51107"/>
    <cellStyle name="Normal 184 8" xfId="51108"/>
    <cellStyle name="Normal 184 9" xfId="51109"/>
    <cellStyle name="Normal 185" xfId="51110"/>
    <cellStyle name="Normal 185 2" xfId="51111"/>
    <cellStyle name="Normal 185 3" xfId="51112"/>
    <cellStyle name="Normal 186" xfId="51113"/>
    <cellStyle name="Normal 186 2" xfId="51114"/>
    <cellStyle name="Normal 186 2 2" xfId="51115"/>
    <cellStyle name="Normal 186 2 2 2" xfId="51116"/>
    <cellStyle name="Normal 186 2 2 3" xfId="51117"/>
    <cellStyle name="Normal 186 2 3" xfId="51118"/>
    <cellStyle name="Normal 186 3" xfId="51119"/>
    <cellStyle name="Normal 186 4" xfId="51120"/>
    <cellStyle name="Normal 187" xfId="51121"/>
    <cellStyle name="Normal 187 2" xfId="51122"/>
    <cellStyle name="Normal 187 3" xfId="51123"/>
    <cellStyle name="Normal 188" xfId="51124"/>
    <cellStyle name="Normal 188 2" xfId="51125"/>
    <cellStyle name="Normal 188 2 2" xfId="51126"/>
    <cellStyle name="Normal 188 2 2 2" xfId="51127"/>
    <cellStyle name="Normal 188 2 2 2 2" xfId="51128"/>
    <cellStyle name="Normal 188 2 2 2 3" xfId="51129"/>
    <cellStyle name="Normal 188 2 2 3" xfId="51130"/>
    <cellStyle name="Normal 188 2 2 4" xfId="51131"/>
    <cellStyle name="Normal 188 2 3" xfId="51132"/>
    <cellStyle name="Normal 188 2 3 2" xfId="51133"/>
    <cellStyle name="Normal 188 2 3 3" xfId="51134"/>
    <cellStyle name="Normal 188 2 4" xfId="51135"/>
    <cellStyle name="Normal 188 2 4 2" xfId="51136"/>
    <cellStyle name="Normal 188 2 4 3" xfId="51137"/>
    <cellStyle name="Normal 188 2 5" xfId="51138"/>
    <cellStyle name="Normal 188 2 6" xfId="51139"/>
    <cellStyle name="Normal 188 3" xfId="51140"/>
    <cellStyle name="Normal 188 3 2" xfId="51141"/>
    <cellStyle name="Normal 188 3 2 2" xfId="51142"/>
    <cellStyle name="Normal 188 3 2 2 2" xfId="51143"/>
    <cellStyle name="Normal 188 3 2 2 3" xfId="51144"/>
    <cellStyle name="Normal 188 3 2 3" xfId="51145"/>
    <cellStyle name="Normal 188 3 2 4" xfId="51146"/>
    <cellStyle name="Normal 188 3 3" xfId="51147"/>
    <cellStyle name="Normal 188 3 3 2" xfId="51148"/>
    <cellStyle name="Normal 188 3 3 3" xfId="51149"/>
    <cellStyle name="Normal 188 3 4" xfId="51150"/>
    <cellStyle name="Normal 188 3 4 2" xfId="51151"/>
    <cellStyle name="Normal 188 3 4 3" xfId="51152"/>
    <cellStyle name="Normal 188 3 5" xfId="51153"/>
    <cellStyle name="Normal 188 3 6" xfId="51154"/>
    <cellStyle name="Normal 188 4" xfId="51155"/>
    <cellStyle name="Normal 188 4 2" xfId="51156"/>
    <cellStyle name="Normal 188 4 2 2" xfId="51157"/>
    <cellStyle name="Normal 188 4 2 3" xfId="51158"/>
    <cellStyle name="Normal 188 4 3" xfId="51159"/>
    <cellStyle name="Normal 188 4 4" xfId="51160"/>
    <cellStyle name="Normal 188 5" xfId="51161"/>
    <cellStyle name="Normal 188 5 2" xfId="51162"/>
    <cellStyle name="Normal 188 5 3" xfId="51163"/>
    <cellStyle name="Normal 188 6" xfId="51164"/>
    <cellStyle name="Normal 188 6 2" xfId="51165"/>
    <cellStyle name="Normal 188 6 3" xfId="51166"/>
    <cellStyle name="Normal 188 7" xfId="51167"/>
    <cellStyle name="Normal 188 8" xfId="51168"/>
    <cellStyle name="Normal 189" xfId="51169"/>
    <cellStyle name="Normal 189 2" xfId="51170"/>
    <cellStyle name="Normal 189 2 2" xfId="51171"/>
    <cellStyle name="Normal 189 2 3" xfId="51172"/>
    <cellStyle name="Normal 189 3" xfId="51173"/>
    <cellStyle name="Normal 189 4" xfId="51174"/>
    <cellStyle name="Normal 19" xfId="51175"/>
    <cellStyle name="Normal 19 10" xfId="51176"/>
    <cellStyle name="Normal 19 11" xfId="51177"/>
    <cellStyle name="Normal 19 2" xfId="51178"/>
    <cellStyle name="Normal 19 2 10" xfId="51179"/>
    <cellStyle name="Normal 19 2 2" xfId="51180"/>
    <cellStyle name="Normal 19 2 2 2" xfId="51181"/>
    <cellStyle name="Normal 19 2 2 2 2" xfId="51182"/>
    <cellStyle name="Normal 19 2 2 2 2 2" xfId="51183"/>
    <cellStyle name="Normal 19 2 2 2 2 2 2" xfId="51184"/>
    <cellStyle name="Normal 19 2 2 2 2 2 3" xfId="51185"/>
    <cellStyle name="Normal 19 2 2 2 2 3" xfId="51186"/>
    <cellStyle name="Normal 19 2 2 2 2 4" xfId="51187"/>
    <cellStyle name="Normal 19 2 2 2 3" xfId="51188"/>
    <cellStyle name="Normal 19 2 2 2 3 2" xfId="51189"/>
    <cellStyle name="Normal 19 2 2 2 3 3" xfId="51190"/>
    <cellStyle name="Normal 19 2 2 2 4" xfId="51191"/>
    <cellStyle name="Normal 19 2 2 2 4 2" xfId="51192"/>
    <cellStyle name="Normal 19 2 2 2 4 3" xfId="51193"/>
    <cellStyle name="Normal 19 2 2 2 5" xfId="51194"/>
    <cellStyle name="Normal 19 2 2 2 6" xfId="51195"/>
    <cellStyle name="Normal 19 2 2 3" xfId="51196"/>
    <cellStyle name="Normal 19 2 2 3 2" xfId="51197"/>
    <cellStyle name="Normal 19 2 2 3 2 2" xfId="51198"/>
    <cellStyle name="Normal 19 2 2 3 2 2 2" xfId="51199"/>
    <cellStyle name="Normal 19 2 2 3 2 2 3" xfId="51200"/>
    <cellStyle name="Normal 19 2 2 3 2 3" xfId="51201"/>
    <cellStyle name="Normal 19 2 2 3 2 4" xfId="51202"/>
    <cellStyle name="Normal 19 2 2 3 3" xfId="51203"/>
    <cellStyle name="Normal 19 2 2 3 3 2" xfId="51204"/>
    <cellStyle name="Normal 19 2 2 3 3 3" xfId="51205"/>
    <cellStyle name="Normal 19 2 2 3 4" xfId="51206"/>
    <cellStyle name="Normal 19 2 2 3 4 2" xfId="51207"/>
    <cellStyle name="Normal 19 2 2 3 4 3" xfId="51208"/>
    <cellStyle name="Normal 19 2 2 3 5" xfId="51209"/>
    <cellStyle name="Normal 19 2 2 3 6" xfId="51210"/>
    <cellStyle name="Normal 19 2 2 4" xfId="51211"/>
    <cellStyle name="Normal 19 2 2 4 2" xfId="51212"/>
    <cellStyle name="Normal 19 2 2 4 2 2" xfId="51213"/>
    <cellStyle name="Normal 19 2 2 4 2 3" xfId="51214"/>
    <cellStyle name="Normal 19 2 2 4 3" xfId="51215"/>
    <cellStyle name="Normal 19 2 2 4 4" xfId="51216"/>
    <cellStyle name="Normal 19 2 2 5" xfId="51217"/>
    <cellStyle name="Normal 19 2 2 5 2" xfId="51218"/>
    <cellStyle name="Normal 19 2 2 5 3" xfId="51219"/>
    <cellStyle name="Normal 19 2 2 6" xfId="51220"/>
    <cellStyle name="Normal 19 2 2 6 2" xfId="51221"/>
    <cellStyle name="Normal 19 2 2 6 3" xfId="51222"/>
    <cellStyle name="Normal 19 2 2 7" xfId="51223"/>
    <cellStyle name="Normal 19 2 2 8" xfId="51224"/>
    <cellStyle name="Normal 19 2 3" xfId="51225"/>
    <cellStyle name="Normal 19 2 3 2" xfId="51226"/>
    <cellStyle name="Normal 19 2 3 2 2" xfId="51227"/>
    <cellStyle name="Normal 19 2 3 2 2 2" xfId="51228"/>
    <cellStyle name="Normal 19 2 3 2 2 3" xfId="51229"/>
    <cellStyle name="Normal 19 2 3 2 3" xfId="51230"/>
    <cellStyle name="Normal 19 2 3 2 4" xfId="51231"/>
    <cellStyle name="Normal 19 2 3 3" xfId="51232"/>
    <cellStyle name="Normal 19 2 3 3 2" xfId="51233"/>
    <cellStyle name="Normal 19 2 3 3 3" xfId="51234"/>
    <cellStyle name="Normal 19 2 3 4" xfId="51235"/>
    <cellStyle name="Normal 19 2 3 4 2" xfId="51236"/>
    <cellStyle name="Normal 19 2 3 4 3" xfId="51237"/>
    <cellStyle name="Normal 19 2 3 5" xfId="51238"/>
    <cellStyle name="Normal 19 2 3 6" xfId="51239"/>
    <cellStyle name="Normal 19 2 4" xfId="51240"/>
    <cellStyle name="Normal 19 2 4 2" xfId="51241"/>
    <cellStyle name="Normal 19 2 4 2 2" xfId="51242"/>
    <cellStyle name="Normal 19 2 4 2 2 2" xfId="51243"/>
    <cellStyle name="Normal 19 2 4 2 2 3" xfId="51244"/>
    <cellStyle name="Normal 19 2 4 2 3" xfId="51245"/>
    <cellStyle name="Normal 19 2 4 2 4" xfId="51246"/>
    <cellStyle name="Normal 19 2 4 3" xfId="51247"/>
    <cellStyle name="Normal 19 2 4 3 2" xfId="51248"/>
    <cellStyle name="Normal 19 2 4 3 3" xfId="51249"/>
    <cellStyle name="Normal 19 2 4 4" xfId="51250"/>
    <cellStyle name="Normal 19 2 4 4 2" xfId="51251"/>
    <cellStyle name="Normal 19 2 4 4 3" xfId="51252"/>
    <cellStyle name="Normal 19 2 4 5" xfId="51253"/>
    <cellStyle name="Normal 19 2 4 6" xfId="51254"/>
    <cellStyle name="Normal 19 2 5" xfId="51255"/>
    <cellStyle name="Normal 19 2 5 2" xfId="51256"/>
    <cellStyle name="Normal 19 2 5 2 2" xfId="51257"/>
    <cellStyle name="Normal 19 2 5 2 3" xfId="51258"/>
    <cellStyle name="Normal 19 2 5 3" xfId="51259"/>
    <cellStyle name="Normal 19 2 5 4" xfId="51260"/>
    <cellStyle name="Normal 19 2 6" xfId="51261"/>
    <cellStyle name="Normal 19 2 6 2" xfId="51262"/>
    <cellStyle name="Normal 19 2 6 2 2" xfId="51263"/>
    <cellStyle name="Normal 19 2 6 2 3" xfId="51264"/>
    <cellStyle name="Normal 19 2 6 3" xfId="51265"/>
    <cellStyle name="Normal 19 2 6 4" xfId="51266"/>
    <cellStyle name="Normal 19 2 7" xfId="51267"/>
    <cellStyle name="Normal 19 2 7 2" xfId="51268"/>
    <cellStyle name="Normal 19 2 7 3" xfId="51269"/>
    <cellStyle name="Normal 19 2 8" xfId="51270"/>
    <cellStyle name="Normal 19 2 8 2" xfId="51271"/>
    <cellStyle name="Normal 19 2 8 3" xfId="51272"/>
    <cellStyle name="Normal 19 2 9" xfId="51273"/>
    <cellStyle name="Normal 19 3" xfId="51274"/>
    <cellStyle name="Normal 19 3 2" xfId="51275"/>
    <cellStyle name="Normal 19 3 2 2" xfId="51276"/>
    <cellStyle name="Normal 19 3 2 2 2" xfId="51277"/>
    <cellStyle name="Normal 19 3 2 2 2 2" xfId="51278"/>
    <cellStyle name="Normal 19 3 2 2 2 3" xfId="51279"/>
    <cellStyle name="Normal 19 3 2 2 3" xfId="51280"/>
    <cellStyle name="Normal 19 3 2 2 4" xfId="51281"/>
    <cellStyle name="Normal 19 3 2 3" xfId="51282"/>
    <cellStyle name="Normal 19 3 2 3 2" xfId="51283"/>
    <cellStyle name="Normal 19 3 2 3 3" xfId="51284"/>
    <cellStyle name="Normal 19 3 2 4" xfId="51285"/>
    <cellStyle name="Normal 19 3 2 4 2" xfId="51286"/>
    <cellStyle name="Normal 19 3 2 4 3" xfId="51287"/>
    <cellStyle name="Normal 19 3 2 5" xfId="51288"/>
    <cellStyle name="Normal 19 3 2 6" xfId="51289"/>
    <cellStyle name="Normal 19 3 3" xfId="51290"/>
    <cellStyle name="Normal 19 3 3 2" xfId="51291"/>
    <cellStyle name="Normal 19 3 3 2 2" xfId="51292"/>
    <cellStyle name="Normal 19 3 3 2 2 2" xfId="51293"/>
    <cellStyle name="Normal 19 3 3 2 2 3" xfId="51294"/>
    <cellStyle name="Normal 19 3 3 2 3" xfId="51295"/>
    <cellStyle name="Normal 19 3 3 2 4" xfId="51296"/>
    <cellStyle name="Normal 19 3 3 3" xfId="51297"/>
    <cellStyle name="Normal 19 3 3 3 2" xfId="51298"/>
    <cellStyle name="Normal 19 3 3 3 3" xfId="51299"/>
    <cellStyle name="Normal 19 3 3 4" xfId="51300"/>
    <cellStyle name="Normal 19 3 3 4 2" xfId="51301"/>
    <cellStyle name="Normal 19 3 3 4 3" xfId="51302"/>
    <cellStyle name="Normal 19 3 3 5" xfId="51303"/>
    <cellStyle name="Normal 19 3 3 6" xfId="51304"/>
    <cellStyle name="Normal 19 3 4" xfId="51305"/>
    <cellStyle name="Normal 19 3 4 2" xfId="51306"/>
    <cellStyle name="Normal 19 3 4 2 2" xfId="51307"/>
    <cellStyle name="Normal 19 3 4 2 3" xfId="51308"/>
    <cellStyle name="Normal 19 3 4 3" xfId="51309"/>
    <cellStyle name="Normal 19 3 4 4" xfId="51310"/>
    <cellStyle name="Normal 19 3 5" xfId="51311"/>
    <cellStyle name="Normal 19 3 5 2" xfId="51312"/>
    <cellStyle name="Normal 19 3 5 3" xfId="51313"/>
    <cellStyle name="Normal 19 3 6" xfId="51314"/>
    <cellStyle name="Normal 19 3 6 2" xfId="51315"/>
    <cellStyle name="Normal 19 3 6 3" xfId="51316"/>
    <cellStyle name="Normal 19 3 7" xfId="51317"/>
    <cellStyle name="Normal 19 3 8" xfId="51318"/>
    <cellStyle name="Normal 19 4" xfId="51319"/>
    <cellStyle name="Normal 19 4 2" xfId="51320"/>
    <cellStyle name="Normal 19 4 2 2" xfId="51321"/>
    <cellStyle name="Normal 19 4 2 2 2" xfId="51322"/>
    <cellStyle name="Normal 19 4 2 2 3" xfId="51323"/>
    <cellStyle name="Normal 19 4 2 3" xfId="51324"/>
    <cellStyle name="Normal 19 4 2 4" xfId="51325"/>
    <cellStyle name="Normal 19 4 3" xfId="51326"/>
    <cellStyle name="Normal 19 4 3 2" xfId="51327"/>
    <cellStyle name="Normal 19 4 3 3" xfId="51328"/>
    <cellStyle name="Normal 19 4 4" xfId="51329"/>
    <cellStyle name="Normal 19 4 4 2" xfId="51330"/>
    <cellStyle name="Normal 19 4 4 3" xfId="51331"/>
    <cellStyle name="Normal 19 4 5" xfId="51332"/>
    <cellStyle name="Normal 19 4 6" xfId="51333"/>
    <cellStyle name="Normal 19 5" xfId="51334"/>
    <cellStyle name="Normal 19 5 2" xfId="51335"/>
    <cellStyle name="Normal 19 5 2 2" xfId="51336"/>
    <cellStyle name="Normal 19 5 2 2 2" xfId="51337"/>
    <cellStyle name="Normal 19 5 2 2 3" xfId="51338"/>
    <cellStyle name="Normal 19 5 2 3" xfId="51339"/>
    <cellStyle name="Normal 19 5 2 4" xfId="51340"/>
    <cellStyle name="Normal 19 5 3" xfId="51341"/>
    <cellStyle name="Normal 19 5 3 2" xfId="51342"/>
    <cellStyle name="Normal 19 5 3 3" xfId="51343"/>
    <cellStyle name="Normal 19 5 4" xfId="51344"/>
    <cellStyle name="Normal 19 5 4 2" xfId="51345"/>
    <cellStyle name="Normal 19 5 4 3" xfId="51346"/>
    <cellStyle name="Normal 19 5 5" xfId="51347"/>
    <cellStyle name="Normal 19 5 6" xfId="51348"/>
    <cellStyle name="Normal 19 6" xfId="51349"/>
    <cellStyle name="Normal 19 6 2" xfId="51350"/>
    <cellStyle name="Normal 19 6 2 2" xfId="51351"/>
    <cellStyle name="Normal 19 6 2 3" xfId="51352"/>
    <cellStyle name="Normal 19 6 3" xfId="51353"/>
    <cellStyle name="Normal 19 6 4" xfId="51354"/>
    <cellStyle name="Normal 19 7" xfId="51355"/>
    <cellStyle name="Normal 19 7 2" xfId="51356"/>
    <cellStyle name="Normal 19 7 2 2" xfId="51357"/>
    <cellStyle name="Normal 19 7 2 3" xfId="51358"/>
    <cellStyle name="Normal 19 7 3" xfId="51359"/>
    <cellStyle name="Normal 19 7 4" xfId="51360"/>
    <cellStyle name="Normal 19 8" xfId="51361"/>
    <cellStyle name="Normal 19 8 2" xfId="51362"/>
    <cellStyle name="Normal 19 8 3" xfId="51363"/>
    <cellStyle name="Normal 19 9" xfId="51364"/>
    <cellStyle name="Normal 19 9 2" xfId="51365"/>
    <cellStyle name="Normal 19 9 3" xfId="51366"/>
    <cellStyle name="Normal 190" xfId="51367"/>
    <cellStyle name="Normal 190 2" xfId="51368"/>
    <cellStyle name="Normal 190 2 2" xfId="51369"/>
    <cellStyle name="Normal 190 2 2 2" xfId="51370"/>
    <cellStyle name="Normal 190 2 2 2 2" xfId="51371"/>
    <cellStyle name="Normal 190 2 2 2 3" xfId="51372"/>
    <cellStyle name="Normal 190 2 2 3" xfId="51373"/>
    <cellStyle name="Normal 190 2 2 4" xfId="51374"/>
    <cellStyle name="Normal 190 2 3" xfId="51375"/>
    <cellStyle name="Normal 190 2 3 2" xfId="51376"/>
    <cellStyle name="Normal 190 2 3 3" xfId="51377"/>
    <cellStyle name="Normal 190 2 4" xfId="51378"/>
    <cellStyle name="Normal 190 2 4 2" xfId="51379"/>
    <cellStyle name="Normal 190 2 4 3" xfId="51380"/>
    <cellStyle name="Normal 190 2 5" xfId="51381"/>
    <cellStyle name="Normal 190 2 6" xfId="51382"/>
    <cellStyle name="Normal 190 3" xfId="51383"/>
    <cellStyle name="Normal 190 3 2" xfId="51384"/>
    <cellStyle name="Normal 190 3 2 2" xfId="51385"/>
    <cellStyle name="Normal 190 3 2 2 2" xfId="51386"/>
    <cellStyle name="Normal 190 3 2 2 3" xfId="51387"/>
    <cellStyle name="Normal 190 3 2 3" xfId="51388"/>
    <cellStyle name="Normal 190 3 2 4" xfId="51389"/>
    <cellStyle name="Normal 190 3 3" xfId="51390"/>
    <cellStyle name="Normal 190 3 3 2" xfId="51391"/>
    <cellStyle name="Normal 190 3 3 3" xfId="51392"/>
    <cellStyle name="Normal 190 3 4" xfId="51393"/>
    <cellStyle name="Normal 190 3 4 2" xfId="51394"/>
    <cellStyle name="Normal 190 3 4 3" xfId="51395"/>
    <cellStyle name="Normal 190 3 5" xfId="51396"/>
    <cellStyle name="Normal 190 3 6" xfId="51397"/>
    <cellStyle name="Normal 190 4" xfId="51398"/>
    <cellStyle name="Normal 190 4 2" xfId="51399"/>
    <cellStyle name="Normal 190 4 2 2" xfId="51400"/>
    <cellStyle name="Normal 190 4 2 3" xfId="51401"/>
    <cellStyle name="Normal 190 4 3" xfId="51402"/>
    <cellStyle name="Normal 190 4 4" xfId="51403"/>
    <cellStyle name="Normal 190 5" xfId="51404"/>
    <cellStyle name="Normal 190 5 2" xfId="51405"/>
    <cellStyle name="Normal 190 5 3" xfId="51406"/>
    <cellStyle name="Normal 190 6" xfId="51407"/>
    <cellStyle name="Normal 190 6 2" xfId="51408"/>
    <cellStyle name="Normal 190 6 3" xfId="51409"/>
    <cellStyle name="Normal 190 7" xfId="51410"/>
    <cellStyle name="Normal 190 8" xfId="51411"/>
    <cellStyle name="Normal 191" xfId="51412"/>
    <cellStyle name="Normal 191 2" xfId="51413"/>
    <cellStyle name="Normal 191 2 2" xfId="51414"/>
    <cellStyle name="Normal 191 2 2 2" xfId="51415"/>
    <cellStyle name="Normal 191 2 2 2 2" xfId="51416"/>
    <cellStyle name="Normal 191 2 2 2 3" xfId="51417"/>
    <cellStyle name="Normal 191 2 2 3" xfId="51418"/>
    <cellStyle name="Normal 191 2 2 4" xfId="51419"/>
    <cellStyle name="Normal 191 2 3" xfId="51420"/>
    <cellStyle name="Normal 191 2 3 2" xfId="51421"/>
    <cellStyle name="Normal 191 2 3 3" xfId="51422"/>
    <cellStyle name="Normal 191 2 4" xfId="51423"/>
    <cellStyle name="Normal 191 2 4 2" xfId="51424"/>
    <cellStyle name="Normal 191 2 4 3" xfId="51425"/>
    <cellStyle name="Normal 191 2 5" xfId="51426"/>
    <cellStyle name="Normal 191 2 6" xfId="51427"/>
    <cellStyle name="Normal 191 3" xfId="51428"/>
    <cellStyle name="Normal 191 3 2" xfId="51429"/>
    <cellStyle name="Normal 191 3 2 2" xfId="51430"/>
    <cellStyle name="Normal 191 3 2 2 2" xfId="51431"/>
    <cellStyle name="Normal 191 3 2 2 3" xfId="51432"/>
    <cellStyle name="Normal 191 3 2 3" xfId="51433"/>
    <cellStyle name="Normal 191 3 2 4" xfId="51434"/>
    <cellStyle name="Normal 191 3 3" xfId="51435"/>
    <cellStyle name="Normal 191 3 3 2" xfId="51436"/>
    <cellStyle name="Normal 191 3 3 3" xfId="51437"/>
    <cellStyle name="Normal 191 3 4" xfId="51438"/>
    <cellStyle name="Normal 191 3 4 2" xfId="51439"/>
    <cellStyle name="Normal 191 3 4 3" xfId="51440"/>
    <cellStyle name="Normal 191 3 5" xfId="51441"/>
    <cellStyle name="Normal 191 3 6" xfId="51442"/>
    <cellStyle name="Normal 191 4" xfId="51443"/>
    <cellStyle name="Normal 191 4 2" xfId="51444"/>
    <cellStyle name="Normal 191 4 2 2" xfId="51445"/>
    <cellStyle name="Normal 191 4 2 3" xfId="51446"/>
    <cellStyle name="Normal 191 4 3" xfId="51447"/>
    <cellStyle name="Normal 191 4 4" xfId="51448"/>
    <cellStyle name="Normal 191 5" xfId="51449"/>
    <cellStyle name="Normal 191 5 2" xfId="51450"/>
    <cellStyle name="Normal 191 5 3" xfId="51451"/>
    <cellStyle name="Normal 191 6" xfId="51452"/>
    <cellStyle name="Normal 191 6 2" xfId="51453"/>
    <cellStyle name="Normal 191 6 3" xfId="51454"/>
    <cellStyle name="Normal 191 7" xfId="51455"/>
    <cellStyle name="Normal 191 8" xfId="51456"/>
    <cellStyle name="Normal 192" xfId="51457"/>
    <cellStyle name="Normal 192 2" xfId="51458"/>
    <cellStyle name="Normal 192 2 2" xfId="51459"/>
    <cellStyle name="Normal 192 2 2 2" xfId="51460"/>
    <cellStyle name="Normal 192 2 2 2 2" xfId="51461"/>
    <cellStyle name="Normal 192 2 2 2 3" xfId="51462"/>
    <cellStyle name="Normal 192 2 2 3" xfId="51463"/>
    <cellStyle name="Normal 192 2 2 4" xfId="51464"/>
    <cellStyle name="Normal 192 2 3" xfId="51465"/>
    <cellStyle name="Normal 192 2 3 2" xfId="51466"/>
    <cellStyle name="Normal 192 2 3 3" xfId="51467"/>
    <cellStyle name="Normal 192 2 4" xfId="51468"/>
    <cellStyle name="Normal 192 2 4 2" xfId="51469"/>
    <cellStyle name="Normal 192 2 4 3" xfId="51470"/>
    <cellStyle name="Normal 192 2 5" xfId="51471"/>
    <cellStyle name="Normal 192 2 6" xfId="51472"/>
    <cellStyle name="Normal 192 3" xfId="51473"/>
    <cellStyle name="Normal 192 3 2" xfId="51474"/>
    <cellStyle name="Normal 192 3 2 2" xfId="51475"/>
    <cellStyle name="Normal 192 3 2 2 2" xfId="51476"/>
    <cellStyle name="Normal 192 3 2 2 3" xfId="51477"/>
    <cellStyle name="Normal 192 3 2 3" xfId="51478"/>
    <cellStyle name="Normal 192 3 2 4" xfId="51479"/>
    <cellStyle name="Normal 192 3 3" xfId="51480"/>
    <cellStyle name="Normal 192 3 3 2" xfId="51481"/>
    <cellStyle name="Normal 192 3 3 3" xfId="51482"/>
    <cellStyle name="Normal 192 3 4" xfId="51483"/>
    <cellStyle name="Normal 192 3 4 2" xfId="51484"/>
    <cellStyle name="Normal 192 3 4 3" xfId="51485"/>
    <cellStyle name="Normal 192 3 5" xfId="51486"/>
    <cellStyle name="Normal 192 3 6" xfId="51487"/>
    <cellStyle name="Normal 192 4" xfId="51488"/>
    <cellStyle name="Normal 192 4 2" xfId="51489"/>
    <cellStyle name="Normal 192 4 2 2" xfId="51490"/>
    <cellStyle name="Normal 192 4 2 3" xfId="51491"/>
    <cellStyle name="Normal 192 4 3" xfId="51492"/>
    <cellStyle name="Normal 192 4 4" xfId="51493"/>
    <cellStyle name="Normal 192 5" xfId="51494"/>
    <cellStyle name="Normal 192 5 2" xfId="51495"/>
    <cellStyle name="Normal 192 5 3" xfId="51496"/>
    <cellStyle name="Normal 192 6" xfId="51497"/>
    <cellStyle name="Normal 192 6 2" xfId="51498"/>
    <cellStyle name="Normal 192 6 3" xfId="51499"/>
    <cellStyle name="Normal 192 7" xfId="51500"/>
    <cellStyle name="Normal 192 8" xfId="51501"/>
    <cellStyle name="Normal 193" xfId="51502"/>
    <cellStyle name="Normal 193 2" xfId="51503"/>
    <cellStyle name="Normal 193 2 2" xfId="51504"/>
    <cellStyle name="Normal 193 2 2 2" xfId="51505"/>
    <cellStyle name="Normal 193 2 2 2 2" xfId="51506"/>
    <cellStyle name="Normal 193 2 2 2 3" xfId="51507"/>
    <cellStyle name="Normal 193 2 2 3" xfId="51508"/>
    <cellStyle name="Normal 193 2 2 4" xfId="51509"/>
    <cellStyle name="Normal 193 2 3" xfId="51510"/>
    <cellStyle name="Normal 193 2 3 2" xfId="51511"/>
    <cellStyle name="Normal 193 2 3 3" xfId="51512"/>
    <cellStyle name="Normal 193 2 4" xfId="51513"/>
    <cellStyle name="Normal 193 2 4 2" xfId="51514"/>
    <cellStyle name="Normal 193 2 4 3" xfId="51515"/>
    <cellStyle name="Normal 193 2 5" xfId="51516"/>
    <cellStyle name="Normal 193 2 6" xfId="51517"/>
    <cellStyle name="Normal 193 3" xfId="51518"/>
    <cellStyle name="Normal 193 3 2" xfId="51519"/>
    <cellStyle name="Normal 193 3 2 2" xfId="51520"/>
    <cellStyle name="Normal 193 3 2 2 2" xfId="51521"/>
    <cellStyle name="Normal 193 3 2 2 3" xfId="51522"/>
    <cellStyle name="Normal 193 3 2 3" xfId="51523"/>
    <cellStyle name="Normal 193 3 2 4" xfId="51524"/>
    <cellStyle name="Normal 193 3 3" xfId="51525"/>
    <cellStyle name="Normal 193 3 3 2" xfId="51526"/>
    <cellStyle name="Normal 193 3 3 3" xfId="51527"/>
    <cellStyle name="Normal 193 3 4" xfId="51528"/>
    <cellStyle name="Normal 193 3 4 2" xfId="51529"/>
    <cellStyle name="Normal 193 3 4 3" xfId="51530"/>
    <cellStyle name="Normal 193 3 5" xfId="51531"/>
    <cellStyle name="Normal 193 3 6" xfId="51532"/>
    <cellStyle name="Normal 193 4" xfId="51533"/>
    <cellStyle name="Normal 193 4 2" xfId="51534"/>
    <cellStyle name="Normal 193 4 2 2" xfId="51535"/>
    <cellStyle name="Normal 193 4 2 3" xfId="51536"/>
    <cellStyle name="Normal 193 4 3" xfId="51537"/>
    <cellStyle name="Normal 193 4 4" xfId="51538"/>
    <cellStyle name="Normal 193 5" xfId="51539"/>
    <cellStyle name="Normal 193 5 2" xfId="51540"/>
    <cellStyle name="Normal 193 5 3" xfId="51541"/>
    <cellStyle name="Normal 193 6" xfId="51542"/>
    <cellStyle name="Normal 193 6 2" xfId="51543"/>
    <cellStyle name="Normal 193 6 3" xfId="51544"/>
    <cellStyle name="Normal 193 7" xfId="51545"/>
    <cellStyle name="Normal 193 8" xfId="51546"/>
    <cellStyle name="Normal 194" xfId="51547"/>
    <cellStyle name="Normal 194 2" xfId="51548"/>
    <cellStyle name="Normal 194 2 2" xfId="51549"/>
    <cellStyle name="Normal 194 2 2 2" xfId="51550"/>
    <cellStyle name="Normal 194 2 2 2 2" xfId="51551"/>
    <cellStyle name="Normal 194 2 2 2 3" xfId="51552"/>
    <cellStyle name="Normal 194 2 2 3" xfId="51553"/>
    <cellStyle name="Normal 194 2 2 4" xfId="51554"/>
    <cellStyle name="Normal 194 2 3" xfId="51555"/>
    <cellStyle name="Normal 194 2 3 2" xfId="51556"/>
    <cellStyle name="Normal 194 2 3 3" xfId="51557"/>
    <cellStyle name="Normal 194 2 4" xfId="51558"/>
    <cellStyle name="Normal 194 2 4 2" xfId="51559"/>
    <cellStyle name="Normal 194 2 4 3" xfId="51560"/>
    <cellStyle name="Normal 194 2 5" xfId="51561"/>
    <cellStyle name="Normal 194 2 6" xfId="51562"/>
    <cellStyle name="Normal 194 3" xfId="51563"/>
    <cellStyle name="Normal 194 3 2" xfId="51564"/>
    <cellStyle name="Normal 194 3 2 2" xfId="51565"/>
    <cellStyle name="Normal 194 3 2 2 2" xfId="51566"/>
    <cellStyle name="Normal 194 3 2 2 3" xfId="51567"/>
    <cellStyle name="Normal 194 3 2 3" xfId="51568"/>
    <cellStyle name="Normal 194 3 2 4" xfId="51569"/>
    <cellStyle name="Normal 194 3 3" xfId="51570"/>
    <cellStyle name="Normal 194 3 3 2" xfId="51571"/>
    <cellStyle name="Normal 194 3 3 3" xfId="51572"/>
    <cellStyle name="Normal 194 3 4" xfId="51573"/>
    <cellStyle name="Normal 194 3 4 2" xfId="51574"/>
    <cellStyle name="Normal 194 3 4 3" xfId="51575"/>
    <cellStyle name="Normal 194 3 5" xfId="51576"/>
    <cellStyle name="Normal 194 3 6" xfId="51577"/>
    <cellStyle name="Normal 194 4" xfId="51578"/>
    <cellStyle name="Normal 194 4 2" xfId="51579"/>
    <cellStyle name="Normal 194 4 2 2" xfId="51580"/>
    <cellStyle name="Normal 194 4 2 3" xfId="51581"/>
    <cellStyle name="Normal 194 4 3" xfId="51582"/>
    <cellStyle name="Normal 194 4 4" xfId="51583"/>
    <cellStyle name="Normal 194 5" xfId="51584"/>
    <cellStyle name="Normal 194 5 2" xfId="51585"/>
    <cellStyle name="Normal 194 5 3" xfId="51586"/>
    <cellStyle name="Normal 194 6" xfId="51587"/>
    <cellStyle name="Normal 194 6 2" xfId="51588"/>
    <cellStyle name="Normal 194 6 3" xfId="51589"/>
    <cellStyle name="Normal 194 7" xfId="51590"/>
    <cellStyle name="Normal 194 8" xfId="51591"/>
    <cellStyle name="Normal 195" xfId="51592"/>
    <cellStyle name="Normal 195 2" xfId="51593"/>
    <cellStyle name="Normal 195 2 2" xfId="51594"/>
    <cellStyle name="Normal 195 2 2 2" xfId="51595"/>
    <cellStyle name="Normal 195 2 2 2 2" xfId="51596"/>
    <cellStyle name="Normal 195 2 2 2 3" xfId="51597"/>
    <cellStyle name="Normal 195 2 2 3" xfId="51598"/>
    <cellStyle name="Normal 195 2 2 4" xfId="51599"/>
    <cellStyle name="Normal 195 2 3" xfId="51600"/>
    <cellStyle name="Normal 195 2 3 2" xfId="51601"/>
    <cellStyle name="Normal 195 2 3 3" xfId="51602"/>
    <cellStyle name="Normal 195 2 4" xfId="51603"/>
    <cellStyle name="Normal 195 2 4 2" xfId="51604"/>
    <cellStyle name="Normal 195 2 4 3" xfId="51605"/>
    <cellStyle name="Normal 195 2 5" xfId="51606"/>
    <cellStyle name="Normal 195 2 6" xfId="51607"/>
    <cellStyle name="Normal 195 3" xfId="51608"/>
    <cellStyle name="Normal 195 3 2" xfId="51609"/>
    <cellStyle name="Normal 195 3 2 2" xfId="51610"/>
    <cellStyle name="Normal 195 3 2 2 2" xfId="51611"/>
    <cellStyle name="Normal 195 3 2 2 3" xfId="51612"/>
    <cellStyle name="Normal 195 3 2 3" xfId="51613"/>
    <cellStyle name="Normal 195 3 2 4" xfId="51614"/>
    <cellStyle name="Normal 195 3 3" xfId="51615"/>
    <cellStyle name="Normal 195 3 3 2" xfId="51616"/>
    <cellStyle name="Normal 195 3 3 3" xfId="51617"/>
    <cellStyle name="Normal 195 3 4" xfId="51618"/>
    <cellStyle name="Normal 195 3 4 2" xfId="51619"/>
    <cellStyle name="Normal 195 3 4 3" xfId="51620"/>
    <cellStyle name="Normal 195 3 5" xfId="51621"/>
    <cellStyle name="Normal 195 3 6" xfId="51622"/>
    <cellStyle name="Normal 195 4" xfId="51623"/>
    <cellStyle name="Normal 195 4 2" xfId="51624"/>
    <cellStyle name="Normal 195 4 2 2" xfId="51625"/>
    <cellStyle name="Normal 195 4 2 3" xfId="51626"/>
    <cellStyle name="Normal 195 4 3" xfId="51627"/>
    <cellStyle name="Normal 195 4 4" xfId="51628"/>
    <cellStyle name="Normal 195 5" xfId="51629"/>
    <cellStyle name="Normal 195 5 2" xfId="51630"/>
    <cellStyle name="Normal 195 5 3" xfId="51631"/>
    <cellStyle name="Normal 195 6" xfId="51632"/>
    <cellStyle name="Normal 195 6 2" xfId="51633"/>
    <cellStyle name="Normal 195 6 3" xfId="51634"/>
    <cellStyle name="Normal 195 7" xfId="51635"/>
    <cellStyle name="Normal 195 8" xfId="51636"/>
    <cellStyle name="Normal 196" xfId="51637"/>
    <cellStyle name="Normal 196 2" xfId="51638"/>
    <cellStyle name="Normal 196 3" xfId="51639"/>
    <cellStyle name="Normal 197" xfId="51640"/>
    <cellStyle name="Normal 197 2" xfId="51641"/>
    <cellStyle name="Normal 197 2 2" xfId="51642"/>
    <cellStyle name="Normal 197 2 2 2" xfId="51643"/>
    <cellStyle name="Normal 197 2 2 2 2" xfId="51644"/>
    <cellStyle name="Normal 197 2 2 2 3" xfId="51645"/>
    <cellStyle name="Normal 197 2 2 3" xfId="51646"/>
    <cellStyle name="Normal 197 2 2 4" xfId="51647"/>
    <cellStyle name="Normal 197 2 3" xfId="51648"/>
    <cellStyle name="Normal 197 2 3 2" xfId="51649"/>
    <cellStyle name="Normal 197 2 3 3" xfId="51650"/>
    <cellStyle name="Normal 197 2 4" xfId="51651"/>
    <cellStyle name="Normal 197 2 4 2" xfId="51652"/>
    <cellStyle name="Normal 197 2 4 3" xfId="51653"/>
    <cellStyle name="Normal 197 2 5" xfId="51654"/>
    <cellStyle name="Normal 197 2 6" xfId="51655"/>
    <cellStyle name="Normal 197 3" xfId="51656"/>
    <cellStyle name="Normal 197 3 2" xfId="51657"/>
    <cellStyle name="Normal 197 3 2 2" xfId="51658"/>
    <cellStyle name="Normal 197 3 2 2 2" xfId="51659"/>
    <cellStyle name="Normal 197 3 2 2 3" xfId="51660"/>
    <cellStyle name="Normal 197 3 2 3" xfId="51661"/>
    <cellStyle name="Normal 197 3 2 4" xfId="51662"/>
    <cellStyle name="Normal 197 3 3" xfId="51663"/>
    <cellStyle name="Normal 197 3 3 2" xfId="51664"/>
    <cellStyle name="Normal 197 3 3 3" xfId="51665"/>
    <cellStyle name="Normal 197 3 4" xfId="51666"/>
    <cellStyle name="Normal 197 3 4 2" xfId="51667"/>
    <cellStyle name="Normal 197 3 4 3" xfId="51668"/>
    <cellStyle name="Normal 197 3 5" xfId="51669"/>
    <cellStyle name="Normal 197 3 6" xfId="51670"/>
    <cellStyle name="Normal 197 4" xfId="51671"/>
    <cellStyle name="Normal 197 4 2" xfId="51672"/>
    <cellStyle name="Normal 197 4 2 2" xfId="51673"/>
    <cellStyle name="Normal 197 4 2 3" xfId="51674"/>
    <cellStyle name="Normal 197 4 3" xfId="51675"/>
    <cellStyle name="Normal 197 4 4" xfId="51676"/>
    <cellStyle name="Normal 197 5" xfId="51677"/>
    <cellStyle name="Normal 197 5 2" xfId="51678"/>
    <cellStyle name="Normal 197 5 3" xfId="51679"/>
    <cellStyle name="Normal 197 6" xfId="51680"/>
    <cellStyle name="Normal 197 6 2" xfId="51681"/>
    <cellStyle name="Normal 197 6 3" xfId="51682"/>
    <cellStyle name="Normal 197 7" xfId="51683"/>
    <cellStyle name="Normal 197 8" xfId="51684"/>
    <cellStyle name="Normal 198" xfId="51685"/>
    <cellStyle name="Normal 198 2" xfId="51686"/>
    <cellStyle name="Normal 198 2 2" xfId="51687"/>
    <cellStyle name="Normal 198 2 2 2" xfId="51688"/>
    <cellStyle name="Normal 198 2 2 2 2" xfId="51689"/>
    <cellStyle name="Normal 198 2 2 2 3" xfId="51690"/>
    <cellStyle name="Normal 198 2 2 3" xfId="51691"/>
    <cellStyle name="Normal 198 2 2 4" xfId="51692"/>
    <cellStyle name="Normal 198 2 3" xfId="51693"/>
    <cellStyle name="Normal 198 2 3 2" xfId="51694"/>
    <cellStyle name="Normal 198 2 3 3" xfId="51695"/>
    <cellStyle name="Normal 198 2 4" xfId="51696"/>
    <cellStyle name="Normal 198 2 4 2" xfId="51697"/>
    <cellStyle name="Normal 198 2 4 3" xfId="51698"/>
    <cellStyle name="Normal 198 2 5" xfId="51699"/>
    <cellStyle name="Normal 198 2 6" xfId="51700"/>
    <cellStyle name="Normal 198 3" xfId="51701"/>
    <cellStyle name="Normal 198 3 2" xfId="51702"/>
    <cellStyle name="Normal 198 3 2 2" xfId="51703"/>
    <cellStyle name="Normal 198 3 2 2 2" xfId="51704"/>
    <cellStyle name="Normal 198 3 2 2 3" xfId="51705"/>
    <cellStyle name="Normal 198 3 2 3" xfId="51706"/>
    <cellStyle name="Normal 198 3 2 4" xfId="51707"/>
    <cellStyle name="Normal 198 3 3" xfId="51708"/>
    <cellStyle name="Normal 198 3 3 2" xfId="51709"/>
    <cellStyle name="Normal 198 3 3 3" xfId="51710"/>
    <cellStyle name="Normal 198 3 4" xfId="51711"/>
    <cellStyle name="Normal 198 3 4 2" xfId="51712"/>
    <cellStyle name="Normal 198 3 4 3" xfId="51713"/>
    <cellStyle name="Normal 198 3 5" xfId="51714"/>
    <cellStyle name="Normal 198 3 6" xfId="51715"/>
    <cellStyle name="Normal 198 4" xfId="51716"/>
    <cellStyle name="Normal 198 4 2" xfId="51717"/>
    <cellStyle name="Normal 198 4 2 2" xfId="51718"/>
    <cellStyle name="Normal 198 4 2 3" xfId="51719"/>
    <cellStyle name="Normal 198 4 3" xfId="51720"/>
    <cellStyle name="Normal 198 4 4" xfId="51721"/>
    <cellStyle name="Normal 198 5" xfId="51722"/>
    <cellStyle name="Normal 198 5 2" xfId="51723"/>
    <cellStyle name="Normal 198 5 3" xfId="51724"/>
    <cellStyle name="Normal 198 6" xfId="51725"/>
    <cellStyle name="Normal 198 6 2" xfId="51726"/>
    <cellStyle name="Normal 198 6 3" xfId="51727"/>
    <cellStyle name="Normal 198 7" xfId="51728"/>
    <cellStyle name="Normal 198 8" xfId="51729"/>
    <cellStyle name="Normal 199" xfId="51730"/>
    <cellStyle name="Normal 199 2" xfId="51731"/>
    <cellStyle name="Normal 199 2 2" xfId="51732"/>
    <cellStyle name="Normal 199 2 2 2" xfId="51733"/>
    <cellStyle name="Normal 199 2 2 2 2" xfId="51734"/>
    <cellStyle name="Normal 199 2 2 2 3" xfId="51735"/>
    <cellStyle name="Normal 199 2 2 3" xfId="51736"/>
    <cellStyle name="Normal 199 2 2 4" xfId="51737"/>
    <cellStyle name="Normal 199 2 3" xfId="51738"/>
    <cellStyle name="Normal 199 2 3 2" xfId="51739"/>
    <cellStyle name="Normal 199 2 3 3" xfId="51740"/>
    <cellStyle name="Normal 199 2 4" xfId="51741"/>
    <cellStyle name="Normal 199 2 4 2" xfId="51742"/>
    <cellStyle name="Normal 199 2 4 3" xfId="51743"/>
    <cellStyle name="Normal 199 2 5" xfId="51744"/>
    <cellStyle name="Normal 199 2 6" xfId="51745"/>
    <cellStyle name="Normal 199 3" xfId="51746"/>
    <cellStyle name="Normal 199 3 2" xfId="51747"/>
    <cellStyle name="Normal 199 3 2 2" xfId="51748"/>
    <cellStyle name="Normal 199 3 2 2 2" xfId="51749"/>
    <cellStyle name="Normal 199 3 2 2 3" xfId="51750"/>
    <cellStyle name="Normal 199 3 2 3" xfId="51751"/>
    <cellStyle name="Normal 199 3 2 4" xfId="51752"/>
    <cellStyle name="Normal 199 3 3" xfId="51753"/>
    <cellStyle name="Normal 199 3 3 2" xfId="51754"/>
    <cellStyle name="Normal 199 3 3 3" xfId="51755"/>
    <cellStyle name="Normal 199 3 4" xfId="51756"/>
    <cellStyle name="Normal 199 3 4 2" xfId="51757"/>
    <cellStyle name="Normal 199 3 4 3" xfId="51758"/>
    <cellStyle name="Normal 199 3 5" xfId="51759"/>
    <cellStyle name="Normal 199 3 6" xfId="51760"/>
    <cellStyle name="Normal 199 4" xfId="51761"/>
    <cellStyle name="Normal 199 4 2" xfId="51762"/>
    <cellStyle name="Normal 199 4 2 2" xfId="51763"/>
    <cellStyle name="Normal 199 4 2 3" xfId="51764"/>
    <cellStyle name="Normal 199 4 3" xfId="51765"/>
    <cellStyle name="Normal 199 4 4" xfId="51766"/>
    <cellStyle name="Normal 199 5" xfId="51767"/>
    <cellStyle name="Normal 199 5 2" xfId="51768"/>
    <cellStyle name="Normal 199 5 3" xfId="51769"/>
    <cellStyle name="Normal 199 6" xfId="51770"/>
    <cellStyle name="Normal 199 6 2" xfId="51771"/>
    <cellStyle name="Normal 199 6 3" xfId="51772"/>
    <cellStyle name="Normal 199 7" xfId="51773"/>
    <cellStyle name="Normal 199 8" xfId="51774"/>
    <cellStyle name="Normal 2" xfId="51775"/>
    <cellStyle name="Normal 2 10" xfId="51776"/>
    <cellStyle name="Normal 2 10 2" xfId="51777"/>
    <cellStyle name="Normal 2 11" xfId="51778"/>
    <cellStyle name="Normal 2 11 2" xfId="51779"/>
    <cellStyle name="Normal 2 12" xfId="51780"/>
    <cellStyle name="Normal 2 12 2" xfId="51781"/>
    <cellStyle name="Normal 2 13" xfId="51782"/>
    <cellStyle name="Normal 2 13 2" xfId="51783"/>
    <cellStyle name="Normal 2 14" xfId="51784"/>
    <cellStyle name="Normal 2 14 2" xfId="51785"/>
    <cellStyle name="Normal 2 15" xfId="51786"/>
    <cellStyle name="Normal 2 15 2" xfId="51787"/>
    <cellStyle name="Normal 2 16" xfId="51788"/>
    <cellStyle name="Normal 2 16 2" xfId="51789"/>
    <cellStyle name="Normal 2 17" xfId="51790"/>
    <cellStyle name="Normal 2 17 2" xfId="51791"/>
    <cellStyle name="Normal 2 18" xfId="51792"/>
    <cellStyle name="Normal 2 19" xfId="51793"/>
    <cellStyle name="Normal 2 2" xfId="51794"/>
    <cellStyle name="Normal 2 2 2" xfId="51795"/>
    <cellStyle name="Normal 2 2 2 10" xfId="51796"/>
    <cellStyle name="Normal 2 2 2 11" xfId="51797"/>
    <cellStyle name="Normal 2 2 2 12" xfId="51798"/>
    <cellStyle name="Normal 2 2 2 13" xfId="51799"/>
    <cellStyle name="Normal 2 2 2 2" xfId="51800"/>
    <cellStyle name="Normal 2 2 2 2 2" xfId="51801"/>
    <cellStyle name="Normal 2 2 2 2 2 10" xfId="51802"/>
    <cellStyle name="Normal 2 2 2 2 2 11" xfId="51803"/>
    <cellStyle name="Normal 2 2 2 2 2 2" xfId="51804"/>
    <cellStyle name="Normal 2 2 2 2 2 2 2" xfId="51805"/>
    <cellStyle name="Normal 2 2 2 2 2 2 2 10" xfId="51806"/>
    <cellStyle name="Normal 2 2 2 2 2 2 2 2" xfId="51807"/>
    <cellStyle name="Normal 2 2 2 2 2 2 2 2 2" xfId="51808"/>
    <cellStyle name="Normal 2 2 2 2 2 2 2 2 2 2" xfId="51809"/>
    <cellStyle name="Normal 2 2 2 2 2 2 2 2 2 2 2" xfId="51810"/>
    <cellStyle name="Normal 2 2 2 2 2 2 2 2 2 2 2 2" xfId="51811"/>
    <cellStyle name="Normal 2 2 2 2 2 2 2 2 2 2 2 2 2" xfId="51812"/>
    <cellStyle name="Normal 2 2 2 2 2 2 2 2 2 2 2 2 3" xfId="51813"/>
    <cellStyle name="Normal 2 2 2 2 2 2 2 2 2 2 2 2 4" xfId="51814"/>
    <cellStyle name="Normal 2 2 2 2 2 2 2 2 2 2 2 2 5" xfId="51815"/>
    <cellStyle name="Normal 2 2 2 2 2 2 2 2 2 2 2 3" xfId="51816"/>
    <cellStyle name="Normal 2 2 2 2 2 2 2 2 2 2 2 4" xfId="51817"/>
    <cellStyle name="Normal 2 2 2 2 2 2 2 2 2 2 2 5" xfId="51818"/>
    <cellStyle name="Normal 2 2 2 2 2 2 2 2 2 2 2 6" xfId="51819"/>
    <cellStyle name="Normal 2 2 2 2 2 2 2 2 2 2 2 7" xfId="51820"/>
    <cellStyle name="Normal 2 2 2 2 2 2 2 2 2 2 2 8" xfId="51821"/>
    <cellStyle name="Normal 2 2 2 2 2 2 2 2 2 2 3" xfId="51822"/>
    <cellStyle name="Normal 2 2 2 2 2 2 2 2 2 3" xfId="51823"/>
    <cellStyle name="Normal 2 2 2 2 2 2 2 2 2 3 2" xfId="51824"/>
    <cellStyle name="Normal 2 2 2 2 2 2 2 2 2 3 3" xfId="51825"/>
    <cellStyle name="Normal 2 2 2 2 2 2 2 2 2 3 4" xfId="51826"/>
    <cellStyle name="Normal 2 2 2 2 2 2 2 2 2 3 5" xfId="51827"/>
    <cellStyle name="Normal 2 2 2 2 2 2 2 2 2 4" xfId="51828"/>
    <cellStyle name="Normal 2 2 2 2 2 2 2 2 2 5" xfId="51829"/>
    <cellStyle name="Normal 2 2 2 2 2 2 2 2 2 6" xfId="51830"/>
    <cellStyle name="Normal 2 2 2 2 2 2 2 2 2 7" xfId="51831"/>
    <cellStyle name="Normal 2 2 2 2 2 2 2 2 2 8" xfId="51832"/>
    <cellStyle name="Normal 2 2 2 2 2 2 2 2 2 9" xfId="51833"/>
    <cellStyle name="Normal 2 2 2 2 2 2 2 2 3" xfId="51834"/>
    <cellStyle name="Normal 2 2 2 2 2 2 2 2 3 2" xfId="51835"/>
    <cellStyle name="Normal 2 2 2 2 2 2 2 2 3 2 2" xfId="51836"/>
    <cellStyle name="Normal 2 2 2 2 2 2 2 2 3 2 3" xfId="51837"/>
    <cellStyle name="Normal 2 2 2 2 2 2 2 2 3 2 4" xfId="51838"/>
    <cellStyle name="Normal 2 2 2 2 2 2 2 2 3 2 5" xfId="51839"/>
    <cellStyle name="Normal 2 2 2 2 2 2 2 2 3 3" xfId="51840"/>
    <cellStyle name="Normal 2 2 2 2 2 2 2 2 3 4" xfId="51841"/>
    <cellStyle name="Normal 2 2 2 2 2 2 2 2 3 5" xfId="51842"/>
    <cellStyle name="Normal 2 2 2 2 2 2 2 2 3 6" xfId="51843"/>
    <cellStyle name="Normal 2 2 2 2 2 2 2 2 3 7" xfId="51844"/>
    <cellStyle name="Normal 2 2 2 2 2 2 2 2 3 8" xfId="51845"/>
    <cellStyle name="Normal 2 2 2 2 2 2 2 2 4" xfId="51846"/>
    <cellStyle name="Normal 2 2 2 2 2 2 2 3" xfId="51847"/>
    <cellStyle name="Normal 2 2 2 2 2 2 2 3 2" xfId="51848"/>
    <cellStyle name="Normal 2 2 2 2 2 2 2 3 2 2" xfId="51849"/>
    <cellStyle name="Normal 2 2 2 2 2 2 2 3 2 2 2" xfId="51850"/>
    <cellStyle name="Normal 2 2 2 2 2 2 2 3 2 2 3" xfId="51851"/>
    <cellStyle name="Normal 2 2 2 2 2 2 2 3 2 2 4" xfId="51852"/>
    <cellStyle name="Normal 2 2 2 2 2 2 2 3 2 2 5" xfId="51853"/>
    <cellStyle name="Normal 2 2 2 2 2 2 2 3 2 3" xfId="51854"/>
    <cellStyle name="Normal 2 2 2 2 2 2 2 3 2 4" xfId="51855"/>
    <cellStyle name="Normal 2 2 2 2 2 2 2 3 2 5" xfId="51856"/>
    <cellStyle name="Normal 2 2 2 2 2 2 2 3 2 6" xfId="51857"/>
    <cellStyle name="Normal 2 2 2 2 2 2 2 3 2 7" xfId="51858"/>
    <cellStyle name="Normal 2 2 2 2 2 2 2 3 2 8" xfId="51859"/>
    <cellStyle name="Normal 2 2 2 2 2 2 2 3 3" xfId="51860"/>
    <cellStyle name="Normal 2 2 2 2 2 2 2 4" xfId="51861"/>
    <cellStyle name="Normal 2 2 2 2 2 2 2 4 2" xfId="51862"/>
    <cellStyle name="Normal 2 2 2 2 2 2 2 4 3" xfId="51863"/>
    <cellStyle name="Normal 2 2 2 2 2 2 2 4 4" xfId="51864"/>
    <cellStyle name="Normal 2 2 2 2 2 2 2 4 5" xfId="51865"/>
    <cellStyle name="Normal 2 2 2 2 2 2 2 5" xfId="51866"/>
    <cellStyle name="Normal 2 2 2 2 2 2 2 6" xfId="51867"/>
    <cellStyle name="Normal 2 2 2 2 2 2 2 7" xfId="51868"/>
    <cellStyle name="Normal 2 2 2 2 2 2 2 8" xfId="51869"/>
    <cellStyle name="Normal 2 2 2 2 2 2 2 9" xfId="51870"/>
    <cellStyle name="Normal 2 2 2 2 2 2 3" xfId="51871"/>
    <cellStyle name="Normal 2 2 2 2 2 2 3 2" xfId="51872"/>
    <cellStyle name="Normal 2 2 2 2 2 2 3 2 2" xfId="51873"/>
    <cellStyle name="Normal 2 2 2 2 2 2 3 2 2 2" xfId="51874"/>
    <cellStyle name="Normal 2 2 2 2 2 2 3 2 2 2 2" xfId="51875"/>
    <cellStyle name="Normal 2 2 2 2 2 2 3 2 2 2 3" xfId="51876"/>
    <cellStyle name="Normal 2 2 2 2 2 2 3 2 2 2 4" xfId="51877"/>
    <cellStyle name="Normal 2 2 2 2 2 2 3 2 2 2 5" xfId="51878"/>
    <cellStyle name="Normal 2 2 2 2 2 2 3 2 2 3" xfId="51879"/>
    <cellStyle name="Normal 2 2 2 2 2 2 3 2 2 4" xfId="51880"/>
    <cellStyle name="Normal 2 2 2 2 2 2 3 2 2 5" xfId="51881"/>
    <cellStyle name="Normal 2 2 2 2 2 2 3 2 2 6" xfId="51882"/>
    <cellStyle name="Normal 2 2 2 2 2 2 3 2 2 7" xfId="51883"/>
    <cellStyle name="Normal 2 2 2 2 2 2 3 2 2 8" xfId="51884"/>
    <cellStyle name="Normal 2 2 2 2 2 2 3 2 3" xfId="51885"/>
    <cellStyle name="Normal 2 2 2 2 2 2 3 3" xfId="51886"/>
    <cellStyle name="Normal 2 2 2 2 2 2 3 3 2" xfId="51887"/>
    <cellStyle name="Normal 2 2 2 2 2 2 3 3 3" xfId="51888"/>
    <cellStyle name="Normal 2 2 2 2 2 2 3 3 4" xfId="51889"/>
    <cellStyle name="Normal 2 2 2 2 2 2 3 3 5" xfId="51890"/>
    <cellStyle name="Normal 2 2 2 2 2 2 3 4" xfId="51891"/>
    <cellStyle name="Normal 2 2 2 2 2 2 3 5" xfId="51892"/>
    <cellStyle name="Normal 2 2 2 2 2 2 3 6" xfId="51893"/>
    <cellStyle name="Normal 2 2 2 2 2 2 3 7" xfId="51894"/>
    <cellStyle name="Normal 2 2 2 2 2 2 3 8" xfId="51895"/>
    <cellStyle name="Normal 2 2 2 2 2 2 3 9" xfId="51896"/>
    <cellStyle name="Normal 2 2 2 2 2 2 4" xfId="51897"/>
    <cellStyle name="Normal 2 2 2 2 2 2 4 2" xfId="51898"/>
    <cellStyle name="Normal 2 2 2 2 2 2 4 2 2" xfId="51899"/>
    <cellStyle name="Normal 2 2 2 2 2 2 4 2 3" xfId="51900"/>
    <cellStyle name="Normal 2 2 2 2 2 2 4 2 4" xfId="51901"/>
    <cellStyle name="Normal 2 2 2 2 2 2 4 2 5" xfId="51902"/>
    <cellStyle name="Normal 2 2 2 2 2 2 4 3" xfId="51903"/>
    <cellStyle name="Normal 2 2 2 2 2 2 4 4" xfId="51904"/>
    <cellStyle name="Normal 2 2 2 2 2 2 4 5" xfId="51905"/>
    <cellStyle name="Normal 2 2 2 2 2 2 4 6" xfId="51906"/>
    <cellStyle name="Normal 2 2 2 2 2 2 4 7" xfId="51907"/>
    <cellStyle name="Normal 2 2 2 2 2 2 4 8" xfId="51908"/>
    <cellStyle name="Normal 2 2 2 2 2 2 5" xfId="51909"/>
    <cellStyle name="Normal 2 2 2 2 2 3" xfId="51910"/>
    <cellStyle name="Normal 2 2 2 2 2 3 2" xfId="51911"/>
    <cellStyle name="Normal 2 2 2 2 2 3 2 2" xfId="51912"/>
    <cellStyle name="Normal 2 2 2 2 2 3 2 2 2" xfId="51913"/>
    <cellStyle name="Normal 2 2 2 2 2 3 2 2 2 2" xfId="51914"/>
    <cellStyle name="Normal 2 2 2 2 2 3 2 2 2 2 2" xfId="51915"/>
    <cellStyle name="Normal 2 2 2 2 2 3 2 2 2 2 3" xfId="51916"/>
    <cellStyle name="Normal 2 2 2 2 2 3 2 2 2 2 4" xfId="51917"/>
    <cellStyle name="Normal 2 2 2 2 2 3 2 2 2 2 5" xfId="51918"/>
    <cellStyle name="Normal 2 2 2 2 2 3 2 2 2 3" xfId="51919"/>
    <cellStyle name="Normal 2 2 2 2 2 3 2 2 2 4" xfId="51920"/>
    <cellStyle name="Normal 2 2 2 2 2 3 2 2 2 5" xfId="51921"/>
    <cellStyle name="Normal 2 2 2 2 2 3 2 2 2 6" xfId="51922"/>
    <cellStyle name="Normal 2 2 2 2 2 3 2 2 2 7" xfId="51923"/>
    <cellStyle name="Normal 2 2 2 2 2 3 2 2 2 8" xfId="51924"/>
    <cellStyle name="Normal 2 2 2 2 2 3 2 2 3" xfId="51925"/>
    <cellStyle name="Normal 2 2 2 2 2 3 2 3" xfId="51926"/>
    <cellStyle name="Normal 2 2 2 2 2 3 2 3 2" xfId="51927"/>
    <cellStyle name="Normal 2 2 2 2 2 3 2 3 3" xfId="51928"/>
    <cellStyle name="Normal 2 2 2 2 2 3 2 3 4" xfId="51929"/>
    <cellStyle name="Normal 2 2 2 2 2 3 2 3 5" xfId="51930"/>
    <cellStyle name="Normal 2 2 2 2 2 3 2 4" xfId="51931"/>
    <cellStyle name="Normal 2 2 2 2 2 3 2 5" xfId="51932"/>
    <cellStyle name="Normal 2 2 2 2 2 3 2 6" xfId="51933"/>
    <cellStyle name="Normal 2 2 2 2 2 3 2 7" xfId="51934"/>
    <cellStyle name="Normal 2 2 2 2 2 3 2 8" xfId="51935"/>
    <cellStyle name="Normal 2 2 2 2 2 3 2 9" xfId="51936"/>
    <cellStyle name="Normal 2 2 2 2 2 3 3" xfId="51937"/>
    <cellStyle name="Normal 2 2 2 2 2 3 3 2" xfId="51938"/>
    <cellStyle name="Normal 2 2 2 2 2 3 3 2 2" xfId="51939"/>
    <cellStyle name="Normal 2 2 2 2 2 3 3 2 3" xfId="51940"/>
    <cellStyle name="Normal 2 2 2 2 2 3 3 2 4" xfId="51941"/>
    <cellStyle name="Normal 2 2 2 2 2 3 3 2 5" xfId="51942"/>
    <cellStyle name="Normal 2 2 2 2 2 3 3 3" xfId="51943"/>
    <cellStyle name="Normal 2 2 2 2 2 3 3 4" xfId="51944"/>
    <cellStyle name="Normal 2 2 2 2 2 3 3 5" xfId="51945"/>
    <cellStyle name="Normal 2 2 2 2 2 3 3 6" xfId="51946"/>
    <cellStyle name="Normal 2 2 2 2 2 3 3 7" xfId="51947"/>
    <cellStyle name="Normal 2 2 2 2 2 3 3 8" xfId="51948"/>
    <cellStyle name="Normal 2 2 2 2 2 3 4" xfId="51949"/>
    <cellStyle name="Normal 2 2 2 2 2 4" xfId="51950"/>
    <cellStyle name="Normal 2 2 2 2 2 4 2" xfId="51951"/>
    <cellStyle name="Normal 2 2 2 2 2 4 2 2" xfId="51952"/>
    <cellStyle name="Normal 2 2 2 2 2 4 2 2 2" xfId="51953"/>
    <cellStyle name="Normal 2 2 2 2 2 4 2 2 3" xfId="51954"/>
    <cellStyle name="Normal 2 2 2 2 2 4 2 2 4" xfId="51955"/>
    <cellStyle name="Normal 2 2 2 2 2 4 2 2 5" xfId="51956"/>
    <cellStyle name="Normal 2 2 2 2 2 4 2 3" xfId="51957"/>
    <cellStyle name="Normal 2 2 2 2 2 4 2 4" xfId="51958"/>
    <cellStyle name="Normal 2 2 2 2 2 4 2 5" xfId="51959"/>
    <cellStyle name="Normal 2 2 2 2 2 4 2 6" xfId="51960"/>
    <cellStyle name="Normal 2 2 2 2 2 4 2 7" xfId="51961"/>
    <cellStyle name="Normal 2 2 2 2 2 4 2 8" xfId="51962"/>
    <cellStyle name="Normal 2 2 2 2 2 4 3" xfId="51963"/>
    <cellStyle name="Normal 2 2 2 2 2 5" xfId="51964"/>
    <cellStyle name="Normal 2 2 2 2 2 5 2" xfId="51965"/>
    <cellStyle name="Normal 2 2 2 2 2 5 3" xfId="51966"/>
    <cellStyle name="Normal 2 2 2 2 2 5 4" xfId="51967"/>
    <cellStyle name="Normal 2 2 2 2 2 5 5" xfId="51968"/>
    <cellStyle name="Normal 2 2 2 2 2 6" xfId="51969"/>
    <cellStyle name="Normal 2 2 2 2 2 7" xfId="51970"/>
    <cellStyle name="Normal 2 2 2 2 2 8" xfId="51971"/>
    <cellStyle name="Normal 2 2 2 2 2 9" xfId="51972"/>
    <cellStyle name="Normal 2 2 2 2 3" xfId="51973"/>
    <cellStyle name="Normal 2 2 2 2 3 10" xfId="51974"/>
    <cellStyle name="Normal 2 2 2 2 3 2" xfId="51975"/>
    <cellStyle name="Normal 2 2 2 2 3 2 2" xfId="51976"/>
    <cellStyle name="Normal 2 2 2 2 3 2 2 2" xfId="51977"/>
    <cellStyle name="Normal 2 2 2 2 3 2 2 2 2" xfId="51978"/>
    <cellStyle name="Normal 2 2 2 2 3 2 2 2 2 2" xfId="51979"/>
    <cellStyle name="Normal 2 2 2 2 3 2 2 2 2 2 2" xfId="51980"/>
    <cellStyle name="Normal 2 2 2 2 3 2 2 2 2 2 3" xfId="51981"/>
    <cellStyle name="Normal 2 2 2 2 3 2 2 2 2 2 4" xfId="51982"/>
    <cellStyle name="Normal 2 2 2 2 3 2 2 2 2 2 5" xfId="51983"/>
    <cellStyle name="Normal 2 2 2 2 3 2 2 2 2 3" xfId="51984"/>
    <cellStyle name="Normal 2 2 2 2 3 2 2 2 2 4" xfId="51985"/>
    <cellStyle name="Normal 2 2 2 2 3 2 2 2 2 5" xfId="51986"/>
    <cellStyle name="Normal 2 2 2 2 3 2 2 2 2 6" xfId="51987"/>
    <cellStyle name="Normal 2 2 2 2 3 2 2 2 2 7" xfId="51988"/>
    <cellStyle name="Normal 2 2 2 2 3 2 2 2 2 8" xfId="51989"/>
    <cellStyle name="Normal 2 2 2 2 3 2 2 2 3" xfId="51990"/>
    <cellStyle name="Normal 2 2 2 2 3 2 2 3" xfId="51991"/>
    <cellStyle name="Normal 2 2 2 2 3 2 2 3 2" xfId="51992"/>
    <cellStyle name="Normal 2 2 2 2 3 2 2 3 3" xfId="51993"/>
    <cellStyle name="Normal 2 2 2 2 3 2 2 3 4" xfId="51994"/>
    <cellStyle name="Normal 2 2 2 2 3 2 2 3 5" xfId="51995"/>
    <cellStyle name="Normal 2 2 2 2 3 2 2 4" xfId="51996"/>
    <cellStyle name="Normal 2 2 2 2 3 2 2 5" xfId="51997"/>
    <cellStyle name="Normal 2 2 2 2 3 2 2 6" xfId="51998"/>
    <cellStyle name="Normal 2 2 2 2 3 2 2 7" xfId="51999"/>
    <cellStyle name="Normal 2 2 2 2 3 2 2 8" xfId="52000"/>
    <cellStyle name="Normal 2 2 2 2 3 2 2 9" xfId="52001"/>
    <cellStyle name="Normal 2 2 2 2 3 2 3" xfId="52002"/>
    <cellStyle name="Normal 2 2 2 2 3 2 3 2" xfId="52003"/>
    <cellStyle name="Normal 2 2 2 2 3 2 3 2 2" xfId="52004"/>
    <cellStyle name="Normal 2 2 2 2 3 2 3 2 3" xfId="52005"/>
    <cellStyle name="Normal 2 2 2 2 3 2 3 2 4" xfId="52006"/>
    <cellStyle name="Normal 2 2 2 2 3 2 3 2 5" xfId="52007"/>
    <cellStyle name="Normal 2 2 2 2 3 2 3 3" xfId="52008"/>
    <cellStyle name="Normal 2 2 2 2 3 2 3 4" xfId="52009"/>
    <cellStyle name="Normal 2 2 2 2 3 2 3 5" xfId="52010"/>
    <cellStyle name="Normal 2 2 2 2 3 2 3 6" xfId="52011"/>
    <cellStyle name="Normal 2 2 2 2 3 2 3 7" xfId="52012"/>
    <cellStyle name="Normal 2 2 2 2 3 2 3 8" xfId="52013"/>
    <cellStyle name="Normal 2 2 2 2 3 2 4" xfId="52014"/>
    <cellStyle name="Normal 2 2 2 2 3 3" xfId="52015"/>
    <cellStyle name="Normal 2 2 2 2 3 3 2" xfId="52016"/>
    <cellStyle name="Normal 2 2 2 2 3 3 2 2" xfId="52017"/>
    <cellStyle name="Normal 2 2 2 2 3 3 2 2 2" xfId="52018"/>
    <cellStyle name="Normal 2 2 2 2 3 3 2 2 3" xfId="52019"/>
    <cellStyle name="Normal 2 2 2 2 3 3 2 2 4" xfId="52020"/>
    <cellStyle name="Normal 2 2 2 2 3 3 2 2 5" xfId="52021"/>
    <cellStyle name="Normal 2 2 2 2 3 3 2 3" xfId="52022"/>
    <cellStyle name="Normal 2 2 2 2 3 3 2 4" xfId="52023"/>
    <cellStyle name="Normal 2 2 2 2 3 3 2 5" xfId="52024"/>
    <cellStyle name="Normal 2 2 2 2 3 3 2 6" xfId="52025"/>
    <cellStyle name="Normal 2 2 2 2 3 3 2 7" xfId="52026"/>
    <cellStyle name="Normal 2 2 2 2 3 3 2 8" xfId="52027"/>
    <cellStyle name="Normal 2 2 2 2 3 3 3" xfId="52028"/>
    <cellStyle name="Normal 2 2 2 2 3 4" xfId="52029"/>
    <cellStyle name="Normal 2 2 2 2 3 4 2" xfId="52030"/>
    <cellStyle name="Normal 2 2 2 2 3 4 3" xfId="52031"/>
    <cellStyle name="Normal 2 2 2 2 3 4 4" xfId="52032"/>
    <cellStyle name="Normal 2 2 2 2 3 4 5" xfId="52033"/>
    <cellStyle name="Normal 2 2 2 2 3 5" xfId="52034"/>
    <cellStyle name="Normal 2 2 2 2 3 6" xfId="52035"/>
    <cellStyle name="Normal 2 2 2 2 3 7" xfId="52036"/>
    <cellStyle name="Normal 2 2 2 2 3 8" xfId="52037"/>
    <cellStyle name="Normal 2 2 2 2 3 9" xfId="52038"/>
    <cellStyle name="Normal 2 2 2 2 4" xfId="52039"/>
    <cellStyle name="Normal 2 2 2 2 4 2" xfId="52040"/>
    <cellStyle name="Normal 2 2 2 2 4 2 2" xfId="52041"/>
    <cellStyle name="Normal 2 2 2 2 4 2 2 2" xfId="52042"/>
    <cellStyle name="Normal 2 2 2 2 4 2 2 2 2" xfId="52043"/>
    <cellStyle name="Normal 2 2 2 2 4 2 2 2 3" xfId="52044"/>
    <cellStyle name="Normal 2 2 2 2 4 2 2 2 4" xfId="52045"/>
    <cellStyle name="Normal 2 2 2 2 4 2 2 2 5" xfId="52046"/>
    <cellStyle name="Normal 2 2 2 2 4 2 2 3" xfId="52047"/>
    <cellStyle name="Normal 2 2 2 2 4 2 2 4" xfId="52048"/>
    <cellStyle name="Normal 2 2 2 2 4 2 2 5" xfId="52049"/>
    <cellStyle name="Normal 2 2 2 2 4 2 2 6" xfId="52050"/>
    <cellStyle name="Normal 2 2 2 2 4 2 2 7" xfId="52051"/>
    <cellStyle name="Normal 2 2 2 2 4 2 2 8" xfId="52052"/>
    <cellStyle name="Normal 2 2 2 2 4 2 3" xfId="52053"/>
    <cellStyle name="Normal 2 2 2 2 4 3" xfId="52054"/>
    <cellStyle name="Normal 2 2 2 2 4 3 2" xfId="52055"/>
    <cellStyle name="Normal 2 2 2 2 4 3 3" xfId="52056"/>
    <cellStyle name="Normal 2 2 2 2 4 3 4" xfId="52057"/>
    <cellStyle name="Normal 2 2 2 2 4 3 5" xfId="52058"/>
    <cellStyle name="Normal 2 2 2 2 4 4" xfId="52059"/>
    <cellStyle name="Normal 2 2 2 2 4 5" xfId="52060"/>
    <cellStyle name="Normal 2 2 2 2 4 6" xfId="52061"/>
    <cellStyle name="Normal 2 2 2 2 4 7" xfId="52062"/>
    <cellStyle name="Normal 2 2 2 2 4 8" xfId="52063"/>
    <cellStyle name="Normal 2 2 2 2 4 9" xfId="52064"/>
    <cellStyle name="Normal 2 2 2 2 5" xfId="52065"/>
    <cellStyle name="Normal 2 2 2 2 5 2" xfId="52066"/>
    <cellStyle name="Normal 2 2 2 2 5 2 2" xfId="52067"/>
    <cellStyle name="Normal 2 2 2 2 5 2 3" xfId="52068"/>
    <cellStyle name="Normal 2 2 2 2 5 2 4" xfId="52069"/>
    <cellStyle name="Normal 2 2 2 2 5 2 5" xfId="52070"/>
    <cellStyle name="Normal 2 2 2 2 5 3" xfId="52071"/>
    <cellStyle name="Normal 2 2 2 2 5 4" xfId="52072"/>
    <cellStyle name="Normal 2 2 2 2 5 5" xfId="52073"/>
    <cellStyle name="Normal 2 2 2 2 5 6" xfId="52074"/>
    <cellStyle name="Normal 2 2 2 2 5 7" xfId="52075"/>
    <cellStyle name="Normal 2 2 2 2 5 8" xfId="52076"/>
    <cellStyle name="Normal 2 2 2 2 6" xfId="52077"/>
    <cellStyle name="Normal 2 2 2 3" xfId="52078"/>
    <cellStyle name="Normal 2 2 2 3 2" xfId="52079"/>
    <cellStyle name="Normal 2 2 2 3 2 10" xfId="52080"/>
    <cellStyle name="Normal 2 2 2 3 2 2" xfId="52081"/>
    <cellStyle name="Normal 2 2 2 3 2 2 2" xfId="52082"/>
    <cellStyle name="Normal 2 2 2 3 2 2 2 2" xfId="52083"/>
    <cellStyle name="Normal 2 2 2 3 2 2 2 2 2" xfId="52084"/>
    <cellStyle name="Normal 2 2 2 3 2 2 2 2 2 2" xfId="52085"/>
    <cellStyle name="Normal 2 2 2 3 2 2 2 2 2 2 2" xfId="52086"/>
    <cellStyle name="Normal 2 2 2 3 2 2 2 2 2 2 3" xfId="52087"/>
    <cellStyle name="Normal 2 2 2 3 2 2 2 2 2 2 4" xfId="52088"/>
    <cellStyle name="Normal 2 2 2 3 2 2 2 2 2 2 5" xfId="52089"/>
    <cellStyle name="Normal 2 2 2 3 2 2 2 2 2 3" xfId="52090"/>
    <cellStyle name="Normal 2 2 2 3 2 2 2 2 2 4" xfId="52091"/>
    <cellStyle name="Normal 2 2 2 3 2 2 2 2 2 5" xfId="52092"/>
    <cellStyle name="Normal 2 2 2 3 2 2 2 2 2 6" xfId="52093"/>
    <cellStyle name="Normal 2 2 2 3 2 2 2 2 2 7" xfId="52094"/>
    <cellStyle name="Normal 2 2 2 3 2 2 2 2 2 8" xfId="52095"/>
    <cellStyle name="Normal 2 2 2 3 2 2 2 2 3" xfId="52096"/>
    <cellStyle name="Normal 2 2 2 3 2 2 2 3" xfId="52097"/>
    <cellStyle name="Normal 2 2 2 3 2 2 2 3 2" xfId="52098"/>
    <cellStyle name="Normal 2 2 2 3 2 2 2 3 3" xfId="52099"/>
    <cellStyle name="Normal 2 2 2 3 2 2 2 3 4" xfId="52100"/>
    <cellStyle name="Normal 2 2 2 3 2 2 2 3 5" xfId="52101"/>
    <cellStyle name="Normal 2 2 2 3 2 2 2 4" xfId="52102"/>
    <cellStyle name="Normal 2 2 2 3 2 2 2 5" xfId="52103"/>
    <cellStyle name="Normal 2 2 2 3 2 2 2 6" xfId="52104"/>
    <cellStyle name="Normal 2 2 2 3 2 2 2 7" xfId="52105"/>
    <cellStyle name="Normal 2 2 2 3 2 2 2 8" xfId="52106"/>
    <cellStyle name="Normal 2 2 2 3 2 2 2 9" xfId="52107"/>
    <cellStyle name="Normal 2 2 2 3 2 2 3" xfId="52108"/>
    <cellStyle name="Normal 2 2 2 3 2 2 3 2" xfId="52109"/>
    <cellStyle name="Normal 2 2 2 3 2 2 3 2 2" xfId="52110"/>
    <cellStyle name="Normal 2 2 2 3 2 2 3 2 3" xfId="52111"/>
    <cellStyle name="Normal 2 2 2 3 2 2 3 2 4" xfId="52112"/>
    <cellStyle name="Normal 2 2 2 3 2 2 3 2 5" xfId="52113"/>
    <cellStyle name="Normal 2 2 2 3 2 2 3 3" xfId="52114"/>
    <cellStyle name="Normal 2 2 2 3 2 2 3 4" xfId="52115"/>
    <cellStyle name="Normal 2 2 2 3 2 2 3 5" xfId="52116"/>
    <cellStyle name="Normal 2 2 2 3 2 2 3 6" xfId="52117"/>
    <cellStyle name="Normal 2 2 2 3 2 2 3 7" xfId="52118"/>
    <cellStyle name="Normal 2 2 2 3 2 2 3 8" xfId="52119"/>
    <cellStyle name="Normal 2 2 2 3 2 2 4" xfId="52120"/>
    <cellStyle name="Normal 2 2 2 3 2 3" xfId="52121"/>
    <cellStyle name="Normal 2 2 2 3 2 3 2" xfId="52122"/>
    <cellStyle name="Normal 2 2 2 3 2 3 2 2" xfId="52123"/>
    <cellStyle name="Normal 2 2 2 3 2 3 2 2 2" xfId="52124"/>
    <cellStyle name="Normal 2 2 2 3 2 3 2 2 3" xfId="52125"/>
    <cellStyle name="Normal 2 2 2 3 2 3 2 2 4" xfId="52126"/>
    <cellStyle name="Normal 2 2 2 3 2 3 2 2 5" xfId="52127"/>
    <cellStyle name="Normal 2 2 2 3 2 3 2 3" xfId="52128"/>
    <cellStyle name="Normal 2 2 2 3 2 3 2 4" xfId="52129"/>
    <cellStyle name="Normal 2 2 2 3 2 3 2 5" xfId="52130"/>
    <cellStyle name="Normal 2 2 2 3 2 3 2 6" xfId="52131"/>
    <cellStyle name="Normal 2 2 2 3 2 3 2 7" xfId="52132"/>
    <cellStyle name="Normal 2 2 2 3 2 3 2 8" xfId="52133"/>
    <cellStyle name="Normal 2 2 2 3 2 3 3" xfId="52134"/>
    <cellStyle name="Normal 2 2 2 3 2 4" xfId="52135"/>
    <cellStyle name="Normal 2 2 2 3 2 4 2" xfId="52136"/>
    <cellStyle name="Normal 2 2 2 3 2 4 3" xfId="52137"/>
    <cellStyle name="Normal 2 2 2 3 2 4 4" xfId="52138"/>
    <cellStyle name="Normal 2 2 2 3 2 4 5" xfId="52139"/>
    <cellStyle name="Normal 2 2 2 3 2 5" xfId="52140"/>
    <cellStyle name="Normal 2 2 2 3 2 6" xfId="52141"/>
    <cellStyle name="Normal 2 2 2 3 2 7" xfId="52142"/>
    <cellStyle name="Normal 2 2 2 3 2 8" xfId="52143"/>
    <cellStyle name="Normal 2 2 2 3 2 9" xfId="52144"/>
    <cellStyle name="Normal 2 2 2 3 3" xfId="52145"/>
    <cellStyle name="Normal 2 2 2 3 3 2" xfId="52146"/>
    <cellStyle name="Normal 2 2 2 3 3 2 2" xfId="52147"/>
    <cellStyle name="Normal 2 2 2 3 3 2 2 2" xfId="52148"/>
    <cellStyle name="Normal 2 2 2 3 3 2 2 2 2" xfId="52149"/>
    <cellStyle name="Normal 2 2 2 3 3 2 2 2 3" xfId="52150"/>
    <cellStyle name="Normal 2 2 2 3 3 2 2 2 4" xfId="52151"/>
    <cellStyle name="Normal 2 2 2 3 3 2 2 2 5" xfId="52152"/>
    <cellStyle name="Normal 2 2 2 3 3 2 2 3" xfId="52153"/>
    <cellStyle name="Normal 2 2 2 3 3 2 2 4" xfId="52154"/>
    <cellStyle name="Normal 2 2 2 3 3 2 2 5" xfId="52155"/>
    <cellStyle name="Normal 2 2 2 3 3 2 2 6" xfId="52156"/>
    <cellStyle name="Normal 2 2 2 3 3 2 2 7" xfId="52157"/>
    <cellStyle name="Normal 2 2 2 3 3 2 2 8" xfId="52158"/>
    <cellStyle name="Normal 2 2 2 3 3 2 3" xfId="52159"/>
    <cellStyle name="Normal 2 2 2 3 3 3" xfId="52160"/>
    <cellStyle name="Normal 2 2 2 3 3 3 2" xfId="52161"/>
    <cellStyle name="Normal 2 2 2 3 3 3 3" xfId="52162"/>
    <cellStyle name="Normal 2 2 2 3 3 3 4" xfId="52163"/>
    <cellStyle name="Normal 2 2 2 3 3 3 5" xfId="52164"/>
    <cellStyle name="Normal 2 2 2 3 3 4" xfId="52165"/>
    <cellStyle name="Normal 2 2 2 3 3 5" xfId="52166"/>
    <cellStyle name="Normal 2 2 2 3 3 6" xfId="52167"/>
    <cellStyle name="Normal 2 2 2 3 3 7" xfId="52168"/>
    <cellStyle name="Normal 2 2 2 3 3 8" xfId="52169"/>
    <cellStyle name="Normal 2 2 2 3 3 9" xfId="52170"/>
    <cellStyle name="Normal 2 2 2 3 4" xfId="52171"/>
    <cellStyle name="Normal 2 2 2 3 4 2" xfId="52172"/>
    <cellStyle name="Normal 2 2 2 3 4 2 2" xfId="52173"/>
    <cellStyle name="Normal 2 2 2 3 4 2 3" xfId="52174"/>
    <cellStyle name="Normal 2 2 2 3 4 2 4" xfId="52175"/>
    <cellStyle name="Normal 2 2 2 3 4 2 5" xfId="52176"/>
    <cellStyle name="Normal 2 2 2 3 4 3" xfId="52177"/>
    <cellStyle name="Normal 2 2 2 3 4 4" xfId="52178"/>
    <cellStyle name="Normal 2 2 2 3 4 5" xfId="52179"/>
    <cellStyle name="Normal 2 2 2 3 4 6" xfId="52180"/>
    <cellStyle name="Normal 2 2 2 3 4 7" xfId="52181"/>
    <cellStyle name="Normal 2 2 2 3 4 8" xfId="52182"/>
    <cellStyle name="Normal 2 2 2 3 5" xfId="52183"/>
    <cellStyle name="Normal 2 2 2 4" xfId="52184"/>
    <cellStyle name="Normal 2 2 2 4 2" xfId="52185"/>
    <cellStyle name="Normal 2 2 2 4 2 2" xfId="52186"/>
    <cellStyle name="Normal 2 2 2 4 2 2 2" xfId="52187"/>
    <cellStyle name="Normal 2 2 2 4 2 2 2 2" xfId="52188"/>
    <cellStyle name="Normal 2 2 2 4 2 2 2 2 2" xfId="52189"/>
    <cellStyle name="Normal 2 2 2 4 2 2 2 2 3" xfId="52190"/>
    <cellStyle name="Normal 2 2 2 4 2 2 2 2 4" xfId="52191"/>
    <cellStyle name="Normal 2 2 2 4 2 2 2 2 5" xfId="52192"/>
    <cellStyle name="Normal 2 2 2 4 2 2 2 3" xfId="52193"/>
    <cellStyle name="Normal 2 2 2 4 2 2 2 4" xfId="52194"/>
    <cellStyle name="Normal 2 2 2 4 2 2 2 5" xfId="52195"/>
    <cellStyle name="Normal 2 2 2 4 2 2 2 6" xfId="52196"/>
    <cellStyle name="Normal 2 2 2 4 2 2 2 7" xfId="52197"/>
    <cellStyle name="Normal 2 2 2 4 2 2 2 8" xfId="52198"/>
    <cellStyle name="Normal 2 2 2 4 2 2 3" xfId="52199"/>
    <cellStyle name="Normal 2 2 2 4 2 3" xfId="52200"/>
    <cellStyle name="Normal 2 2 2 4 2 3 2" xfId="52201"/>
    <cellStyle name="Normal 2 2 2 4 2 3 3" xfId="52202"/>
    <cellStyle name="Normal 2 2 2 4 2 3 4" xfId="52203"/>
    <cellStyle name="Normal 2 2 2 4 2 3 5" xfId="52204"/>
    <cellStyle name="Normal 2 2 2 4 2 4" xfId="52205"/>
    <cellStyle name="Normal 2 2 2 4 2 5" xfId="52206"/>
    <cellStyle name="Normal 2 2 2 4 2 6" xfId="52207"/>
    <cellStyle name="Normal 2 2 2 4 2 7" xfId="52208"/>
    <cellStyle name="Normal 2 2 2 4 2 8" xfId="52209"/>
    <cellStyle name="Normal 2 2 2 4 2 9" xfId="52210"/>
    <cellStyle name="Normal 2 2 2 4 3" xfId="52211"/>
    <cellStyle name="Normal 2 2 2 4 3 2" xfId="52212"/>
    <cellStyle name="Normal 2 2 2 4 3 2 2" xfId="52213"/>
    <cellStyle name="Normal 2 2 2 4 3 2 3" xfId="52214"/>
    <cellStyle name="Normal 2 2 2 4 3 2 4" xfId="52215"/>
    <cellStyle name="Normal 2 2 2 4 3 2 5" xfId="52216"/>
    <cellStyle name="Normal 2 2 2 4 3 3" xfId="52217"/>
    <cellStyle name="Normal 2 2 2 4 3 4" xfId="52218"/>
    <cellStyle name="Normal 2 2 2 4 3 5" xfId="52219"/>
    <cellStyle name="Normal 2 2 2 4 3 6" xfId="52220"/>
    <cellStyle name="Normal 2 2 2 4 3 7" xfId="52221"/>
    <cellStyle name="Normal 2 2 2 4 3 8" xfId="52222"/>
    <cellStyle name="Normal 2 2 2 4 4" xfId="52223"/>
    <cellStyle name="Normal 2 2 2 5" xfId="52224"/>
    <cellStyle name="Normal 2 2 2 5 2" xfId="52225"/>
    <cellStyle name="Normal 2 2 2 5 2 2" xfId="52226"/>
    <cellStyle name="Normal 2 2 2 5 2 2 2" xfId="52227"/>
    <cellStyle name="Normal 2 2 2 5 2 2 3" xfId="52228"/>
    <cellStyle name="Normal 2 2 2 5 2 2 4" xfId="52229"/>
    <cellStyle name="Normal 2 2 2 5 2 2 5" xfId="52230"/>
    <cellStyle name="Normal 2 2 2 5 2 3" xfId="52231"/>
    <cellStyle name="Normal 2 2 2 5 2 4" xfId="52232"/>
    <cellStyle name="Normal 2 2 2 5 2 5" xfId="52233"/>
    <cellStyle name="Normal 2 2 2 5 2 6" xfId="52234"/>
    <cellStyle name="Normal 2 2 2 5 2 7" xfId="52235"/>
    <cellStyle name="Normal 2 2 2 5 2 8" xfId="52236"/>
    <cellStyle name="Normal 2 2 2 5 3" xfId="52237"/>
    <cellStyle name="Normal 2 2 2 6" xfId="52238"/>
    <cellStyle name="Normal 2 2 2 6 2" xfId="52239"/>
    <cellStyle name="Normal 2 2 2 6 3" xfId="52240"/>
    <cellStyle name="Normal 2 2 2 6 4" xfId="52241"/>
    <cellStyle name="Normal 2 2 2 6 5" xfId="52242"/>
    <cellStyle name="Normal 2 2 2 7" xfId="52243"/>
    <cellStyle name="Normal 2 2 2 8" xfId="52244"/>
    <cellStyle name="Normal 2 2 2 9" xfId="52245"/>
    <cellStyle name="Normal 2 2 3" xfId="52246"/>
    <cellStyle name="Normal 2 2 3 2" xfId="52247"/>
    <cellStyle name="Normal 2 2 3 2 2" xfId="52248"/>
    <cellStyle name="Normal 2 2 3 2 3" xfId="52249"/>
    <cellStyle name="Normal 2 2 3 2 4" xfId="52250"/>
    <cellStyle name="Normal 2 2 3 2 5" xfId="52251"/>
    <cellStyle name="Normal 2 2 3 3" xfId="52252"/>
    <cellStyle name="Normal 2 2 3 4" xfId="52253"/>
    <cellStyle name="Normal 2 2 3 5" xfId="52254"/>
    <cellStyle name="Normal 2 2 3 6" xfId="52255"/>
    <cellStyle name="Normal 2 2 3 7" xfId="52256"/>
    <cellStyle name="Normal 2 2 3 8" xfId="52257"/>
    <cellStyle name="Normal 2 2 3 9" xfId="52258"/>
    <cellStyle name="Normal 2 2 4" xfId="52259"/>
    <cellStyle name="Normal 2 2 4 10" xfId="52260"/>
    <cellStyle name="Normal 2 2 4 11" xfId="52261"/>
    <cellStyle name="Normal 2 2 4 12" xfId="52262"/>
    <cellStyle name="Normal 2 2 4 2" xfId="52263"/>
    <cellStyle name="Normal 2 2 4 2 2" xfId="52264"/>
    <cellStyle name="Normal 2 2 4 2 2 10" xfId="52265"/>
    <cellStyle name="Normal 2 2 4 2 2 2" xfId="52266"/>
    <cellStyle name="Normal 2 2 4 2 2 2 2" xfId="52267"/>
    <cellStyle name="Normal 2 2 4 2 2 2 2 2" xfId="52268"/>
    <cellStyle name="Normal 2 2 4 2 2 2 2 2 2" xfId="52269"/>
    <cellStyle name="Normal 2 2 4 2 2 2 2 2 2 2" xfId="52270"/>
    <cellStyle name="Normal 2 2 4 2 2 2 2 2 2 2 2" xfId="52271"/>
    <cellStyle name="Normal 2 2 4 2 2 2 2 2 2 2 3" xfId="52272"/>
    <cellStyle name="Normal 2 2 4 2 2 2 2 2 2 2 4" xfId="52273"/>
    <cellStyle name="Normal 2 2 4 2 2 2 2 2 2 2 5" xfId="52274"/>
    <cellStyle name="Normal 2 2 4 2 2 2 2 2 2 3" xfId="52275"/>
    <cellStyle name="Normal 2 2 4 2 2 2 2 2 2 4" xfId="52276"/>
    <cellStyle name="Normal 2 2 4 2 2 2 2 2 2 5" xfId="52277"/>
    <cellStyle name="Normal 2 2 4 2 2 2 2 2 2 6" xfId="52278"/>
    <cellStyle name="Normal 2 2 4 2 2 2 2 2 2 7" xfId="52279"/>
    <cellStyle name="Normal 2 2 4 2 2 2 2 2 2 8" xfId="52280"/>
    <cellStyle name="Normal 2 2 4 2 2 2 2 2 3" xfId="52281"/>
    <cellStyle name="Normal 2 2 4 2 2 2 2 3" xfId="52282"/>
    <cellStyle name="Normal 2 2 4 2 2 2 2 3 2" xfId="52283"/>
    <cellStyle name="Normal 2 2 4 2 2 2 2 3 3" xfId="52284"/>
    <cellStyle name="Normal 2 2 4 2 2 2 2 3 4" xfId="52285"/>
    <cellStyle name="Normal 2 2 4 2 2 2 2 3 5" xfId="52286"/>
    <cellStyle name="Normal 2 2 4 2 2 2 2 4" xfId="52287"/>
    <cellStyle name="Normal 2 2 4 2 2 2 2 5" xfId="52288"/>
    <cellStyle name="Normal 2 2 4 2 2 2 2 6" xfId="52289"/>
    <cellStyle name="Normal 2 2 4 2 2 2 2 7" xfId="52290"/>
    <cellStyle name="Normal 2 2 4 2 2 2 2 8" xfId="52291"/>
    <cellStyle name="Normal 2 2 4 2 2 2 2 9" xfId="52292"/>
    <cellStyle name="Normal 2 2 4 2 2 2 3" xfId="52293"/>
    <cellStyle name="Normal 2 2 4 2 2 2 3 2" xfId="52294"/>
    <cellStyle name="Normal 2 2 4 2 2 2 3 2 2" xfId="52295"/>
    <cellStyle name="Normal 2 2 4 2 2 2 3 2 3" xfId="52296"/>
    <cellStyle name="Normal 2 2 4 2 2 2 3 2 4" xfId="52297"/>
    <cellStyle name="Normal 2 2 4 2 2 2 3 2 5" xfId="52298"/>
    <cellStyle name="Normal 2 2 4 2 2 2 3 3" xfId="52299"/>
    <cellStyle name="Normal 2 2 4 2 2 2 3 4" xfId="52300"/>
    <cellStyle name="Normal 2 2 4 2 2 2 3 5" xfId="52301"/>
    <cellStyle name="Normal 2 2 4 2 2 2 3 6" xfId="52302"/>
    <cellStyle name="Normal 2 2 4 2 2 2 3 7" xfId="52303"/>
    <cellStyle name="Normal 2 2 4 2 2 2 3 8" xfId="52304"/>
    <cellStyle name="Normal 2 2 4 2 2 2 4" xfId="52305"/>
    <cellStyle name="Normal 2 2 4 2 2 3" xfId="52306"/>
    <cellStyle name="Normal 2 2 4 2 2 3 2" xfId="52307"/>
    <cellStyle name="Normal 2 2 4 2 2 3 2 2" xfId="52308"/>
    <cellStyle name="Normal 2 2 4 2 2 3 2 2 2" xfId="52309"/>
    <cellStyle name="Normal 2 2 4 2 2 3 2 2 3" xfId="52310"/>
    <cellStyle name="Normal 2 2 4 2 2 3 2 2 4" xfId="52311"/>
    <cellStyle name="Normal 2 2 4 2 2 3 2 2 5" xfId="52312"/>
    <cellStyle name="Normal 2 2 4 2 2 3 2 3" xfId="52313"/>
    <cellStyle name="Normal 2 2 4 2 2 3 2 4" xfId="52314"/>
    <cellStyle name="Normal 2 2 4 2 2 3 2 5" xfId="52315"/>
    <cellStyle name="Normal 2 2 4 2 2 3 2 6" xfId="52316"/>
    <cellStyle name="Normal 2 2 4 2 2 3 2 7" xfId="52317"/>
    <cellStyle name="Normal 2 2 4 2 2 3 2 8" xfId="52318"/>
    <cellStyle name="Normal 2 2 4 2 2 3 3" xfId="52319"/>
    <cellStyle name="Normal 2 2 4 2 2 4" xfId="52320"/>
    <cellStyle name="Normal 2 2 4 2 2 4 2" xfId="52321"/>
    <cellStyle name="Normal 2 2 4 2 2 4 3" xfId="52322"/>
    <cellStyle name="Normal 2 2 4 2 2 4 4" xfId="52323"/>
    <cellStyle name="Normal 2 2 4 2 2 4 5" xfId="52324"/>
    <cellStyle name="Normal 2 2 4 2 2 5" xfId="52325"/>
    <cellStyle name="Normal 2 2 4 2 2 6" xfId="52326"/>
    <cellStyle name="Normal 2 2 4 2 2 7" xfId="52327"/>
    <cellStyle name="Normal 2 2 4 2 2 8" xfId="52328"/>
    <cellStyle name="Normal 2 2 4 2 2 9" xfId="52329"/>
    <cellStyle name="Normal 2 2 4 2 3" xfId="52330"/>
    <cellStyle name="Normal 2 2 4 2 3 2" xfId="52331"/>
    <cellStyle name="Normal 2 2 4 2 3 2 2" xfId="52332"/>
    <cellStyle name="Normal 2 2 4 2 3 2 2 2" xfId="52333"/>
    <cellStyle name="Normal 2 2 4 2 3 2 2 2 2" xfId="52334"/>
    <cellStyle name="Normal 2 2 4 2 3 2 2 2 3" xfId="52335"/>
    <cellStyle name="Normal 2 2 4 2 3 2 2 2 4" xfId="52336"/>
    <cellStyle name="Normal 2 2 4 2 3 2 2 2 5" xfId="52337"/>
    <cellStyle name="Normal 2 2 4 2 3 2 2 3" xfId="52338"/>
    <cellStyle name="Normal 2 2 4 2 3 2 2 4" xfId="52339"/>
    <cellStyle name="Normal 2 2 4 2 3 2 2 5" xfId="52340"/>
    <cellStyle name="Normal 2 2 4 2 3 2 2 6" xfId="52341"/>
    <cellStyle name="Normal 2 2 4 2 3 2 2 7" xfId="52342"/>
    <cellStyle name="Normal 2 2 4 2 3 2 2 8" xfId="52343"/>
    <cellStyle name="Normal 2 2 4 2 3 2 3" xfId="52344"/>
    <cellStyle name="Normal 2 2 4 2 3 3" xfId="52345"/>
    <cellStyle name="Normal 2 2 4 2 3 3 2" xfId="52346"/>
    <cellStyle name="Normal 2 2 4 2 3 3 3" xfId="52347"/>
    <cellStyle name="Normal 2 2 4 2 3 3 4" xfId="52348"/>
    <cellStyle name="Normal 2 2 4 2 3 3 5" xfId="52349"/>
    <cellStyle name="Normal 2 2 4 2 3 4" xfId="52350"/>
    <cellStyle name="Normal 2 2 4 2 3 5" xfId="52351"/>
    <cellStyle name="Normal 2 2 4 2 3 6" xfId="52352"/>
    <cellStyle name="Normal 2 2 4 2 3 7" xfId="52353"/>
    <cellStyle name="Normal 2 2 4 2 3 8" xfId="52354"/>
    <cellStyle name="Normal 2 2 4 2 3 9" xfId="52355"/>
    <cellStyle name="Normal 2 2 4 2 4" xfId="52356"/>
    <cellStyle name="Normal 2 2 4 2 4 2" xfId="52357"/>
    <cellStyle name="Normal 2 2 4 2 4 2 2" xfId="52358"/>
    <cellStyle name="Normal 2 2 4 2 4 2 3" xfId="52359"/>
    <cellStyle name="Normal 2 2 4 2 4 2 4" xfId="52360"/>
    <cellStyle name="Normal 2 2 4 2 4 2 5" xfId="52361"/>
    <cellStyle name="Normal 2 2 4 2 4 3" xfId="52362"/>
    <cellStyle name="Normal 2 2 4 2 4 4" xfId="52363"/>
    <cellStyle name="Normal 2 2 4 2 4 5" xfId="52364"/>
    <cellStyle name="Normal 2 2 4 2 4 6" xfId="52365"/>
    <cellStyle name="Normal 2 2 4 2 4 7" xfId="52366"/>
    <cellStyle name="Normal 2 2 4 2 4 8" xfId="52367"/>
    <cellStyle name="Normal 2 2 4 2 5" xfId="52368"/>
    <cellStyle name="Normal 2 2 4 3" xfId="52369"/>
    <cellStyle name="Normal 2 2 4 3 2" xfId="52370"/>
    <cellStyle name="Normal 2 2 4 3 2 2" xfId="52371"/>
    <cellStyle name="Normal 2 2 4 3 2 2 2" xfId="52372"/>
    <cellStyle name="Normal 2 2 4 3 2 2 2 2" xfId="52373"/>
    <cellStyle name="Normal 2 2 4 3 2 2 2 2 2" xfId="52374"/>
    <cellStyle name="Normal 2 2 4 3 2 2 2 2 3" xfId="52375"/>
    <cellStyle name="Normal 2 2 4 3 2 2 2 2 4" xfId="52376"/>
    <cellStyle name="Normal 2 2 4 3 2 2 2 2 5" xfId="52377"/>
    <cellStyle name="Normal 2 2 4 3 2 2 2 3" xfId="52378"/>
    <cellStyle name="Normal 2 2 4 3 2 2 2 4" xfId="52379"/>
    <cellStyle name="Normal 2 2 4 3 2 2 2 5" xfId="52380"/>
    <cellStyle name="Normal 2 2 4 3 2 2 2 6" xfId="52381"/>
    <cellStyle name="Normal 2 2 4 3 2 2 2 7" xfId="52382"/>
    <cellStyle name="Normal 2 2 4 3 2 2 2 8" xfId="52383"/>
    <cellStyle name="Normal 2 2 4 3 2 2 3" xfId="52384"/>
    <cellStyle name="Normal 2 2 4 3 2 3" xfId="52385"/>
    <cellStyle name="Normal 2 2 4 3 2 3 2" xfId="52386"/>
    <cellStyle name="Normal 2 2 4 3 2 3 3" xfId="52387"/>
    <cellStyle name="Normal 2 2 4 3 2 3 4" xfId="52388"/>
    <cellStyle name="Normal 2 2 4 3 2 3 5" xfId="52389"/>
    <cellStyle name="Normal 2 2 4 3 2 4" xfId="52390"/>
    <cellStyle name="Normal 2 2 4 3 2 5" xfId="52391"/>
    <cellStyle name="Normal 2 2 4 3 2 6" xfId="52392"/>
    <cellStyle name="Normal 2 2 4 3 2 7" xfId="52393"/>
    <cellStyle name="Normal 2 2 4 3 2 8" xfId="52394"/>
    <cellStyle name="Normal 2 2 4 3 2 9" xfId="52395"/>
    <cellStyle name="Normal 2 2 4 3 3" xfId="52396"/>
    <cellStyle name="Normal 2 2 4 3 3 2" xfId="52397"/>
    <cellStyle name="Normal 2 2 4 3 3 2 2" xfId="52398"/>
    <cellStyle name="Normal 2 2 4 3 3 2 3" xfId="52399"/>
    <cellStyle name="Normal 2 2 4 3 3 2 4" xfId="52400"/>
    <cellStyle name="Normal 2 2 4 3 3 2 5" xfId="52401"/>
    <cellStyle name="Normal 2 2 4 3 3 3" xfId="52402"/>
    <cellStyle name="Normal 2 2 4 3 3 4" xfId="52403"/>
    <cellStyle name="Normal 2 2 4 3 3 5" xfId="52404"/>
    <cellStyle name="Normal 2 2 4 3 3 6" xfId="52405"/>
    <cellStyle name="Normal 2 2 4 3 3 7" xfId="52406"/>
    <cellStyle name="Normal 2 2 4 3 3 8" xfId="52407"/>
    <cellStyle name="Normal 2 2 4 3 4" xfId="52408"/>
    <cellStyle name="Normal 2 2 4 4" xfId="52409"/>
    <cellStyle name="Normal 2 2 4 4 2" xfId="52410"/>
    <cellStyle name="Normal 2 2 4 4 2 2" xfId="52411"/>
    <cellStyle name="Normal 2 2 4 4 2 2 2" xfId="52412"/>
    <cellStyle name="Normal 2 2 4 4 2 2 3" xfId="52413"/>
    <cellStyle name="Normal 2 2 4 4 2 2 4" xfId="52414"/>
    <cellStyle name="Normal 2 2 4 4 2 2 5" xfId="52415"/>
    <cellStyle name="Normal 2 2 4 4 2 3" xfId="52416"/>
    <cellStyle name="Normal 2 2 4 4 2 4" xfId="52417"/>
    <cellStyle name="Normal 2 2 4 4 2 5" xfId="52418"/>
    <cellStyle name="Normal 2 2 4 4 2 6" xfId="52419"/>
    <cellStyle name="Normal 2 2 4 4 2 7" xfId="52420"/>
    <cellStyle name="Normal 2 2 4 4 2 8" xfId="52421"/>
    <cellStyle name="Normal 2 2 4 4 3" xfId="52422"/>
    <cellStyle name="Normal 2 2 4 5" xfId="52423"/>
    <cellStyle name="Normal 2 2 4 5 2" xfId="52424"/>
    <cellStyle name="Normal 2 2 4 5 3" xfId="52425"/>
    <cellStyle name="Normal 2 2 4 5 4" xfId="52426"/>
    <cellStyle name="Normal 2 2 4 5 5" xfId="52427"/>
    <cellStyle name="Normal 2 2 4 6" xfId="52428"/>
    <cellStyle name="Normal 2 2 4 7" xfId="52429"/>
    <cellStyle name="Normal 2 2 4 8" xfId="52430"/>
    <cellStyle name="Normal 2 2 4 9" xfId="52431"/>
    <cellStyle name="Normal 2 2 5" xfId="52432"/>
    <cellStyle name="Normal 2 2 5 10" xfId="52433"/>
    <cellStyle name="Normal 2 2 5 2" xfId="52434"/>
    <cellStyle name="Normal 2 2 5 2 2" xfId="52435"/>
    <cellStyle name="Normal 2 2 5 2 2 2" xfId="52436"/>
    <cellStyle name="Normal 2 2 5 2 2 2 2" xfId="52437"/>
    <cellStyle name="Normal 2 2 5 2 2 2 2 2" xfId="52438"/>
    <cellStyle name="Normal 2 2 5 2 2 2 2 2 2" xfId="52439"/>
    <cellStyle name="Normal 2 2 5 2 2 2 2 2 3" xfId="52440"/>
    <cellStyle name="Normal 2 2 5 2 2 2 2 2 4" xfId="52441"/>
    <cellStyle name="Normal 2 2 5 2 2 2 2 2 5" xfId="52442"/>
    <cellStyle name="Normal 2 2 5 2 2 2 2 3" xfId="52443"/>
    <cellStyle name="Normal 2 2 5 2 2 2 2 4" xfId="52444"/>
    <cellStyle name="Normal 2 2 5 2 2 2 2 5" xfId="52445"/>
    <cellStyle name="Normal 2 2 5 2 2 2 2 6" xfId="52446"/>
    <cellStyle name="Normal 2 2 5 2 2 2 2 7" xfId="52447"/>
    <cellStyle name="Normal 2 2 5 2 2 2 2 8" xfId="52448"/>
    <cellStyle name="Normal 2 2 5 2 2 2 3" xfId="52449"/>
    <cellStyle name="Normal 2 2 5 2 2 3" xfId="52450"/>
    <cellStyle name="Normal 2 2 5 2 2 3 2" xfId="52451"/>
    <cellStyle name="Normal 2 2 5 2 2 3 3" xfId="52452"/>
    <cellStyle name="Normal 2 2 5 2 2 3 4" xfId="52453"/>
    <cellStyle name="Normal 2 2 5 2 2 3 5" xfId="52454"/>
    <cellStyle name="Normal 2 2 5 2 2 4" xfId="52455"/>
    <cellStyle name="Normal 2 2 5 2 2 5" xfId="52456"/>
    <cellStyle name="Normal 2 2 5 2 2 6" xfId="52457"/>
    <cellStyle name="Normal 2 2 5 2 2 7" xfId="52458"/>
    <cellStyle name="Normal 2 2 5 2 2 8" xfId="52459"/>
    <cellStyle name="Normal 2 2 5 2 2 9" xfId="52460"/>
    <cellStyle name="Normal 2 2 5 2 3" xfId="52461"/>
    <cellStyle name="Normal 2 2 5 2 3 2" xfId="52462"/>
    <cellStyle name="Normal 2 2 5 2 3 2 2" xfId="52463"/>
    <cellStyle name="Normal 2 2 5 2 3 2 3" xfId="52464"/>
    <cellStyle name="Normal 2 2 5 2 3 2 4" xfId="52465"/>
    <cellStyle name="Normal 2 2 5 2 3 2 5" xfId="52466"/>
    <cellStyle name="Normal 2 2 5 2 3 3" xfId="52467"/>
    <cellStyle name="Normal 2 2 5 2 3 4" xfId="52468"/>
    <cellStyle name="Normal 2 2 5 2 3 5" xfId="52469"/>
    <cellStyle name="Normal 2 2 5 2 3 6" xfId="52470"/>
    <cellStyle name="Normal 2 2 5 2 3 7" xfId="52471"/>
    <cellStyle name="Normal 2 2 5 2 3 8" xfId="52472"/>
    <cellStyle name="Normal 2 2 5 2 4" xfId="52473"/>
    <cellStyle name="Normal 2 2 5 3" xfId="52474"/>
    <cellStyle name="Normal 2 2 5 3 2" xfId="52475"/>
    <cellStyle name="Normal 2 2 5 3 2 2" xfId="52476"/>
    <cellStyle name="Normal 2 2 5 3 2 2 2" xfId="52477"/>
    <cellStyle name="Normal 2 2 5 3 2 2 3" xfId="52478"/>
    <cellStyle name="Normal 2 2 5 3 2 2 4" xfId="52479"/>
    <cellStyle name="Normal 2 2 5 3 2 2 5" xfId="52480"/>
    <cellStyle name="Normal 2 2 5 3 2 3" xfId="52481"/>
    <cellStyle name="Normal 2 2 5 3 2 4" xfId="52482"/>
    <cellStyle name="Normal 2 2 5 3 2 5" xfId="52483"/>
    <cellStyle name="Normal 2 2 5 3 2 6" xfId="52484"/>
    <cellStyle name="Normal 2 2 5 3 2 7" xfId="52485"/>
    <cellStyle name="Normal 2 2 5 3 2 8" xfId="52486"/>
    <cellStyle name="Normal 2 2 5 3 3" xfId="52487"/>
    <cellStyle name="Normal 2 2 5 4" xfId="52488"/>
    <cellStyle name="Normal 2 2 5 4 2" xfId="52489"/>
    <cellStyle name="Normal 2 2 5 4 3" xfId="52490"/>
    <cellStyle name="Normal 2 2 5 4 4" xfId="52491"/>
    <cellStyle name="Normal 2 2 5 4 5" xfId="52492"/>
    <cellStyle name="Normal 2 2 5 5" xfId="52493"/>
    <cellStyle name="Normal 2 2 5 6" xfId="52494"/>
    <cellStyle name="Normal 2 2 5 7" xfId="52495"/>
    <cellStyle name="Normal 2 2 5 8" xfId="52496"/>
    <cellStyle name="Normal 2 2 5 9" xfId="52497"/>
    <cellStyle name="Normal 2 2 6" xfId="52498"/>
    <cellStyle name="Normal 2 2 6 2" xfId="52499"/>
    <cellStyle name="Normal 2 2 6 2 2" xfId="52500"/>
    <cellStyle name="Normal 2 2 6 2 2 2" xfId="52501"/>
    <cellStyle name="Normal 2 2 6 2 2 2 2" xfId="52502"/>
    <cellStyle name="Normal 2 2 6 2 2 2 3" xfId="52503"/>
    <cellStyle name="Normal 2 2 6 2 2 2 4" xfId="52504"/>
    <cellStyle name="Normal 2 2 6 2 2 2 5" xfId="52505"/>
    <cellStyle name="Normal 2 2 6 2 2 3" xfId="52506"/>
    <cellStyle name="Normal 2 2 6 2 2 4" xfId="52507"/>
    <cellStyle name="Normal 2 2 6 2 2 5" xfId="52508"/>
    <cellStyle name="Normal 2 2 6 2 2 6" xfId="52509"/>
    <cellStyle name="Normal 2 2 6 2 2 7" xfId="52510"/>
    <cellStyle name="Normal 2 2 6 2 2 8" xfId="52511"/>
    <cellStyle name="Normal 2 2 6 2 3" xfId="52512"/>
    <cellStyle name="Normal 2 2 6 3" xfId="52513"/>
    <cellStyle name="Normal 2 2 6 3 2" xfId="52514"/>
    <cellStyle name="Normal 2 2 6 3 3" xfId="52515"/>
    <cellStyle name="Normal 2 2 6 3 4" xfId="52516"/>
    <cellStyle name="Normal 2 2 6 3 5" xfId="52517"/>
    <cellStyle name="Normal 2 2 6 4" xfId="52518"/>
    <cellStyle name="Normal 2 2 6 5" xfId="52519"/>
    <cellStyle name="Normal 2 2 6 6" xfId="52520"/>
    <cellStyle name="Normal 2 2 6 7" xfId="52521"/>
    <cellStyle name="Normal 2 2 6 8" xfId="52522"/>
    <cellStyle name="Normal 2 2 6 9" xfId="52523"/>
    <cellStyle name="Normal 2 2 7" xfId="52524"/>
    <cellStyle name="Normal 2 2 7 2" xfId="52525"/>
    <cellStyle name="Normal 2 2 7 2 2" xfId="52526"/>
    <cellStyle name="Normal 2 2 7 2 3" xfId="52527"/>
    <cellStyle name="Normal 2 2 7 2 4" xfId="52528"/>
    <cellStyle name="Normal 2 2 7 2 5" xfId="52529"/>
    <cellStyle name="Normal 2 2 7 3" xfId="52530"/>
    <cellStyle name="Normal 2 2 7 4" xfId="52531"/>
    <cellStyle name="Normal 2 2 7 5" xfId="52532"/>
    <cellStyle name="Normal 2 2 7 6" xfId="52533"/>
    <cellStyle name="Normal 2 2 7 7" xfId="52534"/>
    <cellStyle name="Normal 2 2 7 8" xfId="52535"/>
    <cellStyle name="Normal 2 2 8" xfId="52536"/>
    <cellStyle name="Normal 2 2 9" xfId="52537"/>
    <cellStyle name="Normal 2 2_FY 11 Clin 0002 Summary" xfId="52538"/>
    <cellStyle name="Normal 2 20" xfId="52539"/>
    <cellStyle name="Normal 2 21" xfId="52540"/>
    <cellStyle name="Normal 2 3" xfId="52541"/>
    <cellStyle name="Normal 2 3 2" xfId="52542"/>
    <cellStyle name="Normal 2 3 2 2" xfId="52543"/>
    <cellStyle name="Normal 2 3 2 2 2" xfId="52544"/>
    <cellStyle name="Normal 2 3 2 2 3" xfId="52545"/>
    <cellStyle name="Normal 2 3 2 2 3 2" xfId="52546"/>
    <cellStyle name="Normal 2 3 2 2 3 3" xfId="52547"/>
    <cellStyle name="Normal 2 3 2 3" xfId="52548"/>
    <cellStyle name="Normal 2 3 2 3 2" xfId="52549"/>
    <cellStyle name="Normal 2 3 2 3 2 2" xfId="52550"/>
    <cellStyle name="Normal 2 3 2 3 2 3" xfId="52551"/>
    <cellStyle name="Normal 2 3 2 3 3" xfId="52552"/>
    <cellStyle name="Normal 2 3 2 4" xfId="52553"/>
    <cellStyle name="Normal 2 3 2 4 2" xfId="52554"/>
    <cellStyle name="Normal 2 3 2 4 3" xfId="52555"/>
    <cellStyle name="Normal 2 3 2 5" xfId="52556"/>
    <cellStyle name="Normal 2 3 3" xfId="52557"/>
    <cellStyle name="Normal 2 3 3 2" xfId="52558"/>
    <cellStyle name="Normal 2 3 3 3" xfId="52559"/>
    <cellStyle name="Normal 2 3 4" xfId="52560"/>
    <cellStyle name="Normal 2 3 4 2" xfId="52561"/>
    <cellStyle name="Normal 2 3 4 3" xfId="52562"/>
    <cellStyle name="Normal 2 3 5" xfId="52563"/>
    <cellStyle name="Normal 2 3 6" xfId="52564"/>
    <cellStyle name="Normal 2 3 6 2" xfId="52565"/>
    <cellStyle name="Normal 2 3 6 3" xfId="52566"/>
    <cellStyle name="Normal 2 4" xfId="52567"/>
    <cellStyle name="Normal 2 4 2" xfId="52568"/>
    <cellStyle name="Normal 2 4 2 10" xfId="52569"/>
    <cellStyle name="Normal 2 4 2 11" xfId="52570"/>
    <cellStyle name="Normal 2 4 2 2" xfId="52571"/>
    <cellStyle name="Normal 2 4 2 2 2" xfId="52572"/>
    <cellStyle name="Normal 2 4 2 2 2 10" xfId="52573"/>
    <cellStyle name="Normal 2 4 2 2 2 2" xfId="52574"/>
    <cellStyle name="Normal 2 4 2 2 2 2 2" xfId="52575"/>
    <cellStyle name="Normal 2 4 2 2 2 2 2 2" xfId="52576"/>
    <cellStyle name="Normal 2 4 2 2 2 2 2 2 2" xfId="52577"/>
    <cellStyle name="Normal 2 4 2 2 2 2 2 3" xfId="52578"/>
    <cellStyle name="Normal 2 4 2 2 2 2 2 3 2" xfId="52579"/>
    <cellStyle name="Normal 2 4 2 2 2 2 2 3 3" xfId="52580"/>
    <cellStyle name="Normal 2 4 2 2 2 2 2 3 4" xfId="52581"/>
    <cellStyle name="Normal 2 4 2 2 2 2 2 3 5" xfId="52582"/>
    <cellStyle name="Normal 2 4 2 2 2 2 2 4" xfId="52583"/>
    <cellStyle name="Normal 2 4 2 2 2 2 2 5" xfId="52584"/>
    <cellStyle name="Normal 2 4 2 2 2 2 2 6" xfId="52585"/>
    <cellStyle name="Normal 2 4 2 2 2 2 2 7" xfId="52586"/>
    <cellStyle name="Normal 2 4 2 2 2 2 2 8" xfId="52587"/>
    <cellStyle name="Normal 2 4 2 2 2 2 2 9" xfId="52588"/>
    <cellStyle name="Normal 2 4 2 2 2 2 3" xfId="52589"/>
    <cellStyle name="Normal 2 4 2 2 2 3" xfId="52590"/>
    <cellStyle name="Normal 2 4 2 2 2 3 2" xfId="52591"/>
    <cellStyle name="Normal 2 4 2 2 2 4" xfId="52592"/>
    <cellStyle name="Normal 2 4 2 2 2 4 2" xfId="52593"/>
    <cellStyle name="Normal 2 4 2 2 2 4 3" xfId="52594"/>
    <cellStyle name="Normal 2 4 2 2 2 4 4" xfId="52595"/>
    <cellStyle name="Normal 2 4 2 2 2 4 5" xfId="52596"/>
    <cellStyle name="Normal 2 4 2 2 2 5" xfId="52597"/>
    <cellStyle name="Normal 2 4 2 2 2 6" xfId="52598"/>
    <cellStyle name="Normal 2 4 2 2 2 7" xfId="52599"/>
    <cellStyle name="Normal 2 4 2 2 2 8" xfId="52600"/>
    <cellStyle name="Normal 2 4 2 2 2 9" xfId="52601"/>
    <cellStyle name="Normal 2 4 2 2 3" xfId="52602"/>
    <cellStyle name="Normal 2 4 2 2 3 2" xfId="52603"/>
    <cellStyle name="Normal 2 4 2 2 3 2 2" xfId="52604"/>
    <cellStyle name="Normal 2 4 2 2 3 3" xfId="52605"/>
    <cellStyle name="Normal 2 4 2 2 3 3 2" xfId="52606"/>
    <cellStyle name="Normal 2 4 2 2 3 3 3" xfId="52607"/>
    <cellStyle name="Normal 2 4 2 2 3 3 4" xfId="52608"/>
    <cellStyle name="Normal 2 4 2 2 3 3 5" xfId="52609"/>
    <cellStyle name="Normal 2 4 2 2 3 4" xfId="52610"/>
    <cellStyle name="Normal 2 4 2 2 3 5" xfId="52611"/>
    <cellStyle name="Normal 2 4 2 2 3 6" xfId="52612"/>
    <cellStyle name="Normal 2 4 2 2 3 7" xfId="52613"/>
    <cellStyle name="Normal 2 4 2 2 3 8" xfId="52614"/>
    <cellStyle name="Normal 2 4 2 2 3 9" xfId="52615"/>
    <cellStyle name="Normal 2 4 2 2 4" xfId="52616"/>
    <cellStyle name="Normal 2 4 2 3" xfId="52617"/>
    <cellStyle name="Normal 2 4 2 3 2" xfId="52618"/>
    <cellStyle name="Normal 2 4 2 3 2 2" xfId="52619"/>
    <cellStyle name="Normal 2 4 2 3 2 2 2" xfId="52620"/>
    <cellStyle name="Normal 2 4 2 3 2 3" xfId="52621"/>
    <cellStyle name="Normal 2 4 2 3 2 3 2" xfId="52622"/>
    <cellStyle name="Normal 2 4 2 3 2 3 3" xfId="52623"/>
    <cellStyle name="Normal 2 4 2 3 2 3 4" xfId="52624"/>
    <cellStyle name="Normal 2 4 2 3 2 3 5" xfId="52625"/>
    <cellStyle name="Normal 2 4 2 3 2 4" xfId="52626"/>
    <cellStyle name="Normal 2 4 2 3 2 5" xfId="52627"/>
    <cellStyle name="Normal 2 4 2 3 2 6" xfId="52628"/>
    <cellStyle name="Normal 2 4 2 3 2 7" xfId="52629"/>
    <cellStyle name="Normal 2 4 2 3 2 8" xfId="52630"/>
    <cellStyle name="Normal 2 4 2 3 2 9" xfId="52631"/>
    <cellStyle name="Normal 2 4 2 3 3" xfId="52632"/>
    <cellStyle name="Normal 2 4 2 4" xfId="52633"/>
    <cellStyle name="Normal 2 4 2 4 2" xfId="52634"/>
    <cellStyle name="Normal 2 4 2 5" xfId="52635"/>
    <cellStyle name="Normal 2 4 2 5 2" xfId="52636"/>
    <cellStyle name="Normal 2 4 2 5 3" xfId="52637"/>
    <cellStyle name="Normal 2 4 2 5 4" xfId="52638"/>
    <cellStyle name="Normal 2 4 2 5 5" xfId="52639"/>
    <cellStyle name="Normal 2 4 2 6" xfId="52640"/>
    <cellStyle name="Normal 2 4 2 7" xfId="52641"/>
    <cellStyle name="Normal 2 4 2 8" xfId="52642"/>
    <cellStyle name="Normal 2 4 2 9" xfId="52643"/>
    <cellStyle name="Normal 2 4 3" xfId="52644"/>
    <cellStyle name="Normal 2 4 3 10" xfId="52645"/>
    <cellStyle name="Normal 2 4 3 2" xfId="52646"/>
    <cellStyle name="Normal 2 4 3 2 2" xfId="52647"/>
    <cellStyle name="Normal 2 4 3 2 2 2" xfId="52648"/>
    <cellStyle name="Normal 2 4 3 2 2 2 2" xfId="52649"/>
    <cellStyle name="Normal 2 4 3 2 2 3" xfId="52650"/>
    <cellStyle name="Normal 2 4 3 2 2 3 2" xfId="52651"/>
    <cellStyle name="Normal 2 4 3 2 2 3 3" xfId="52652"/>
    <cellStyle name="Normal 2 4 3 2 2 3 4" xfId="52653"/>
    <cellStyle name="Normal 2 4 3 2 2 3 5" xfId="52654"/>
    <cellStyle name="Normal 2 4 3 2 2 4" xfId="52655"/>
    <cellStyle name="Normal 2 4 3 2 2 5" xfId="52656"/>
    <cellStyle name="Normal 2 4 3 2 2 6" xfId="52657"/>
    <cellStyle name="Normal 2 4 3 2 2 7" xfId="52658"/>
    <cellStyle name="Normal 2 4 3 2 2 8" xfId="52659"/>
    <cellStyle name="Normal 2 4 3 2 2 9" xfId="52660"/>
    <cellStyle name="Normal 2 4 3 2 3" xfId="52661"/>
    <cellStyle name="Normal 2 4 3 3" xfId="52662"/>
    <cellStyle name="Normal 2 4 3 3 2" xfId="52663"/>
    <cellStyle name="Normal 2 4 3 4" xfId="52664"/>
    <cellStyle name="Normal 2 4 3 4 2" xfId="52665"/>
    <cellStyle name="Normal 2 4 3 4 3" xfId="52666"/>
    <cellStyle name="Normal 2 4 3 4 4" xfId="52667"/>
    <cellStyle name="Normal 2 4 3 4 5" xfId="52668"/>
    <cellStyle name="Normal 2 4 3 5" xfId="52669"/>
    <cellStyle name="Normal 2 4 3 6" xfId="52670"/>
    <cellStyle name="Normal 2 4 3 7" xfId="52671"/>
    <cellStyle name="Normal 2 4 3 8" xfId="52672"/>
    <cellStyle name="Normal 2 4 3 9" xfId="52673"/>
    <cellStyle name="Normal 2 4 4" xfId="52674"/>
    <cellStyle name="Normal 2 4 4 2" xfId="52675"/>
    <cellStyle name="Normal 2 4 4 2 2" xfId="52676"/>
    <cellStyle name="Normal 2 4 4 3" xfId="52677"/>
    <cellStyle name="Normal 2 4 4 3 2" xfId="52678"/>
    <cellStyle name="Normal 2 4 4 3 3" xfId="52679"/>
    <cellStyle name="Normal 2 4 4 3 4" xfId="52680"/>
    <cellStyle name="Normal 2 4 4 3 5" xfId="52681"/>
    <cellStyle name="Normal 2 4 4 4" xfId="52682"/>
    <cellStyle name="Normal 2 4 4 5" xfId="52683"/>
    <cellStyle name="Normal 2 4 4 6" xfId="52684"/>
    <cellStyle name="Normal 2 4 4 7" xfId="52685"/>
    <cellStyle name="Normal 2 4 4 8" xfId="52686"/>
    <cellStyle name="Normal 2 4 4 9" xfId="52687"/>
    <cellStyle name="Normal 2 4 5" xfId="52688"/>
    <cellStyle name="Normal 2 5" xfId="52689"/>
    <cellStyle name="Normal 2 5 2" xfId="52690"/>
    <cellStyle name="Normal 2 5 2 10" xfId="52691"/>
    <cellStyle name="Normal 2 5 2 2" xfId="52692"/>
    <cellStyle name="Normal 2 5 2 2 2" xfId="52693"/>
    <cellStyle name="Normal 2 5 2 2 2 2" xfId="52694"/>
    <cellStyle name="Normal 2 5 2 2 2 2 2" xfId="52695"/>
    <cellStyle name="Normal 2 5 2 2 2 3" xfId="52696"/>
    <cellStyle name="Normal 2 5 2 2 2 3 2" xfId="52697"/>
    <cellStyle name="Normal 2 5 2 2 2 3 3" xfId="52698"/>
    <cellStyle name="Normal 2 5 2 2 2 3 4" xfId="52699"/>
    <cellStyle name="Normal 2 5 2 2 2 3 5" xfId="52700"/>
    <cellStyle name="Normal 2 5 2 2 2 4" xfId="52701"/>
    <cellStyle name="Normal 2 5 2 2 2 5" xfId="52702"/>
    <cellStyle name="Normal 2 5 2 2 2 6" xfId="52703"/>
    <cellStyle name="Normal 2 5 2 2 2 7" xfId="52704"/>
    <cellStyle name="Normal 2 5 2 2 2 8" xfId="52705"/>
    <cellStyle name="Normal 2 5 2 2 2 9" xfId="52706"/>
    <cellStyle name="Normal 2 5 2 2 3" xfId="52707"/>
    <cellStyle name="Normal 2 5 2 3" xfId="52708"/>
    <cellStyle name="Normal 2 5 2 3 2" xfId="52709"/>
    <cellStyle name="Normal 2 5 2 3 4" xfId="52710"/>
    <cellStyle name="Normal 2 5 2 4" xfId="52711"/>
    <cellStyle name="Normal 2 5 2 4 2" xfId="52712"/>
    <cellStyle name="Normal 2 5 2 4 3" xfId="52713"/>
    <cellStyle name="Normal 2 5 2 4 4" xfId="52714"/>
    <cellStyle name="Normal 2 5 2 4 5" xfId="52715"/>
    <cellStyle name="Normal 2 5 2 5" xfId="52716"/>
    <cellStyle name="Normal 2 5 2 6" xfId="52717"/>
    <cellStyle name="Normal 2 5 2 7" xfId="52718"/>
    <cellStyle name="Normal 2 5 2 8" xfId="52719"/>
    <cellStyle name="Normal 2 5 2 9" xfId="52720"/>
    <cellStyle name="Normal 2 5 3" xfId="52721"/>
    <cellStyle name="Normal 2 5 3 2" xfId="52722"/>
    <cellStyle name="Normal 2 5 3 2 2" xfId="52723"/>
    <cellStyle name="Normal 2 5 3 3" xfId="52724"/>
    <cellStyle name="Normal 2 5 3 3 2" xfId="52725"/>
    <cellStyle name="Normal 2 5 3 3 3" xfId="52726"/>
    <cellStyle name="Normal 2 5 3 3 4" xfId="52727"/>
    <cellStyle name="Normal 2 5 3 3 5" xfId="52728"/>
    <cellStyle name="Normal 2 5 3 4" xfId="52729"/>
    <cellStyle name="Normal 2 5 3 5" xfId="52730"/>
    <cellStyle name="Normal 2 5 3 6" xfId="52731"/>
    <cellStyle name="Normal 2 5 3 7" xfId="52732"/>
    <cellStyle name="Normal 2 5 3 8" xfId="52733"/>
    <cellStyle name="Normal 2 5 3 9" xfId="52734"/>
    <cellStyle name="Normal 2 5 4" xfId="52735"/>
    <cellStyle name="Normal 2 6" xfId="52736"/>
    <cellStyle name="Normal 2 6 2" xfId="52737"/>
    <cellStyle name="Normal 2 6 2 2" xfId="52738"/>
    <cellStyle name="Normal 2 6 2 2 2" xfId="52739"/>
    <cellStyle name="Normal 2 6 2 3" xfId="52740"/>
    <cellStyle name="Normal 2 6 2 3 2" xfId="52741"/>
    <cellStyle name="Normal 2 6 2 3 3" xfId="52742"/>
    <cellStyle name="Normal 2 6 2 3 4" xfId="52743"/>
    <cellStyle name="Normal 2 6 2 3 5" xfId="52744"/>
    <cellStyle name="Normal 2 6 2 4" xfId="52745"/>
    <cellStyle name="Normal 2 6 2 5" xfId="52746"/>
    <cellStyle name="Normal 2 6 2 6" xfId="52747"/>
    <cellStyle name="Normal 2 6 2 7" xfId="52748"/>
    <cellStyle name="Normal 2 6 2 8" xfId="52749"/>
    <cellStyle name="Normal 2 6 2 9" xfId="52750"/>
    <cellStyle name="Normal 2 6 3" xfId="52751"/>
    <cellStyle name="Normal 2 7" xfId="52752"/>
    <cellStyle name="Normal 2 7 2" xfId="52753"/>
    <cellStyle name="Normal 2 7 3" xfId="52754"/>
    <cellStyle name="Normal 2 8" xfId="52755"/>
    <cellStyle name="Normal 2 8 2" xfId="52756"/>
    <cellStyle name="Normal 2 8 3" xfId="52757"/>
    <cellStyle name="Normal 2 9" xfId="52758"/>
    <cellStyle name="Normal 2 9 2" xfId="52759"/>
    <cellStyle name="Normal 2 9 3" xfId="52760"/>
    <cellStyle name="Normal 2_T1_TP_MASTER_032112_Rev A" xfId="52761"/>
    <cellStyle name="Normal 20" xfId="52762"/>
    <cellStyle name="Normal 20 10" xfId="52763"/>
    <cellStyle name="Normal 20 11" xfId="52764"/>
    <cellStyle name="Normal 20 2" xfId="52765"/>
    <cellStyle name="Normal 20 2 10" xfId="52766"/>
    <cellStyle name="Normal 20 2 11" xfId="52767"/>
    <cellStyle name="Normal 20 2 2" xfId="52768"/>
    <cellStyle name="Normal 20 2 2 2" xfId="52769"/>
    <cellStyle name="Normal 20 2 2 2 2" xfId="52770"/>
    <cellStyle name="Normal 20 2 2 2 2 2" xfId="52771"/>
    <cellStyle name="Normal 20 2 2 2 2 2 2" xfId="52772"/>
    <cellStyle name="Normal 20 2 2 2 2 2 3" xfId="52773"/>
    <cellStyle name="Normal 20 2 2 2 2 3" xfId="52774"/>
    <cellStyle name="Normal 20 2 2 2 2 4" xfId="52775"/>
    <cellStyle name="Normal 20 2 2 2 3" xfId="52776"/>
    <cellStyle name="Normal 20 2 2 2 3 2" xfId="52777"/>
    <cellStyle name="Normal 20 2 2 2 3 3" xfId="52778"/>
    <cellStyle name="Normal 20 2 2 2 4" xfId="52779"/>
    <cellStyle name="Normal 20 2 2 2 4 2" xfId="52780"/>
    <cellStyle name="Normal 20 2 2 2 4 3" xfId="52781"/>
    <cellStyle name="Normal 20 2 2 2 5" xfId="52782"/>
    <cellStyle name="Normal 20 2 2 2 6" xfId="52783"/>
    <cellStyle name="Normal 20 2 2 3" xfId="52784"/>
    <cellStyle name="Normal 20 2 2 3 2" xfId="52785"/>
    <cellStyle name="Normal 20 2 2 3 2 2" xfId="52786"/>
    <cellStyle name="Normal 20 2 2 3 2 2 2" xfId="52787"/>
    <cellStyle name="Normal 20 2 2 3 2 2 3" xfId="52788"/>
    <cellStyle name="Normal 20 2 2 3 2 3" xfId="52789"/>
    <cellStyle name="Normal 20 2 2 3 2 4" xfId="52790"/>
    <cellStyle name="Normal 20 2 2 3 3" xfId="52791"/>
    <cellStyle name="Normal 20 2 2 3 3 2" xfId="52792"/>
    <cellStyle name="Normal 20 2 2 3 3 3" xfId="52793"/>
    <cellStyle name="Normal 20 2 2 3 4" xfId="52794"/>
    <cellStyle name="Normal 20 2 2 3 4 2" xfId="52795"/>
    <cellStyle name="Normal 20 2 2 3 4 3" xfId="52796"/>
    <cellStyle name="Normal 20 2 2 3 5" xfId="52797"/>
    <cellStyle name="Normal 20 2 2 3 6" xfId="52798"/>
    <cellStyle name="Normal 20 2 2 4" xfId="52799"/>
    <cellStyle name="Normal 20 2 2 4 2" xfId="52800"/>
    <cellStyle name="Normal 20 2 2 4 2 2" xfId="52801"/>
    <cellStyle name="Normal 20 2 2 4 2 3" xfId="52802"/>
    <cellStyle name="Normal 20 2 2 4 3" xfId="52803"/>
    <cellStyle name="Normal 20 2 2 4 4" xfId="52804"/>
    <cellStyle name="Normal 20 2 2 5" xfId="52805"/>
    <cellStyle name="Normal 20 2 2 5 2" xfId="52806"/>
    <cellStyle name="Normal 20 2 2 5 3" xfId="52807"/>
    <cellStyle name="Normal 20 2 2 6" xfId="52808"/>
    <cellStyle name="Normal 20 2 2 6 2" xfId="52809"/>
    <cellStyle name="Normal 20 2 2 6 3" xfId="52810"/>
    <cellStyle name="Normal 20 2 2 7" xfId="52811"/>
    <cellStyle name="Normal 20 2 2 8" xfId="52812"/>
    <cellStyle name="Normal 20 2 3" xfId="52813"/>
    <cellStyle name="Normal 20 2 3 2" xfId="52814"/>
    <cellStyle name="Normal 20 2 3 2 2" xfId="52815"/>
    <cellStyle name="Normal 20 2 3 2 2 2" xfId="52816"/>
    <cellStyle name="Normal 20 2 3 2 2 3" xfId="52817"/>
    <cellStyle name="Normal 20 2 3 2 3" xfId="52818"/>
    <cellStyle name="Normal 20 2 3 2 4" xfId="52819"/>
    <cellStyle name="Normal 20 2 3 3" xfId="52820"/>
    <cellStyle name="Normal 20 2 3 3 2" xfId="52821"/>
    <cellStyle name="Normal 20 2 3 3 3" xfId="52822"/>
    <cellStyle name="Normal 20 2 3 4" xfId="52823"/>
    <cellStyle name="Normal 20 2 3 4 2" xfId="52824"/>
    <cellStyle name="Normal 20 2 3 4 3" xfId="52825"/>
    <cellStyle name="Normal 20 2 3 5" xfId="52826"/>
    <cellStyle name="Normal 20 2 3 6" xfId="52827"/>
    <cellStyle name="Normal 20 2 4" xfId="52828"/>
    <cellStyle name="Normal 20 2 4 2" xfId="52829"/>
    <cellStyle name="Normal 20 2 4 2 2" xfId="52830"/>
    <cellStyle name="Normal 20 2 4 2 2 2" xfId="52831"/>
    <cellStyle name="Normal 20 2 4 2 2 3" xfId="52832"/>
    <cellStyle name="Normal 20 2 4 2 3" xfId="52833"/>
    <cellStyle name="Normal 20 2 4 2 4" xfId="52834"/>
    <cellStyle name="Normal 20 2 4 3" xfId="52835"/>
    <cellStyle name="Normal 20 2 4 3 2" xfId="52836"/>
    <cellStyle name="Normal 20 2 4 3 3" xfId="52837"/>
    <cellStyle name="Normal 20 2 4 4" xfId="52838"/>
    <cellStyle name="Normal 20 2 4 4 2" xfId="52839"/>
    <cellStyle name="Normal 20 2 4 4 3" xfId="52840"/>
    <cellStyle name="Normal 20 2 4 5" xfId="52841"/>
    <cellStyle name="Normal 20 2 4 6" xfId="52842"/>
    <cellStyle name="Normal 20 2 5" xfId="52843"/>
    <cellStyle name="Normal 20 2 5 2" xfId="52844"/>
    <cellStyle name="Normal 20 2 5 2 2" xfId="52845"/>
    <cellStyle name="Normal 20 2 5 2 3" xfId="52846"/>
    <cellStyle name="Normal 20 2 5 3" xfId="52847"/>
    <cellStyle name="Normal 20 2 5 4" xfId="52848"/>
    <cellStyle name="Normal 20 2 6" xfId="52849"/>
    <cellStyle name="Normal 20 2 6 2" xfId="52850"/>
    <cellStyle name="Normal 20 2 6 2 2" xfId="52851"/>
    <cellStyle name="Normal 20 2 6 2 3" xfId="52852"/>
    <cellStyle name="Normal 20 2 6 3" xfId="52853"/>
    <cellStyle name="Normal 20 2 6 4" xfId="52854"/>
    <cellStyle name="Normal 20 2 7" xfId="52855"/>
    <cellStyle name="Normal 20 2 7 2" xfId="52856"/>
    <cellStyle name="Normal 20 2 7 3" xfId="52857"/>
    <cellStyle name="Normal 20 2 8" xfId="52858"/>
    <cellStyle name="Normal 20 2 8 2" xfId="52859"/>
    <cellStyle name="Normal 20 2 8 3" xfId="52860"/>
    <cellStyle name="Normal 20 2 9" xfId="52861"/>
    <cellStyle name="Normal 20 3" xfId="52862"/>
    <cellStyle name="Normal 20 3 2" xfId="52863"/>
    <cellStyle name="Normal 20 3 2 2" xfId="52864"/>
    <cellStyle name="Normal 20 3 2 2 2" xfId="52865"/>
    <cellStyle name="Normal 20 3 2 2 2 2" xfId="52866"/>
    <cellStyle name="Normal 20 3 2 2 2 3" xfId="52867"/>
    <cellStyle name="Normal 20 3 2 2 3" xfId="52868"/>
    <cellStyle name="Normal 20 3 2 2 4" xfId="52869"/>
    <cellStyle name="Normal 20 3 2 3" xfId="52870"/>
    <cellStyle name="Normal 20 3 2 3 2" xfId="52871"/>
    <cellStyle name="Normal 20 3 2 3 3" xfId="52872"/>
    <cellStyle name="Normal 20 3 2 4" xfId="52873"/>
    <cellStyle name="Normal 20 3 2 4 2" xfId="52874"/>
    <cellStyle name="Normal 20 3 2 4 3" xfId="52875"/>
    <cellStyle name="Normal 20 3 2 5" xfId="52876"/>
    <cellStyle name="Normal 20 3 2 6" xfId="52877"/>
    <cellStyle name="Normal 20 3 3" xfId="52878"/>
    <cellStyle name="Normal 20 3 3 2" xfId="52879"/>
    <cellStyle name="Normal 20 3 3 2 2" xfId="52880"/>
    <cellStyle name="Normal 20 3 3 2 2 2" xfId="52881"/>
    <cellStyle name="Normal 20 3 3 2 2 3" xfId="52882"/>
    <cellStyle name="Normal 20 3 3 2 3" xfId="52883"/>
    <cellStyle name="Normal 20 3 3 2 4" xfId="52884"/>
    <cellStyle name="Normal 20 3 3 3" xfId="52885"/>
    <cellStyle name="Normal 20 3 3 3 2" xfId="52886"/>
    <cellStyle name="Normal 20 3 3 3 3" xfId="52887"/>
    <cellStyle name="Normal 20 3 3 4" xfId="52888"/>
    <cellStyle name="Normal 20 3 3 4 2" xfId="52889"/>
    <cellStyle name="Normal 20 3 3 4 3" xfId="52890"/>
    <cellStyle name="Normal 20 3 3 5" xfId="52891"/>
    <cellStyle name="Normal 20 3 3 6" xfId="52892"/>
    <cellStyle name="Normal 20 3 4" xfId="52893"/>
    <cellStyle name="Normal 20 3 4 2" xfId="52894"/>
    <cellStyle name="Normal 20 3 4 2 2" xfId="52895"/>
    <cellStyle name="Normal 20 3 4 2 3" xfId="52896"/>
    <cellStyle name="Normal 20 3 4 3" xfId="52897"/>
    <cellStyle name="Normal 20 3 4 4" xfId="52898"/>
    <cellStyle name="Normal 20 3 5" xfId="52899"/>
    <cellStyle name="Normal 20 3 5 2" xfId="52900"/>
    <cellStyle name="Normal 20 3 5 3" xfId="52901"/>
    <cellStyle name="Normal 20 3 6" xfId="52902"/>
    <cellStyle name="Normal 20 3 6 2" xfId="52903"/>
    <cellStyle name="Normal 20 3 6 3" xfId="52904"/>
    <cellStyle name="Normal 20 3 7" xfId="52905"/>
    <cellStyle name="Normal 20 3 8" xfId="52906"/>
    <cellStyle name="Normal 20 4" xfId="52907"/>
    <cellStyle name="Normal 20 4 2" xfId="52908"/>
    <cellStyle name="Normal 20 4 2 2" xfId="52909"/>
    <cellStyle name="Normal 20 4 2 2 2" xfId="52910"/>
    <cellStyle name="Normal 20 4 2 2 3" xfId="52911"/>
    <cellStyle name="Normal 20 4 2 3" xfId="52912"/>
    <cellStyle name="Normal 20 4 2 4" xfId="52913"/>
    <cellStyle name="Normal 20 4 3" xfId="52914"/>
    <cellStyle name="Normal 20 4 3 2" xfId="52915"/>
    <cellStyle name="Normal 20 4 3 3" xfId="52916"/>
    <cellStyle name="Normal 20 4 4" xfId="52917"/>
    <cellStyle name="Normal 20 4 4 2" xfId="52918"/>
    <cellStyle name="Normal 20 4 4 3" xfId="52919"/>
    <cellStyle name="Normal 20 4 5" xfId="52920"/>
    <cellStyle name="Normal 20 4 6" xfId="52921"/>
    <cellStyle name="Normal 20 5" xfId="52922"/>
    <cellStyle name="Normal 20 5 2" xfId="52923"/>
    <cellStyle name="Normal 20 5 2 2" xfId="52924"/>
    <cellStyle name="Normal 20 5 2 2 2" xfId="52925"/>
    <cellStyle name="Normal 20 5 2 2 3" xfId="52926"/>
    <cellStyle name="Normal 20 5 2 3" xfId="52927"/>
    <cellStyle name="Normal 20 5 2 4" xfId="52928"/>
    <cellStyle name="Normal 20 5 3" xfId="52929"/>
    <cellStyle name="Normal 20 5 3 2" xfId="52930"/>
    <cellStyle name="Normal 20 5 3 3" xfId="52931"/>
    <cellStyle name="Normal 20 5 4" xfId="52932"/>
    <cellStyle name="Normal 20 5 4 2" xfId="52933"/>
    <cellStyle name="Normal 20 5 4 3" xfId="52934"/>
    <cellStyle name="Normal 20 5 5" xfId="52935"/>
    <cellStyle name="Normal 20 5 6" xfId="52936"/>
    <cellStyle name="Normal 20 6" xfId="52937"/>
    <cellStyle name="Normal 20 6 2" xfId="52938"/>
    <cellStyle name="Normal 20 6 2 2" xfId="52939"/>
    <cellStyle name="Normal 20 6 2 3" xfId="52940"/>
    <cellStyle name="Normal 20 6 3" xfId="52941"/>
    <cellStyle name="Normal 20 6 4" xfId="52942"/>
    <cellStyle name="Normal 20 7" xfId="52943"/>
    <cellStyle name="Normal 20 7 2" xfId="52944"/>
    <cellStyle name="Normal 20 7 2 2" xfId="52945"/>
    <cellStyle name="Normal 20 7 2 3" xfId="52946"/>
    <cellStyle name="Normal 20 7 3" xfId="52947"/>
    <cellStyle name="Normal 20 7 4" xfId="52948"/>
    <cellStyle name="Normal 20 8" xfId="52949"/>
    <cellStyle name="Normal 20 8 2" xfId="52950"/>
    <cellStyle name="Normal 20 8 3" xfId="52951"/>
    <cellStyle name="Normal 20 9" xfId="52952"/>
    <cellStyle name="Normal 20 9 2" xfId="52953"/>
    <cellStyle name="Normal 20 9 3" xfId="52954"/>
    <cellStyle name="Normal 200" xfId="52955"/>
    <cellStyle name="Normal 200 2" xfId="52956"/>
    <cellStyle name="Normal 200 2 2" xfId="52957"/>
    <cellStyle name="Normal 200 2 2 2" xfId="52958"/>
    <cellStyle name="Normal 200 2 2 2 2" xfId="52959"/>
    <cellStyle name="Normal 200 2 2 2 3" xfId="52960"/>
    <cellStyle name="Normal 200 2 2 3" xfId="52961"/>
    <cellStyle name="Normal 200 2 2 4" xfId="52962"/>
    <cellStyle name="Normal 200 2 3" xfId="52963"/>
    <cellStyle name="Normal 200 2 3 2" xfId="52964"/>
    <cellStyle name="Normal 200 2 3 3" xfId="52965"/>
    <cellStyle name="Normal 200 2 4" xfId="52966"/>
    <cellStyle name="Normal 200 2 4 2" xfId="52967"/>
    <cellStyle name="Normal 200 2 4 3" xfId="52968"/>
    <cellStyle name="Normal 200 2 5" xfId="52969"/>
    <cellStyle name="Normal 200 2 6" xfId="52970"/>
    <cellStyle name="Normal 200 3" xfId="52971"/>
    <cellStyle name="Normal 200 3 2" xfId="52972"/>
    <cellStyle name="Normal 200 3 2 2" xfId="52973"/>
    <cellStyle name="Normal 200 3 2 2 2" xfId="52974"/>
    <cellStyle name="Normal 200 3 2 2 3" xfId="52975"/>
    <cellStyle name="Normal 200 3 2 3" xfId="52976"/>
    <cellStyle name="Normal 200 3 2 4" xfId="52977"/>
    <cellStyle name="Normal 200 3 3" xfId="52978"/>
    <cellStyle name="Normal 200 3 3 2" xfId="52979"/>
    <cellStyle name="Normal 200 3 3 3" xfId="52980"/>
    <cellStyle name="Normal 200 3 4" xfId="52981"/>
    <cellStyle name="Normal 200 3 4 2" xfId="52982"/>
    <cellStyle name="Normal 200 3 4 3" xfId="52983"/>
    <cellStyle name="Normal 200 3 5" xfId="52984"/>
    <cellStyle name="Normal 200 3 6" xfId="52985"/>
    <cellStyle name="Normal 200 4" xfId="52986"/>
    <cellStyle name="Normal 200 4 2" xfId="52987"/>
    <cellStyle name="Normal 200 4 2 2" xfId="52988"/>
    <cellStyle name="Normal 200 4 2 3" xfId="52989"/>
    <cellStyle name="Normal 200 4 3" xfId="52990"/>
    <cellStyle name="Normal 200 4 4" xfId="52991"/>
    <cellStyle name="Normal 200 5" xfId="52992"/>
    <cellStyle name="Normal 200 5 2" xfId="52993"/>
    <cellStyle name="Normal 200 5 3" xfId="52994"/>
    <cellStyle name="Normal 200 6" xfId="52995"/>
    <cellStyle name="Normal 200 6 2" xfId="52996"/>
    <cellStyle name="Normal 200 6 3" xfId="52997"/>
    <cellStyle name="Normal 200 7" xfId="52998"/>
    <cellStyle name="Normal 200 8" xfId="52999"/>
    <cellStyle name="Normal 201" xfId="53000"/>
    <cellStyle name="Normal 201 2" xfId="53001"/>
    <cellStyle name="Normal 201 3" xfId="53002"/>
    <cellStyle name="Normal 202" xfId="53003"/>
    <cellStyle name="Normal 202 2" xfId="53004"/>
    <cellStyle name="Normal 202 2 2" xfId="53005"/>
    <cellStyle name="Normal 202 2 2 2" xfId="53006"/>
    <cellStyle name="Normal 202 2 2 2 2" xfId="53007"/>
    <cellStyle name="Normal 202 2 2 2 3" xfId="53008"/>
    <cellStyle name="Normal 202 2 2 3" xfId="53009"/>
    <cellStyle name="Normal 202 2 2 4" xfId="53010"/>
    <cellStyle name="Normal 202 2 3" xfId="53011"/>
    <cellStyle name="Normal 202 2 3 2" xfId="53012"/>
    <cellStyle name="Normal 202 2 3 3" xfId="53013"/>
    <cellStyle name="Normal 202 2 4" xfId="53014"/>
    <cellStyle name="Normal 202 2 4 2" xfId="53015"/>
    <cellStyle name="Normal 202 2 4 3" xfId="53016"/>
    <cellStyle name="Normal 202 2 5" xfId="53017"/>
    <cellStyle name="Normal 202 2 6" xfId="53018"/>
    <cellStyle name="Normal 202 3" xfId="53019"/>
    <cellStyle name="Normal 202 3 2" xfId="53020"/>
    <cellStyle name="Normal 202 3 2 2" xfId="53021"/>
    <cellStyle name="Normal 202 3 2 2 2" xfId="53022"/>
    <cellStyle name="Normal 202 3 2 2 3" xfId="53023"/>
    <cellStyle name="Normal 202 3 2 3" xfId="53024"/>
    <cellStyle name="Normal 202 3 2 4" xfId="53025"/>
    <cellStyle name="Normal 202 3 3" xfId="53026"/>
    <cellStyle name="Normal 202 3 3 2" xfId="53027"/>
    <cellStyle name="Normal 202 3 3 3" xfId="53028"/>
    <cellStyle name="Normal 202 3 4" xfId="53029"/>
    <cellStyle name="Normal 202 3 4 2" xfId="53030"/>
    <cellStyle name="Normal 202 3 4 3" xfId="53031"/>
    <cellStyle name="Normal 202 3 5" xfId="53032"/>
    <cellStyle name="Normal 202 3 6" xfId="53033"/>
    <cellStyle name="Normal 202 4" xfId="53034"/>
    <cellStyle name="Normal 202 4 2" xfId="53035"/>
    <cellStyle name="Normal 202 4 2 2" xfId="53036"/>
    <cellStyle name="Normal 202 4 2 3" xfId="53037"/>
    <cellStyle name="Normal 202 4 3" xfId="53038"/>
    <cellStyle name="Normal 202 4 4" xfId="53039"/>
    <cellStyle name="Normal 202 5" xfId="53040"/>
    <cellStyle name="Normal 202 5 2" xfId="53041"/>
    <cellStyle name="Normal 202 5 3" xfId="53042"/>
    <cellStyle name="Normal 202 6" xfId="53043"/>
    <cellStyle name="Normal 202 6 2" xfId="53044"/>
    <cellStyle name="Normal 202 6 3" xfId="53045"/>
    <cellStyle name="Normal 202 7" xfId="53046"/>
    <cellStyle name="Normal 202 8" xfId="53047"/>
    <cellStyle name="Normal 203" xfId="53048"/>
    <cellStyle name="Normal 203 2" xfId="53049"/>
    <cellStyle name="Normal 203 2 2" xfId="53050"/>
    <cellStyle name="Normal 203 2 2 2" xfId="53051"/>
    <cellStyle name="Normal 203 2 2 2 2" xfId="53052"/>
    <cellStyle name="Normal 203 2 2 2 3" xfId="53053"/>
    <cellStyle name="Normal 203 2 2 3" xfId="53054"/>
    <cellStyle name="Normal 203 2 2 4" xfId="53055"/>
    <cellStyle name="Normal 203 2 3" xfId="53056"/>
    <cellStyle name="Normal 203 2 3 2" xfId="53057"/>
    <cellStyle name="Normal 203 2 3 3" xfId="53058"/>
    <cellStyle name="Normal 203 2 4" xfId="53059"/>
    <cellStyle name="Normal 203 2 4 2" xfId="53060"/>
    <cellStyle name="Normal 203 2 4 3" xfId="53061"/>
    <cellStyle name="Normal 203 2 5" xfId="53062"/>
    <cellStyle name="Normal 203 2 6" xfId="53063"/>
    <cellStyle name="Normal 203 3" xfId="53064"/>
    <cellStyle name="Normal 203 3 2" xfId="53065"/>
    <cellStyle name="Normal 203 3 2 2" xfId="53066"/>
    <cellStyle name="Normal 203 3 2 2 2" xfId="53067"/>
    <cellStyle name="Normal 203 3 2 2 3" xfId="53068"/>
    <cellStyle name="Normal 203 3 2 3" xfId="53069"/>
    <cellStyle name="Normal 203 3 2 4" xfId="53070"/>
    <cellStyle name="Normal 203 3 3" xfId="53071"/>
    <cellStyle name="Normal 203 3 3 2" xfId="53072"/>
    <cellStyle name="Normal 203 3 3 3" xfId="53073"/>
    <cellStyle name="Normal 203 3 4" xfId="53074"/>
    <cellStyle name="Normal 203 3 4 2" xfId="53075"/>
    <cellStyle name="Normal 203 3 4 3" xfId="53076"/>
    <cellStyle name="Normal 203 3 5" xfId="53077"/>
    <cellStyle name="Normal 203 3 6" xfId="53078"/>
    <cellStyle name="Normal 203 4" xfId="53079"/>
    <cellStyle name="Normal 203 4 2" xfId="53080"/>
    <cellStyle name="Normal 203 4 2 2" xfId="53081"/>
    <cellStyle name="Normal 203 4 2 3" xfId="53082"/>
    <cellStyle name="Normal 203 4 3" xfId="53083"/>
    <cellStyle name="Normal 203 4 4" xfId="53084"/>
    <cellStyle name="Normal 203 5" xfId="53085"/>
    <cellStyle name="Normal 203 5 2" xfId="53086"/>
    <cellStyle name="Normal 203 5 3" xfId="53087"/>
    <cellStyle name="Normal 203 6" xfId="53088"/>
    <cellStyle name="Normal 203 6 2" xfId="53089"/>
    <cellStyle name="Normal 203 6 3" xfId="53090"/>
    <cellStyle name="Normal 203 7" xfId="53091"/>
    <cellStyle name="Normal 203 8" xfId="53092"/>
    <cellStyle name="Normal 204" xfId="53093"/>
    <cellStyle name="Normal 204 2" xfId="53094"/>
    <cellStyle name="Normal 204 2 2" xfId="53095"/>
    <cellStyle name="Normal 204 2 2 2" xfId="53096"/>
    <cellStyle name="Normal 204 2 2 2 2" xfId="53097"/>
    <cellStyle name="Normal 204 2 2 2 2 2" xfId="53098"/>
    <cellStyle name="Normal 204 2 2 2 2 3" xfId="53099"/>
    <cellStyle name="Normal 204 2 2 2 3" xfId="53100"/>
    <cellStyle name="Normal 204 2 2 2 4" xfId="53101"/>
    <cellStyle name="Normal 204 2 2 3" xfId="53102"/>
    <cellStyle name="Normal 204 2 2 3 2" xfId="53103"/>
    <cellStyle name="Normal 204 2 2 3 3" xfId="53104"/>
    <cellStyle name="Normal 204 2 2 4" xfId="53105"/>
    <cellStyle name="Normal 204 2 2 4 2" xfId="53106"/>
    <cellStyle name="Normal 204 2 2 4 3" xfId="53107"/>
    <cellStyle name="Normal 204 2 2 5" xfId="53108"/>
    <cellStyle name="Normal 204 2 2 6" xfId="53109"/>
    <cellStyle name="Normal 204 2 3" xfId="53110"/>
    <cellStyle name="Normal 204 2 3 2" xfId="53111"/>
    <cellStyle name="Normal 204 2 3 2 2" xfId="53112"/>
    <cellStyle name="Normal 204 2 3 2 2 2" xfId="53113"/>
    <cellStyle name="Normal 204 2 3 2 2 3" xfId="53114"/>
    <cellStyle name="Normal 204 2 3 2 3" xfId="53115"/>
    <cellStyle name="Normal 204 2 3 2 4" xfId="53116"/>
    <cellStyle name="Normal 204 2 3 3" xfId="53117"/>
    <cellStyle name="Normal 204 2 3 3 2" xfId="53118"/>
    <cellStyle name="Normal 204 2 3 3 3" xfId="53119"/>
    <cellStyle name="Normal 204 2 3 4" xfId="53120"/>
    <cellStyle name="Normal 204 2 3 4 2" xfId="53121"/>
    <cellStyle name="Normal 204 2 3 4 3" xfId="53122"/>
    <cellStyle name="Normal 204 2 3 5" xfId="53123"/>
    <cellStyle name="Normal 204 2 3 6" xfId="53124"/>
    <cellStyle name="Normal 204 2 4" xfId="53125"/>
    <cellStyle name="Normal 204 2 4 2" xfId="53126"/>
    <cellStyle name="Normal 204 2 4 2 2" xfId="53127"/>
    <cellStyle name="Normal 204 2 4 2 3" xfId="53128"/>
    <cellStyle name="Normal 204 2 4 3" xfId="53129"/>
    <cellStyle name="Normal 204 2 4 4" xfId="53130"/>
    <cellStyle name="Normal 204 2 5" xfId="53131"/>
    <cellStyle name="Normal 204 2 5 2" xfId="53132"/>
    <cellStyle name="Normal 204 2 5 3" xfId="53133"/>
    <cellStyle name="Normal 204 2 6" xfId="53134"/>
    <cellStyle name="Normal 204 2 6 2" xfId="53135"/>
    <cellStyle name="Normal 204 2 6 3" xfId="53136"/>
    <cellStyle name="Normal 204 2 7" xfId="53137"/>
    <cellStyle name="Normal 204 2 8" xfId="53138"/>
    <cellStyle name="Normal 204 3" xfId="53139"/>
    <cellStyle name="Normal 204 3 2" xfId="53140"/>
    <cellStyle name="Normal 204 3 2 2" xfId="53141"/>
    <cellStyle name="Normal 204 3 2 2 2" xfId="53142"/>
    <cellStyle name="Normal 204 3 2 2 3" xfId="53143"/>
    <cellStyle name="Normal 204 3 2 3" xfId="53144"/>
    <cellStyle name="Normal 204 3 2 4" xfId="53145"/>
    <cellStyle name="Normal 204 3 3" xfId="53146"/>
    <cellStyle name="Normal 204 3 3 2" xfId="53147"/>
    <cellStyle name="Normal 204 3 3 3" xfId="53148"/>
    <cellStyle name="Normal 204 3 4" xfId="53149"/>
    <cellStyle name="Normal 204 3 4 2" xfId="53150"/>
    <cellStyle name="Normal 204 3 4 3" xfId="53151"/>
    <cellStyle name="Normal 204 3 5" xfId="53152"/>
    <cellStyle name="Normal 204 3 6" xfId="53153"/>
    <cellStyle name="Normal 204 4" xfId="53154"/>
    <cellStyle name="Normal 204 4 2" xfId="53155"/>
    <cellStyle name="Normal 204 4 2 2" xfId="53156"/>
    <cellStyle name="Normal 204 4 2 2 2" xfId="53157"/>
    <cellStyle name="Normal 204 4 2 2 3" xfId="53158"/>
    <cellStyle name="Normal 204 4 2 3" xfId="53159"/>
    <cellStyle name="Normal 204 4 2 4" xfId="53160"/>
    <cellStyle name="Normal 204 4 3" xfId="53161"/>
    <cellStyle name="Normal 204 4 3 2" xfId="53162"/>
    <cellStyle name="Normal 204 4 3 3" xfId="53163"/>
    <cellStyle name="Normal 204 4 4" xfId="53164"/>
    <cellStyle name="Normal 204 4 4 2" xfId="53165"/>
    <cellStyle name="Normal 204 4 4 3" xfId="53166"/>
    <cellStyle name="Normal 204 4 5" xfId="53167"/>
    <cellStyle name="Normal 204 4 6" xfId="53168"/>
    <cellStyle name="Normal 204 5" xfId="53169"/>
    <cellStyle name="Normal 204 5 2" xfId="53170"/>
    <cellStyle name="Normal 204 5 2 2" xfId="53171"/>
    <cellStyle name="Normal 204 5 2 3" xfId="53172"/>
    <cellStyle name="Normal 204 5 3" xfId="53173"/>
    <cellStyle name="Normal 204 5 4" xfId="53174"/>
    <cellStyle name="Normal 204 6" xfId="53175"/>
    <cellStyle name="Normal 204 6 2" xfId="53176"/>
    <cellStyle name="Normal 204 6 3" xfId="53177"/>
    <cellStyle name="Normal 204 7" xfId="53178"/>
    <cellStyle name="Normal 204 7 2" xfId="53179"/>
    <cellStyle name="Normal 204 7 3" xfId="53180"/>
    <cellStyle name="Normal 204 8" xfId="53181"/>
    <cellStyle name="Normal 204 9" xfId="53182"/>
    <cellStyle name="Normal 205" xfId="53183"/>
    <cellStyle name="Normal 205 2" xfId="53184"/>
    <cellStyle name="Normal 205 3" xfId="53185"/>
    <cellStyle name="Normal 206" xfId="53186"/>
    <cellStyle name="Normal 206 2" xfId="53187"/>
    <cellStyle name="Normal 206 3" xfId="53188"/>
    <cellStyle name="Normal 207" xfId="53189"/>
    <cellStyle name="Normal 207 2" xfId="53190"/>
    <cellStyle name="Normal 207 3" xfId="53191"/>
    <cellStyle name="Normal 208" xfId="53192"/>
    <cellStyle name="Normal 208 2" xfId="53193"/>
    <cellStyle name="Normal 208 2 2" xfId="53194"/>
    <cellStyle name="Normal 208 2 2 2" xfId="53195"/>
    <cellStyle name="Normal 208 2 2 2 2" xfId="53196"/>
    <cellStyle name="Normal 208 2 2 2 3" xfId="53197"/>
    <cellStyle name="Normal 208 2 2 3" xfId="53198"/>
    <cellStyle name="Normal 208 2 2 4" xfId="53199"/>
    <cellStyle name="Normal 208 2 3" xfId="53200"/>
    <cellStyle name="Normal 208 2 3 2" xfId="53201"/>
    <cellStyle name="Normal 208 2 3 3" xfId="53202"/>
    <cellStyle name="Normal 208 2 4" xfId="53203"/>
    <cellStyle name="Normal 208 2 4 2" xfId="53204"/>
    <cellStyle name="Normal 208 2 4 3" xfId="53205"/>
    <cellStyle name="Normal 208 2 5" xfId="53206"/>
    <cellStyle name="Normal 208 2 6" xfId="53207"/>
    <cellStyle name="Normal 208 3" xfId="53208"/>
    <cellStyle name="Normal 208 3 2" xfId="53209"/>
    <cellStyle name="Normal 208 3 2 2" xfId="53210"/>
    <cellStyle name="Normal 208 3 2 2 2" xfId="53211"/>
    <cellStyle name="Normal 208 3 2 2 3" xfId="53212"/>
    <cellStyle name="Normal 208 3 2 3" xfId="53213"/>
    <cellStyle name="Normal 208 3 2 4" xfId="53214"/>
    <cellStyle name="Normal 208 3 3" xfId="53215"/>
    <cellStyle name="Normal 208 3 3 2" xfId="53216"/>
    <cellStyle name="Normal 208 3 3 3" xfId="53217"/>
    <cellStyle name="Normal 208 3 4" xfId="53218"/>
    <cellStyle name="Normal 208 3 4 2" xfId="53219"/>
    <cellStyle name="Normal 208 3 4 3" xfId="53220"/>
    <cellStyle name="Normal 208 3 5" xfId="53221"/>
    <cellStyle name="Normal 208 3 6" xfId="53222"/>
    <cellStyle name="Normal 208 4" xfId="53223"/>
    <cellStyle name="Normal 208 4 2" xfId="53224"/>
    <cellStyle name="Normal 208 4 2 2" xfId="53225"/>
    <cellStyle name="Normal 208 4 2 3" xfId="53226"/>
    <cellStyle name="Normal 208 4 3" xfId="53227"/>
    <cellStyle name="Normal 208 4 4" xfId="53228"/>
    <cellStyle name="Normal 208 5" xfId="53229"/>
    <cellStyle name="Normal 208 5 2" xfId="53230"/>
    <cellStyle name="Normal 208 5 3" xfId="53231"/>
    <cellStyle name="Normal 208 6" xfId="53232"/>
    <cellStyle name="Normal 208 6 2" xfId="53233"/>
    <cellStyle name="Normal 208 6 3" xfId="53234"/>
    <cellStyle name="Normal 208 7" xfId="53235"/>
    <cellStyle name="Normal 208 8" xfId="53236"/>
    <cellStyle name="Normal 209" xfId="53237"/>
    <cellStyle name="Normal 209 2" xfId="53238"/>
    <cellStyle name="Normal 209 3" xfId="53239"/>
    <cellStyle name="Normal 21" xfId="53240"/>
    <cellStyle name="Normal 21 10" xfId="53241"/>
    <cellStyle name="Normal 21 11" xfId="53242"/>
    <cellStyle name="Normal 21 2" xfId="53243"/>
    <cellStyle name="Normal 21 2 10" xfId="53244"/>
    <cellStyle name="Normal 21 2 2" xfId="53245"/>
    <cellStyle name="Normal 21 2 2 2" xfId="53246"/>
    <cellStyle name="Normal 21 2 2 2 2" xfId="53247"/>
    <cellStyle name="Normal 21 2 2 2 2 2" xfId="53248"/>
    <cellStyle name="Normal 21 2 2 2 2 2 2" xfId="53249"/>
    <cellStyle name="Normal 21 2 2 2 2 2 3" xfId="53250"/>
    <cellStyle name="Normal 21 2 2 2 2 3" xfId="53251"/>
    <cellStyle name="Normal 21 2 2 2 2 4" xfId="53252"/>
    <cellStyle name="Normal 21 2 2 2 3" xfId="53253"/>
    <cellStyle name="Normal 21 2 2 2 3 2" xfId="53254"/>
    <cellStyle name="Normal 21 2 2 2 3 3" xfId="53255"/>
    <cellStyle name="Normal 21 2 2 2 4" xfId="53256"/>
    <cellStyle name="Normal 21 2 2 2 4 2" xfId="53257"/>
    <cellStyle name="Normal 21 2 2 2 4 3" xfId="53258"/>
    <cellStyle name="Normal 21 2 2 2 5" xfId="53259"/>
    <cellStyle name="Normal 21 2 2 2 6" xfId="53260"/>
    <cellStyle name="Normal 21 2 2 3" xfId="53261"/>
    <cellStyle name="Normal 21 2 2 3 2" xfId="53262"/>
    <cellStyle name="Normal 21 2 2 3 2 2" xfId="53263"/>
    <cellStyle name="Normal 21 2 2 3 2 2 2" xfId="53264"/>
    <cellStyle name="Normal 21 2 2 3 2 2 3" xfId="53265"/>
    <cellStyle name="Normal 21 2 2 3 2 3" xfId="53266"/>
    <cellStyle name="Normal 21 2 2 3 2 4" xfId="53267"/>
    <cellStyle name="Normal 21 2 2 3 3" xfId="53268"/>
    <cellStyle name="Normal 21 2 2 3 3 2" xfId="53269"/>
    <cellStyle name="Normal 21 2 2 3 3 3" xfId="53270"/>
    <cellStyle name="Normal 21 2 2 3 4" xfId="53271"/>
    <cellStyle name="Normal 21 2 2 3 4 2" xfId="53272"/>
    <cellStyle name="Normal 21 2 2 3 4 3" xfId="53273"/>
    <cellStyle name="Normal 21 2 2 3 5" xfId="53274"/>
    <cellStyle name="Normal 21 2 2 3 6" xfId="53275"/>
    <cellStyle name="Normal 21 2 2 4" xfId="53276"/>
    <cellStyle name="Normal 21 2 2 4 2" xfId="53277"/>
    <cellStyle name="Normal 21 2 2 4 2 2" xfId="53278"/>
    <cellStyle name="Normal 21 2 2 4 2 3" xfId="53279"/>
    <cellStyle name="Normal 21 2 2 4 3" xfId="53280"/>
    <cellStyle name="Normal 21 2 2 4 4" xfId="53281"/>
    <cellStyle name="Normal 21 2 2 5" xfId="53282"/>
    <cellStyle name="Normal 21 2 2 5 2" xfId="53283"/>
    <cellStyle name="Normal 21 2 2 5 3" xfId="53284"/>
    <cellStyle name="Normal 21 2 2 6" xfId="53285"/>
    <cellStyle name="Normal 21 2 2 6 2" xfId="53286"/>
    <cellStyle name="Normal 21 2 2 6 3" xfId="53287"/>
    <cellStyle name="Normal 21 2 2 7" xfId="53288"/>
    <cellStyle name="Normal 21 2 2 8" xfId="53289"/>
    <cellStyle name="Normal 21 2 3" xfId="53290"/>
    <cellStyle name="Normal 21 2 3 2" xfId="53291"/>
    <cellStyle name="Normal 21 2 3 2 2" xfId="53292"/>
    <cellStyle name="Normal 21 2 3 2 2 2" xfId="53293"/>
    <cellStyle name="Normal 21 2 3 2 2 3" xfId="53294"/>
    <cellStyle name="Normal 21 2 3 2 3" xfId="53295"/>
    <cellStyle name="Normal 21 2 3 2 4" xfId="53296"/>
    <cellStyle name="Normal 21 2 3 3" xfId="53297"/>
    <cellStyle name="Normal 21 2 3 3 2" xfId="53298"/>
    <cellStyle name="Normal 21 2 3 3 3" xfId="53299"/>
    <cellStyle name="Normal 21 2 3 4" xfId="53300"/>
    <cellStyle name="Normal 21 2 3 4 2" xfId="53301"/>
    <cellStyle name="Normal 21 2 3 4 3" xfId="53302"/>
    <cellStyle name="Normal 21 2 3 5" xfId="53303"/>
    <cellStyle name="Normal 21 2 3 6" xfId="53304"/>
    <cellStyle name="Normal 21 2 4" xfId="53305"/>
    <cellStyle name="Normal 21 2 4 2" xfId="53306"/>
    <cellStyle name="Normal 21 2 4 2 2" xfId="53307"/>
    <cellStyle name="Normal 21 2 4 2 2 2" xfId="53308"/>
    <cellStyle name="Normal 21 2 4 2 2 3" xfId="53309"/>
    <cellStyle name="Normal 21 2 4 2 3" xfId="53310"/>
    <cellStyle name="Normal 21 2 4 2 4" xfId="53311"/>
    <cellStyle name="Normal 21 2 4 3" xfId="53312"/>
    <cellStyle name="Normal 21 2 4 3 2" xfId="53313"/>
    <cellStyle name="Normal 21 2 4 3 3" xfId="53314"/>
    <cellStyle name="Normal 21 2 4 4" xfId="53315"/>
    <cellStyle name="Normal 21 2 4 4 2" xfId="53316"/>
    <cellStyle name="Normal 21 2 4 4 3" xfId="53317"/>
    <cellStyle name="Normal 21 2 4 5" xfId="53318"/>
    <cellStyle name="Normal 21 2 4 6" xfId="53319"/>
    <cellStyle name="Normal 21 2 5" xfId="53320"/>
    <cellStyle name="Normal 21 2 5 2" xfId="53321"/>
    <cellStyle name="Normal 21 2 5 2 2" xfId="53322"/>
    <cellStyle name="Normal 21 2 5 2 3" xfId="53323"/>
    <cellStyle name="Normal 21 2 5 3" xfId="53324"/>
    <cellStyle name="Normal 21 2 5 4" xfId="53325"/>
    <cellStyle name="Normal 21 2 6" xfId="53326"/>
    <cellStyle name="Normal 21 2 6 2" xfId="53327"/>
    <cellStyle name="Normal 21 2 6 2 2" xfId="53328"/>
    <cellStyle name="Normal 21 2 6 2 3" xfId="53329"/>
    <cellStyle name="Normal 21 2 6 3" xfId="53330"/>
    <cellStyle name="Normal 21 2 6 4" xfId="53331"/>
    <cellStyle name="Normal 21 2 7" xfId="53332"/>
    <cellStyle name="Normal 21 2 7 2" xfId="53333"/>
    <cellStyle name="Normal 21 2 7 3" xfId="53334"/>
    <cellStyle name="Normal 21 2 8" xfId="53335"/>
    <cellStyle name="Normal 21 2 8 2" xfId="53336"/>
    <cellStyle name="Normal 21 2 8 3" xfId="53337"/>
    <cellStyle name="Normal 21 2 9" xfId="53338"/>
    <cellStyle name="Normal 21 3" xfId="53339"/>
    <cellStyle name="Normal 21 3 2" xfId="53340"/>
    <cellStyle name="Normal 21 3 2 2" xfId="53341"/>
    <cellStyle name="Normal 21 3 2 2 2" xfId="53342"/>
    <cellStyle name="Normal 21 3 2 2 2 2" xfId="53343"/>
    <cellStyle name="Normal 21 3 2 2 2 3" xfId="53344"/>
    <cellStyle name="Normal 21 3 2 2 3" xfId="53345"/>
    <cellStyle name="Normal 21 3 2 2 4" xfId="53346"/>
    <cellStyle name="Normal 21 3 2 3" xfId="53347"/>
    <cellStyle name="Normal 21 3 2 3 2" xfId="53348"/>
    <cellStyle name="Normal 21 3 2 3 3" xfId="53349"/>
    <cellStyle name="Normal 21 3 2 4" xfId="53350"/>
    <cellStyle name="Normal 21 3 2 4 2" xfId="53351"/>
    <cellStyle name="Normal 21 3 2 4 3" xfId="53352"/>
    <cellStyle name="Normal 21 3 2 5" xfId="53353"/>
    <cellStyle name="Normal 21 3 2 6" xfId="53354"/>
    <cellStyle name="Normal 21 3 3" xfId="53355"/>
    <cellStyle name="Normal 21 3 3 2" xfId="53356"/>
    <cellStyle name="Normal 21 3 3 2 2" xfId="53357"/>
    <cellStyle name="Normal 21 3 3 2 2 2" xfId="53358"/>
    <cellStyle name="Normal 21 3 3 2 2 3" xfId="53359"/>
    <cellStyle name="Normal 21 3 3 2 3" xfId="53360"/>
    <cellStyle name="Normal 21 3 3 2 4" xfId="53361"/>
    <cellStyle name="Normal 21 3 3 3" xfId="53362"/>
    <cellStyle name="Normal 21 3 3 3 2" xfId="53363"/>
    <cellStyle name="Normal 21 3 3 3 3" xfId="53364"/>
    <cellStyle name="Normal 21 3 3 4" xfId="53365"/>
    <cellStyle name="Normal 21 3 3 4 2" xfId="53366"/>
    <cellStyle name="Normal 21 3 3 4 3" xfId="53367"/>
    <cellStyle name="Normal 21 3 3 5" xfId="53368"/>
    <cellStyle name="Normal 21 3 3 6" xfId="53369"/>
    <cellStyle name="Normal 21 3 4" xfId="53370"/>
    <cellStyle name="Normal 21 3 4 2" xfId="53371"/>
    <cellStyle name="Normal 21 3 4 2 2" xfId="53372"/>
    <cellStyle name="Normal 21 3 4 2 3" xfId="53373"/>
    <cellStyle name="Normal 21 3 4 3" xfId="53374"/>
    <cellStyle name="Normal 21 3 4 4" xfId="53375"/>
    <cellStyle name="Normal 21 3 5" xfId="53376"/>
    <cellStyle name="Normal 21 3 5 2" xfId="53377"/>
    <cellStyle name="Normal 21 3 5 3" xfId="53378"/>
    <cellStyle name="Normal 21 3 6" xfId="53379"/>
    <cellStyle name="Normal 21 3 6 2" xfId="53380"/>
    <cellStyle name="Normal 21 3 6 3" xfId="53381"/>
    <cellStyle name="Normal 21 3 7" xfId="53382"/>
    <cellStyle name="Normal 21 3 8" xfId="53383"/>
    <cellStyle name="Normal 21 4" xfId="53384"/>
    <cellStyle name="Normal 21 4 2" xfId="53385"/>
    <cellStyle name="Normal 21 4 2 2" xfId="53386"/>
    <cellStyle name="Normal 21 4 2 2 2" xfId="53387"/>
    <cellStyle name="Normal 21 4 2 2 3" xfId="53388"/>
    <cellStyle name="Normal 21 4 2 3" xfId="53389"/>
    <cellStyle name="Normal 21 4 2 4" xfId="53390"/>
    <cellStyle name="Normal 21 4 3" xfId="53391"/>
    <cellStyle name="Normal 21 4 3 2" xfId="53392"/>
    <cellStyle name="Normal 21 4 3 3" xfId="53393"/>
    <cellStyle name="Normal 21 4 4" xfId="53394"/>
    <cellStyle name="Normal 21 4 4 2" xfId="53395"/>
    <cellStyle name="Normal 21 4 4 3" xfId="53396"/>
    <cellStyle name="Normal 21 4 5" xfId="53397"/>
    <cellStyle name="Normal 21 4 6" xfId="53398"/>
    <cellStyle name="Normal 21 5" xfId="53399"/>
    <cellStyle name="Normal 21 5 2" xfId="53400"/>
    <cellStyle name="Normal 21 5 2 2" xfId="53401"/>
    <cellStyle name="Normal 21 5 2 2 2" xfId="53402"/>
    <cellStyle name="Normal 21 5 2 2 3" xfId="53403"/>
    <cellStyle name="Normal 21 5 2 3" xfId="53404"/>
    <cellStyle name="Normal 21 5 2 4" xfId="53405"/>
    <cellStyle name="Normal 21 5 3" xfId="53406"/>
    <cellStyle name="Normal 21 5 3 2" xfId="53407"/>
    <cellStyle name="Normal 21 5 3 3" xfId="53408"/>
    <cellStyle name="Normal 21 5 4" xfId="53409"/>
    <cellStyle name="Normal 21 5 4 2" xfId="53410"/>
    <cellStyle name="Normal 21 5 4 3" xfId="53411"/>
    <cellStyle name="Normal 21 5 5" xfId="53412"/>
    <cellStyle name="Normal 21 5 6" xfId="53413"/>
    <cellStyle name="Normal 21 6" xfId="53414"/>
    <cellStyle name="Normal 21 6 2" xfId="53415"/>
    <cellStyle name="Normal 21 6 2 2" xfId="53416"/>
    <cellStyle name="Normal 21 6 2 3" xfId="53417"/>
    <cellStyle name="Normal 21 6 3" xfId="53418"/>
    <cellStyle name="Normal 21 6 4" xfId="53419"/>
    <cellStyle name="Normal 21 7" xfId="53420"/>
    <cellStyle name="Normal 21 7 2" xfId="53421"/>
    <cellStyle name="Normal 21 7 2 2" xfId="53422"/>
    <cellStyle name="Normal 21 7 2 3" xfId="53423"/>
    <cellStyle name="Normal 21 7 3" xfId="53424"/>
    <cellStyle name="Normal 21 7 4" xfId="53425"/>
    <cellStyle name="Normal 21 8" xfId="53426"/>
    <cellStyle name="Normal 21 8 2" xfId="53427"/>
    <cellStyle name="Normal 21 8 3" xfId="53428"/>
    <cellStyle name="Normal 21 9" xfId="53429"/>
    <cellStyle name="Normal 21 9 2" xfId="53430"/>
    <cellStyle name="Normal 21 9 3" xfId="53431"/>
    <cellStyle name="Normal 210" xfId="53432"/>
    <cellStyle name="Normal 210 2" xfId="53433"/>
    <cellStyle name="Normal 210 3" xfId="53434"/>
    <cellStyle name="Normal 211" xfId="53435"/>
    <cellStyle name="Normal 211 2" xfId="53436"/>
    <cellStyle name="Normal 211 3" xfId="53437"/>
    <cellStyle name="Normal 212" xfId="53438"/>
    <cellStyle name="Normal 212 2" xfId="53439"/>
    <cellStyle name="Normal 212 2 2" xfId="53440"/>
    <cellStyle name="Normal 212 2 2 2" xfId="53441"/>
    <cellStyle name="Normal 212 2 2 3" xfId="53442"/>
    <cellStyle name="Normal 212 2 3" xfId="53443"/>
    <cellStyle name="Normal 212 2 4" xfId="53444"/>
    <cellStyle name="Normal 212 3" xfId="53445"/>
    <cellStyle name="Normal 212 3 2" xfId="53446"/>
    <cellStyle name="Normal 212 3 3" xfId="53447"/>
    <cellStyle name="Normal 212 4" xfId="53448"/>
    <cellStyle name="Normal 212 4 2" xfId="53449"/>
    <cellStyle name="Normal 212 4 3" xfId="53450"/>
    <cellStyle name="Normal 212 5" xfId="53451"/>
    <cellStyle name="Normal 212 6" xfId="53452"/>
    <cellStyle name="Normal 213" xfId="53453"/>
    <cellStyle name="Normal 213 2" xfId="53454"/>
    <cellStyle name="Normal 213 2 2" xfId="53455"/>
    <cellStyle name="Normal 213 2 2 2" xfId="53456"/>
    <cellStyle name="Normal 213 2 2 3" xfId="53457"/>
    <cellStyle name="Normal 213 2 3" xfId="53458"/>
    <cellStyle name="Normal 213 2 4" xfId="53459"/>
    <cellStyle name="Normal 213 3" xfId="53460"/>
    <cellStyle name="Normal 213 3 2" xfId="53461"/>
    <cellStyle name="Normal 213 3 2 2" xfId="53462"/>
    <cellStyle name="Normal 213 3 2 3" xfId="53463"/>
    <cellStyle name="Normal 213 3 3" xfId="53464"/>
    <cellStyle name="Normal 213 3 4" xfId="53465"/>
    <cellStyle name="Normal 213 4" xfId="53466"/>
    <cellStyle name="Normal 213 4 2" xfId="53467"/>
    <cellStyle name="Normal 213 4 3" xfId="53468"/>
    <cellStyle name="Normal 213 5" xfId="53469"/>
    <cellStyle name="Normal 213 5 2" xfId="53470"/>
    <cellStyle name="Normal 213 5 3" xfId="53471"/>
    <cellStyle name="Normal 213 6" xfId="53472"/>
    <cellStyle name="Normal 213 7" xfId="53473"/>
    <cellStyle name="Normal 214" xfId="53474"/>
    <cellStyle name="Normal 214 2" xfId="53475"/>
    <cellStyle name="Normal 214 2 2" xfId="53476"/>
    <cellStyle name="Normal 214 2 3" xfId="53477"/>
    <cellStyle name="Normal 214 3" xfId="53478"/>
    <cellStyle name="Normal 214 4" xfId="53479"/>
    <cellStyle name="Normal 215" xfId="53480"/>
    <cellStyle name="Normal 215 2" xfId="53481"/>
    <cellStyle name="Normal 215 3" xfId="53482"/>
    <cellStyle name="Normal 216" xfId="53483"/>
    <cellStyle name="Normal 216 2" xfId="53484"/>
    <cellStyle name="Normal 216 3" xfId="53485"/>
    <cellStyle name="Normal 217" xfId="53486"/>
    <cellStyle name="Normal 217 2" xfId="53487"/>
    <cellStyle name="Normal 217 2 2" xfId="53488"/>
    <cellStyle name="Normal 217 2 3" xfId="53489"/>
    <cellStyle name="Normal 217 2 4" xfId="53490"/>
    <cellStyle name="Normal 217 3" xfId="53491"/>
    <cellStyle name="Normal 217 3 2" xfId="53492"/>
    <cellStyle name="Normal 217 3 3" xfId="53493"/>
    <cellStyle name="Normal 217 4" xfId="53494"/>
    <cellStyle name="Normal 217 4 2" xfId="53495"/>
    <cellStyle name="Normal 217 4 3" xfId="53496"/>
    <cellStyle name="Normal 217 5" xfId="53497"/>
    <cellStyle name="Normal 217 6" xfId="53498"/>
    <cellStyle name="Normal 217 7" xfId="53499"/>
    <cellStyle name="Normal 218" xfId="53500"/>
    <cellStyle name="Normal 218 2" xfId="53501"/>
    <cellStyle name="Normal 218 3" xfId="53502"/>
    <cellStyle name="Normal 218 4" xfId="53503"/>
    <cellStyle name="Normal 218 5" xfId="53504"/>
    <cellStyle name="Normal 219" xfId="53505"/>
    <cellStyle name="Normal 219 2" xfId="53506"/>
    <cellStyle name="Normal 219 2 2" xfId="53507"/>
    <cellStyle name="Normal 219 2 3" xfId="53508"/>
    <cellStyle name="Normal 219 3" xfId="53509"/>
    <cellStyle name="Normal 219 4" xfId="53510"/>
    <cellStyle name="Normal 219 5" xfId="53511"/>
    <cellStyle name="Normal 219 6" xfId="53512"/>
    <cellStyle name="Normal 22" xfId="53513"/>
    <cellStyle name="Normal 22 10" xfId="53514"/>
    <cellStyle name="Normal 22 11" xfId="53515"/>
    <cellStyle name="Normal 22 12" xfId="53516"/>
    <cellStyle name="Normal 22 2" xfId="53517"/>
    <cellStyle name="Normal 22 2 10" xfId="53518"/>
    <cellStyle name="Normal 22 2 2" xfId="53519"/>
    <cellStyle name="Normal 22 2 2 2" xfId="53520"/>
    <cellStyle name="Normal 22 2 2 2 2" xfId="53521"/>
    <cellStyle name="Normal 22 2 2 2 2 2" xfId="53522"/>
    <cellStyle name="Normal 22 2 2 2 2 2 2" xfId="53523"/>
    <cellStyle name="Normal 22 2 2 2 2 2 3" xfId="53524"/>
    <cellStyle name="Normal 22 2 2 2 2 3" xfId="53525"/>
    <cellStyle name="Normal 22 2 2 2 2 4" xfId="53526"/>
    <cellStyle name="Normal 22 2 2 2 3" xfId="53527"/>
    <cellStyle name="Normal 22 2 2 2 3 2" xfId="53528"/>
    <cellStyle name="Normal 22 2 2 2 3 3" xfId="53529"/>
    <cellStyle name="Normal 22 2 2 2 4" xfId="53530"/>
    <cellStyle name="Normal 22 2 2 2 4 2" xfId="53531"/>
    <cellStyle name="Normal 22 2 2 2 4 3" xfId="53532"/>
    <cellStyle name="Normal 22 2 2 2 5" xfId="53533"/>
    <cellStyle name="Normal 22 2 2 2 6" xfId="53534"/>
    <cellStyle name="Normal 22 2 2 3" xfId="53535"/>
    <cellStyle name="Normal 22 2 2 3 2" xfId="53536"/>
    <cellStyle name="Normal 22 2 2 3 2 2" xfId="53537"/>
    <cellStyle name="Normal 22 2 2 3 2 2 2" xfId="53538"/>
    <cellStyle name="Normal 22 2 2 3 2 2 3" xfId="53539"/>
    <cellStyle name="Normal 22 2 2 3 2 3" xfId="53540"/>
    <cellStyle name="Normal 22 2 2 3 2 4" xfId="53541"/>
    <cellStyle name="Normal 22 2 2 3 3" xfId="53542"/>
    <cellStyle name="Normal 22 2 2 3 3 2" xfId="53543"/>
    <cellStyle name="Normal 22 2 2 3 3 3" xfId="53544"/>
    <cellStyle name="Normal 22 2 2 3 4" xfId="53545"/>
    <cellStyle name="Normal 22 2 2 3 4 2" xfId="53546"/>
    <cellStyle name="Normal 22 2 2 3 4 3" xfId="53547"/>
    <cellStyle name="Normal 22 2 2 3 5" xfId="53548"/>
    <cellStyle name="Normal 22 2 2 3 6" xfId="53549"/>
    <cellStyle name="Normal 22 2 2 4" xfId="53550"/>
    <cellStyle name="Normal 22 2 2 4 2" xfId="53551"/>
    <cellStyle name="Normal 22 2 2 4 2 2" xfId="53552"/>
    <cellStyle name="Normal 22 2 2 4 2 3" xfId="53553"/>
    <cellStyle name="Normal 22 2 2 4 3" xfId="53554"/>
    <cellStyle name="Normal 22 2 2 4 4" xfId="53555"/>
    <cellStyle name="Normal 22 2 2 5" xfId="53556"/>
    <cellStyle name="Normal 22 2 2 5 2" xfId="53557"/>
    <cellStyle name="Normal 22 2 2 5 3" xfId="53558"/>
    <cellStyle name="Normal 22 2 2 6" xfId="53559"/>
    <cellStyle name="Normal 22 2 2 6 2" xfId="53560"/>
    <cellStyle name="Normal 22 2 2 6 3" xfId="53561"/>
    <cellStyle name="Normal 22 2 2 7" xfId="53562"/>
    <cellStyle name="Normal 22 2 2 8" xfId="53563"/>
    <cellStyle name="Normal 22 2 3" xfId="53564"/>
    <cellStyle name="Normal 22 2 3 2" xfId="53565"/>
    <cellStyle name="Normal 22 2 3 2 2" xfId="53566"/>
    <cellStyle name="Normal 22 2 3 2 2 2" xfId="53567"/>
    <cellStyle name="Normal 22 2 3 2 2 3" xfId="53568"/>
    <cellStyle name="Normal 22 2 3 2 3" xfId="53569"/>
    <cellStyle name="Normal 22 2 3 2 4" xfId="53570"/>
    <cellStyle name="Normal 22 2 3 3" xfId="53571"/>
    <cellStyle name="Normal 22 2 3 3 2" xfId="53572"/>
    <cellStyle name="Normal 22 2 3 3 3" xfId="53573"/>
    <cellStyle name="Normal 22 2 3 4" xfId="53574"/>
    <cellStyle name="Normal 22 2 3 4 2" xfId="53575"/>
    <cellStyle name="Normal 22 2 3 4 3" xfId="53576"/>
    <cellStyle name="Normal 22 2 3 5" xfId="53577"/>
    <cellStyle name="Normal 22 2 3 6" xfId="53578"/>
    <cellStyle name="Normal 22 2 4" xfId="53579"/>
    <cellStyle name="Normal 22 2 4 2" xfId="53580"/>
    <cellStyle name="Normal 22 2 4 2 2" xfId="53581"/>
    <cellStyle name="Normal 22 2 4 2 2 2" xfId="53582"/>
    <cellStyle name="Normal 22 2 4 2 2 3" xfId="53583"/>
    <cellStyle name="Normal 22 2 4 2 3" xfId="53584"/>
    <cellStyle name="Normal 22 2 4 2 4" xfId="53585"/>
    <cellStyle name="Normal 22 2 4 3" xfId="53586"/>
    <cellStyle name="Normal 22 2 4 3 2" xfId="53587"/>
    <cellStyle name="Normal 22 2 4 3 3" xfId="53588"/>
    <cellStyle name="Normal 22 2 4 4" xfId="53589"/>
    <cellStyle name="Normal 22 2 4 4 2" xfId="53590"/>
    <cellStyle name="Normal 22 2 4 4 3" xfId="53591"/>
    <cellStyle name="Normal 22 2 4 5" xfId="53592"/>
    <cellStyle name="Normal 22 2 4 6" xfId="53593"/>
    <cellStyle name="Normal 22 2 5" xfId="53594"/>
    <cellStyle name="Normal 22 2 5 2" xfId="53595"/>
    <cellStyle name="Normal 22 2 5 2 2" xfId="53596"/>
    <cellStyle name="Normal 22 2 5 2 3" xfId="53597"/>
    <cellStyle name="Normal 22 2 5 3" xfId="53598"/>
    <cellStyle name="Normal 22 2 5 4" xfId="53599"/>
    <cellStyle name="Normal 22 2 6" xfId="53600"/>
    <cellStyle name="Normal 22 2 6 2" xfId="53601"/>
    <cellStyle name="Normal 22 2 6 2 2" xfId="53602"/>
    <cellStyle name="Normal 22 2 6 2 3" xfId="53603"/>
    <cellStyle name="Normal 22 2 6 3" xfId="53604"/>
    <cellStyle name="Normal 22 2 6 4" xfId="53605"/>
    <cellStyle name="Normal 22 2 7" xfId="53606"/>
    <cellStyle name="Normal 22 2 7 2" xfId="53607"/>
    <cellStyle name="Normal 22 2 7 3" xfId="53608"/>
    <cellStyle name="Normal 22 2 8" xfId="53609"/>
    <cellStyle name="Normal 22 2 8 2" xfId="53610"/>
    <cellStyle name="Normal 22 2 8 3" xfId="53611"/>
    <cellStyle name="Normal 22 2 9" xfId="53612"/>
    <cellStyle name="Normal 22 3" xfId="53613"/>
    <cellStyle name="Normal 22 3 2" xfId="53614"/>
    <cellStyle name="Normal 22 3 2 2" xfId="53615"/>
    <cellStyle name="Normal 22 3 2 2 2" xfId="53616"/>
    <cellStyle name="Normal 22 3 2 2 2 2" xfId="53617"/>
    <cellStyle name="Normal 22 3 2 2 2 3" xfId="53618"/>
    <cellStyle name="Normal 22 3 2 2 3" xfId="53619"/>
    <cellStyle name="Normal 22 3 2 2 4" xfId="53620"/>
    <cellStyle name="Normal 22 3 2 3" xfId="53621"/>
    <cellStyle name="Normal 22 3 2 3 2" xfId="53622"/>
    <cellStyle name="Normal 22 3 2 3 3" xfId="53623"/>
    <cellStyle name="Normal 22 3 2 4" xfId="53624"/>
    <cellStyle name="Normal 22 3 2 4 2" xfId="53625"/>
    <cellStyle name="Normal 22 3 2 4 3" xfId="53626"/>
    <cellStyle name="Normal 22 3 2 5" xfId="53627"/>
    <cellStyle name="Normal 22 3 2 6" xfId="53628"/>
    <cellStyle name="Normal 22 3 3" xfId="53629"/>
    <cellStyle name="Normal 22 3 3 2" xfId="53630"/>
    <cellStyle name="Normal 22 3 3 2 2" xfId="53631"/>
    <cellStyle name="Normal 22 3 3 2 2 2" xfId="53632"/>
    <cellStyle name="Normal 22 3 3 2 2 3" xfId="53633"/>
    <cellStyle name="Normal 22 3 3 2 3" xfId="53634"/>
    <cellStyle name="Normal 22 3 3 2 4" xfId="53635"/>
    <cellStyle name="Normal 22 3 3 3" xfId="53636"/>
    <cellStyle name="Normal 22 3 3 3 2" xfId="53637"/>
    <cellStyle name="Normal 22 3 3 3 3" xfId="53638"/>
    <cellStyle name="Normal 22 3 3 4" xfId="53639"/>
    <cellStyle name="Normal 22 3 3 4 2" xfId="53640"/>
    <cellStyle name="Normal 22 3 3 4 3" xfId="53641"/>
    <cellStyle name="Normal 22 3 3 5" xfId="53642"/>
    <cellStyle name="Normal 22 3 3 6" xfId="53643"/>
    <cellStyle name="Normal 22 3 4" xfId="53644"/>
    <cellStyle name="Normal 22 3 4 2" xfId="53645"/>
    <cellStyle name="Normal 22 3 4 2 2" xfId="53646"/>
    <cellStyle name="Normal 22 3 4 2 3" xfId="53647"/>
    <cellStyle name="Normal 22 3 4 3" xfId="53648"/>
    <cellStyle name="Normal 22 3 4 4" xfId="53649"/>
    <cellStyle name="Normal 22 3 5" xfId="53650"/>
    <cellStyle name="Normal 22 3 5 2" xfId="53651"/>
    <cellStyle name="Normal 22 3 5 3" xfId="53652"/>
    <cellStyle name="Normal 22 3 6" xfId="53653"/>
    <cellStyle name="Normal 22 3 6 2" xfId="53654"/>
    <cellStyle name="Normal 22 3 6 3" xfId="53655"/>
    <cellStyle name="Normal 22 3 7" xfId="53656"/>
    <cellStyle name="Normal 22 3 8" xfId="53657"/>
    <cellStyle name="Normal 22 4" xfId="53658"/>
    <cellStyle name="Normal 22 4 2" xfId="53659"/>
    <cellStyle name="Normal 22 4 2 2" xfId="53660"/>
    <cellStyle name="Normal 22 4 2 2 2" xfId="53661"/>
    <cellStyle name="Normal 22 4 2 2 3" xfId="53662"/>
    <cellStyle name="Normal 22 4 2 3" xfId="53663"/>
    <cellStyle name="Normal 22 4 2 4" xfId="53664"/>
    <cellStyle name="Normal 22 4 3" xfId="53665"/>
    <cellStyle name="Normal 22 4 3 2" xfId="53666"/>
    <cellStyle name="Normal 22 4 3 3" xfId="53667"/>
    <cellStyle name="Normal 22 4 4" xfId="53668"/>
    <cellStyle name="Normal 22 4 4 2" xfId="53669"/>
    <cellStyle name="Normal 22 4 4 3" xfId="53670"/>
    <cellStyle name="Normal 22 4 5" xfId="53671"/>
    <cellStyle name="Normal 22 4 6" xfId="53672"/>
    <cellStyle name="Normal 22 5" xfId="53673"/>
    <cellStyle name="Normal 22 5 2" xfId="53674"/>
    <cellStyle name="Normal 22 5 2 2" xfId="53675"/>
    <cellStyle name="Normal 22 5 2 2 2" xfId="53676"/>
    <cellStyle name="Normal 22 5 2 2 3" xfId="53677"/>
    <cellStyle name="Normal 22 5 2 3" xfId="53678"/>
    <cellStyle name="Normal 22 5 2 4" xfId="53679"/>
    <cellStyle name="Normal 22 5 3" xfId="53680"/>
    <cellStyle name="Normal 22 5 3 2" xfId="53681"/>
    <cellStyle name="Normal 22 5 3 3" xfId="53682"/>
    <cellStyle name="Normal 22 5 4" xfId="53683"/>
    <cellStyle name="Normal 22 5 4 2" xfId="53684"/>
    <cellStyle name="Normal 22 5 4 3" xfId="53685"/>
    <cellStyle name="Normal 22 5 5" xfId="53686"/>
    <cellStyle name="Normal 22 5 6" xfId="53687"/>
    <cellStyle name="Normal 22 6" xfId="53688"/>
    <cellStyle name="Normal 22 6 2" xfId="53689"/>
    <cellStyle name="Normal 22 6 2 2" xfId="53690"/>
    <cellStyle name="Normal 22 6 2 3" xfId="53691"/>
    <cellStyle name="Normal 22 6 3" xfId="53692"/>
    <cellStyle name="Normal 22 6 4" xfId="53693"/>
    <cellStyle name="Normal 22 7" xfId="53694"/>
    <cellStyle name="Normal 22 7 2" xfId="53695"/>
    <cellStyle name="Normal 22 7 2 2" xfId="53696"/>
    <cellStyle name="Normal 22 7 2 3" xfId="53697"/>
    <cellStyle name="Normal 22 7 3" xfId="53698"/>
    <cellStyle name="Normal 22 7 4" xfId="53699"/>
    <cellStyle name="Normal 22 8" xfId="53700"/>
    <cellStyle name="Normal 22 8 2" xfId="53701"/>
    <cellStyle name="Normal 22 8 3" xfId="53702"/>
    <cellStyle name="Normal 22 9" xfId="53703"/>
    <cellStyle name="Normal 22 9 2" xfId="53704"/>
    <cellStyle name="Normal 22 9 3" xfId="53705"/>
    <cellStyle name="Normal 220" xfId="53706"/>
    <cellStyle name="Normal 220 2" xfId="53707"/>
    <cellStyle name="Normal 220 2 2" xfId="53708"/>
    <cellStyle name="Normal 220 2 3" xfId="53709"/>
    <cellStyle name="Normal 220 3" xfId="53710"/>
    <cellStyle name="Normal 220 4" xfId="53711"/>
    <cellStyle name="Normal 220 5" xfId="53712"/>
    <cellStyle name="Normal 220 6" xfId="53713"/>
    <cellStyle name="Normal 221" xfId="53714"/>
    <cellStyle name="Normal 221 2" xfId="53715"/>
    <cellStyle name="Normal 221 2 2" xfId="53716"/>
    <cellStyle name="Normal 221 2 3" xfId="53717"/>
    <cellStyle name="Normal 221 3" xfId="53718"/>
    <cellStyle name="Normal 221 4" xfId="53719"/>
    <cellStyle name="Normal 221 5" xfId="53720"/>
    <cellStyle name="Normal 221 6" xfId="53721"/>
    <cellStyle name="Normal 222" xfId="53722"/>
    <cellStyle name="Normal 222 2" xfId="53723"/>
    <cellStyle name="Normal 222 2 2" xfId="53724"/>
    <cellStyle name="Normal 222 2 3" xfId="53725"/>
    <cellStyle name="Normal 222 3" xfId="53726"/>
    <cellStyle name="Normal 222 4" xfId="53727"/>
    <cellStyle name="Normal 222 5" xfId="53728"/>
    <cellStyle name="Normal 222 6" xfId="53729"/>
    <cellStyle name="Normal 223" xfId="53730"/>
    <cellStyle name="Normal 223 2" xfId="53731"/>
    <cellStyle name="Normal 223 2 2" xfId="53732"/>
    <cellStyle name="Normal 223 2 3" xfId="53733"/>
    <cellStyle name="Normal 223 3" xfId="53734"/>
    <cellStyle name="Normal 223 4" xfId="53735"/>
    <cellStyle name="Normal 223 5" xfId="53736"/>
    <cellStyle name="Normal 223 6" xfId="53737"/>
    <cellStyle name="Normal 224" xfId="53738"/>
    <cellStyle name="Normal 224 2" xfId="53739"/>
    <cellStyle name="Normal 224 2 2" xfId="53740"/>
    <cellStyle name="Normal 224 2 3" xfId="53741"/>
    <cellStyle name="Normal 224 3" xfId="53742"/>
    <cellStyle name="Normal 224 3 2" xfId="53743"/>
    <cellStyle name="Normal 224 3 3" xfId="53744"/>
    <cellStyle name="Normal 224 4" xfId="53745"/>
    <cellStyle name="Normal 224 5" xfId="53746"/>
    <cellStyle name="Normal 224 6" xfId="53747"/>
    <cellStyle name="Normal 224 7" xfId="53748"/>
    <cellStyle name="Normal 225" xfId="53749"/>
    <cellStyle name="Normal 225 2" xfId="53750"/>
    <cellStyle name="Normal 225 2 2" xfId="53751"/>
    <cellStyle name="Normal 225 2 3" xfId="53752"/>
    <cellStyle name="Normal 225 3" xfId="53753"/>
    <cellStyle name="Normal 225 4" xfId="53754"/>
    <cellStyle name="Normal 225 5" xfId="53755"/>
    <cellStyle name="Normal 225 6" xfId="53756"/>
    <cellStyle name="Normal 226" xfId="53757"/>
    <cellStyle name="Normal 226 2" xfId="53758"/>
    <cellStyle name="Normal 226 2 2" xfId="53759"/>
    <cellStyle name="Normal 226 2 3" xfId="53760"/>
    <cellStyle name="Normal 226 3" xfId="53761"/>
    <cellStyle name="Normal 226 3 2" xfId="53762"/>
    <cellStyle name="Normal 226 3 3" xfId="53763"/>
    <cellStyle name="Normal 226 4" xfId="53764"/>
    <cellStyle name="Normal 226 5" xfId="53765"/>
    <cellStyle name="Normal 226 6" xfId="53766"/>
    <cellStyle name="Normal 226 7" xfId="53767"/>
    <cellStyle name="Normal 227" xfId="53768"/>
    <cellStyle name="Normal 227 2" xfId="53769"/>
    <cellStyle name="Normal 227 2 2" xfId="53770"/>
    <cellStyle name="Normal 227 2 3" xfId="53771"/>
    <cellStyle name="Normal 227 3" xfId="53772"/>
    <cellStyle name="Normal 227 4" xfId="53773"/>
    <cellStyle name="Normal 227 5" xfId="53774"/>
    <cellStyle name="Normal 227 6" xfId="53775"/>
    <cellStyle name="Normal 228" xfId="53776"/>
    <cellStyle name="Normal 228 2" xfId="53777"/>
    <cellStyle name="Normal 228 2 2" xfId="53778"/>
    <cellStyle name="Normal 228 2 3" xfId="53779"/>
    <cellStyle name="Normal 228 3" xfId="53780"/>
    <cellStyle name="Normal 228 4" xfId="53781"/>
    <cellStyle name="Normal 228 5" xfId="53782"/>
    <cellStyle name="Normal 228 6" xfId="53783"/>
    <cellStyle name="Normal 229" xfId="53784"/>
    <cellStyle name="Normal 229 2" xfId="53785"/>
    <cellStyle name="Normal 229 2 2" xfId="53786"/>
    <cellStyle name="Normal 229 2 3" xfId="53787"/>
    <cellStyle name="Normal 229 3" xfId="53788"/>
    <cellStyle name="Normal 229 4" xfId="53789"/>
    <cellStyle name="Normal 229 5" xfId="53790"/>
    <cellStyle name="Normal 229 6" xfId="53791"/>
    <cellStyle name="Normal 23" xfId="53792"/>
    <cellStyle name="Normal 23 10" xfId="53793"/>
    <cellStyle name="Normal 23 11" xfId="53794"/>
    <cellStyle name="Normal 23 12" xfId="53795"/>
    <cellStyle name="Normal 23 2" xfId="53796"/>
    <cellStyle name="Normal 23 2 10" xfId="53797"/>
    <cellStyle name="Normal 23 2 2" xfId="53798"/>
    <cellStyle name="Normal 23 2 2 2" xfId="53799"/>
    <cellStyle name="Normal 23 2 2 2 2" xfId="53800"/>
    <cellStyle name="Normal 23 2 2 2 2 2" xfId="53801"/>
    <cellStyle name="Normal 23 2 2 2 2 2 2" xfId="53802"/>
    <cellStyle name="Normal 23 2 2 2 2 2 3" xfId="53803"/>
    <cellStyle name="Normal 23 2 2 2 2 3" xfId="53804"/>
    <cellStyle name="Normal 23 2 2 2 2 4" xfId="53805"/>
    <cellStyle name="Normal 23 2 2 2 3" xfId="53806"/>
    <cellStyle name="Normal 23 2 2 2 3 2" xfId="53807"/>
    <cellStyle name="Normal 23 2 2 2 3 3" xfId="53808"/>
    <cellStyle name="Normal 23 2 2 2 4" xfId="53809"/>
    <cellStyle name="Normal 23 2 2 2 4 2" xfId="53810"/>
    <cellStyle name="Normal 23 2 2 2 4 3" xfId="53811"/>
    <cellStyle name="Normal 23 2 2 2 5" xfId="53812"/>
    <cellStyle name="Normal 23 2 2 2 6" xfId="53813"/>
    <cellStyle name="Normal 23 2 2 3" xfId="53814"/>
    <cellStyle name="Normal 23 2 2 3 2" xfId="53815"/>
    <cellStyle name="Normal 23 2 2 3 2 2" xfId="53816"/>
    <cellStyle name="Normal 23 2 2 3 2 2 2" xfId="53817"/>
    <cellStyle name="Normal 23 2 2 3 2 2 3" xfId="53818"/>
    <cellStyle name="Normal 23 2 2 3 2 3" xfId="53819"/>
    <cellStyle name="Normal 23 2 2 3 2 4" xfId="53820"/>
    <cellStyle name="Normal 23 2 2 3 3" xfId="53821"/>
    <cellStyle name="Normal 23 2 2 3 3 2" xfId="53822"/>
    <cellStyle name="Normal 23 2 2 3 3 3" xfId="53823"/>
    <cellStyle name="Normal 23 2 2 3 4" xfId="53824"/>
    <cellStyle name="Normal 23 2 2 3 4 2" xfId="53825"/>
    <cellStyle name="Normal 23 2 2 3 4 3" xfId="53826"/>
    <cellStyle name="Normal 23 2 2 3 5" xfId="53827"/>
    <cellStyle name="Normal 23 2 2 3 6" xfId="53828"/>
    <cellStyle name="Normal 23 2 2 4" xfId="53829"/>
    <cellStyle name="Normal 23 2 2 4 2" xfId="53830"/>
    <cellStyle name="Normal 23 2 2 4 2 2" xfId="53831"/>
    <cellStyle name="Normal 23 2 2 4 2 3" xfId="53832"/>
    <cellStyle name="Normal 23 2 2 4 3" xfId="53833"/>
    <cellStyle name="Normal 23 2 2 4 4" xfId="53834"/>
    <cellStyle name="Normal 23 2 2 5" xfId="53835"/>
    <cellStyle name="Normal 23 2 2 5 2" xfId="53836"/>
    <cellStyle name="Normal 23 2 2 5 3" xfId="53837"/>
    <cellStyle name="Normal 23 2 2 6" xfId="53838"/>
    <cellStyle name="Normal 23 2 2 6 2" xfId="53839"/>
    <cellStyle name="Normal 23 2 2 6 3" xfId="53840"/>
    <cellStyle name="Normal 23 2 2 7" xfId="53841"/>
    <cellStyle name="Normal 23 2 2 8" xfId="53842"/>
    <cellStyle name="Normal 23 2 3" xfId="53843"/>
    <cellStyle name="Normal 23 2 3 2" xfId="53844"/>
    <cellStyle name="Normal 23 2 3 2 2" xfId="53845"/>
    <cellStyle name="Normal 23 2 3 2 2 2" xfId="53846"/>
    <cellStyle name="Normal 23 2 3 2 2 3" xfId="53847"/>
    <cellStyle name="Normal 23 2 3 2 3" xfId="53848"/>
    <cellStyle name="Normal 23 2 3 2 4" xfId="53849"/>
    <cellStyle name="Normal 23 2 3 3" xfId="53850"/>
    <cellStyle name="Normal 23 2 3 3 2" xfId="53851"/>
    <cellStyle name="Normal 23 2 3 3 3" xfId="53852"/>
    <cellStyle name="Normal 23 2 3 4" xfId="53853"/>
    <cellStyle name="Normal 23 2 3 4 2" xfId="53854"/>
    <cellStyle name="Normal 23 2 3 4 3" xfId="53855"/>
    <cellStyle name="Normal 23 2 3 5" xfId="53856"/>
    <cellStyle name="Normal 23 2 3 6" xfId="53857"/>
    <cellStyle name="Normal 23 2 4" xfId="53858"/>
    <cellStyle name="Normal 23 2 4 2" xfId="53859"/>
    <cellStyle name="Normal 23 2 4 2 2" xfId="53860"/>
    <cellStyle name="Normal 23 2 4 2 2 2" xfId="53861"/>
    <cellStyle name="Normal 23 2 4 2 2 3" xfId="53862"/>
    <cellStyle name="Normal 23 2 4 2 3" xfId="53863"/>
    <cellStyle name="Normal 23 2 4 2 4" xfId="53864"/>
    <cellStyle name="Normal 23 2 4 3" xfId="53865"/>
    <cellStyle name="Normal 23 2 4 3 2" xfId="53866"/>
    <cellStyle name="Normal 23 2 4 3 3" xfId="53867"/>
    <cellStyle name="Normal 23 2 4 4" xfId="53868"/>
    <cellStyle name="Normal 23 2 4 4 2" xfId="53869"/>
    <cellStyle name="Normal 23 2 4 4 3" xfId="53870"/>
    <cellStyle name="Normal 23 2 4 5" xfId="53871"/>
    <cellStyle name="Normal 23 2 4 6" xfId="53872"/>
    <cellStyle name="Normal 23 2 5" xfId="53873"/>
    <cellStyle name="Normal 23 2 5 2" xfId="53874"/>
    <cellStyle name="Normal 23 2 5 2 2" xfId="53875"/>
    <cellStyle name="Normal 23 2 5 2 3" xfId="53876"/>
    <cellStyle name="Normal 23 2 5 3" xfId="53877"/>
    <cellStyle name="Normal 23 2 5 4" xfId="53878"/>
    <cellStyle name="Normal 23 2 6" xfId="53879"/>
    <cellStyle name="Normal 23 2 6 2" xfId="53880"/>
    <cellStyle name="Normal 23 2 6 2 2" xfId="53881"/>
    <cellStyle name="Normal 23 2 6 2 3" xfId="53882"/>
    <cellStyle name="Normal 23 2 6 3" xfId="53883"/>
    <cellStyle name="Normal 23 2 6 4" xfId="53884"/>
    <cellStyle name="Normal 23 2 7" xfId="53885"/>
    <cellStyle name="Normal 23 2 7 2" xfId="53886"/>
    <cellStyle name="Normal 23 2 7 3" xfId="53887"/>
    <cellStyle name="Normal 23 2 8" xfId="53888"/>
    <cellStyle name="Normal 23 2 8 2" xfId="53889"/>
    <cellStyle name="Normal 23 2 8 3" xfId="53890"/>
    <cellStyle name="Normal 23 2 9" xfId="53891"/>
    <cellStyle name="Normal 23 3" xfId="53892"/>
    <cellStyle name="Normal 23 3 2" xfId="53893"/>
    <cellStyle name="Normal 23 3 2 2" xfId="53894"/>
    <cellStyle name="Normal 23 3 2 2 2" xfId="53895"/>
    <cellStyle name="Normal 23 3 2 2 2 2" xfId="53896"/>
    <cellStyle name="Normal 23 3 2 2 2 3" xfId="53897"/>
    <cellStyle name="Normal 23 3 2 2 3" xfId="53898"/>
    <cellStyle name="Normal 23 3 2 2 4" xfId="53899"/>
    <cellStyle name="Normal 23 3 2 3" xfId="53900"/>
    <cellStyle name="Normal 23 3 2 3 2" xfId="53901"/>
    <cellStyle name="Normal 23 3 2 3 3" xfId="53902"/>
    <cellStyle name="Normal 23 3 2 4" xfId="53903"/>
    <cellStyle name="Normal 23 3 2 4 2" xfId="53904"/>
    <cellStyle name="Normal 23 3 2 4 3" xfId="53905"/>
    <cellStyle name="Normal 23 3 2 5" xfId="53906"/>
    <cellStyle name="Normal 23 3 2 6" xfId="53907"/>
    <cellStyle name="Normal 23 3 3" xfId="53908"/>
    <cellStyle name="Normal 23 3 3 2" xfId="53909"/>
    <cellStyle name="Normal 23 3 3 2 2" xfId="53910"/>
    <cellStyle name="Normal 23 3 3 2 2 2" xfId="53911"/>
    <cellStyle name="Normal 23 3 3 2 2 3" xfId="53912"/>
    <cellStyle name="Normal 23 3 3 2 3" xfId="53913"/>
    <cellStyle name="Normal 23 3 3 2 4" xfId="53914"/>
    <cellStyle name="Normal 23 3 3 3" xfId="53915"/>
    <cellStyle name="Normal 23 3 3 3 2" xfId="53916"/>
    <cellStyle name="Normal 23 3 3 3 3" xfId="53917"/>
    <cellStyle name="Normal 23 3 3 4" xfId="53918"/>
    <cellStyle name="Normal 23 3 3 4 2" xfId="53919"/>
    <cellStyle name="Normal 23 3 3 4 3" xfId="53920"/>
    <cellStyle name="Normal 23 3 3 5" xfId="53921"/>
    <cellStyle name="Normal 23 3 3 6" xfId="53922"/>
    <cellStyle name="Normal 23 3 4" xfId="53923"/>
    <cellStyle name="Normal 23 3 4 2" xfId="53924"/>
    <cellStyle name="Normal 23 3 4 2 2" xfId="53925"/>
    <cellStyle name="Normal 23 3 4 2 3" xfId="53926"/>
    <cellStyle name="Normal 23 3 4 3" xfId="53927"/>
    <cellStyle name="Normal 23 3 4 4" xfId="53928"/>
    <cellStyle name="Normal 23 3 5" xfId="53929"/>
    <cellStyle name="Normal 23 3 5 2" xfId="53930"/>
    <cellStyle name="Normal 23 3 5 3" xfId="53931"/>
    <cellStyle name="Normal 23 3 6" xfId="53932"/>
    <cellStyle name="Normal 23 3 6 2" xfId="53933"/>
    <cellStyle name="Normal 23 3 6 3" xfId="53934"/>
    <cellStyle name="Normal 23 3 7" xfId="53935"/>
    <cellStyle name="Normal 23 3 8" xfId="53936"/>
    <cellStyle name="Normal 23 4" xfId="53937"/>
    <cellStyle name="Normal 23 4 2" xfId="53938"/>
    <cellStyle name="Normal 23 4 2 2" xfId="53939"/>
    <cellStyle name="Normal 23 4 2 2 2" xfId="53940"/>
    <cellStyle name="Normal 23 4 2 2 3" xfId="53941"/>
    <cellStyle name="Normal 23 4 2 3" xfId="53942"/>
    <cellStyle name="Normal 23 4 2 4" xfId="53943"/>
    <cellStyle name="Normal 23 4 3" xfId="53944"/>
    <cellStyle name="Normal 23 4 3 2" xfId="53945"/>
    <cellStyle name="Normal 23 4 3 3" xfId="53946"/>
    <cellStyle name="Normal 23 4 4" xfId="53947"/>
    <cellStyle name="Normal 23 4 4 2" xfId="53948"/>
    <cellStyle name="Normal 23 4 4 3" xfId="53949"/>
    <cellStyle name="Normal 23 4 5" xfId="53950"/>
    <cellStyle name="Normal 23 4 6" xfId="53951"/>
    <cellStyle name="Normal 23 5" xfId="53952"/>
    <cellStyle name="Normal 23 5 2" xfId="53953"/>
    <cellStyle name="Normal 23 5 2 2" xfId="53954"/>
    <cellStyle name="Normal 23 5 2 2 2" xfId="53955"/>
    <cellStyle name="Normal 23 5 2 2 3" xfId="53956"/>
    <cellStyle name="Normal 23 5 2 3" xfId="53957"/>
    <cellStyle name="Normal 23 5 2 4" xfId="53958"/>
    <cellStyle name="Normal 23 5 3" xfId="53959"/>
    <cellStyle name="Normal 23 5 3 2" xfId="53960"/>
    <cellStyle name="Normal 23 5 3 3" xfId="53961"/>
    <cellStyle name="Normal 23 5 4" xfId="53962"/>
    <cellStyle name="Normal 23 5 4 2" xfId="53963"/>
    <cellStyle name="Normal 23 5 4 3" xfId="53964"/>
    <cellStyle name="Normal 23 5 5" xfId="53965"/>
    <cellStyle name="Normal 23 5 6" xfId="53966"/>
    <cellStyle name="Normal 23 6" xfId="53967"/>
    <cellStyle name="Normal 23 6 2" xfId="53968"/>
    <cellStyle name="Normal 23 6 2 2" xfId="53969"/>
    <cellStyle name="Normal 23 6 2 3" xfId="53970"/>
    <cellStyle name="Normal 23 6 3" xfId="53971"/>
    <cellStyle name="Normal 23 6 4" xfId="53972"/>
    <cellStyle name="Normal 23 7" xfId="53973"/>
    <cellStyle name="Normal 23 7 2" xfId="53974"/>
    <cellStyle name="Normal 23 7 2 2" xfId="53975"/>
    <cellStyle name="Normal 23 7 2 3" xfId="53976"/>
    <cellStyle name="Normal 23 7 3" xfId="53977"/>
    <cellStyle name="Normal 23 7 4" xfId="53978"/>
    <cellStyle name="Normal 23 8" xfId="53979"/>
    <cellStyle name="Normal 23 8 2" xfId="53980"/>
    <cellStyle name="Normal 23 8 3" xfId="53981"/>
    <cellStyle name="Normal 23 9" xfId="53982"/>
    <cellStyle name="Normal 23 9 2" xfId="53983"/>
    <cellStyle name="Normal 23 9 3" xfId="53984"/>
    <cellStyle name="Normal 230" xfId="53985"/>
    <cellStyle name="Normal 230 2" xfId="53986"/>
    <cellStyle name="Normal 230 2 2" xfId="53987"/>
    <cellStyle name="Normal 230 2 3" xfId="53988"/>
    <cellStyle name="Normal 230 3" xfId="53989"/>
    <cellStyle name="Normal 230 4" xfId="53990"/>
    <cellStyle name="Normal 230 5" xfId="53991"/>
    <cellStyle name="Normal 230 6" xfId="53992"/>
    <cellStyle name="Normal 231" xfId="53993"/>
    <cellStyle name="Normal 231 2" xfId="53994"/>
    <cellStyle name="Normal 231 2 2" xfId="53995"/>
    <cellStyle name="Normal 231 2 3" xfId="53996"/>
    <cellStyle name="Normal 231 3" xfId="53997"/>
    <cellStyle name="Normal 231 4" xfId="53998"/>
    <cellStyle name="Normal 231 5" xfId="53999"/>
    <cellStyle name="Normal 231 6" xfId="54000"/>
    <cellStyle name="Normal 232" xfId="54001"/>
    <cellStyle name="Normal 232 2" xfId="54002"/>
    <cellStyle name="Normal 232 2 2" xfId="54003"/>
    <cellStyle name="Normal 232 2 3" xfId="54004"/>
    <cellStyle name="Normal 232 3" xfId="54005"/>
    <cellStyle name="Normal 232 4" xfId="54006"/>
    <cellStyle name="Normal 232 5" xfId="54007"/>
    <cellStyle name="Normal 232 6" xfId="54008"/>
    <cellStyle name="Normal 233" xfId="54009"/>
    <cellStyle name="Normal 233 2" xfId="54010"/>
    <cellStyle name="Normal 233 2 2" xfId="54011"/>
    <cellStyle name="Normal 233 2 3" xfId="54012"/>
    <cellStyle name="Normal 233 3" xfId="54013"/>
    <cellStyle name="Normal 233 4" xfId="54014"/>
    <cellStyle name="Normal 233 5" xfId="54015"/>
    <cellStyle name="Normal 233 6" xfId="54016"/>
    <cellStyle name="Normal 234" xfId="54017"/>
    <cellStyle name="Normal 234 2" xfId="54018"/>
    <cellStyle name="Normal 234 3" xfId="54019"/>
    <cellStyle name="Normal 234 4" xfId="54020"/>
    <cellStyle name="Normal 234 5" xfId="54021"/>
    <cellStyle name="Normal 235" xfId="54022"/>
    <cellStyle name="Normal 235 2" xfId="54023"/>
    <cellStyle name="Normal 235 3" xfId="54024"/>
    <cellStyle name="Normal 235 4" xfId="54025"/>
    <cellStyle name="Normal 235 5" xfId="54026"/>
    <cellStyle name="Normal 236" xfId="54027"/>
    <cellStyle name="Normal 236 2" xfId="54028"/>
    <cellStyle name="Normal 236 3" xfId="54029"/>
    <cellStyle name="Normal 236 4" xfId="54030"/>
    <cellStyle name="Normal 236 5" xfId="54031"/>
    <cellStyle name="Normal 237" xfId="54032"/>
    <cellStyle name="Normal 237 2" xfId="54033"/>
    <cellStyle name="Normal 237 3" xfId="54034"/>
    <cellStyle name="Normal 237 4" xfId="54035"/>
    <cellStyle name="Normal 237 5" xfId="54036"/>
    <cellStyle name="Normal 238" xfId="54037"/>
    <cellStyle name="Normal 238 2" xfId="54038"/>
    <cellStyle name="Normal 238 3" xfId="54039"/>
    <cellStyle name="Normal 238 4" xfId="54040"/>
    <cellStyle name="Normal 238 5" xfId="54041"/>
    <cellStyle name="Normal 239" xfId="54042"/>
    <cellStyle name="Normal 239 2" xfId="54043"/>
    <cellStyle name="Normal 239 3" xfId="54044"/>
    <cellStyle name="Normal 239 4" xfId="54045"/>
    <cellStyle name="Normal 239 5" xfId="54046"/>
    <cellStyle name="Normal 24" xfId="54047"/>
    <cellStyle name="Normal 24 10" xfId="54048"/>
    <cellStyle name="Normal 24 11" xfId="54049"/>
    <cellStyle name="Normal 24 2" xfId="54050"/>
    <cellStyle name="Normal 24 2 10" xfId="54051"/>
    <cellStyle name="Normal 24 2 2" xfId="54052"/>
    <cellStyle name="Normal 24 2 2 2" xfId="54053"/>
    <cellStyle name="Normal 24 2 2 2 2" xfId="54054"/>
    <cellStyle name="Normal 24 2 2 2 2 2" xfId="54055"/>
    <cellStyle name="Normal 24 2 2 2 2 2 2" xfId="54056"/>
    <cellStyle name="Normal 24 2 2 2 2 2 3" xfId="54057"/>
    <cellStyle name="Normal 24 2 2 2 2 3" xfId="54058"/>
    <cellStyle name="Normal 24 2 2 2 2 4" xfId="54059"/>
    <cellStyle name="Normal 24 2 2 2 3" xfId="54060"/>
    <cellStyle name="Normal 24 2 2 2 3 2" xfId="54061"/>
    <cellStyle name="Normal 24 2 2 2 3 3" xfId="54062"/>
    <cellStyle name="Normal 24 2 2 2 4" xfId="54063"/>
    <cellStyle name="Normal 24 2 2 2 4 2" xfId="54064"/>
    <cellStyle name="Normal 24 2 2 2 4 3" xfId="54065"/>
    <cellStyle name="Normal 24 2 2 2 5" xfId="54066"/>
    <cellStyle name="Normal 24 2 2 2 6" xfId="54067"/>
    <cellStyle name="Normal 24 2 2 3" xfId="54068"/>
    <cellStyle name="Normal 24 2 2 3 2" xfId="54069"/>
    <cellStyle name="Normal 24 2 2 3 2 2" xfId="54070"/>
    <cellStyle name="Normal 24 2 2 3 2 2 2" xfId="54071"/>
    <cellStyle name="Normal 24 2 2 3 2 2 3" xfId="54072"/>
    <cellStyle name="Normal 24 2 2 3 2 3" xfId="54073"/>
    <cellStyle name="Normal 24 2 2 3 2 4" xfId="54074"/>
    <cellStyle name="Normal 24 2 2 3 3" xfId="54075"/>
    <cellStyle name="Normal 24 2 2 3 3 2" xfId="54076"/>
    <cellStyle name="Normal 24 2 2 3 3 3" xfId="54077"/>
    <cellStyle name="Normal 24 2 2 3 4" xfId="54078"/>
    <cellStyle name="Normal 24 2 2 3 4 2" xfId="54079"/>
    <cellStyle name="Normal 24 2 2 3 4 3" xfId="54080"/>
    <cellStyle name="Normal 24 2 2 3 5" xfId="54081"/>
    <cellStyle name="Normal 24 2 2 3 6" xfId="54082"/>
    <cellStyle name="Normal 24 2 2 4" xfId="54083"/>
    <cellStyle name="Normal 24 2 2 4 2" xfId="54084"/>
    <cellStyle name="Normal 24 2 2 4 2 2" xfId="54085"/>
    <cellStyle name="Normal 24 2 2 4 2 3" xfId="54086"/>
    <cellStyle name="Normal 24 2 2 4 3" xfId="54087"/>
    <cellStyle name="Normal 24 2 2 4 4" xfId="54088"/>
    <cellStyle name="Normal 24 2 2 5" xfId="54089"/>
    <cellStyle name="Normal 24 2 2 5 2" xfId="54090"/>
    <cellStyle name="Normal 24 2 2 5 3" xfId="54091"/>
    <cellStyle name="Normal 24 2 2 6" xfId="54092"/>
    <cellStyle name="Normal 24 2 2 6 2" xfId="54093"/>
    <cellStyle name="Normal 24 2 2 6 3" xfId="54094"/>
    <cellStyle name="Normal 24 2 2 7" xfId="54095"/>
    <cellStyle name="Normal 24 2 2 8" xfId="54096"/>
    <cellStyle name="Normal 24 2 3" xfId="54097"/>
    <cellStyle name="Normal 24 2 3 2" xfId="54098"/>
    <cellStyle name="Normal 24 2 3 2 2" xfId="54099"/>
    <cellStyle name="Normal 24 2 3 2 2 2" xfId="54100"/>
    <cellStyle name="Normal 24 2 3 2 2 3" xfId="54101"/>
    <cellStyle name="Normal 24 2 3 2 3" xfId="54102"/>
    <cellStyle name="Normal 24 2 3 2 4" xfId="54103"/>
    <cellStyle name="Normal 24 2 3 3" xfId="54104"/>
    <cellStyle name="Normal 24 2 3 3 2" xfId="54105"/>
    <cellStyle name="Normal 24 2 3 3 3" xfId="54106"/>
    <cellStyle name="Normal 24 2 3 4" xfId="54107"/>
    <cellStyle name="Normal 24 2 3 4 2" xfId="54108"/>
    <cellStyle name="Normal 24 2 3 4 3" xfId="54109"/>
    <cellStyle name="Normal 24 2 3 5" xfId="54110"/>
    <cellStyle name="Normal 24 2 3 6" xfId="54111"/>
    <cellStyle name="Normal 24 2 4" xfId="54112"/>
    <cellStyle name="Normal 24 2 4 2" xfId="54113"/>
    <cellStyle name="Normal 24 2 4 2 2" xfId="54114"/>
    <cellStyle name="Normal 24 2 4 2 2 2" xfId="54115"/>
    <cellStyle name="Normal 24 2 4 2 2 3" xfId="54116"/>
    <cellStyle name="Normal 24 2 4 2 3" xfId="54117"/>
    <cellStyle name="Normal 24 2 4 2 4" xfId="54118"/>
    <cellStyle name="Normal 24 2 4 3" xfId="54119"/>
    <cellStyle name="Normal 24 2 4 3 2" xfId="54120"/>
    <cellStyle name="Normal 24 2 4 3 3" xfId="54121"/>
    <cellStyle name="Normal 24 2 4 4" xfId="54122"/>
    <cellStyle name="Normal 24 2 4 4 2" xfId="54123"/>
    <cellStyle name="Normal 24 2 4 4 3" xfId="54124"/>
    <cellStyle name="Normal 24 2 4 5" xfId="54125"/>
    <cellStyle name="Normal 24 2 4 6" xfId="54126"/>
    <cellStyle name="Normal 24 2 5" xfId="54127"/>
    <cellStyle name="Normal 24 2 5 2" xfId="54128"/>
    <cellStyle name="Normal 24 2 5 2 2" xfId="54129"/>
    <cellStyle name="Normal 24 2 5 2 3" xfId="54130"/>
    <cellStyle name="Normal 24 2 5 3" xfId="54131"/>
    <cellStyle name="Normal 24 2 5 4" xfId="54132"/>
    <cellStyle name="Normal 24 2 6" xfId="54133"/>
    <cellStyle name="Normal 24 2 6 2" xfId="54134"/>
    <cellStyle name="Normal 24 2 6 2 2" xfId="54135"/>
    <cellStyle name="Normal 24 2 6 2 3" xfId="54136"/>
    <cellStyle name="Normal 24 2 6 3" xfId="54137"/>
    <cellStyle name="Normal 24 2 6 4" xfId="54138"/>
    <cellStyle name="Normal 24 2 7" xfId="54139"/>
    <cellStyle name="Normal 24 2 7 2" xfId="54140"/>
    <cellStyle name="Normal 24 2 7 3" xfId="54141"/>
    <cellStyle name="Normal 24 2 8" xfId="54142"/>
    <cellStyle name="Normal 24 2 8 2" xfId="54143"/>
    <cellStyle name="Normal 24 2 8 3" xfId="54144"/>
    <cellStyle name="Normal 24 2 9" xfId="54145"/>
    <cellStyle name="Normal 24 3" xfId="54146"/>
    <cellStyle name="Normal 24 3 2" xfId="54147"/>
    <cellStyle name="Normal 24 3 2 2" xfId="54148"/>
    <cellStyle name="Normal 24 3 2 2 2" xfId="54149"/>
    <cellStyle name="Normal 24 3 2 2 2 2" xfId="54150"/>
    <cellStyle name="Normal 24 3 2 2 2 3" xfId="54151"/>
    <cellStyle name="Normal 24 3 2 2 3" xfId="54152"/>
    <cellStyle name="Normal 24 3 2 2 4" xfId="54153"/>
    <cellStyle name="Normal 24 3 2 3" xfId="54154"/>
    <cellStyle name="Normal 24 3 2 3 2" xfId="54155"/>
    <cellStyle name="Normal 24 3 2 3 3" xfId="54156"/>
    <cellStyle name="Normal 24 3 2 4" xfId="54157"/>
    <cellStyle name="Normal 24 3 2 4 2" xfId="54158"/>
    <cellStyle name="Normal 24 3 2 4 3" xfId="54159"/>
    <cellStyle name="Normal 24 3 2 5" xfId="54160"/>
    <cellStyle name="Normal 24 3 2 6" xfId="54161"/>
    <cellStyle name="Normal 24 3 3" xfId="54162"/>
    <cellStyle name="Normal 24 3 3 2" xfId="54163"/>
    <cellStyle name="Normal 24 3 3 2 2" xfId="54164"/>
    <cellStyle name="Normal 24 3 3 2 2 2" xfId="54165"/>
    <cellStyle name="Normal 24 3 3 2 2 3" xfId="54166"/>
    <cellStyle name="Normal 24 3 3 2 3" xfId="54167"/>
    <cellStyle name="Normal 24 3 3 2 4" xfId="54168"/>
    <cellStyle name="Normal 24 3 3 3" xfId="54169"/>
    <cellStyle name="Normal 24 3 3 3 2" xfId="54170"/>
    <cellStyle name="Normal 24 3 3 3 3" xfId="54171"/>
    <cellStyle name="Normal 24 3 3 4" xfId="54172"/>
    <cellStyle name="Normal 24 3 3 4 2" xfId="54173"/>
    <cellStyle name="Normal 24 3 3 4 3" xfId="54174"/>
    <cellStyle name="Normal 24 3 3 5" xfId="54175"/>
    <cellStyle name="Normal 24 3 3 6" xfId="54176"/>
    <cellStyle name="Normal 24 3 4" xfId="54177"/>
    <cellStyle name="Normal 24 3 4 2" xfId="54178"/>
    <cellStyle name="Normal 24 3 4 2 2" xfId="54179"/>
    <cellStyle name="Normal 24 3 4 2 3" xfId="54180"/>
    <cellStyle name="Normal 24 3 4 3" xfId="54181"/>
    <cellStyle name="Normal 24 3 4 4" xfId="54182"/>
    <cellStyle name="Normal 24 3 5" xfId="54183"/>
    <cellStyle name="Normal 24 3 5 2" xfId="54184"/>
    <cellStyle name="Normal 24 3 5 3" xfId="54185"/>
    <cellStyle name="Normal 24 3 6" xfId="54186"/>
    <cellStyle name="Normal 24 3 6 2" xfId="54187"/>
    <cellStyle name="Normal 24 3 6 3" xfId="54188"/>
    <cellStyle name="Normal 24 3 7" xfId="54189"/>
    <cellStyle name="Normal 24 3 8" xfId="54190"/>
    <cellStyle name="Normal 24 4" xfId="54191"/>
    <cellStyle name="Normal 24 4 2" xfId="54192"/>
    <cellStyle name="Normal 24 4 2 2" xfId="54193"/>
    <cellStyle name="Normal 24 4 2 2 2" xfId="54194"/>
    <cellStyle name="Normal 24 4 2 2 3" xfId="54195"/>
    <cellStyle name="Normal 24 4 2 3" xfId="54196"/>
    <cellStyle name="Normal 24 4 2 4" xfId="54197"/>
    <cellStyle name="Normal 24 4 3" xfId="54198"/>
    <cellStyle name="Normal 24 4 3 2" xfId="54199"/>
    <cellStyle name="Normal 24 4 3 3" xfId="54200"/>
    <cellStyle name="Normal 24 4 4" xfId="54201"/>
    <cellStyle name="Normal 24 4 4 2" xfId="54202"/>
    <cellStyle name="Normal 24 4 4 3" xfId="54203"/>
    <cellStyle name="Normal 24 4 5" xfId="54204"/>
    <cellStyle name="Normal 24 4 6" xfId="54205"/>
    <cellStyle name="Normal 24 5" xfId="54206"/>
    <cellStyle name="Normal 24 5 2" xfId="54207"/>
    <cellStyle name="Normal 24 5 2 2" xfId="54208"/>
    <cellStyle name="Normal 24 5 2 2 2" xfId="54209"/>
    <cellStyle name="Normal 24 5 2 2 3" xfId="54210"/>
    <cellStyle name="Normal 24 5 2 3" xfId="54211"/>
    <cellStyle name="Normal 24 5 2 4" xfId="54212"/>
    <cellStyle name="Normal 24 5 3" xfId="54213"/>
    <cellStyle name="Normal 24 5 3 2" xfId="54214"/>
    <cellStyle name="Normal 24 5 3 3" xfId="54215"/>
    <cellStyle name="Normal 24 5 4" xfId="54216"/>
    <cellStyle name="Normal 24 5 4 2" xfId="54217"/>
    <cellStyle name="Normal 24 5 4 3" xfId="54218"/>
    <cellStyle name="Normal 24 5 5" xfId="54219"/>
    <cellStyle name="Normal 24 5 6" xfId="54220"/>
    <cellStyle name="Normal 24 6" xfId="54221"/>
    <cellStyle name="Normal 24 6 2" xfId="54222"/>
    <cellStyle name="Normal 24 6 2 2" xfId="54223"/>
    <cellStyle name="Normal 24 6 2 3" xfId="54224"/>
    <cellStyle name="Normal 24 6 3" xfId="54225"/>
    <cellStyle name="Normal 24 6 4" xfId="54226"/>
    <cellStyle name="Normal 24 7" xfId="54227"/>
    <cellStyle name="Normal 24 7 2" xfId="54228"/>
    <cellStyle name="Normal 24 7 2 2" xfId="54229"/>
    <cellStyle name="Normal 24 7 2 3" xfId="54230"/>
    <cellStyle name="Normal 24 7 3" xfId="54231"/>
    <cellStyle name="Normal 24 7 4" xfId="54232"/>
    <cellStyle name="Normal 24 8" xfId="54233"/>
    <cellStyle name="Normal 24 8 2" xfId="54234"/>
    <cellStyle name="Normal 24 8 3" xfId="54235"/>
    <cellStyle name="Normal 24 9" xfId="54236"/>
    <cellStyle name="Normal 24 9 2" xfId="54237"/>
    <cellStyle name="Normal 24 9 3" xfId="54238"/>
    <cellStyle name="Normal 240" xfId="54239"/>
    <cellStyle name="Normal 240 2" xfId="54240"/>
    <cellStyle name="Normal 240 3" xfId="54241"/>
    <cellStyle name="Normal 240 4" xfId="54242"/>
    <cellStyle name="Normal 240 5" xfId="54243"/>
    <cellStyle name="Normal 241" xfId="54244"/>
    <cellStyle name="Normal 241 2" xfId="54245"/>
    <cellStyle name="Normal 241 3" xfId="54246"/>
    <cellStyle name="Normal 241 4" xfId="54247"/>
    <cellStyle name="Normal 241 5" xfId="54248"/>
    <cellStyle name="Normal 242" xfId="54249"/>
    <cellStyle name="Normal 242 2" xfId="54250"/>
    <cellStyle name="Normal 242 3" xfId="54251"/>
    <cellStyle name="Normal 242 4" xfId="54252"/>
    <cellStyle name="Normal 242 5" xfId="54253"/>
    <cellStyle name="Normal 243" xfId="54254"/>
    <cellStyle name="Normal 243 2" xfId="54255"/>
    <cellStyle name="Normal 243 3" xfId="54256"/>
    <cellStyle name="Normal 243 4" xfId="54257"/>
    <cellStyle name="Normal 243 5" xfId="54258"/>
    <cellStyle name="Normal 244" xfId="54259"/>
    <cellStyle name="Normal 244 2" xfId="54260"/>
    <cellStyle name="Normal 244 3" xfId="54261"/>
    <cellStyle name="Normal 244 4" xfId="54262"/>
    <cellStyle name="Normal 244 5" xfId="54263"/>
    <cellStyle name="Normal 245" xfId="54264"/>
    <cellStyle name="Normal 245 2" xfId="54265"/>
    <cellStyle name="Normal 245 3" xfId="54266"/>
    <cellStyle name="Normal 246" xfId="54267"/>
    <cellStyle name="Normal 246 2" xfId="54268"/>
    <cellStyle name="Normal 246 3" xfId="54269"/>
    <cellStyle name="Normal 247" xfId="54270"/>
    <cellStyle name="Normal 247 2" xfId="54271"/>
    <cellStyle name="Normal 247 3" xfId="54272"/>
    <cellStyle name="Normal 248" xfId="54273"/>
    <cellStyle name="Normal 248 2" xfId="54274"/>
    <cellStyle name="Normal 248 3" xfId="54275"/>
    <cellStyle name="Normal 249" xfId="54276"/>
    <cellStyle name="Normal 249 2" xfId="54277"/>
    <cellStyle name="Normal 249 3" xfId="54278"/>
    <cellStyle name="Normal 25" xfId="54279"/>
    <cellStyle name="Normal 25 2" xfId="54280"/>
    <cellStyle name="Normal 25 2 2" xfId="54281"/>
    <cellStyle name="Normal 25 2 2 2" xfId="54282"/>
    <cellStyle name="Normal 25 2 2 2 2" xfId="54283"/>
    <cellStyle name="Normal 25 2 2 2 3" xfId="54284"/>
    <cellStyle name="Normal 25 2 2 3" xfId="54285"/>
    <cellStyle name="Normal 25 2 2 4" xfId="54286"/>
    <cellStyle name="Normal 25 2 3" xfId="54287"/>
    <cellStyle name="Normal 25 2 3 2" xfId="54288"/>
    <cellStyle name="Normal 25 2 3 3" xfId="54289"/>
    <cellStyle name="Normal 25 2 4" xfId="54290"/>
    <cellStyle name="Normal 25 2 5" xfId="54291"/>
    <cellStyle name="Normal 25 3" xfId="54292"/>
    <cellStyle name="Normal 25 3 2" xfId="54293"/>
    <cellStyle name="Normal 25 3 3" xfId="54294"/>
    <cellStyle name="Normal 25 4" xfId="54295"/>
    <cellStyle name="Normal 25 4 2" xfId="54296"/>
    <cellStyle name="Normal 25 4 2 2" xfId="54297"/>
    <cellStyle name="Normal 25 4 2 3" xfId="54298"/>
    <cellStyle name="Normal 25 4 3" xfId="54299"/>
    <cellStyle name="Normal 25 4 4" xfId="54300"/>
    <cellStyle name="Normal 25 5" xfId="54301"/>
    <cellStyle name="Normal 25 5 2" xfId="54302"/>
    <cellStyle name="Normal 25 5 3" xfId="54303"/>
    <cellStyle name="Normal 25 6" xfId="54304"/>
    <cellStyle name="Normal 25 7" xfId="54305"/>
    <cellStyle name="Normal 25 8" xfId="54306"/>
    <cellStyle name="Normal 250" xfId="54307"/>
    <cellStyle name="Normal 250 2" xfId="54308"/>
    <cellStyle name="Normal 250 3" xfId="54309"/>
    <cellStyle name="Normal 251" xfId="54310"/>
    <cellStyle name="Normal 251 2" xfId="54311"/>
    <cellStyle name="Normal 251 3" xfId="54312"/>
    <cellStyle name="Normal 252" xfId="54313"/>
    <cellStyle name="Normal 252 2" xfId="54314"/>
    <cellStyle name="Normal 252 3" xfId="54315"/>
    <cellStyle name="Normal 253" xfId="54316"/>
    <cellStyle name="Normal 253 2" xfId="54317"/>
    <cellStyle name="Normal 253 3" xfId="54318"/>
    <cellStyle name="Normal 254" xfId="54319"/>
    <cellStyle name="Normal 254 2" xfId="54320"/>
    <cellStyle name="Normal 254 3" xfId="54321"/>
    <cellStyle name="Normal 254 4" xfId="54322"/>
    <cellStyle name="Normal 255" xfId="54323"/>
    <cellStyle name="Normal 255 2" xfId="54324"/>
    <cellStyle name="Normal 255 3" xfId="54325"/>
    <cellStyle name="Normal 256" xfId="54326"/>
    <cellStyle name="Normal 256 2" xfId="54327"/>
    <cellStyle name="Normal 256 3" xfId="54328"/>
    <cellStyle name="Normal 257" xfId="54329"/>
    <cellStyle name="Normal 257 2" xfId="54330"/>
    <cellStyle name="Normal 257 3" xfId="54331"/>
    <cellStyle name="Normal 258" xfId="54332"/>
    <cellStyle name="Normal 258 2" xfId="54333"/>
    <cellStyle name="Normal 258 3" xfId="54334"/>
    <cellStyle name="Normal 259" xfId="54335"/>
    <cellStyle name="Normal 259 2" xfId="54336"/>
    <cellStyle name="Normal 259 3" xfId="54337"/>
    <cellStyle name="Normal 26" xfId="54338"/>
    <cellStyle name="Normal 26 2" xfId="54339"/>
    <cellStyle name="Normal 26 2 2" xfId="54340"/>
    <cellStyle name="Normal 26 2 3" xfId="54341"/>
    <cellStyle name="Normal 26 3" xfId="54342"/>
    <cellStyle name="Normal 26 3 2" xfId="54343"/>
    <cellStyle name="Normal 26 3 3" xfId="54344"/>
    <cellStyle name="Normal 26 4" xfId="54345"/>
    <cellStyle name="Normal 26 5" xfId="54346"/>
    <cellStyle name="Normal 260" xfId="54347"/>
    <cellStyle name="Normal 260 2" xfId="54348"/>
    <cellStyle name="Normal 260 3" xfId="54349"/>
    <cellStyle name="Normal 261" xfId="54350"/>
    <cellStyle name="Normal 261 2" xfId="54351"/>
    <cellStyle name="Normal 261 3" xfId="54352"/>
    <cellStyle name="Normal 262" xfId="54353"/>
    <cellStyle name="Normal 262 2" xfId="54354"/>
    <cellStyle name="Normal 262 3" xfId="54355"/>
    <cellStyle name="Normal 262 4" xfId="54356"/>
    <cellStyle name="Normal 263" xfId="54357"/>
    <cellStyle name="Normal 263 2" xfId="54358"/>
    <cellStyle name="Normal 263 2 2" xfId="54359"/>
    <cellStyle name="Normal 263 2 3" xfId="54360"/>
    <cellStyle name="Normal 264" xfId="54361"/>
    <cellStyle name="Normal 264 2" xfId="54362"/>
    <cellStyle name="Normal 264 3" xfId="54363"/>
    <cellStyle name="Normal 264 4" xfId="54364"/>
    <cellStyle name="Normal 265" xfId="54365"/>
    <cellStyle name="Normal 265 2" xfId="54366"/>
    <cellStyle name="Normal 265 3" xfId="54367"/>
    <cellStyle name="Normal 265 4" xfId="54368"/>
    <cellStyle name="Normal 266" xfId="54369"/>
    <cellStyle name="Normal 266 2" xfId="54370"/>
    <cellStyle name="Normal 266 3" xfId="54371"/>
    <cellStyle name="Normal 267" xfId="54372"/>
    <cellStyle name="Normal 268" xfId="54373"/>
    <cellStyle name="Normal 268 2" xfId="54374"/>
    <cellStyle name="Normal 268 3" xfId="54375"/>
    <cellStyle name="Normal 269" xfId="54376"/>
    <cellStyle name="Normal 27" xfId="54377"/>
    <cellStyle name="Normal 27 2" xfId="54378"/>
    <cellStyle name="Normal 27 2 2" xfId="54379"/>
    <cellStyle name="Normal 27 2 3" xfId="54380"/>
    <cellStyle name="Normal 27 3" xfId="54381"/>
    <cellStyle name="Normal 27 3 2" xfId="54382"/>
    <cellStyle name="Normal 27 3 3" xfId="54383"/>
    <cellStyle name="Normal 27 4" xfId="54384"/>
    <cellStyle name="Normal 27 5" xfId="54385"/>
    <cellStyle name="Normal 270" xfId="54386"/>
    <cellStyle name="Normal 271" xfId="54387"/>
    <cellStyle name="Normal 272" xfId="54388"/>
    <cellStyle name="Normal 273" xfId="54389"/>
    <cellStyle name="Normal 274" xfId="54390"/>
    <cellStyle name="Normal 275" xfId="54391"/>
    <cellStyle name="Normal 276" xfId="54392"/>
    <cellStyle name="Normal 277" xfId="54393"/>
    <cellStyle name="Normal 278" xfId="54394"/>
    <cellStyle name="Normal 279" xfId="54395"/>
    <cellStyle name="Normal 28" xfId="54396"/>
    <cellStyle name="Normal 28 2" xfId="54397"/>
    <cellStyle name="Normal 28 2 2" xfId="54398"/>
    <cellStyle name="Normal 28 2 3" xfId="54399"/>
    <cellStyle name="Normal 28 3" xfId="54400"/>
    <cellStyle name="Normal 28 3 2" xfId="54401"/>
    <cellStyle name="Normal 28 3 3" xfId="54402"/>
    <cellStyle name="Normal 28 4" xfId="54403"/>
    <cellStyle name="Normal 28 5" xfId="54404"/>
    <cellStyle name="Normal 280" xfId="54405"/>
    <cellStyle name="Normal 281" xfId="54406"/>
    <cellStyle name="Normal 282" xfId="54407"/>
    <cellStyle name="Normal 283" xfId="54408"/>
    <cellStyle name="Normal 284" xfId="54409"/>
    <cellStyle name="Normal 285" xfId="54410"/>
    <cellStyle name="Normal 286" xfId="54411"/>
    <cellStyle name="Normal 287" xfId="54412"/>
    <cellStyle name="Normal 288" xfId="54413"/>
    <cellStyle name="Normal 289" xfId="54414"/>
    <cellStyle name="Normal 29" xfId="54415"/>
    <cellStyle name="Normal 29 2" xfId="54416"/>
    <cellStyle name="Normal 29 2 2" xfId="54417"/>
    <cellStyle name="Normal 29 2 3" xfId="54418"/>
    <cellStyle name="Normal 29 3" xfId="54419"/>
    <cellStyle name="Normal 29 3 2" xfId="54420"/>
    <cellStyle name="Normal 29 3 3" xfId="54421"/>
    <cellStyle name="Normal 29 4" xfId="54422"/>
    <cellStyle name="Normal 29 5" xfId="54423"/>
    <cellStyle name="Normal 290" xfId="54424"/>
    <cellStyle name="Normal 291" xfId="54425"/>
    <cellStyle name="Normal 292" xfId="54426"/>
    <cellStyle name="Normal 293" xfId="54427"/>
    <cellStyle name="Normal 294" xfId="54428"/>
    <cellStyle name="Normal 295" xfId="54429"/>
    <cellStyle name="Normal 296" xfId="54430"/>
    <cellStyle name="Normal 297" xfId="54431"/>
    <cellStyle name="Normal 298" xfId="54432"/>
    <cellStyle name="Normal 299" xfId="54433"/>
    <cellStyle name="Normal 3" xfId="54434"/>
    <cellStyle name="Normal 3 10" xfId="54435"/>
    <cellStyle name="Normal 3 10 2" xfId="54436"/>
    <cellStyle name="Normal 3 10 2 2" xfId="54437"/>
    <cellStyle name="Normal 3 10 2 3" xfId="54438"/>
    <cellStyle name="Normal 3 10 3" xfId="54439"/>
    <cellStyle name="Normal 3 10 4" xfId="54440"/>
    <cellStyle name="Normal 3 11" xfId="54441"/>
    <cellStyle name="Normal 3 11 2" xfId="54442"/>
    <cellStyle name="Normal 3 11 2 2" xfId="54443"/>
    <cellStyle name="Normal 3 11 3" xfId="54444"/>
    <cellStyle name="Normal 3 11 4" xfId="54445"/>
    <cellStyle name="Normal 3 11 5" xfId="54446"/>
    <cellStyle name="Normal 3 12" xfId="54447"/>
    <cellStyle name="Normal 3 12 2" xfId="54448"/>
    <cellStyle name="Normal 3 12 2 2" xfId="54449"/>
    <cellStyle name="Normal 3 12 3" xfId="54450"/>
    <cellStyle name="Normal 3 13" xfId="54451"/>
    <cellStyle name="Normal 3 13 2" xfId="54452"/>
    <cellStyle name="Normal 3 13 2 2" xfId="54453"/>
    <cellStyle name="Normal 3 13 3" xfId="54454"/>
    <cellStyle name="Normal 3 14" xfId="54455"/>
    <cellStyle name="Normal 3 14 2" xfId="54456"/>
    <cellStyle name="Normal 3 14 2 2" xfId="54457"/>
    <cellStyle name="Normal 3 14 3" xfId="54458"/>
    <cellStyle name="Normal 3 15" xfId="54459"/>
    <cellStyle name="Normal 3 15 2" xfId="54460"/>
    <cellStyle name="Normal 3 15 2 2" xfId="54461"/>
    <cellStyle name="Normal 3 15 3" xfId="54462"/>
    <cellStyle name="Normal 3 16" xfId="54463"/>
    <cellStyle name="Normal 3 16 2" xfId="54464"/>
    <cellStyle name="Normal 3 16 2 2" xfId="54465"/>
    <cellStyle name="Normal 3 16 3" xfId="54466"/>
    <cellStyle name="Normal 3 17" xfId="54467"/>
    <cellStyle name="Normal 3 17 2" xfId="54468"/>
    <cellStyle name="Normal 3 18" xfId="54469"/>
    <cellStyle name="Normal 3 18 2" xfId="54470"/>
    <cellStyle name="Normal 3 19" xfId="54471"/>
    <cellStyle name="Normal 3 2" xfId="54472"/>
    <cellStyle name="Normal 3 2 2" xfId="54473"/>
    <cellStyle name="Normal 3 2 2 2" xfId="54474"/>
    <cellStyle name="Normal 3 2 2 2 2" xfId="54475"/>
    <cellStyle name="Normal 3 2 2 2 3" xfId="54476"/>
    <cellStyle name="Normal 3 2 2 3" xfId="54477"/>
    <cellStyle name="Normal 3 2 2 4" xfId="54478"/>
    <cellStyle name="Normal 3 2 3" xfId="54479"/>
    <cellStyle name="Normal 3 2 3 2" xfId="54480"/>
    <cellStyle name="Normal 3 2 3 2 2" xfId="54481"/>
    <cellStyle name="Normal 3 2 3 3" xfId="54482"/>
    <cellStyle name="Normal 3 2 3 4" xfId="54483"/>
    <cellStyle name="Normal 3 2 4" xfId="54484"/>
    <cellStyle name="Normal 3 2 4 2" xfId="54485"/>
    <cellStyle name="Normal 3 2 5" xfId="54486"/>
    <cellStyle name="Normal 3 2 6" xfId="54487"/>
    <cellStyle name="Normal 3 20" xfId="54488"/>
    <cellStyle name="Normal 3 21" xfId="54489"/>
    <cellStyle name="Normal 3 22" xfId="54490"/>
    <cellStyle name="Normal 3 23" xfId="54491"/>
    <cellStyle name="Normal 3 24" xfId="54492"/>
    <cellStyle name="Normal 3 25" xfId="54493"/>
    <cellStyle name="Normal 3 3" xfId="54494"/>
    <cellStyle name="Normal 3 3 10" xfId="54495"/>
    <cellStyle name="Normal 3 3 11" xfId="54496"/>
    <cellStyle name="Normal 3 3 11 2" xfId="54497"/>
    <cellStyle name="Normal 3 3 2" xfId="54498"/>
    <cellStyle name="Normal 3 3 2 2" xfId="54499"/>
    <cellStyle name="Normal 3 3 2 2 2" xfId="54500"/>
    <cellStyle name="Normal 3 3 2 2 2 2" xfId="54501"/>
    <cellStyle name="Normal 3 3 2 2 2 2 2" xfId="54502"/>
    <cellStyle name="Normal 3 3 2 2 2 2 2 2" xfId="54503"/>
    <cellStyle name="Normal 3 3 2 2 2 2 3" xfId="54504"/>
    <cellStyle name="Normal 3 3 2 2 2 3" xfId="54505"/>
    <cellStyle name="Normal 3 3 2 2 2 3 2" xfId="54506"/>
    <cellStyle name="Normal 3 3 2 2 2 3 2 2" xfId="54507"/>
    <cellStyle name="Normal 3 3 2 2 2 3 3" xfId="54508"/>
    <cellStyle name="Normal 3 3 2 2 2 4" xfId="54509"/>
    <cellStyle name="Normal 3 3 2 2 2 4 2" xfId="54510"/>
    <cellStyle name="Normal 3 3 2 2 2 5" xfId="54511"/>
    <cellStyle name="Normal 3 3 2 2 3" xfId="54512"/>
    <cellStyle name="Normal 3 3 2 2 3 2" xfId="54513"/>
    <cellStyle name="Normal 3 3 2 2 3 2 2" xfId="54514"/>
    <cellStyle name="Normal 3 3 2 2 3 3" xfId="54515"/>
    <cellStyle name="Normal 3 3 2 2 4" xfId="54516"/>
    <cellStyle name="Normal 3 3 2 2 4 2" xfId="54517"/>
    <cellStyle name="Normal 3 3 2 2 4 2 2" xfId="54518"/>
    <cellStyle name="Normal 3 3 2 2 4 3" xfId="54519"/>
    <cellStyle name="Normal 3 3 2 2 5" xfId="54520"/>
    <cellStyle name="Normal 3 3 2 2 5 2" xfId="54521"/>
    <cellStyle name="Normal 3 3 2 2 6" xfId="54522"/>
    <cellStyle name="Normal 3 3 2 2 7" xfId="54523"/>
    <cellStyle name="Normal 3 3 2 3" xfId="54524"/>
    <cellStyle name="Normal 3 3 2 3 2" xfId="54525"/>
    <cellStyle name="Normal 3 3 2 3 2 2" xfId="54526"/>
    <cellStyle name="Normal 3 3 2 3 3" xfId="54527"/>
    <cellStyle name="Normal 3 3 2 4" xfId="54528"/>
    <cellStyle name="Normal 3 3 2 4 2" xfId="54529"/>
    <cellStyle name="Normal 3 3 2 4 2 2" xfId="54530"/>
    <cellStyle name="Normal 3 3 2 4 3" xfId="54531"/>
    <cellStyle name="Normal 3 3 2 5" xfId="54532"/>
    <cellStyle name="Normal 3 3 2 5 2" xfId="54533"/>
    <cellStyle name="Normal 3 3 2 6" xfId="54534"/>
    <cellStyle name="Normal 3 3 2 7" xfId="54535"/>
    <cellStyle name="Normal 3 3 2 8" xfId="54536"/>
    <cellStyle name="Normal 3 3 3" xfId="54537"/>
    <cellStyle name="Normal 3 3 3 2" xfId="54538"/>
    <cellStyle name="Normal 3 3 3 2 2" xfId="54539"/>
    <cellStyle name="Normal 3 3 3 3" xfId="54540"/>
    <cellStyle name="Normal 3 3 3 4" xfId="54541"/>
    <cellStyle name="Normal 3 3 4" xfId="54542"/>
    <cellStyle name="Normal 3 3 4 2" xfId="54543"/>
    <cellStyle name="Normal 3 3 4 2 2" xfId="54544"/>
    <cellStyle name="Normal 3 3 4 3" xfId="54545"/>
    <cellStyle name="Normal 3 3 4 4" xfId="54546"/>
    <cellStyle name="Normal 3 3 4 5" xfId="54547"/>
    <cellStyle name="Normal 3 3 5" xfId="54548"/>
    <cellStyle name="Normal 3 3 5 2" xfId="54549"/>
    <cellStyle name="Normal 3 3 6" xfId="54550"/>
    <cellStyle name="Normal 3 3 7" xfId="54551"/>
    <cellStyle name="Normal 3 3 8" xfId="54552"/>
    <cellStyle name="Normal 3 3 9" xfId="54553"/>
    <cellStyle name="Normal 3 4" xfId="54554"/>
    <cellStyle name="Normal 3 4 2" xfId="54555"/>
    <cellStyle name="Normal 3 4 2 2" xfId="54556"/>
    <cellStyle name="Normal 3 4 2 2 2" xfId="54557"/>
    <cellStyle name="Normal 3 4 2 2 2 2" xfId="54558"/>
    <cellStyle name="Normal 3 4 2 2 2 3" xfId="54559"/>
    <cellStyle name="Normal 3 4 2 2 3" xfId="54560"/>
    <cellStyle name="Normal 3 4 2 2 4" xfId="54561"/>
    <cellStyle name="Normal 3 4 2 3" xfId="54562"/>
    <cellStyle name="Normal 3 4 2 3 2" xfId="54563"/>
    <cellStyle name="Normal 3 4 2 3 3" xfId="54564"/>
    <cellStyle name="Normal 3 4 2 4" xfId="54565"/>
    <cellStyle name="Normal 3 4 2 5" xfId="54566"/>
    <cellStyle name="Normal 3 4 2 6" xfId="54567"/>
    <cellStyle name="Normal 3 4 3" xfId="54568"/>
    <cellStyle name="Normal 3 4 3 2" xfId="54569"/>
    <cellStyle name="Normal 3 4 3 2 2" xfId="54570"/>
    <cellStyle name="Normal 3 4 3 2 3" xfId="54571"/>
    <cellStyle name="Normal 3 4 3 3" xfId="54572"/>
    <cellStyle name="Normal 3 4 3 4" xfId="54573"/>
    <cellStyle name="Normal 3 4 3 5" xfId="54574"/>
    <cellStyle name="Normal 3 4 4" xfId="54575"/>
    <cellStyle name="Normal 3 4 4 2" xfId="54576"/>
    <cellStyle name="Normal 3 4 4 3" xfId="54577"/>
    <cellStyle name="Normal 3 4 5" xfId="54578"/>
    <cellStyle name="Normal 3 4 6" xfId="54579"/>
    <cellStyle name="Normal 3 4 7" xfId="54580"/>
    <cellStyle name="Normal 3 4 8" xfId="54581"/>
    <cellStyle name="Normal 3 4 9" xfId="54582"/>
    <cellStyle name="Normal 3 5" xfId="54583"/>
    <cellStyle name="Normal 3 5 2" xfId="54584"/>
    <cellStyle name="Normal 3 5 2 2" xfId="54585"/>
    <cellStyle name="Normal 3 5 2 3" xfId="54586"/>
    <cellStyle name="Normal 3 5 3" xfId="54587"/>
    <cellStyle name="Normal 3 5 4" xfId="54588"/>
    <cellStyle name="Normal 3 5 5" xfId="54589"/>
    <cellStyle name="Normal 3 6" xfId="54590"/>
    <cellStyle name="Normal 3 6 2" xfId="54591"/>
    <cellStyle name="Normal 3 6 2 2" xfId="54592"/>
    <cellStyle name="Normal 3 6 2 2 2" xfId="54593"/>
    <cellStyle name="Normal 3 6 2 2 2 2" xfId="54594"/>
    <cellStyle name="Normal 3 6 2 2 2 2 2" xfId="54595"/>
    <cellStyle name="Normal 3 6 2 2 2 2 2 2" xfId="54596"/>
    <cellStyle name="Normal 3 6 2 2 2 2 3" xfId="54597"/>
    <cellStyle name="Normal 3 6 2 2 2 3" xfId="54598"/>
    <cellStyle name="Normal 3 6 2 2 2 3 2" xfId="54599"/>
    <cellStyle name="Normal 3 6 2 2 2 3 2 2" xfId="54600"/>
    <cellStyle name="Normal 3 6 2 2 2 3 3" xfId="54601"/>
    <cellStyle name="Normal 3 6 2 2 2 4" xfId="54602"/>
    <cellStyle name="Normal 3 6 2 2 2 4 2" xfId="54603"/>
    <cellStyle name="Normal 3 6 2 2 2 5" xfId="54604"/>
    <cellStyle name="Normal 3 6 2 2 3" xfId="54605"/>
    <cellStyle name="Normal 3 6 2 2 3 2" xfId="54606"/>
    <cellStyle name="Normal 3 6 2 2 3 2 2" xfId="54607"/>
    <cellStyle name="Normal 3 6 2 2 3 3" xfId="54608"/>
    <cellStyle name="Normal 3 6 2 2 4" xfId="54609"/>
    <cellStyle name="Normal 3 6 2 2 4 2" xfId="54610"/>
    <cellStyle name="Normal 3 6 2 2 4 2 2" xfId="54611"/>
    <cellStyle name="Normal 3 6 2 2 4 3" xfId="54612"/>
    <cellStyle name="Normal 3 6 2 2 5" xfId="54613"/>
    <cellStyle name="Normal 3 6 2 2 5 2" xfId="54614"/>
    <cellStyle name="Normal 3 6 2 2 6" xfId="54615"/>
    <cellStyle name="Normal 3 6 2 2 7" xfId="54616"/>
    <cellStyle name="Normal 3 6 2 3" xfId="54617"/>
    <cellStyle name="Normal 3 6 2 3 2" xfId="54618"/>
    <cellStyle name="Normal 3 6 2 3 2 2" xfId="54619"/>
    <cellStyle name="Normal 3 6 2 3 3" xfId="54620"/>
    <cellStyle name="Normal 3 6 2 4" xfId="54621"/>
    <cellStyle name="Normal 3 6 2 4 2" xfId="54622"/>
    <cellStyle name="Normal 3 6 2 4 2 2" xfId="54623"/>
    <cellStyle name="Normal 3 6 2 4 3" xfId="54624"/>
    <cellStyle name="Normal 3 6 2 5" xfId="54625"/>
    <cellStyle name="Normal 3 6 2 5 2" xfId="54626"/>
    <cellStyle name="Normal 3 6 2 6" xfId="54627"/>
    <cellStyle name="Normal 3 6 2 7" xfId="54628"/>
    <cellStyle name="Normal 3 6 3" xfId="54629"/>
    <cellStyle name="Normal 3 6 3 2" xfId="54630"/>
    <cellStyle name="Normal 3 6 3 2 2" xfId="54631"/>
    <cellStyle name="Normal 3 6 3 2 2 2" xfId="54632"/>
    <cellStyle name="Normal 3 6 3 2 2 2 2" xfId="54633"/>
    <cellStyle name="Normal 3 6 3 2 2 3" xfId="54634"/>
    <cellStyle name="Normal 3 6 3 2 3" xfId="54635"/>
    <cellStyle name="Normal 3 6 3 2 3 2" xfId="54636"/>
    <cellStyle name="Normal 3 6 3 2 3 2 2" xfId="54637"/>
    <cellStyle name="Normal 3 6 3 2 3 3" xfId="54638"/>
    <cellStyle name="Normal 3 6 3 2 4" xfId="54639"/>
    <cellStyle name="Normal 3 6 3 2 4 2" xfId="54640"/>
    <cellStyle name="Normal 3 6 3 2 5" xfId="54641"/>
    <cellStyle name="Normal 3 6 3 3" xfId="54642"/>
    <cellStyle name="Normal 3 6 3 3 2" xfId="54643"/>
    <cellStyle name="Normal 3 6 3 3 2 2" xfId="54644"/>
    <cellStyle name="Normal 3 6 3 3 3" xfId="54645"/>
    <cellStyle name="Normal 3 6 3 4" xfId="54646"/>
    <cellStyle name="Normal 3 6 3 4 2" xfId="54647"/>
    <cellStyle name="Normal 3 6 3 4 2 2" xfId="54648"/>
    <cellStyle name="Normal 3 6 3 4 3" xfId="54649"/>
    <cellStyle name="Normal 3 6 3 5" xfId="54650"/>
    <cellStyle name="Normal 3 6 3 5 2" xfId="54651"/>
    <cellStyle name="Normal 3 6 3 6" xfId="54652"/>
    <cellStyle name="Normal 3 6 3 7" xfId="54653"/>
    <cellStyle name="Normal 3 6 4" xfId="54654"/>
    <cellStyle name="Normal 3 6 4 2" xfId="54655"/>
    <cellStyle name="Normal 3 6 4 2 2" xfId="54656"/>
    <cellStyle name="Normal 3 6 4 3" xfId="54657"/>
    <cellStyle name="Normal 3 6 5" xfId="54658"/>
    <cellStyle name="Normal 3 6 5 2" xfId="54659"/>
    <cellStyle name="Normal 3 6 5 2 2" xfId="54660"/>
    <cellStyle name="Normal 3 6 5 3" xfId="54661"/>
    <cellStyle name="Normal 3 6 6" xfId="54662"/>
    <cellStyle name="Normal 3 6 6 2" xfId="54663"/>
    <cellStyle name="Normal 3 6 7" xfId="54664"/>
    <cellStyle name="Normal 3 6 8" xfId="54665"/>
    <cellStyle name="Normal 3 7" xfId="54666"/>
    <cellStyle name="Normal 3 7 2" xfId="54667"/>
    <cellStyle name="Normal 3 7 2 2" xfId="54668"/>
    <cellStyle name="Normal 3 7 2 2 2" xfId="54669"/>
    <cellStyle name="Normal 3 7 2 2 3" xfId="54670"/>
    <cellStyle name="Normal 3 7 2 3" xfId="54671"/>
    <cellStyle name="Normal 3 7 2 4" xfId="54672"/>
    <cellStyle name="Normal 3 7 3" xfId="54673"/>
    <cellStyle name="Normal 3 7 3 2" xfId="54674"/>
    <cellStyle name="Normal 3 7 3 2 2" xfId="54675"/>
    <cellStyle name="Normal 3 7 3 3" xfId="54676"/>
    <cellStyle name="Normal 3 7 3 4" xfId="54677"/>
    <cellStyle name="Normal 3 7 4" xfId="54678"/>
    <cellStyle name="Normal 3 7 4 2" xfId="54679"/>
    <cellStyle name="Normal 3 7 5" xfId="54680"/>
    <cellStyle name="Normal 3 7 6" xfId="54681"/>
    <cellStyle name="Normal 3 8" xfId="54682"/>
    <cellStyle name="Normal 3 8 2" xfId="54683"/>
    <cellStyle name="Normal 3 8 2 2" xfId="54684"/>
    <cellStyle name="Normal 3 8 2 2 2" xfId="54685"/>
    <cellStyle name="Normal 3 8 2 3" xfId="54686"/>
    <cellStyle name="Normal 3 8 3" xfId="54687"/>
    <cellStyle name="Normal 3 8 3 2" xfId="54688"/>
    <cellStyle name="Normal 3 8 4" xfId="54689"/>
    <cellStyle name="Normal 3 9" xfId="54690"/>
    <cellStyle name="Normal 3 9 2" xfId="54691"/>
    <cellStyle name="Normal 3 9 2 2" xfId="54692"/>
    <cellStyle name="Normal 3 9 2 2 2" xfId="54693"/>
    <cellStyle name="Normal 3 9 2 3" xfId="54694"/>
    <cellStyle name="Normal 3 9 3" xfId="54695"/>
    <cellStyle name="Normal 3 9 3 2" xfId="54696"/>
    <cellStyle name="Normal 3 9 4" xfId="54697"/>
    <cellStyle name="Normal 3_T1_TP_MASTER_032112_Rev A" xfId="54698"/>
    <cellStyle name="Normal 30" xfId="54699"/>
    <cellStyle name="Normal 30 2" xfId="54700"/>
    <cellStyle name="Normal 30 2 2" xfId="54701"/>
    <cellStyle name="Normal 30 2 3" xfId="54702"/>
    <cellStyle name="Normal 30 3" xfId="54703"/>
    <cellStyle name="Normal 30 3 2" xfId="54704"/>
    <cellStyle name="Normal 30 3 3" xfId="54705"/>
    <cellStyle name="Normal 30 4" xfId="54706"/>
    <cellStyle name="Normal 30 5" xfId="54707"/>
    <cellStyle name="Normal 300" xfId="54708"/>
    <cellStyle name="Normal 301" xfId="54709"/>
    <cellStyle name="Normal 302" xfId="54710"/>
    <cellStyle name="Normal 303" xfId="54711"/>
    <cellStyle name="Normal 304" xfId="54712"/>
    <cellStyle name="Normal 305" xfId="54713"/>
    <cellStyle name="Normal 306" xfId="54714"/>
    <cellStyle name="Normal 307" xfId="54715"/>
    <cellStyle name="Normal 308" xfId="54716"/>
    <cellStyle name="Normal 309" xfId="54717"/>
    <cellStyle name="Normal 31" xfId="54718"/>
    <cellStyle name="Normal 31 2" xfId="54719"/>
    <cellStyle name="Normal 31 2 2" xfId="54720"/>
    <cellStyle name="Normal 31 2 3" xfId="54721"/>
    <cellStyle name="Normal 31 3" xfId="54722"/>
    <cellStyle name="Normal 31 3 2" xfId="54723"/>
    <cellStyle name="Normal 31 3 3" xfId="54724"/>
    <cellStyle name="Normal 31 4" xfId="54725"/>
    <cellStyle name="Normal 31 5" xfId="54726"/>
    <cellStyle name="Normal 310" xfId="54727"/>
    <cellStyle name="Normal 311" xfId="54728"/>
    <cellStyle name="Normal 32" xfId="54729"/>
    <cellStyle name="Normal 32 2" xfId="54730"/>
    <cellStyle name="Normal 32 2 2" xfId="54731"/>
    <cellStyle name="Normal 32 2 3" xfId="54732"/>
    <cellStyle name="Normal 32 3" xfId="54733"/>
    <cellStyle name="Normal 32 3 2" xfId="54734"/>
    <cellStyle name="Normal 32 3 3" xfId="54735"/>
    <cellStyle name="Normal 32 4" xfId="54736"/>
    <cellStyle name="Normal 32 5" xfId="54737"/>
    <cellStyle name="Normal 33" xfId="54738"/>
    <cellStyle name="Normal 33 2" xfId="54739"/>
    <cellStyle name="Normal 33 2 2" xfId="54740"/>
    <cellStyle name="Normal 33 2 3" xfId="54741"/>
    <cellStyle name="Normal 33 3" xfId="54742"/>
    <cellStyle name="Normal 33 3 2" xfId="54743"/>
    <cellStyle name="Normal 33 3 3" xfId="54744"/>
    <cellStyle name="Normal 33 4" xfId="54745"/>
    <cellStyle name="Normal 33 5" xfId="54746"/>
    <cellStyle name="Normal 34" xfId="54747"/>
    <cellStyle name="Normal 34 2" xfId="54748"/>
    <cellStyle name="Normal 34 2 2" xfId="54749"/>
    <cellStyle name="Normal 34 2 3" xfId="54750"/>
    <cellStyle name="Normal 34 3" xfId="54751"/>
    <cellStyle name="Normal 34 3 2" xfId="54752"/>
    <cellStyle name="Normal 34 3 3" xfId="54753"/>
    <cellStyle name="Normal 34 4" xfId="54754"/>
    <cellStyle name="Normal 34 5" xfId="54755"/>
    <cellStyle name="Normal 345" xfId="54756"/>
    <cellStyle name="Normal 345 2" xfId="54757"/>
    <cellStyle name="Normal 348" xfId="54758"/>
    <cellStyle name="Normal 35" xfId="54759"/>
    <cellStyle name="Normal 35 2" xfId="54760"/>
    <cellStyle name="Normal 35 2 2" xfId="54761"/>
    <cellStyle name="Normal 35 2 3" xfId="54762"/>
    <cellStyle name="Normal 35 3" xfId="54763"/>
    <cellStyle name="Normal 35 3 2" xfId="54764"/>
    <cellStyle name="Normal 35 3 3" xfId="54765"/>
    <cellStyle name="Normal 35 4" xfId="54766"/>
    <cellStyle name="Normal 35 5" xfId="54767"/>
    <cellStyle name="Normal 350" xfId="54768"/>
    <cellStyle name="Normal 351" xfId="54769"/>
    <cellStyle name="Normal 352" xfId="54770"/>
    <cellStyle name="Normal 353" xfId="54771"/>
    <cellStyle name="Normal 354" xfId="54772"/>
    <cellStyle name="Normal 356" xfId="54773"/>
    <cellStyle name="Normal 358" xfId="54774"/>
    <cellStyle name="Normal 36" xfId="54775"/>
    <cellStyle name="Normal 36 2" xfId="54776"/>
    <cellStyle name="Normal 36 2 2" xfId="54777"/>
    <cellStyle name="Normal 36 2 3" xfId="54778"/>
    <cellStyle name="Normal 36 3" xfId="54779"/>
    <cellStyle name="Normal 36 3 2" xfId="54780"/>
    <cellStyle name="Normal 36 3 3" xfId="54781"/>
    <cellStyle name="Normal 36 4" xfId="54782"/>
    <cellStyle name="Normal 36 5" xfId="54783"/>
    <cellStyle name="Normal 37" xfId="54784"/>
    <cellStyle name="Normal 37 2" xfId="54785"/>
    <cellStyle name="Normal 37 2 2" xfId="54786"/>
    <cellStyle name="Normal 37 2 3" xfId="54787"/>
    <cellStyle name="Normal 37 3" xfId="54788"/>
    <cellStyle name="Normal 37 3 2" xfId="54789"/>
    <cellStyle name="Normal 37 3 3" xfId="54790"/>
    <cellStyle name="Normal 37 4" xfId="54791"/>
    <cellStyle name="Normal 37 5" xfId="54792"/>
    <cellStyle name="Normal 38" xfId="54793"/>
    <cellStyle name="Normal 38 2" xfId="54794"/>
    <cellStyle name="Normal 38 2 2" xfId="54795"/>
    <cellStyle name="Normal 38 2 3" xfId="54796"/>
    <cellStyle name="Normal 38 3" xfId="54797"/>
    <cellStyle name="Normal 38 3 2" xfId="54798"/>
    <cellStyle name="Normal 38 3 3" xfId="54799"/>
    <cellStyle name="Normal 38 4" xfId="54800"/>
    <cellStyle name="Normal 38 5" xfId="54801"/>
    <cellStyle name="Normal 39" xfId="54802"/>
    <cellStyle name="Normal 39 2" xfId="54803"/>
    <cellStyle name="Normal 39 2 2" xfId="54804"/>
    <cellStyle name="Normal 39 2 3" xfId="54805"/>
    <cellStyle name="Normal 39 3" xfId="54806"/>
    <cellStyle name="Normal 39 3 2" xfId="54807"/>
    <cellStyle name="Normal 39 3 3" xfId="54808"/>
    <cellStyle name="Normal 39 4" xfId="54809"/>
    <cellStyle name="Normal 39 5" xfId="54810"/>
    <cellStyle name="Normal 4" xfId="54811"/>
    <cellStyle name="Normal 4 10" xfId="54812"/>
    <cellStyle name="Normal 4 11" xfId="54813"/>
    <cellStyle name="Normal 4 12" xfId="54814"/>
    <cellStyle name="Normal 4 13" xfId="54815"/>
    <cellStyle name="Normal 4 14" xfId="54816"/>
    <cellStyle name="Normal 4 2" xfId="54817"/>
    <cellStyle name="Normal 4 2 10" xfId="54818"/>
    <cellStyle name="Normal 4 2 11" xfId="54819"/>
    <cellStyle name="Normal 4 2 2" xfId="54820"/>
    <cellStyle name="Normal 4 2 2 2" xfId="54821"/>
    <cellStyle name="Normal 4 2 2 2 2" xfId="54822"/>
    <cellStyle name="Normal 4 2 2 2 3" xfId="54823"/>
    <cellStyle name="Normal 4 2 2 2 4" xfId="54824"/>
    <cellStyle name="Normal 4 2 2 2 5" xfId="54825"/>
    <cellStyle name="Normal 4 2 2 3" xfId="54826"/>
    <cellStyle name="Normal 4 2 2 4" xfId="54827"/>
    <cellStyle name="Normal 4 2 2 5" xfId="54828"/>
    <cellStyle name="Normal 4 2 2 6" xfId="54829"/>
    <cellStyle name="Normal 4 2 2 7" xfId="54830"/>
    <cellStyle name="Normal 4 2 2 8" xfId="54831"/>
    <cellStyle name="Normal 4 2 2 9" xfId="54832"/>
    <cellStyle name="Normal 4 2 3" xfId="54833"/>
    <cellStyle name="Normal 4 2 3 2" xfId="54834"/>
    <cellStyle name="Normal 4 2 3 2 2" xfId="54835"/>
    <cellStyle name="Normal 4 2 3 2 3" xfId="54836"/>
    <cellStyle name="Normal 4 2 3 2 4" xfId="54837"/>
    <cellStyle name="Normal 4 2 3 2 5" xfId="54838"/>
    <cellStyle name="Normal 4 2 3 3" xfId="54839"/>
    <cellStyle name="Normal 4 2 3 4" xfId="54840"/>
    <cellStyle name="Normal 4 2 3 5" xfId="54841"/>
    <cellStyle name="Normal 4 2 3 6" xfId="54842"/>
    <cellStyle name="Normal 4 2 3 7" xfId="54843"/>
    <cellStyle name="Normal 4 2 3 8" xfId="54844"/>
    <cellStyle name="Normal 4 2 4" xfId="54845"/>
    <cellStyle name="Normal 4 2 4 2" xfId="54846"/>
    <cellStyle name="Normal 4 2 4 3" xfId="54847"/>
    <cellStyle name="Normal 4 2 4 4" xfId="54848"/>
    <cellStyle name="Normal 4 2 4 5" xfId="54849"/>
    <cellStyle name="Normal 4 2 5" xfId="54850"/>
    <cellStyle name="Normal 4 2 6" xfId="54851"/>
    <cellStyle name="Normal 4 2 7" xfId="54852"/>
    <cellStyle name="Normal 4 2 8" xfId="54853"/>
    <cellStyle name="Normal 4 2 9" xfId="54854"/>
    <cellStyle name="Normal 4 3" xfId="54855"/>
    <cellStyle name="Normal 4 3 2" xfId="54856"/>
    <cellStyle name="Normal 4 3 2 2" xfId="54857"/>
    <cellStyle name="Normal 4 3 2 2 2" xfId="54858"/>
    <cellStyle name="Normal 4 3 2 2 3" xfId="54859"/>
    <cellStyle name="Normal 4 3 2 2 4" xfId="54860"/>
    <cellStyle name="Normal 4 3 2 2 5" xfId="54861"/>
    <cellStyle name="Normal 4 3 2 3" xfId="54862"/>
    <cellStyle name="Normal 4 3 2 4" xfId="54863"/>
    <cellStyle name="Normal 4 3 2 5" xfId="54864"/>
    <cellStyle name="Normal 4 3 2 6" xfId="54865"/>
    <cellStyle name="Normal 4 3 2 7" xfId="54866"/>
    <cellStyle name="Normal 4 3 2 8" xfId="54867"/>
    <cellStyle name="Normal 4 3 3" xfId="54868"/>
    <cellStyle name="Normal 4 3 3 2" xfId="54869"/>
    <cellStyle name="Normal 4 3 3 3" xfId="54870"/>
    <cellStyle name="Normal 4 3 3 4" xfId="54871"/>
    <cellStyle name="Normal 4 3 3 5" xfId="54872"/>
    <cellStyle name="Normal 4 3 4" xfId="54873"/>
    <cellStyle name="Normal 4 3 5" xfId="54874"/>
    <cellStyle name="Normal 4 3 6" xfId="54875"/>
    <cellStyle name="Normal 4 3 7" xfId="54876"/>
    <cellStyle name="Normal 4 3 8" xfId="54877"/>
    <cellStyle name="Normal 4 3 9" xfId="54878"/>
    <cellStyle name="Normal 4 4" xfId="54879"/>
    <cellStyle name="Normal 4 4 2" xfId="54880"/>
    <cellStyle name="Normal 4 4 2 2" xfId="54881"/>
    <cellStyle name="Normal 4 4 2 3" xfId="54882"/>
    <cellStyle name="Normal 4 4 2 4" xfId="54883"/>
    <cellStyle name="Normal 4 4 2 5" xfId="54884"/>
    <cellStyle name="Normal 4 4 3" xfId="54885"/>
    <cellStyle name="Normal 4 4 4" xfId="54886"/>
    <cellStyle name="Normal 4 4 5" xfId="54887"/>
    <cellStyle name="Normal 4 4 6" xfId="54888"/>
    <cellStyle name="Normal 4 4 7" xfId="54889"/>
    <cellStyle name="Normal 4 4 8" xfId="54890"/>
    <cellStyle name="Normal 4 5" xfId="54891"/>
    <cellStyle name="Normal 4 5 2" xfId="54892"/>
    <cellStyle name="Normal 4 5 2 2" xfId="54893"/>
    <cellStyle name="Normal 4 5 2 3" xfId="54894"/>
    <cellStyle name="Normal 4 5 2 4" xfId="54895"/>
    <cellStyle name="Normal 4 5 2 5" xfId="54896"/>
    <cellStyle name="Normal 4 5 3" xfId="54897"/>
    <cellStyle name="Normal 4 5 4" xfId="54898"/>
    <cellStyle name="Normal 4 5 5" xfId="54899"/>
    <cellStyle name="Normal 4 5 6" xfId="54900"/>
    <cellStyle name="Normal 4 5 7" xfId="54901"/>
    <cellStyle name="Normal 4 5 8" xfId="54902"/>
    <cellStyle name="Normal 4 6" xfId="54903"/>
    <cellStyle name="Normal 4 6 2" xfId="54904"/>
    <cellStyle name="Normal 4 6 3" xfId="54905"/>
    <cellStyle name="Normal 4 6 4" xfId="54906"/>
    <cellStyle name="Normal 4 6 5" xfId="54907"/>
    <cellStyle name="Normal 4 7" xfId="54908"/>
    <cellStyle name="Normal 4 7 2" xfId="54909"/>
    <cellStyle name="Normal 4 7 3" xfId="54910"/>
    <cellStyle name="Normal 4 7 4" xfId="54911"/>
    <cellStyle name="Normal 4 7 5" xfId="54912"/>
    <cellStyle name="Normal 4 8" xfId="54913"/>
    <cellStyle name="Normal 4 8 2" xfId="54914"/>
    <cellStyle name="Normal 4 8 3" xfId="54915"/>
    <cellStyle name="Normal 4 9" xfId="54916"/>
    <cellStyle name="Normal 4 9 2" xfId="54917"/>
    <cellStyle name="Normal 4 9 3" xfId="54918"/>
    <cellStyle name="Normal 4_FY 11 Clin 0002 Summary" xfId="54919"/>
    <cellStyle name="Normal 40" xfId="54920"/>
    <cellStyle name="Normal 40 2" xfId="54921"/>
    <cellStyle name="Normal 40 2 2" xfId="54922"/>
    <cellStyle name="Normal 40 2 3" xfId="54923"/>
    <cellStyle name="Normal 40 3" xfId="54924"/>
    <cellStyle name="Normal 40 3 2" xfId="54925"/>
    <cellStyle name="Normal 40 3 3" xfId="54926"/>
    <cellStyle name="Normal 40 4" xfId="54927"/>
    <cellStyle name="Normal 40 5" xfId="54928"/>
    <cellStyle name="Normal 41" xfId="54929"/>
    <cellStyle name="Normal 41 2" xfId="54930"/>
    <cellStyle name="Normal 41 2 2" xfId="54931"/>
    <cellStyle name="Normal 41 2 3" xfId="54932"/>
    <cellStyle name="Normal 41 3" xfId="54933"/>
    <cellStyle name="Normal 41 3 2" xfId="54934"/>
    <cellStyle name="Normal 41 3 3" xfId="54935"/>
    <cellStyle name="Normal 41 4" xfId="54936"/>
    <cellStyle name="Normal 41 5" xfId="54937"/>
    <cellStyle name="Normal 42" xfId="54938"/>
    <cellStyle name="Normal 42 2" xfId="54939"/>
    <cellStyle name="Normal 42 2 2" xfId="54940"/>
    <cellStyle name="Normal 42 2 3" xfId="54941"/>
    <cellStyle name="Normal 42 3" xfId="54942"/>
    <cellStyle name="Normal 42 3 2" xfId="54943"/>
    <cellStyle name="Normal 42 3 3" xfId="54944"/>
    <cellStyle name="Normal 42 4" xfId="54945"/>
    <cellStyle name="Normal 42 5" xfId="54946"/>
    <cellStyle name="Normal 43" xfId="54947"/>
    <cellStyle name="Normal 43 2" xfId="54948"/>
    <cellStyle name="Normal 43 2 2" xfId="54949"/>
    <cellStyle name="Normal 43 2 3" xfId="54950"/>
    <cellStyle name="Normal 43 3" xfId="54951"/>
    <cellStyle name="Normal 43 3 2" xfId="54952"/>
    <cellStyle name="Normal 43 3 3" xfId="54953"/>
    <cellStyle name="Normal 43 4" xfId="54954"/>
    <cellStyle name="Normal 43 5" xfId="54955"/>
    <cellStyle name="Normal 43 6" xfId="54956"/>
    <cellStyle name="Normal 44" xfId="54957"/>
    <cellStyle name="Normal 44 2" xfId="54958"/>
    <cellStyle name="Normal 44 2 2" xfId="54959"/>
    <cellStyle name="Normal 44 2 3" xfId="54960"/>
    <cellStyle name="Normal 44 3" xfId="54961"/>
    <cellStyle name="Normal 44 3 2" xfId="54962"/>
    <cellStyle name="Normal 44 3 3" xfId="54963"/>
    <cellStyle name="Normal 44 4" xfId="54964"/>
    <cellStyle name="Normal 44 5" xfId="54965"/>
    <cellStyle name="Normal 45" xfId="54966"/>
    <cellStyle name="Normal 45 2" xfId="54967"/>
    <cellStyle name="Normal 45 2 2" xfId="54968"/>
    <cellStyle name="Normal 45 2 3" xfId="54969"/>
    <cellStyle name="Normal 45 3" xfId="54970"/>
    <cellStyle name="Normal 45 3 2" xfId="54971"/>
    <cellStyle name="Normal 45 3 3" xfId="54972"/>
    <cellStyle name="Normal 45 4" xfId="54973"/>
    <cellStyle name="Normal 45 5" xfId="54974"/>
    <cellStyle name="Normal 46" xfId="54975"/>
    <cellStyle name="Normal 46 2" xfId="54976"/>
    <cellStyle name="Normal 46 2 2" xfId="54977"/>
    <cellStyle name="Normal 46 2 3" xfId="54978"/>
    <cellStyle name="Normal 46 3" xfId="54979"/>
    <cellStyle name="Normal 46 3 2" xfId="54980"/>
    <cellStyle name="Normal 46 3 3" xfId="54981"/>
    <cellStyle name="Normal 46 4" xfId="54982"/>
    <cellStyle name="Normal 46 5" xfId="54983"/>
    <cellStyle name="Normal 47" xfId="54984"/>
    <cellStyle name="Normal 47 2" xfId="54985"/>
    <cellStyle name="Normal 47 2 2" xfId="54986"/>
    <cellStyle name="Normal 47 2 3" xfId="54987"/>
    <cellStyle name="Normal 47 3" xfId="54988"/>
    <cellStyle name="Normal 47 3 2" xfId="54989"/>
    <cellStyle name="Normal 47 3 3" xfId="54990"/>
    <cellStyle name="Normal 47 4" xfId="54991"/>
    <cellStyle name="Normal 47 5" xfId="54992"/>
    <cellStyle name="Normal 48" xfId="54993"/>
    <cellStyle name="Normal 48 2" xfId="54994"/>
    <cellStyle name="Normal 48 2 2" xfId="54995"/>
    <cellStyle name="Normal 48 2 3" xfId="54996"/>
    <cellStyle name="Normal 48 3" xfId="54997"/>
    <cellStyle name="Normal 48 3 2" xfId="54998"/>
    <cellStyle name="Normal 48 3 3" xfId="54999"/>
    <cellStyle name="Normal 48 4" xfId="55000"/>
    <cellStyle name="Normal 48 5" xfId="55001"/>
    <cellStyle name="Normal 49" xfId="55002"/>
    <cellStyle name="Normal 49 2" xfId="55003"/>
    <cellStyle name="Normal 49 2 2" xfId="55004"/>
    <cellStyle name="Normal 49 2 3" xfId="55005"/>
    <cellStyle name="Normal 49 3" xfId="55006"/>
    <cellStyle name="Normal 49 3 2" xfId="55007"/>
    <cellStyle name="Normal 49 3 3" xfId="55008"/>
    <cellStyle name="Normal 49 4" xfId="55009"/>
    <cellStyle name="Normal 49 5" xfId="55010"/>
    <cellStyle name="Normal 5" xfId="55011"/>
    <cellStyle name="Normal 5 10" xfId="55012"/>
    <cellStyle name="Normal 5 11" xfId="55013"/>
    <cellStyle name="Normal 5 12" xfId="55014"/>
    <cellStyle name="Normal 5 13" xfId="55015"/>
    <cellStyle name="Normal 5 14" xfId="55016"/>
    <cellStyle name="Normal 5 2" xfId="55017"/>
    <cellStyle name="Normal 5 2 2" xfId="55018"/>
    <cellStyle name="Normal 5 2 2 2" xfId="55019"/>
    <cellStyle name="Normal 5 2 2 2 2" xfId="55020"/>
    <cellStyle name="Normal 5 2 2 2 2 2" xfId="55021"/>
    <cellStyle name="Normal 5 2 2 2 2 3" xfId="55022"/>
    <cellStyle name="Normal 5 2 2 2 3" xfId="55023"/>
    <cellStyle name="Normal 5 2 2 2 4" xfId="55024"/>
    <cellStyle name="Normal 5 2 2 3" xfId="55025"/>
    <cellStyle name="Normal 5 2 2 3 2" xfId="55026"/>
    <cellStyle name="Normal 5 2 2 3 3" xfId="55027"/>
    <cellStyle name="Normal 5 2 2 4" xfId="55028"/>
    <cellStyle name="Normal 5 2 2 4 2" xfId="55029"/>
    <cellStyle name="Normal 5 2 2 4 3" xfId="55030"/>
    <cellStyle name="Normal 5 2 2 5" xfId="55031"/>
    <cellStyle name="Normal 5 2 2 6" xfId="55032"/>
    <cellStyle name="Normal 5 2 2 7" xfId="55033"/>
    <cellStyle name="Normal 5 2 3" xfId="55034"/>
    <cellStyle name="Normal 5 2 3 2" xfId="55035"/>
    <cellStyle name="Normal 5 2 3 2 2" xfId="55036"/>
    <cellStyle name="Normal 5 2 3 2 2 2" xfId="55037"/>
    <cellStyle name="Normal 5 2 3 2 2 3" xfId="55038"/>
    <cellStyle name="Normal 5 2 3 2 3" xfId="55039"/>
    <cellStyle name="Normal 5 2 3 2 4" xfId="55040"/>
    <cellStyle name="Normal 5 2 3 3" xfId="55041"/>
    <cellStyle name="Normal 5 2 3 3 2" xfId="55042"/>
    <cellStyle name="Normal 5 2 3 3 3" xfId="55043"/>
    <cellStyle name="Normal 5 2 3 4" xfId="55044"/>
    <cellStyle name="Normal 5 2 3 4 2" xfId="55045"/>
    <cellStyle name="Normal 5 2 3 4 3" xfId="55046"/>
    <cellStyle name="Normal 5 2 3 5" xfId="55047"/>
    <cellStyle name="Normal 5 2 3 6" xfId="55048"/>
    <cellStyle name="Normal 5 2 4" xfId="55049"/>
    <cellStyle name="Normal 5 2 4 2" xfId="55050"/>
    <cellStyle name="Normal 5 2 4 2 2" xfId="55051"/>
    <cellStyle name="Normal 5 2 4 2 3" xfId="55052"/>
    <cellStyle name="Normal 5 2 4 3" xfId="55053"/>
    <cellStyle name="Normal 5 2 4 4" xfId="55054"/>
    <cellStyle name="Normal 5 2 4 5" xfId="55055"/>
    <cellStyle name="Normal 5 2 4 6" xfId="55056"/>
    <cellStyle name="Normal 5 2 5" xfId="55057"/>
    <cellStyle name="Normal 5 2 5 2" xfId="55058"/>
    <cellStyle name="Normal 5 2 5 3" xfId="55059"/>
    <cellStyle name="Normal 5 2 6" xfId="55060"/>
    <cellStyle name="Normal 5 2 6 2" xfId="55061"/>
    <cellStyle name="Normal 5 2 6 3" xfId="55062"/>
    <cellStyle name="Normal 5 2 7" xfId="55063"/>
    <cellStyle name="Normal 5 2 7 2" xfId="55064"/>
    <cellStyle name="Normal 5 2 7 3" xfId="55065"/>
    <cellStyle name="Normal 5 2 8" xfId="55066"/>
    <cellStyle name="Normal 5 2 8 2" xfId="55067"/>
    <cellStyle name="Normal 5 2 8 3" xfId="55068"/>
    <cellStyle name="Normal 5 2 9" xfId="55069"/>
    <cellStyle name="Normal 5 3" xfId="55070"/>
    <cellStyle name="Normal 5 3 2" xfId="55071"/>
    <cellStyle name="Normal 5 3 2 2" xfId="55072"/>
    <cellStyle name="Normal 5 3 2 2 2" xfId="55073"/>
    <cellStyle name="Normal 5 3 2 3" xfId="55074"/>
    <cellStyle name="Normal 5 3 2 4" xfId="55075"/>
    <cellStyle name="Normal 5 3 2 5" xfId="55076"/>
    <cellStyle name="Normal 5 3 3" xfId="55077"/>
    <cellStyle name="Normal 5 3 3 2" xfId="55078"/>
    <cellStyle name="Normal 5 3 4" xfId="55079"/>
    <cellStyle name="Normal 5 3 5" xfId="55080"/>
    <cellStyle name="Normal 5 3 6" xfId="55081"/>
    <cellStyle name="Normal 5 3 7" xfId="55082"/>
    <cellStyle name="Normal 5 3 8" xfId="55083"/>
    <cellStyle name="Normal 5 4" xfId="55084"/>
    <cellStyle name="Normal 5 4 2" xfId="55085"/>
    <cellStyle name="Normal 5 4 2 2" xfId="55086"/>
    <cellStyle name="Normal 5 4 2 2 2" xfId="55087"/>
    <cellStyle name="Normal 5 4 2 3" xfId="55088"/>
    <cellStyle name="Normal 5 4 2 4" xfId="55089"/>
    <cellStyle name="Normal 5 4 2 5" xfId="55090"/>
    <cellStyle name="Normal 5 4 3" xfId="55091"/>
    <cellStyle name="Normal 5 4 3 2" xfId="55092"/>
    <cellStyle name="Normal 5 4 4" xfId="55093"/>
    <cellStyle name="Normal 5 4 5" xfId="55094"/>
    <cellStyle name="Normal 5 4 6" xfId="55095"/>
    <cellStyle name="Normal 5 4 7" xfId="55096"/>
    <cellStyle name="Normal 5 4 8" xfId="55097"/>
    <cellStyle name="Normal 5 5" xfId="55098"/>
    <cellStyle name="Normal 5 5 2" xfId="55099"/>
    <cellStyle name="Normal 5 5 2 2" xfId="55100"/>
    <cellStyle name="Normal 5 5 2 3" xfId="55101"/>
    <cellStyle name="Normal 5 5 2 4" xfId="55102"/>
    <cellStyle name="Normal 5 5 2 5" xfId="55103"/>
    <cellStyle name="Normal 5 5 3" xfId="55104"/>
    <cellStyle name="Normal 5 5 4" xfId="55105"/>
    <cellStyle name="Normal 5 5 5" xfId="55106"/>
    <cellStyle name="Normal 5 5 6" xfId="55107"/>
    <cellStyle name="Normal 5 5 7" xfId="55108"/>
    <cellStyle name="Normal 5 5 8" xfId="55109"/>
    <cellStyle name="Normal 5 6" xfId="55110"/>
    <cellStyle name="Normal 5 6 2" xfId="55111"/>
    <cellStyle name="Normal 5 6 3" xfId="55112"/>
    <cellStyle name="Normal 5 6 4" xfId="55113"/>
    <cellStyle name="Normal 5 6 5" xfId="55114"/>
    <cellStyle name="Normal 5 7" xfId="55115"/>
    <cellStyle name="Normal 5 8" xfId="55116"/>
    <cellStyle name="Normal 5 9" xfId="55117"/>
    <cellStyle name="Normal 5_T1_TP_MASTER_032112_Rev A" xfId="55118"/>
    <cellStyle name="Normal 50" xfId="55119"/>
    <cellStyle name="Normal 50 2" xfId="55120"/>
    <cellStyle name="Normal 50 2 2" xfId="55121"/>
    <cellStyle name="Normal 50 2 3" xfId="55122"/>
    <cellStyle name="Normal 50 3" xfId="55123"/>
    <cellStyle name="Normal 50 3 2" xfId="55124"/>
    <cellStyle name="Normal 50 3 3" xfId="55125"/>
    <cellStyle name="Normal 50 4" xfId="55126"/>
    <cellStyle name="Normal 50 5" xfId="55127"/>
    <cellStyle name="Normal 51" xfId="55128"/>
    <cellStyle name="Normal 51 2" xfId="55129"/>
    <cellStyle name="Normal 51 2 2" xfId="55130"/>
    <cellStyle name="Normal 51 2 3" xfId="55131"/>
    <cellStyle name="Normal 51 3" xfId="55132"/>
    <cellStyle name="Normal 51 3 2" xfId="55133"/>
    <cellStyle name="Normal 51 3 3" xfId="55134"/>
    <cellStyle name="Normal 51 4" xfId="55135"/>
    <cellStyle name="Normal 51 5" xfId="55136"/>
    <cellStyle name="Normal 52" xfId="55137"/>
    <cellStyle name="Normal 52 2" xfId="55138"/>
    <cellStyle name="Normal 52 2 2" xfId="55139"/>
    <cellStyle name="Normal 52 2 3" xfId="55140"/>
    <cellStyle name="Normal 52 3" xfId="55141"/>
    <cellStyle name="Normal 52 3 2" xfId="55142"/>
    <cellStyle name="Normal 52 3 3" xfId="55143"/>
    <cellStyle name="Normal 52 4" xfId="55144"/>
    <cellStyle name="Normal 52 5" xfId="55145"/>
    <cellStyle name="Normal 53" xfId="55146"/>
    <cellStyle name="Normal 53 2" xfId="55147"/>
    <cellStyle name="Normal 53 2 2" xfId="55148"/>
    <cellStyle name="Normal 53 2 3" xfId="55149"/>
    <cellStyle name="Normal 53 3" xfId="55150"/>
    <cellStyle name="Normal 53 3 2" xfId="55151"/>
    <cellStyle name="Normal 53 3 3" xfId="55152"/>
    <cellStyle name="Normal 53 4" xfId="55153"/>
    <cellStyle name="Normal 53 5" xfId="55154"/>
    <cellStyle name="Normal 54" xfId="55155"/>
    <cellStyle name="Normal 54 2" xfId="55156"/>
    <cellStyle name="Normal 54 2 2" xfId="55157"/>
    <cellStyle name="Normal 54 2 3" xfId="55158"/>
    <cellStyle name="Normal 54 3" xfId="55159"/>
    <cellStyle name="Normal 54 3 2" xfId="55160"/>
    <cellStyle name="Normal 54 3 3" xfId="55161"/>
    <cellStyle name="Normal 54 4" xfId="55162"/>
    <cellStyle name="Normal 54 5" xfId="55163"/>
    <cellStyle name="Normal 55" xfId="55164"/>
    <cellStyle name="Normal 55 2" xfId="55165"/>
    <cellStyle name="Normal 55 2 2" xfId="55166"/>
    <cellStyle name="Normal 55 2 3" xfId="55167"/>
    <cellStyle name="Normal 55 3" xfId="55168"/>
    <cellStyle name="Normal 55 3 2" xfId="55169"/>
    <cellStyle name="Normal 55 3 3" xfId="55170"/>
    <cellStyle name="Normal 55 4" xfId="55171"/>
    <cellStyle name="Normal 55 5" xfId="55172"/>
    <cellStyle name="Normal 56" xfId="55173"/>
    <cellStyle name="Normal 56 2" xfId="55174"/>
    <cellStyle name="Normal 56 2 2" xfId="55175"/>
    <cellStyle name="Normal 56 2 3" xfId="55176"/>
    <cellStyle name="Normal 56 3" xfId="55177"/>
    <cellStyle name="Normal 56 3 2" xfId="55178"/>
    <cellStyle name="Normal 56 3 3" xfId="55179"/>
    <cellStyle name="Normal 56 4" xfId="55180"/>
    <cellStyle name="Normal 56 5" xfId="55181"/>
    <cellStyle name="Normal 57" xfId="55182"/>
    <cellStyle name="Normal 57 2" xfId="55183"/>
    <cellStyle name="Normal 57 2 2" xfId="55184"/>
    <cellStyle name="Normal 57 2 2 2" xfId="55185"/>
    <cellStyle name="Normal 57 2 2 3" xfId="55186"/>
    <cellStyle name="Normal 57 2 3" xfId="55187"/>
    <cellStyle name="Normal 57 2 4" xfId="55188"/>
    <cellStyle name="Normal 57 3" xfId="55189"/>
    <cellStyle name="Normal 57 3 2" xfId="55190"/>
    <cellStyle name="Normal 57 3 3" xfId="55191"/>
    <cellStyle name="Normal 57 4" xfId="55192"/>
    <cellStyle name="Normal 57 5" xfId="55193"/>
    <cellStyle name="Normal 58" xfId="55194"/>
    <cellStyle name="Normal 58 2" xfId="55195"/>
    <cellStyle name="Normal 58 2 2" xfId="55196"/>
    <cellStyle name="Normal 58 2 2 2" xfId="55197"/>
    <cellStyle name="Normal 58 2 2 3" xfId="55198"/>
    <cellStyle name="Normal 58 2 3" xfId="55199"/>
    <cellStyle name="Normal 58 2 4" xfId="55200"/>
    <cellStyle name="Normal 58 3" xfId="55201"/>
    <cellStyle name="Normal 58 3 2" xfId="55202"/>
    <cellStyle name="Normal 58 3 3" xfId="55203"/>
    <cellStyle name="Normal 58 4" xfId="55204"/>
    <cellStyle name="Normal 58 5" xfId="55205"/>
    <cellStyle name="Normal 59" xfId="55206"/>
    <cellStyle name="Normal 59 2" xfId="55207"/>
    <cellStyle name="Normal 59 2 2" xfId="55208"/>
    <cellStyle name="Normal 59 2 3" xfId="55209"/>
    <cellStyle name="Normal 59 3" xfId="55210"/>
    <cellStyle name="Normal 59 3 2" xfId="55211"/>
    <cellStyle name="Normal 59 3 2 2" xfId="55212"/>
    <cellStyle name="Normal 59 3 2 2 2" xfId="55213"/>
    <cellStyle name="Normal 59 3 2 2 3" xfId="55214"/>
    <cellStyle name="Normal 59 3 2 3" xfId="55215"/>
    <cellStyle name="Normal 59 3 2 4" xfId="55216"/>
    <cellStyle name="Normal 59 3 3" xfId="55217"/>
    <cellStyle name="Normal 59 3 3 2" xfId="55218"/>
    <cellStyle name="Normal 59 3 3 3" xfId="55219"/>
    <cellStyle name="Normal 59 3 4" xfId="55220"/>
    <cellStyle name="Normal 59 3 5" xfId="55221"/>
    <cellStyle name="Normal 59 4" xfId="55222"/>
    <cellStyle name="Normal 59 5" xfId="55223"/>
    <cellStyle name="Normal 6" xfId="55224"/>
    <cellStyle name="Normal 6 10" xfId="55225"/>
    <cellStyle name="Normal 6 10 2" xfId="55226"/>
    <cellStyle name="Normal 6 10 3" xfId="55227"/>
    <cellStyle name="Normal 6 11" xfId="55228"/>
    <cellStyle name="Normal 6 11 2" xfId="55229"/>
    <cellStyle name="Normal 6 11 3" xfId="55230"/>
    <cellStyle name="Normal 6 12" xfId="55231"/>
    <cellStyle name="Normal 6 12 2" xfId="55232"/>
    <cellStyle name="Normal 6 12 3" xfId="55233"/>
    <cellStyle name="Normal 6 13" xfId="55234"/>
    <cellStyle name="Normal 6 14" xfId="55235"/>
    <cellStyle name="Normal 6 2" xfId="55236"/>
    <cellStyle name="Normal 6 2 2" xfId="55237"/>
    <cellStyle name="Normal 6 2 2 2" xfId="55238"/>
    <cellStyle name="Normal 6 2 2 2 2" xfId="55239"/>
    <cellStyle name="Normal 6 2 2 2 3" xfId="55240"/>
    <cellStyle name="Normal 6 2 2 3" xfId="55241"/>
    <cellStyle name="Normal 6 2 2 3 2" xfId="55242"/>
    <cellStyle name="Normal 6 2 2 3 3" xfId="55243"/>
    <cellStyle name="Normal 6 2 2 4" xfId="55244"/>
    <cellStyle name="Normal 6 2 2 5" xfId="55245"/>
    <cellStyle name="Normal 6 2 3" xfId="55246"/>
    <cellStyle name="Normal 6 2 3 2" xfId="55247"/>
    <cellStyle name="Normal 6 2 3 3" xfId="55248"/>
    <cellStyle name="Normal 6 2 4" xfId="55249"/>
    <cellStyle name="Normal 6 2 4 2" xfId="55250"/>
    <cellStyle name="Normal 6 2 4 3" xfId="55251"/>
    <cellStyle name="Normal 6 2 5" xfId="55252"/>
    <cellStyle name="Normal 6 2 6" xfId="55253"/>
    <cellStyle name="Normal 6 2 7" xfId="55254"/>
    <cellStyle name="Normal 6 2 8" xfId="55255"/>
    <cellStyle name="Normal 6 3" xfId="55256"/>
    <cellStyle name="Normal 6 3 2" xfId="55257"/>
    <cellStyle name="Normal 6 3 2 2" xfId="55258"/>
    <cellStyle name="Normal 6 3 2 3" xfId="55259"/>
    <cellStyle name="Normal 6 3 2 4" xfId="55260"/>
    <cellStyle name="Normal 6 3 2 5" xfId="55261"/>
    <cellStyle name="Normal 6 3 3" xfId="55262"/>
    <cellStyle name="Normal 6 3 3 2" xfId="55263"/>
    <cellStyle name="Normal 6 3 4" xfId="55264"/>
    <cellStyle name="Normal 6 3 5" xfId="55265"/>
    <cellStyle name="Normal 6 3 6" xfId="55266"/>
    <cellStyle name="Normal 6 3 7" xfId="55267"/>
    <cellStyle name="Normal 6 3 8" xfId="55268"/>
    <cellStyle name="Normal 6 4" xfId="55269"/>
    <cellStyle name="Normal 6 4 2" xfId="55270"/>
    <cellStyle name="Normal 6 4 2 2" xfId="55271"/>
    <cellStyle name="Normal 6 4 2 3" xfId="55272"/>
    <cellStyle name="Normal 6 4 2 4" xfId="55273"/>
    <cellStyle name="Normal 6 4 2 5" xfId="55274"/>
    <cellStyle name="Normal 6 4 3" xfId="55275"/>
    <cellStyle name="Normal 6 4 4" xfId="55276"/>
    <cellStyle name="Normal 6 4 5" xfId="55277"/>
    <cellStyle name="Normal 6 4 6" xfId="55278"/>
    <cellStyle name="Normal 6 4 7" xfId="55279"/>
    <cellStyle name="Normal 6 4 8" xfId="55280"/>
    <cellStyle name="Normal 6 5" xfId="55281"/>
    <cellStyle name="Normal 6 5 2" xfId="55282"/>
    <cellStyle name="Normal 6 5 2 2" xfId="55283"/>
    <cellStyle name="Normal 6 5 2 2 2" xfId="55284"/>
    <cellStyle name="Normal 6 5 2 2 3" xfId="55285"/>
    <cellStyle name="Normal 6 5 2 3" xfId="55286"/>
    <cellStyle name="Normal 6 5 2 4" xfId="55287"/>
    <cellStyle name="Normal 6 5 3" xfId="55288"/>
    <cellStyle name="Normal 6 5 3 2" xfId="55289"/>
    <cellStyle name="Normal 6 5 3 3" xfId="55290"/>
    <cellStyle name="Normal 6 5 4" xfId="55291"/>
    <cellStyle name="Normal 6 5 4 2" xfId="55292"/>
    <cellStyle name="Normal 6 5 4 3" xfId="55293"/>
    <cellStyle name="Normal 6 5 5" xfId="55294"/>
    <cellStyle name="Normal 6 5 6" xfId="55295"/>
    <cellStyle name="Normal 6 6" xfId="55296"/>
    <cellStyle name="Normal 6 6 2" xfId="55297"/>
    <cellStyle name="Normal 6 6 2 2" xfId="55298"/>
    <cellStyle name="Normal 6 6 2 2 2" xfId="55299"/>
    <cellStyle name="Normal 6 6 2 2 3" xfId="55300"/>
    <cellStyle name="Normal 6 6 2 3" xfId="55301"/>
    <cellStyle name="Normal 6 6 2 4" xfId="55302"/>
    <cellStyle name="Normal 6 6 3" xfId="55303"/>
    <cellStyle name="Normal 6 6 3 2" xfId="55304"/>
    <cellStyle name="Normal 6 6 3 3" xfId="55305"/>
    <cellStyle name="Normal 6 6 4" xfId="55306"/>
    <cellStyle name="Normal 6 6 4 2" xfId="55307"/>
    <cellStyle name="Normal 6 6 4 3" xfId="55308"/>
    <cellStyle name="Normal 6 6 5" xfId="55309"/>
    <cellStyle name="Normal 6 6 6" xfId="55310"/>
    <cellStyle name="Normal 6 7" xfId="55311"/>
    <cellStyle name="Normal 6 7 2" xfId="55312"/>
    <cellStyle name="Normal 6 7 2 2" xfId="55313"/>
    <cellStyle name="Normal 6 7 2 3" xfId="55314"/>
    <cellStyle name="Normal 6 7 3" xfId="55315"/>
    <cellStyle name="Normal 6 7 4" xfId="55316"/>
    <cellStyle name="Normal 6 8" xfId="55317"/>
    <cellStyle name="Normal 6 8 2" xfId="55318"/>
    <cellStyle name="Normal 6 8 2 2" xfId="55319"/>
    <cellStyle name="Normal 6 8 2 3" xfId="55320"/>
    <cellStyle name="Normal 6 8 3" xfId="55321"/>
    <cellStyle name="Normal 6 8 3 2" xfId="55322"/>
    <cellStyle name="Normal 6 8 3 3" xfId="55323"/>
    <cellStyle name="Normal 6 8 4" xfId="55324"/>
    <cellStyle name="Normal 6 8 5" xfId="55325"/>
    <cellStyle name="Normal 6 9" xfId="55326"/>
    <cellStyle name="Normal 6 9 2" xfId="55327"/>
    <cellStyle name="Normal 6 9 2 2" xfId="55328"/>
    <cellStyle name="Normal 6 9 2 3" xfId="55329"/>
    <cellStyle name="Normal 6 9 3" xfId="55330"/>
    <cellStyle name="Normal 6 9 4" xfId="55331"/>
    <cellStyle name="Normal 6_T1_TP_MASTER_032112_Rev A" xfId="55332"/>
    <cellStyle name="Normal 60" xfId="55333"/>
    <cellStyle name="Normal 60 2" xfId="55334"/>
    <cellStyle name="Normal 60 2 2" xfId="55335"/>
    <cellStyle name="Normal 60 2 3" xfId="55336"/>
    <cellStyle name="Normal 60 3" xfId="55337"/>
    <cellStyle name="Normal 60 3 2" xfId="55338"/>
    <cellStyle name="Normal 60 3 3" xfId="55339"/>
    <cellStyle name="Normal 60 4" xfId="55340"/>
    <cellStyle name="Normal 60 5" xfId="55341"/>
    <cellStyle name="Normal 61" xfId="55342"/>
    <cellStyle name="Normal 61 2" xfId="55343"/>
    <cellStyle name="Normal 61 2 2" xfId="55344"/>
    <cellStyle name="Normal 61 2 3" xfId="55345"/>
    <cellStyle name="Normal 61 3" xfId="55346"/>
    <cellStyle name="Normal 61 3 2" xfId="55347"/>
    <cellStyle name="Normal 61 3 2 2" xfId="55348"/>
    <cellStyle name="Normal 61 3 2 2 2" xfId="55349"/>
    <cellStyle name="Normal 61 3 2 2 3" xfId="55350"/>
    <cellStyle name="Normal 61 3 2 3" xfId="55351"/>
    <cellStyle name="Normal 61 3 2 4" xfId="55352"/>
    <cellStyle name="Normal 61 3 3" xfId="55353"/>
    <cellStyle name="Normal 61 3 3 2" xfId="55354"/>
    <cellStyle name="Normal 61 3 3 3" xfId="55355"/>
    <cellStyle name="Normal 61 3 4" xfId="55356"/>
    <cellStyle name="Normal 61 3 5" xfId="55357"/>
    <cellStyle name="Normal 61 4" xfId="55358"/>
    <cellStyle name="Normal 61 5" xfId="55359"/>
    <cellStyle name="Normal 62" xfId="55360"/>
    <cellStyle name="Normal 62 2" xfId="55361"/>
    <cellStyle name="Normal 62 2 2" xfId="55362"/>
    <cellStyle name="Normal 62 2 3" xfId="55363"/>
    <cellStyle name="Normal 62 3" xfId="55364"/>
    <cellStyle name="Normal 62 3 2" xfId="55365"/>
    <cellStyle name="Normal 62 3 2 2" xfId="55366"/>
    <cellStyle name="Normal 62 3 2 2 2" xfId="55367"/>
    <cellStyle name="Normal 62 3 2 2 3" xfId="55368"/>
    <cellStyle name="Normal 62 3 2 3" xfId="55369"/>
    <cellStyle name="Normal 62 3 2 4" xfId="55370"/>
    <cellStyle name="Normal 62 3 3" xfId="55371"/>
    <cellStyle name="Normal 62 3 3 2" xfId="55372"/>
    <cellStyle name="Normal 62 3 3 3" xfId="55373"/>
    <cellStyle name="Normal 62 3 4" xfId="55374"/>
    <cellStyle name="Normal 62 3 5" xfId="55375"/>
    <cellStyle name="Normal 62 4" xfId="55376"/>
    <cellStyle name="Normal 62 5" xfId="55377"/>
    <cellStyle name="Normal 63" xfId="55378"/>
    <cellStyle name="Normal 63 2" xfId="55379"/>
    <cellStyle name="Normal 63 2 2" xfId="55380"/>
    <cellStyle name="Normal 63 2 3" xfId="55381"/>
    <cellStyle name="Normal 63 3" xfId="55382"/>
    <cellStyle name="Normal 63 3 2" xfId="55383"/>
    <cellStyle name="Normal 63 3 2 2" xfId="55384"/>
    <cellStyle name="Normal 63 3 2 2 2" xfId="55385"/>
    <cellStyle name="Normal 63 3 2 2 3" xfId="55386"/>
    <cellStyle name="Normal 63 3 2 3" xfId="55387"/>
    <cellStyle name="Normal 63 3 2 4" xfId="55388"/>
    <cellStyle name="Normal 63 3 3" xfId="55389"/>
    <cellStyle name="Normal 63 3 3 2" xfId="55390"/>
    <cellStyle name="Normal 63 3 3 3" xfId="55391"/>
    <cellStyle name="Normal 63 3 4" xfId="55392"/>
    <cellStyle name="Normal 63 3 5" xfId="55393"/>
    <cellStyle name="Normal 63 4" xfId="55394"/>
    <cellStyle name="Normal 63 5" xfId="55395"/>
    <cellStyle name="Normal 64" xfId="55396"/>
    <cellStyle name="Normal 64 2" xfId="55397"/>
    <cellStyle name="Normal 64 2 2" xfId="55398"/>
    <cellStyle name="Normal 64 2 3" xfId="55399"/>
    <cellStyle name="Normal 64 3" xfId="55400"/>
    <cellStyle name="Normal 64 3 2" xfId="55401"/>
    <cellStyle name="Normal 64 3 2 2" xfId="55402"/>
    <cellStyle name="Normal 64 3 2 2 2" xfId="55403"/>
    <cellStyle name="Normal 64 3 2 2 3" xfId="55404"/>
    <cellStyle name="Normal 64 3 2 3" xfId="55405"/>
    <cellStyle name="Normal 64 3 2 4" xfId="55406"/>
    <cellStyle name="Normal 64 3 3" xfId="55407"/>
    <cellStyle name="Normal 64 3 3 2" xfId="55408"/>
    <cellStyle name="Normal 64 3 3 3" xfId="55409"/>
    <cellStyle name="Normal 64 3 4" xfId="55410"/>
    <cellStyle name="Normal 64 3 5" xfId="55411"/>
    <cellStyle name="Normal 64 4" xfId="55412"/>
    <cellStyle name="Normal 64 5" xfId="55413"/>
    <cellStyle name="Normal 65" xfId="55414"/>
    <cellStyle name="Normal 65 2" xfId="55415"/>
    <cellStyle name="Normal 65 2 2" xfId="55416"/>
    <cellStyle name="Normal 65 2 3" xfId="55417"/>
    <cellStyle name="Normal 65 3" xfId="55418"/>
    <cellStyle name="Normal 65 3 2" xfId="55419"/>
    <cellStyle name="Normal 65 3 3" xfId="55420"/>
    <cellStyle name="Normal 65 4" xfId="55421"/>
    <cellStyle name="Normal 65 4 2" xfId="55422"/>
    <cellStyle name="Normal 65 4 3" xfId="55423"/>
    <cellStyle name="Normal 65 5" xfId="55424"/>
    <cellStyle name="Normal 66" xfId="55425"/>
    <cellStyle name="Normal 66 2" xfId="55426"/>
    <cellStyle name="Normal 66 2 2" xfId="55427"/>
    <cellStyle name="Normal 66 2 3" xfId="55428"/>
    <cellStyle name="Normal 66 3" xfId="55429"/>
    <cellStyle name="Normal 66 3 2" xfId="55430"/>
    <cellStyle name="Normal 66 3 3" xfId="55431"/>
    <cellStyle name="Normal 66 4" xfId="55432"/>
    <cellStyle name="Normal 66 5" xfId="55433"/>
    <cellStyle name="Normal 67" xfId="55434"/>
    <cellStyle name="Normal 67 2" xfId="55435"/>
    <cellStyle name="Normal 67 2 2" xfId="55436"/>
    <cellStyle name="Normal 67 2 3" xfId="55437"/>
    <cellStyle name="Normal 67 3" xfId="55438"/>
    <cellStyle name="Normal 67 3 2" xfId="55439"/>
    <cellStyle name="Normal 67 3 2 2" xfId="55440"/>
    <cellStyle name="Normal 67 3 2 2 2" xfId="55441"/>
    <cellStyle name="Normal 67 3 2 2 3" xfId="55442"/>
    <cellStyle name="Normal 67 3 2 3" xfId="55443"/>
    <cellStyle name="Normal 67 3 2 4" xfId="55444"/>
    <cellStyle name="Normal 67 3 3" xfId="55445"/>
    <cellStyle name="Normal 67 3 3 2" xfId="55446"/>
    <cellStyle name="Normal 67 3 3 3" xfId="55447"/>
    <cellStyle name="Normal 67 3 4" xfId="55448"/>
    <cellStyle name="Normal 67 3 5" xfId="55449"/>
    <cellStyle name="Normal 67 4" xfId="55450"/>
    <cellStyle name="Normal 67 5" xfId="55451"/>
    <cellStyle name="Normal 68" xfId="55452"/>
    <cellStyle name="Normal 68 2" xfId="55453"/>
    <cellStyle name="Normal 68 2 2" xfId="55454"/>
    <cellStyle name="Normal 68 2 3" xfId="55455"/>
    <cellStyle name="Normal 68 3" xfId="55456"/>
    <cellStyle name="Normal 68 3 2" xfId="55457"/>
    <cellStyle name="Normal 68 3 2 2" xfId="55458"/>
    <cellStyle name="Normal 68 3 2 2 2" xfId="55459"/>
    <cellStyle name="Normal 68 3 2 2 3" xfId="55460"/>
    <cellStyle name="Normal 68 3 2 3" xfId="55461"/>
    <cellStyle name="Normal 68 3 2 4" xfId="55462"/>
    <cellStyle name="Normal 68 3 3" xfId="55463"/>
    <cellStyle name="Normal 68 3 3 2" xfId="55464"/>
    <cellStyle name="Normal 68 3 3 3" xfId="55465"/>
    <cellStyle name="Normal 68 3 4" xfId="55466"/>
    <cellStyle name="Normal 68 3 5" xfId="55467"/>
    <cellStyle name="Normal 68 4" xfId="55468"/>
    <cellStyle name="Normal 68 5" xfId="55469"/>
    <cellStyle name="Normal 69" xfId="55470"/>
    <cellStyle name="Normal 69 2" xfId="55471"/>
    <cellStyle name="Normal 69 2 2" xfId="55472"/>
    <cellStyle name="Normal 69 2 3" xfId="55473"/>
    <cellStyle name="Normal 69 3" xfId="55474"/>
    <cellStyle name="Normal 69 3 2" xfId="55475"/>
    <cellStyle name="Normal 69 3 2 2" xfId="55476"/>
    <cellStyle name="Normal 69 3 2 2 2" xfId="55477"/>
    <cellStyle name="Normal 69 3 2 2 3" xfId="55478"/>
    <cellStyle name="Normal 69 3 2 3" xfId="55479"/>
    <cellStyle name="Normal 69 3 2 4" xfId="55480"/>
    <cellStyle name="Normal 69 3 3" xfId="55481"/>
    <cellStyle name="Normal 69 3 3 2" xfId="55482"/>
    <cellStyle name="Normal 69 3 3 3" xfId="55483"/>
    <cellStyle name="Normal 69 3 4" xfId="55484"/>
    <cellStyle name="Normal 69 3 5" xfId="55485"/>
    <cellStyle name="Normal 69 4" xfId="55486"/>
    <cellStyle name="Normal 69 5" xfId="55487"/>
    <cellStyle name="Normal 7" xfId="55488"/>
    <cellStyle name="Normal 7 2" xfId="55489"/>
    <cellStyle name="Normal 7 2 2" xfId="55490"/>
    <cellStyle name="Normal 7 2 2 2" xfId="55491"/>
    <cellStyle name="Normal 7 2 2 2 2" xfId="55492"/>
    <cellStyle name="Normal 7 2 2 2 2 2" xfId="55493"/>
    <cellStyle name="Normal 7 2 2 2 2 2 2" xfId="55494"/>
    <cellStyle name="Normal 7 2 2 2 2 2 3" xfId="55495"/>
    <cellStyle name="Normal 7 2 2 2 2 2 4" xfId="55496"/>
    <cellStyle name="Normal 7 2 2 2 2 2 5" xfId="55497"/>
    <cellStyle name="Normal 7 2 2 2 2 3" xfId="55498"/>
    <cellStyle name="Normal 7 2 2 2 2 4" xfId="55499"/>
    <cellStyle name="Normal 7 2 2 2 2 5" xfId="55500"/>
    <cellStyle name="Normal 7 2 2 2 2 6" xfId="55501"/>
    <cellStyle name="Normal 7 2 2 2 2 7" xfId="55502"/>
    <cellStyle name="Normal 7 2 2 2 2 8" xfId="55503"/>
    <cellStyle name="Normal 7 2 2 2 3" xfId="55504"/>
    <cellStyle name="Normal 7 2 2 2 4" xfId="55505"/>
    <cellStyle name="Normal 7 2 2 3" xfId="55506"/>
    <cellStyle name="Normal 7 2 2 3 2" xfId="55507"/>
    <cellStyle name="Normal 7 2 2 3 3" xfId="55508"/>
    <cellStyle name="Normal 7 2 2 3 4" xfId="55509"/>
    <cellStyle name="Normal 7 2 2 3 5" xfId="55510"/>
    <cellStyle name="Normal 7 2 2 4" xfId="55511"/>
    <cellStyle name="Normal 7 2 2 4 2" xfId="55512"/>
    <cellStyle name="Normal 7 2 2 4 3" xfId="55513"/>
    <cellStyle name="Normal 7 2 2 5" xfId="55514"/>
    <cellStyle name="Normal 7 2 2 6" xfId="55515"/>
    <cellStyle name="Normal 7 2 2 7" xfId="55516"/>
    <cellStyle name="Normal 7 2 2 8" xfId="55517"/>
    <cellStyle name="Normal 7 2 2 9" xfId="55518"/>
    <cellStyle name="Normal 7 2 3" xfId="55519"/>
    <cellStyle name="Normal 7 2 3 2" xfId="55520"/>
    <cellStyle name="Normal 7 2 3 2 2" xfId="55521"/>
    <cellStyle name="Normal 7 2 3 2 2 2" xfId="55522"/>
    <cellStyle name="Normal 7 2 3 2 2 3" xfId="55523"/>
    <cellStyle name="Normal 7 2 3 2 3" xfId="55524"/>
    <cellStyle name="Normal 7 2 3 2 4" xfId="55525"/>
    <cellStyle name="Normal 7 2 3 2 5" xfId="55526"/>
    <cellStyle name="Normal 7 2 3 3" xfId="55527"/>
    <cellStyle name="Normal 7 2 3 3 2" xfId="55528"/>
    <cellStyle name="Normal 7 2 3 3 3" xfId="55529"/>
    <cellStyle name="Normal 7 2 3 4" xfId="55530"/>
    <cellStyle name="Normal 7 2 3 4 2" xfId="55531"/>
    <cellStyle name="Normal 7 2 3 4 3" xfId="55532"/>
    <cellStyle name="Normal 7 2 3 5" xfId="55533"/>
    <cellStyle name="Normal 7 2 3 6" xfId="55534"/>
    <cellStyle name="Normal 7 2 3 7" xfId="55535"/>
    <cellStyle name="Normal 7 2 3 8" xfId="55536"/>
    <cellStyle name="Normal 7 2 4" xfId="55537"/>
    <cellStyle name="Normal 7 2 4 2" xfId="55538"/>
    <cellStyle name="Normal 7 2 4 2 2" xfId="55539"/>
    <cellStyle name="Normal 7 2 4 2 3" xfId="55540"/>
    <cellStyle name="Normal 7 2 4 3" xfId="55541"/>
    <cellStyle name="Normal 7 2 4 4" xfId="55542"/>
    <cellStyle name="Normal 7 2 5" xfId="55543"/>
    <cellStyle name="Normal 7 2 5 2" xfId="55544"/>
    <cellStyle name="Normal 7 2 5 3" xfId="55545"/>
    <cellStyle name="Normal 7 2 6" xfId="55546"/>
    <cellStyle name="Normal 7 2 6 2" xfId="55547"/>
    <cellStyle name="Normal 7 2 6 3" xfId="55548"/>
    <cellStyle name="Normal 7 2 7" xfId="55549"/>
    <cellStyle name="Normal 7 2 8" xfId="55550"/>
    <cellStyle name="Normal 7 3" xfId="55551"/>
    <cellStyle name="Normal 7 3 2" xfId="55552"/>
    <cellStyle name="Normal 7 3 2 2" xfId="55553"/>
    <cellStyle name="Normal 7 3 2 2 2" xfId="55554"/>
    <cellStyle name="Normal 7 3 2 2 2 2" xfId="55555"/>
    <cellStyle name="Normal 7 3 2 2 2 2 2" xfId="55556"/>
    <cellStyle name="Normal 7 3 2 2 2 2 2 2" xfId="55557"/>
    <cellStyle name="Normal 7 3 2 2 2 2 3" xfId="55558"/>
    <cellStyle name="Normal 7 3 2 2 2 3" xfId="55559"/>
    <cellStyle name="Normal 7 3 2 2 2 3 2" xfId="55560"/>
    <cellStyle name="Normal 7 3 2 2 2 3 2 2" xfId="55561"/>
    <cellStyle name="Normal 7 3 2 2 2 3 3" xfId="55562"/>
    <cellStyle name="Normal 7 3 2 2 2 4" xfId="55563"/>
    <cellStyle name="Normal 7 3 2 2 2 4 2" xfId="55564"/>
    <cellStyle name="Normal 7 3 2 2 2 5" xfId="55565"/>
    <cellStyle name="Normal 7 3 2 2 3" xfId="55566"/>
    <cellStyle name="Normal 7 3 2 2 3 2" xfId="55567"/>
    <cellStyle name="Normal 7 3 2 2 3 2 2" xfId="55568"/>
    <cellStyle name="Normal 7 3 2 2 3 3" xfId="55569"/>
    <cellStyle name="Normal 7 3 2 2 4" xfId="55570"/>
    <cellStyle name="Normal 7 3 2 2 4 2" xfId="55571"/>
    <cellStyle name="Normal 7 3 2 2 4 2 2" xfId="55572"/>
    <cellStyle name="Normal 7 3 2 2 4 3" xfId="55573"/>
    <cellStyle name="Normal 7 3 2 2 5" xfId="55574"/>
    <cellStyle name="Normal 7 3 2 2 5 2" xfId="55575"/>
    <cellStyle name="Normal 7 3 2 2 6" xfId="55576"/>
    <cellStyle name="Normal 7 3 2 3" xfId="55577"/>
    <cellStyle name="Normal 7 3 2 3 2" xfId="55578"/>
    <cellStyle name="Normal 7 3 2 3 2 2" xfId="55579"/>
    <cellStyle name="Normal 7 3 2 3 3" xfId="55580"/>
    <cellStyle name="Normal 7 3 2 4" xfId="55581"/>
    <cellStyle name="Normal 7 3 2 4 2" xfId="55582"/>
    <cellStyle name="Normal 7 3 2 4 2 2" xfId="55583"/>
    <cellStyle name="Normal 7 3 2 4 3" xfId="55584"/>
    <cellStyle name="Normal 7 3 2 5" xfId="55585"/>
    <cellStyle name="Normal 7 3 2 5 2" xfId="55586"/>
    <cellStyle name="Normal 7 3 2 6" xfId="55587"/>
    <cellStyle name="Normal 7 3 3" xfId="55588"/>
    <cellStyle name="Normal 7 3 3 2" xfId="55589"/>
    <cellStyle name="Normal 7 3 3 2 2" xfId="55590"/>
    <cellStyle name="Normal 7 3 3 3" xfId="55591"/>
    <cellStyle name="Normal 7 3 4" xfId="55592"/>
    <cellStyle name="Normal 7 3 4 2" xfId="55593"/>
    <cellStyle name="Normal 7 3 4 2 2" xfId="55594"/>
    <cellStyle name="Normal 7 3 4 3" xfId="55595"/>
    <cellStyle name="Normal 7 3 5" xfId="55596"/>
    <cellStyle name="Normal 7 3 5 2" xfId="55597"/>
    <cellStyle name="Normal 7 3 6" xfId="55598"/>
    <cellStyle name="Normal 7 3 7" xfId="55599"/>
    <cellStyle name="Normal 7 4" xfId="55600"/>
    <cellStyle name="Normal 7 4 2" xfId="55601"/>
    <cellStyle name="Normal 7 4 2 2" xfId="55602"/>
    <cellStyle name="Normal 7 4 3" xfId="55603"/>
    <cellStyle name="Normal 7 5" xfId="55604"/>
    <cellStyle name="Normal 7 5 2" xfId="55605"/>
    <cellStyle name="Normal 7 5 2 2" xfId="55606"/>
    <cellStyle name="Normal 7 5 3" xfId="55607"/>
    <cellStyle name="Normal 7 6" xfId="55608"/>
    <cellStyle name="Normal 7 6 2" xfId="55609"/>
    <cellStyle name="Normal 7 7" xfId="55610"/>
    <cellStyle name="Normal 7 7 2" xfId="55611"/>
    <cellStyle name="Normal 7 8" xfId="55612"/>
    <cellStyle name="Normal 7_T1_TP_MASTER_032112_Rev A" xfId="55613"/>
    <cellStyle name="Normal 70" xfId="55614"/>
    <cellStyle name="Normal 70 2" xfId="55615"/>
    <cellStyle name="Normal 70 2 2" xfId="55616"/>
    <cellStyle name="Normal 70 2 2 2" xfId="55617"/>
    <cellStyle name="Normal 70 2 2 3" xfId="55618"/>
    <cellStyle name="Normal 70 2 3" xfId="55619"/>
    <cellStyle name="Normal 70 2 4" xfId="55620"/>
    <cellStyle name="Normal 70 2 5" xfId="55621"/>
    <cellStyle name="Normal 70 3" xfId="55622"/>
    <cellStyle name="Normal 70 3 2" xfId="55623"/>
    <cellStyle name="Normal 70 3 3" xfId="55624"/>
    <cellStyle name="Normal 70 3 4" xfId="55625"/>
    <cellStyle name="Normal 70 4" xfId="55626"/>
    <cellStyle name="Normal 70 4 2" xfId="55627"/>
    <cellStyle name="Normal 70 5" xfId="55628"/>
    <cellStyle name="Normal 71" xfId="55629"/>
    <cellStyle name="Normal 71 2" xfId="55630"/>
    <cellStyle name="Normal 71 2 2" xfId="55631"/>
    <cellStyle name="Normal 71 2 2 2" xfId="55632"/>
    <cellStyle name="Normal 71 2 2 3" xfId="55633"/>
    <cellStyle name="Normal 71 2 3" xfId="55634"/>
    <cellStyle name="Normal 71 2 4" xfId="55635"/>
    <cellStyle name="Normal 71 2 5" xfId="55636"/>
    <cellStyle name="Normal 71 3" xfId="55637"/>
    <cellStyle name="Normal 71 3 2" xfId="55638"/>
    <cellStyle name="Normal 71 3 3" xfId="55639"/>
    <cellStyle name="Normal 71 4" xfId="55640"/>
    <cellStyle name="Normal 71 5" xfId="55641"/>
    <cellStyle name="Normal 72" xfId="55642"/>
    <cellStyle name="Normal 72 2" xfId="55643"/>
    <cellStyle name="Normal 72 2 2" xfId="55644"/>
    <cellStyle name="Normal 72 2 2 2" xfId="55645"/>
    <cellStyle name="Normal 72 2 2 3" xfId="55646"/>
    <cellStyle name="Normal 72 2 3" xfId="55647"/>
    <cellStyle name="Normal 72 2 4" xfId="55648"/>
    <cellStyle name="Normal 72 3" xfId="55649"/>
    <cellStyle name="Normal 72 3 2" xfId="55650"/>
    <cellStyle name="Normal 72 3 3" xfId="55651"/>
    <cellStyle name="Normal 72 4" xfId="55652"/>
    <cellStyle name="Normal 72 5" xfId="55653"/>
    <cellStyle name="Normal 73" xfId="55654"/>
    <cellStyle name="Normal 73 2" xfId="55655"/>
    <cellStyle name="Normal 73 2 2" xfId="55656"/>
    <cellStyle name="Normal 73 2 2 2" xfId="55657"/>
    <cellStyle name="Normal 73 2 2 3" xfId="55658"/>
    <cellStyle name="Normal 73 2 3" xfId="55659"/>
    <cellStyle name="Normal 73 2 4" xfId="55660"/>
    <cellStyle name="Normal 73 3" xfId="55661"/>
    <cellStyle name="Normal 73 3 2" xfId="55662"/>
    <cellStyle name="Normal 73 3 3" xfId="55663"/>
    <cellStyle name="Normal 73 4" xfId="55664"/>
    <cellStyle name="Normal 73 5" xfId="55665"/>
    <cellStyle name="Normal 74" xfId="55666"/>
    <cellStyle name="Normal 74 2" xfId="55667"/>
    <cellStyle name="Normal 74 2 2" xfId="55668"/>
    <cellStyle name="Normal 74 2 2 2" xfId="55669"/>
    <cellStyle name="Normal 74 2 2 3" xfId="55670"/>
    <cellStyle name="Normal 74 2 3" xfId="55671"/>
    <cellStyle name="Normal 74 2 4" xfId="55672"/>
    <cellStyle name="Normal 74 3" xfId="55673"/>
    <cellStyle name="Normal 74 3 2" xfId="55674"/>
    <cellStyle name="Normal 74 3 3" xfId="55675"/>
    <cellStyle name="Normal 74 4" xfId="55676"/>
    <cellStyle name="Normal 74 5" xfId="55677"/>
    <cellStyle name="Normal 75" xfId="55678"/>
    <cellStyle name="Normal 75 2" xfId="55679"/>
    <cellStyle name="Normal 75 2 2" xfId="55680"/>
    <cellStyle name="Normal 75 2 2 2" xfId="55681"/>
    <cellStyle name="Normal 75 2 2 3" xfId="55682"/>
    <cellStyle name="Normal 75 2 3" xfId="55683"/>
    <cellStyle name="Normal 75 2 4" xfId="55684"/>
    <cellStyle name="Normal 75 3" xfId="55685"/>
    <cellStyle name="Normal 75 3 2" xfId="55686"/>
    <cellStyle name="Normal 75 3 3" xfId="55687"/>
    <cellStyle name="Normal 75 4" xfId="55688"/>
    <cellStyle name="Normal 75 5" xfId="55689"/>
    <cellStyle name="Normal 76" xfId="55690"/>
    <cellStyle name="Normal 76 2" xfId="55691"/>
    <cellStyle name="Normal 76 2 2" xfId="55692"/>
    <cellStyle name="Normal 76 2 2 2" xfId="55693"/>
    <cellStyle name="Normal 76 2 2 3" xfId="55694"/>
    <cellStyle name="Normal 76 2 3" xfId="55695"/>
    <cellStyle name="Normal 76 2 4" xfId="55696"/>
    <cellStyle name="Normal 76 3" xfId="55697"/>
    <cellStyle name="Normal 76 3 2" xfId="55698"/>
    <cellStyle name="Normal 76 3 3" xfId="55699"/>
    <cellStyle name="Normal 76 4" xfId="55700"/>
    <cellStyle name="Normal 76 5" xfId="55701"/>
    <cellStyle name="Normal 77" xfId="55702"/>
    <cellStyle name="Normal 77 2" xfId="55703"/>
    <cellStyle name="Normal 77 2 2" xfId="55704"/>
    <cellStyle name="Normal 77 2 2 2" xfId="55705"/>
    <cellStyle name="Normal 77 2 2 3" xfId="55706"/>
    <cellStyle name="Normal 77 2 3" xfId="55707"/>
    <cellStyle name="Normal 77 2 4" xfId="55708"/>
    <cellStyle name="Normal 77 2 5" xfId="55709"/>
    <cellStyle name="Normal 77 3" xfId="55710"/>
    <cellStyle name="Normal 77 3 2" xfId="55711"/>
    <cellStyle name="Normal 77 3 3" xfId="55712"/>
    <cellStyle name="Normal 77 3 4" xfId="55713"/>
    <cellStyle name="Normal 77 4" xfId="55714"/>
    <cellStyle name="Normal 77 5" xfId="55715"/>
    <cellStyle name="Normal 77 5 2" xfId="55716"/>
    <cellStyle name="Normal 77 6" xfId="55717"/>
    <cellStyle name="Normal 78" xfId="55718"/>
    <cellStyle name="Normal 78 2" xfId="55719"/>
    <cellStyle name="Normal 78 2 2" xfId="55720"/>
    <cellStyle name="Normal 78 2 2 2" xfId="55721"/>
    <cellStyle name="Normal 78 2 2 3" xfId="55722"/>
    <cellStyle name="Normal 78 2 3" xfId="55723"/>
    <cellStyle name="Normal 78 2 4" xfId="55724"/>
    <cellStyle name="Normal 78 2 5" xfId="55725"/>
    <cellStyle name="Normal 78 3" xfId="55726"/>
    <cellStyle name="Normal 78 3 2" xfId="55727"/>
    <cellStyle name="Normal 78 3 3" xfId="55728"/>
    <cellStyle name="Normal 78 4" xfId="55729"/>
    <cellStyle name="Normal 78 5" xfId="55730"/>
    <cellStyle name="Normal 79" xfId="55731"/>
    <cellStyle name="Normal 79 2" xfId="55732"/>
    <cellStyle name="Normal 79 2 2" xfId="55733"/>
    <cellStyle name="Normal 79 2 3" xfId="55734"/>
    <cellStyle name="Normal 79 3" xfId="55735"/>
    <cellStyle name="Normal 79 3 2" xfId="55736"/>
    <cellStyle name="Normal 79 3 3" xfId="55737"/>
    <cellStyle name="Normal 79 4" xfId="55738"/>
    <cellStyle name="Normal 79 5" xfId="55739"/>
    <cellStyle name="Normal 8" xfId="55740"/>
    <cellStyle name="Normal 8 10" xfId="55741"/>
    <cellStyle name="Normal 8 10 2" xfId="55742"/>
    <cellStyle name="Normal 8 10 3" xfId="55743"/>
    <cellStyle name="Normal 8 11" xfId="55744"/>
    <cellStyle name="Normal 8 11 2" xfId="55745"/>
    <cellStyle name="Normal 8 11 3" xfId="55746"/>
    <cellStyle name="Normal 8 12" xfId="55747"/>
    <cellStyle name="Normal 8 2" xfId="55748"/>
    <cellStyle name="Normal 8 2 10" xfId="55749"/>
    <cellStyle name="Normal 8 2 2" xfId="55750"/>
    <cellStyle name="Normal 8 2 2 2" xfId="55751"/>
    <cellStyle name="Normal 8 2 2 2 2" xfId="55752"/>
    <cellStyle name="Normal 8 2 2 2 2 2" xfId="55753"/>
    <cellStyle name="Normal 8 2 2 2 2 2 2" xfId="55754"/>
    <cellStyle name="Normal 8 2 2 2 2 2 3" xfId="55755"/>
    <cellStyle name="Normal 8 2 2 2 2 3" xfId="55756"/>
    <cellStyle name="Normal 8 2 2 2 2 4" xfId="55757"/>
    <cellStyle name="Normal 8 2 2 2 3" xfId="55758"/>
    <cellStyle name="Normal 8 2 2 2 3 2" xfId="55759"/>
    <cellStyle name="Normal 8 2 2 2 3 3" xfId="55760"/>
    <cellStyle name="Normal 8 2 2 2 4" xfId="55761"/>
    <cellStyle name="Normal 8 2 2 2 4 2" xfId="55762"/>
    <cellStyle name="Normal 8 2 2 2 4 3" xfId="55763"/>
    <cellStyle name="Normal 8 2 2 2 5" xfId="55764"/>
    <cellStyle name="Normal 8 2 2 2 6" xfId="55765"/>
    <cellStyle name="Normal 8 2 2 3" xfId="55766"/>
    <cellStyle name="Normal 8 2 2 3 2" xfId="55767"/>
    <cellStyle name="Normal 8 2 2 3 2 2" xfId="55768"/>
    <cellStyle name="Normal 8 2 2 3 2 2 2" xfId="55769"/>
    <cellStyle name="Normal 8 2 2 3 2 2 3" xfId="55770"/>
    <cellStyle name="Normal 8 2 2 3 2 3" xfId="55771"/>
    <cellStyle name="Normal 8 2 2 3 2 4" xfId="55772"/>
    <cellStyle name="Normal 8 2 2 3 3" xfId="55773"/>
    <cellStyle name="Normal 8 2 2 3 3 2" xfId="55774"/>
    <cellStyle name="Normal 8 2 2 3 3 3" xfId="55775"/>
    <cellStyle name="Normal 8 2 2 3 4" xfId="55776"/>
    <cellStyle name="Normal 8 2 2 3 4 2" xfId="55777"/>
    <cellStyle name="Normal 8 2 2 3 4 3" xfId="55778"/>
    <cellStyle name="Normal 8 2 2 3 5" xfId="55779"/>
    <cellStyle name="Normal 8 2 2 3 6" xfId="55780"/>
    <cellStyle name="Normal 8 2 2 4" xfId="55781"/>
    <cellStyle name="Normal 8 2 2 4 2" xfId="55782"/>
    <cellStyle name="Normal 8 2 2 4 2 2" xfId="55783"/>
    <cellStyle name="Normal 8 2 2 4 2 3" xfId="55784"/>
    <cellStyle name="Normal 8 2 2 4 3" xfId="55785"/>
    <cellStyle name="Normal 8 2 2 4 4" xfId="55786"/>
    <cellStyle name="Normal 8 2 2 5" xfId="55787"/>
    <cellStyle name="Normal 8 2 2 5 2" xfId="55788"/>
    <cellStyle name="Normal 8 2 2 5 3" xfId="55789"/>
    <cellStyle name="Normal 8 2 2 6" xfId="55790"/>
    <cellStyle name="Normal 8 2 2 6 2" xfId="55791"/>
    <cellStyle name="Normal 8 2 2 6 3" xfId="55792"/>
    <cellStyle name="Normal 8 2 2 7" xfId="55793"/>
    <cellStyle name="Normal 8 2 2 8" xfId="55794"/>
    <cellStyle name="Normal 8 2 3" xfId="55795"/>
    <cellStyle name="Normal 8 2 3 2" xfId="55796"/>
    <cellStyle name="Normal 8 2 3 2 2" xfId="55797"/>
    <cellStyle name="Normal 8 2 3 2 2 2" xfId="55798"/>
    <cellStyle name="Normal 8 2 3 2 2 3" xfId="55799"/>
    <cellStyle name="Normal 8 2 3 2 3" xfId="55800"/>
    <cellStyle name="Normal 8 2 3 2 4" xfId="55801"/>
    <cellStyle name="Normal 8 2 3 3" xfId="55802"/>
    <cellStyle name="Normal 8 2 3 3 2" xfId="55803"/>
    <cellStyle name="Normal 8 2 3 3 3" xfId="55804"/>
    <cellStyle name="Normal 8 2 3 4" xfId="55805"/>
    <cellStyle name="Normal 8 2 3 4 2" xfId="55806"/>
    <cellStyle name="Normal 8 2 3 4 3" xfId="55807"/>
    <cellStyle name="Normal 8 2 3 5" xfId="55808"/>
    <cellStyle name="Normal 8 2 3 6" xfId="55809"/>
    <cellStyle name="Normal 8 2 4" xfId="55810"/>
    <cellStyle name="Normal 8 2 4 2" xfId="55811"/>
    <cellStyle name="Normal 8 2 4 2 2" xfId="55812"/>
    <cellStyle name="Normal 8 2 4 2 2 2" xfId="55813"/>
    <cellStyle name="Normal 8 2 4 2 2 3" xfId="55814"/>
    <cellStyle name="Normal 8 2 4 2 3" xfId="55815"/>
    <cellStyle name="Normal 8 2 4 2 4" xfId="55816"/>
    <cellStyle name="Normal 8 2 4 3" xfId="55817"/>
    <cellStyle name="Normal 8 2 4 3 2" xfId="55818"/>
    <cellStyle name="Normal 8 2 4 3 3" xfId="55819"/>
    <cellStyle name="Normal 8 2 4 4" xfId="55820"/>
    <cellStyle name="Normal 8 2 4 4 2" xfId="55821"/>
    <cellStyle name="Normal 8 2 4 4 3" xfId="55822"/>
    <cellStyle name="Normal 8 2 4 5" xfId="55823"/>
    <cellStyle name="Normal 8 2 4 6" xfId="55824"/>
    <cellStyle name="Normal 8 2 5" xfId="55825"/>
    <cellStyle name="Normal 8 2 5 2" xfId="55826"/>
    <cellStyle name="Normal 8 2 5 2 2" xfId="55827"/>
    <cellStyle name="Normal 8 2 5 2 3" xfId="55828"/>
    <cellStyle name="Normal 8 2 5 3" xfId="55829"/>
    <cellStyle name="Normal 8 2 5 4" xfId="55830"/>
    <cellStyle name="Normal 8 2 6" xfId="55831"/>
    <cellStyle name="Normal 8 2 6 2" xfId="55832"/>
    <cellStyle name="Normal 8 2 6 2 2" xfId="55833"/>
    <cellStyle name="Normal 8 2 6 2 3" xfId="55834"/>
    <cellStyle name="Normal 8 2 6 3" xfId="55835"/>
    <cellStyle name="Normal 8 2 6 4" xfId="55836"/>
    <cellStyle name="Normal 8 2 7" xfId="55837"/>
    <cellStyle name="Normal 8 2 7 2" xfId="55838"/>
    <cellStyle name="Normal 8 2 7 3" xfId="55839"/>
    <cellStyle name="Normal 8 2 8" xfId="55840"/>
    <cellStyle name="Normal 8 2 8 2" xfId="55841"/>
    <cellStyle name="Normal 8 2 8 3" xfId="55842"/>
    <cellStyle name="Normal 8 2 9" xfId="55843"/>
    <cellStyle name="Normal 8 3" xfId="55844"/>
    <cellStyle name="Normal 8 3 2" xfId="55845"/>
    <cellStyle name="Normal 8 3 2 2" xfId="55846"/>
    <cellStyle name="Normal 8 3 2 2 2" xfId="55847"/>
    <cellStyle name="Normal 8 3 2 2 2 2" xfId="55848"/>
    <cellStyle name="Normal 8 3 2 2 2 3" xfId="55849"/>
    <cellStyle name="Normal 8 3 2 2 3" xfId="55850"/>
    <cellStyle name="Normal 8 3 2 2 4" xfId="55851"/>
    <cellStyle name="Normal 8 3 2 3" xfId="55852"/>
    <cellStyle name="Normal 8 3 2 3 2" xfId="55853"/>
    <cellStyle name="Normal 8 3 2 3 3" xfId="55854"/>
    <cellStyle name="Normal 8 3 2 4" xfId="55855"/>
    <cellStyle name="Normal 8 3 2 4 2" xfId="55856"/>
    <cellStyle name="Normal 8 3 2 4 3" xfId="55857"/>
    <cellStyle name="Normal 8 3 2 5" xfId="55858"/>
    <cellStyle name="Normal 8 3 2 6" xfId="55859"/>
    <cellStyle name="Normal 8 3 3" xfId="55860"/>
    <cellStyle name="Normal 8 3 3 2" xfId="55861"/>
    <cellStyle name="Normal 8 3 3 2 2" xfId="55862"/>
    <cellStyle name="Normal 8 3 3 2 2 2" xfId="55863"/>
    <cellStyle name="Normal 8 3 3 2 2 3" xfId="55864"/>
    <cellStyle name="Normal 8 3 3 2 3" xfId="55865"/>
    <cellStyle name="Normal 8 3 3 2 4" xfId="55866"/>
    <cellStyle name="Normal 8 3 3 3" xfId="55867"/>
    <cellStyle name="Normal 8 3 3 3 2" xfId="55868"/>
    <cellStyle name="Normal 8 3 3 3 3" xfId="55869"/>
    <cellStyle name="Normal 8 3 3 4" xfId="55870"/>
    <cellStyle name="Normal 8 3 3 4 2" xfId="55871"/>
    <cellStyle name="Normal 8 3 3 4 3" xfId="55872"/>
    <cellStyle name="Normal 8 3 3 5" xfId="55873"/>
    <cellStyle name="Normal 8 3 3 6" xfId="55874"/>
    <cellStyle name="Normal 8 3 4" xfId="55875"/>
    <cellStyle name="Normal 8 3 4 2" xfId="55876"/>
    <cellStyle name="Normal 8 3 4 2 2" xfId="55877"/>
    <cellStyle name="Normal 8 3 4 2 3" xfId="55878"/>
    <cellStyle name="Normal 8 3 4 3" xfId="55879"/>
    <cellStyle name="Normal 8 3 4 4" xfId="55880"/>
    <cellStyle name="Normal 8 3 5" xfId="55881"/>
    <cellStyle name="Normal 8 3 5 2" xfId="55882"/>
    <cellStyle name="Normal 8 3 5 3" xfId="55883"/>
    <cellStyle name="Normal 8 3 6" xfId="55884"/>
    <cellStyle name="Normal 8 3 6 2" xfId="55885"/>
    <cellStyle name="Normal 8 3 6 3" xfId="55886"/>
    <cellStyle name="Normal 8 3 7" xfId="55887"/>
    <cellStyle name="Normal 8 3 8" xfId="55888"/>
    <cellStyle name="Normal 8 4" xfId="55889"/>
    <cellStyle name="Normal 8 4 2" xfId="55890"/>
    <cellStyle name="Normal 8 4 2 2" xfId="55891"/>
    <cellStyle name="Normal 8 4 2 2 2" xfId="55892"/>
    <cellStyle name="Normal 8 4 2 2 3" xfId="55893"/>
    <cellStyle name="Normal 8 4 2 3" xfId="55894"/>
    <cellStyle name="Normal 8 4 2 4" xfId="55895"/>
    <cellStyle name="Normal 8 4 3" xfId="55896"/>
    <cellStyle name="Normal 8 4 3 2" xfId="55897"/>
    <cellStyle name="Normal 8 4 3 3" xfId="55898"/>
    <cellStyle name="Normal 8 4 4" xfId="55899"/>
    <cellStyle name="Normal 8 4 4 2" xfId="55900"/>
    <cellStyle name="Normal 8 4 4 3" xfId="55901"/>
    <cellStyle name="Normal 8 4 5" xfId="55902"/>
    <cellStyle name="Normal 8 4 6" xfId="55903"/>
    <cellStyle name="Normal 8 5" xfId="55904"/>
    <cellStyle name="Normal 8 5 2" xfId="55905"/>
    <cellStyle name="Normal 8 5 2 2" xfId="55906"/>
    <cellStyle name="Normal 8 5 2 2 2" xfId="55907"/>
    <cellStyle name="Normal 8 5 2 2 3" xfId="55908"/>
    <cellStyle name="Normal 8 5 2 3" xfId="55909"/>
    <cellStyle name="Normal 8 5 2 4" xfId="55910"/>
    <cellStyle name="Normal 8 5 3" xfId="55911"/>
    <cellStyle name="Normal 8 5 3 2" xfId="55912"/>
    <cellStyle name="Normal 8 5 3 3" xfId="55913"/>
    <cellStyle name="Normal 8 5 4" xfId="55914"/>
    <cellStyle name="Normal 8 5 4 2" xfId="55915"/>
    <cellStyle name="Normal 8 5 4 3" xfId="55916"/>
    <cellStyle name="Normal 8 5 5" xfId="55917"/>
    <cellStyle name="Normal 8 5 6" xfId="55918"/>
    <cellStyle name="Normal 8 6" xfId="55919"/>
    <cellStyle name="Normal 8 6 2" xfId="55920"/>
    <cellStyle name="Normal 8 6 2 2" xfId="55921"/>
    <cellStyle name="Normal 8 6 2 3" xfId="55922"/>
    <cellStyle name="Normal 8 6 3" xfId="55923"/>
    <cellStyle name="Normal 8 6 4" xfId="55924"/>
    <cellStyle name="Normal 8 6 5" xfId="55925"/>
    <cellStyle name="Normal 8 6 6" xfId="55926"/>
    <cellStyle name="Normal 8 7" xfId="55927"/>
    <cellStyle name="Normal 8 7 2" xfId="55928"/>
    <cellStyle name="Normal 8 7 2 2" xfId="55929"/>
    <cellStyle name="Normal 8 7 2 3" xfId="55930"/>
    <cellStyle name="Normal 8 7 3" xfId="55931"/>
    <cellStyle name="Normal 8 7 4" xfId="55932"/>
    <cellStyle name="Normal 8 7 5" xfId="55933"/>
    <cellStyle name="Normal 8 8" xfId="55934"/>
    <cellStyle name="Normal 8 8 2" xfId="55935"/>
    <cellStyle name="Normal 8 8 3" xfId="55936"/>
    <cellStyle name="Normal 8 9" xfId="55937"/>
    <cellStyle name="Normal 8 9 2" xfId="55938"/>
    <cellStyle name="Normal 8 9 3" xfId="55939"/>
    <cellStyle name="Normal 8_T1_TP_MASTER_032112_Rev A" xfId="55940"/>
    <cellStyle name="Normal 80" xfId="55941"/>
    <cellStyle name="Normal 80 2" xfId="55942"/>
    <cellStyle name="Normal 80 2 2" xfId="55943"/>
    <cellStyle name="Normal 80 2 3" xfId="55944"/>
    <cellStyle name="Normal 80 3" xfId="55945"/>
    <cellStyle name="Normal 80 3 2" xfId="55946"/>
    <cellStyle name="Normal 80 3 3" xfId="55947"/>
    <cellStyle name="Normal 80 4" xfId="55948"/>
    <cellStyle name="Normal 80 5" xfId="55949"/>
    <cellStyle name="Normal 81" xfId="55950"/>
    <cellStyle name="Normal 81 2" xfId="55951"/>
    <cellStyle name="Normal 81 2 2" xfId="55952"/>
    <cellStyle name="Normal 81 2 3" xfId="55953"/>
    <cellStyle name="Normal 81 3" xfId="55954"/>
    <cellStyle name="Normal 81 3 2" xfId="55955"/>
    <cellStyle name="Normal 81 3 3" xfId="55956"/>
    <cellStyle name="Normal 81 4" xfId="55957"/>
    <cellStyle name="Normal 81 5" xfId="55958"/>
    <cellStyle name="Normal 82" xfId="55959"/>
    <cellStyle name="Normal 82 2" xfId="55960"/>
    <cellStyle name="Normal 82 2 2" xfId="55961"/>
    <cellStyle name="Normal 82 2 3" xfId="55962"/>
    <cellStyle name="Normal 82 3" xfId="55963"/>
    <cellStyle name="Normal 82 3 2" xfId="55964"/>
    <cellStyle name="Normal 82 3 3" xfId="55965"/>
    <cellStyle name="Normal 82 4" xfId="55966"/>
    <cellStyle name="Normal 82 5" xfId="55967"/>
    <cellStyle name="Normal 83" xfId="55968"/>
    <cellStyle name="Normal 83 2" xfId="55969"/>
    <cellStyle name="Normal 83 2 2" xfId="55970"/>
    <cellStyle name="Normal 83 2 3" xfId="55971"/>
    <cellStyle name="Normal 83 3" xfId="55972"/>
    <cellStyle name="Normal 83 3 2" xfId="55973"/>
    <cellStyle name="Normal 83 3 3" xfId="55974"/>
    <cellStyle name="Normal 83 4" xfId="55975"/>
    <cellStyle name="Normal 83 5" xfId="55976"/>
    <cellStyle name="Normal 84" xfId="55977"/>
    <cellStyle name="Normal 84 2" xfId="55978"/>
    <cellStyle name="Normal 84 2 2" xfId="55979"/>
    <cellStyle name="Normal 84 2 3" xfId="55980"/>
    <cellStyle name="Normal 84 3" xfId="55981"/>
    <cellStyle name="Normal 84 3 2" xfId="55982"/>
    <cellStyle name="Normal 84 3 3" xfId="55983"/>
    <cellStyle name="Normal 84 4" xfId="55984"/>
    <cellStyle name="Normal 84 5" xfId="55985"/>
    <cellStyle name="Normal 85" xfId="55986"/>
    <cellStyle name="Normal 85 2" xfId="55987"/>
    <cellStyle name="Normal 85 2 2" xfId="55988"/>
    <cellStyle name="Normal 85 2 3" xfId="55989"/>
    <cellStyle name="Normal 85 3" xfId="55990"/>
    <cellStyle name="Normal 85 3 2" xfId="55991"/>
    <cellStyle name="Normal 85 3 3" xfId="55992"/>
    <cellStyle name="Normal 85 4" xfId="55993"/>
    <cellStyle name="Normal 85 5" xfId="55994"/>
    <cellStyle name="Normal 86" xfId="55995"/>
    <cellStyle name="Normal 86 2" xfId="55996"/>
    <cellStyle name="Normal 86 2 2" xfId="55997"/>
    <cellStyle name="Normal 86 2 3" xfId="55998"/>
    <cellStyle name="Normal 86 3" xfId="55999"/>
    <cellStyle name="Normal 86 3 2" xfId="56000"/>
    <cellStyle name="Normal 86 3 3" xfId="56001"/>
    <cellStyle name="Normal 86 4" xfId="56002"/>
    <cellStyle name="Normal 86 5" xfId="56003"/>
    <cellStyle name="Normal 87" xfId="56004"/>
    <cellStyle name="Normal 87 2" xfId="56005"/>
    <cellStyle name="Normal 87 2 2" xfId="56006"/>
    <cellStyle name="Normal 87 2 3" xfId="56007"/>
    <cellStyle name="Normal 87 3" xfId="56008"/>
    <cellStyle name="Normal 87 3 2" xfId="56009"/>
    <cellStyle name="Normal 87 3 3" xfId="56010"/>
    <cellStyle name="Normal 87 4" xfId="56011"/>
    <cellStyle name="Normal 87 5" xfId="56012"/>
    <cellStyle name="Normal 88" xfId="56013"/>
    <cellStyle name="Normal 88 2" xfId="56014"/>
    <cellStyle name="Normal 88 2 2" xfId="56015"/>
    <cellStyle name="Normal 88 2 3" xfId="56016"/>
    <cellStyle name="Normal 88 3" xfId="56017"/>
    <cellStyle name="Normal 88 3 2" xfId="56018"/>
    <cellStyle name="Normal 88 3 3" xfId="56019"/>
    <cellStyle name="Normal 88 4" xfId="56020"/>
    <cellStyle name="Normal 88 5" xfId="56021"/>
    <cellStyle name="Normal 89" xfId="56022"/>
    <cellStyle name="Normal 89 2" xfId="56023"/>
    <cellStyle name="Normal 89 2 2" xfId="56024"/>
    <cellStyle name="Normal 89 2 3" xfId="56025"/>
    <cellStyle name="Normal 89 3" xfId="56026"/>
    <cellStyle name="Normal 89 3 2" xfId="56027"/>
    <cellStyle name="Normal 89 3 3" xfId="56028"/>
    <cellStyle name="Normal 89 4" xfId="56029"/>
    <cellStyle name="Normal 89 5" xfId="56030"/>
    <cellStyle name="Normal 9" xfId="56031"/>
    <cellStyle name="Normal 9 10" xfId="56032"/>
    <cellStyle name="Normal 9 10 2" xfId="56033"/>
    <cellStyle name="Normal 9 10 3" xfId="56034"/>
    <cellStyle name="Normal 9 11" xfId="56035"/>
    <cellStyle name="Normal 9 11 2" xfId="56036"/>
    <cellStyle name="Normal 9 11 3" xfId="56037"/>
    <cellStyle name="Normal 9 12" xfId="56038"/>
    <cellStyle name="Normal 9 12 2" xfId="56039"/>
    <cellStyle name="Normal 9 12 3" xfId="56040"/>
    <cellStyle name="Normal 9 13" xfId="56041"/>
    <cellStyle name="Normal 9 13 2" xfId="56042"/>
    <cellStyle name="Normal 9 13 3" xfId="56043"/>
    <cellStyle name="Normal 9 2" xfId="56044"/>
    <cellStyle name="Normal 9 2 10" xfId="56045"/>
    <cellStyle name="Normal 9 2 2" xfId="56046"/>
    <cellStyle name="Normal 9 2 2 2" xfId="56047"/>
    <cellStyle name="Normal 9 2 2 2 2" xfId="56048"/>
    <cellStyle name="Normal 9 2 2 2 2 2" xfId="56049"/>
    <cellStyle name="Normal 9 2 2 2 2 2 2" xfId="56050"/>
    <cellStyle name="Normal 9 2 2 2 2 2 3" xfId="56051"/>
    <cellStyle name="Normal 9 2 2 2 2 3" xfId="56052"/>
    <cellStyle name="Normal 9 2 2 2 2 4" xfId="56053"/>
    <cellStyle name="Normal 9 2 2 2 3" xfId="56054"/>
    <cellStyle name="Normal 9 2 2 2 3 2" xfId="56055"/>
    <cellStyle name="Normal 9 2 2 2 3 3" xfId="56056"/>
    <cellStyle name="Normal 9 2 2 2 4" xfId="56057"/>
    <cellStyle name="Normal 9 2 2 2 4 2" xfId="56058"/>
    <cellStyle name="Normal 9 2 2 2 4 3" xfId="56059"/>
    <cellStyle name="Normal 9 2 2 2 5" xfId="56060"/>
    <cellStyle name="Normal 9 2 2 2 6" xfId="56061"/>
    <cellStyle name="Normal 9 2 2 3" xfId="56062"/>
    <cellStyle name="Normal 9 2 2 3 2" xfId="56063"/>
    <cellStyle name="Normal 9 2 2 3 2 2" xfId="56064"/>
    <cellStyle name="Normal 9 2 2 3 2 2 2" xfId="56065"/>
    <cellStyle name="Normal 9 2 2 3 2 2 3" xfId="56066"/>
    <cellStyle name="Normal 9 2 2 3 2 3" xfId="56067"/>
    <cellStyle name="Normal 9 2 2 3 2 4" xfId="56068"/>
    <cellStyle name="Normal 9 2 2 3 3" xfId="56069"/>
    <cellStyle name="Normal 9 2 2 3 3 2" xfId="56070"/>
    <cellStyle name="Normal 9 2 2 3 3 3" xfId="56071"/>
    <cellStyle name="Normal 9 2 2 3 4" xfId="56072"/>
    <cellStyle name="Normal 9 2 2 3 4 2" xfId="56073"/>
    <cellStyle name="Normal 9 2 2 3 4 3" xfId="56074"/>
    <cellStyle name="Normal 9 2 2 3 5" xfId="56075"/>
    <cellStyle name="Normal 9 2 2 3 6" xfId="56076"/>
    <cellStyle name="Normal 9 2 2 4" xfId="56077"/>
    <cellStyle name="Normal 9 2 2 4 2" xfId="56078"/>
    <cellStyle name="Normal 9 2 2 4 2 2" xfId="56079"/>
    <cellStyle name="Normal 9 2 2 4 2 3" xfId="56080"/>
    <cellStyle name="Normal 9 2 2 4 3" xfId="56081"/>
    <cellStyle name="Normal 9 2 2 4 4" xfId="56082"/>
    <cellStyle name="Normal 9 2 2 5" xfId="56083"/>
    <cellStyle name="Normal 9 2 2 5 2" xfId="56084"/>
    <cellStyle name="Normal 9 2 2 5 3" xfId="56085"/>
    <cellStyle name="Normal 9 2 2 6" xfId="56086"/>
    <cellStyle name="Normal 9 2 2 6 2" xfId="56087"/>
    <cellStyle name="Normal 9 2 2 6 3" xfId="56088"/>
    <cellStyle name="Normal 9 2 2 7" xfId="56089"/>
    <cellStyle name="Normal 9 2 2 8" xfId="56090"/>
    <cellStyle name="Normal 9 2 3" xfId="56091"/>
    <cellStyle name="Normal 9 2 3 2" xfId="56092"/>
    <cellStyle name="Normal 9 2 3 2 2" xfId="56093"/>
    <cellStyle name="Normal 9 2 3 2 2 2" xfId="56094"/>
    <cellStyle name="Normal 9 2 3 2 2 3" xfId="56095"/>
    <cellStyle name="Normal 9 2 3 2 3" xfId="56096"/>
    <cellStyle name="Normal 9 2 3 2 4" xfId="56097"/>
    <cellStyle name="Normal 9 2 3 3" xfId="56098"/>
    <cellStyle name="Normal 9 2 3 3 2" xfId="56099"/>
    <cellStyle name="Normal 9 2 3 3 3" xfId="56100"/>
    <cellStyle name="Normal 9 2 3 4" xfId="56101"/>
    <cellStyle name="Normal 9 2 3 4 2" xfId="56102"/>
    <cellStyle name="Normal 9 2 3 4 3" xfId="56103"/>
    <cellStyle name="Normal 9 2 3 5" xfId="56104"/>
    <cellStyle name="Normal 9 2 3 6" xfId="56105"/>
    <cellStyle name="Normal 9 2 4" xfId="56106"/>
    <cellStyle name="Normal 9 2 4 2" xfId="56107"/>
    <cellStyle name="Normal 9 2 4 2 2" xfId="56108"/>
    <cellStyle name="Normal 9 2 4 2 2 2" xfId="56109"/>
    <cellStyle name="Normal 9 2 4 2 2 3" xfId="56110"/>
    <cellStyle name="Normal 9 2 4 2 3" xfId="56111"/>
    <cellStyle name="Normal 9 2 4 2 4" xfId="56112"/>
    <cellStyle name="Normal 9 2 4 3" xfId="56113"/>
    <cellStyle name="Normal 9 2 4 3 2" xfId="56114"/>
    <cellStyle name="Normal 9 2 4 3 3" xfId="56115"/>
    <cellStyle name="Normal 9 2 4 4" xfId="56116"/>
    <cellStyle name="Normal 9 2 4 4 2" xfId="56117"/>
    <cellStyle name="Normal 9 2 4 4 3" xfId="56118"/>
    <cellStyle name="Normal 9 2 4 5" xfId="56119"/>
    <cellStyle name="Normal 9 2 4 6" xfId="56120"/>
    <cellStyle name="Normal 9 2 5" xfId="56121"/>
    <cellStyle name="Normal 9 2 5 2" xfId="56122"/>
    <cellStyle name="Normal 9 2 5 2 2" xfId="56123"/>
    <cellStyle name="Normal 9 2 5 2 3" xfId="56124"/>
    <cellStyle name="Normal 9 2 5 3" xfId="56125"/>
    <cellStyle name="Normal 9 2 5 4" xfId="56126"/>
    <cellStyle name="Normal 9 2 6" xfId="56127"/>
    <cellStyle name="Normal 9 2 6 2" xfId="56128"/>
    <cellStyle name="Normal 9 2 6 2 2" xfId="56129"/>
    <cellStyle name="Normal 9 2 6 2 3" xfId="56130"/>
    <cellStyle name="Normal 9 2 6 3" xfId="56131"/>
    <cellStyle name="Normal 9 2 6 4" xfId="56132"/>
    <cellStyle name="Normal 9 2 7" xfId="56133"/>
    <cellStyle name="Normal 9 2 7 2" xfId="56134"/>
    <cellStyle name="Normal 9 2 7 3" xfId="56135"/>
    <cellStyle name="Normal 9 2 8" xfId="56136"/>
    <cellStyle name="Normal 9 2 8 2" xfId="56137"/>
    <cellStyle name="Normal 9 2 8 3" xfId="56138"/>
    <cellStyle name="Normal 9 2 9" xfId="56139"/>
    <cellStyle name="Normal 9 3" xfId="56140"/>
    <cellStyle name="Normal 9 3 2" xfId="56141"/>
    <cellStyle name="Normal 9 3 2 2" xfId="56142"/>
    <cellStyle name="Normal 9 3 2 2 2" xfId="56143"/>
    <cellStyle name="Normal 9 3 2 2 2 2" xfId="56144"/>
    <cellStyle name="Normal 9 3 2 2 2 2 2" xfId="56145"/>
    <cellStyle name="Normal 9 3 2 2 2 2 2 2" xfId="56146"/>
    <cellStyle name="Normal 9 3 2 2 2 2 3" xfId="56147"/>
    <cellStyle name="Normal 9 3 2 2 2 3" xfId="56148"/>
    <cellStyle name="Normal 9 3 2 2 2 3 2" xfId="56149"/>
    <cellStyle name="Normal 9 3 2 2 2 3 2 2" xfId="56150"/>
    <cellStyle name="Normal 9 3 2 2 2 3 3" xfId="56151"/>
    <cellStyle name="Normal 9 3 2 2 2 4" xfId="56152"/>
    <cellStyle name="Normal 9 3 2 2 2 4 2" xfId="56153"/>
    <cellStyle name="Normal 9 3 2 2 2 5" xfId="56154"/>
    <cellStyle name="Normal 9 3 2 2 3" xfId="56155"/>
    <cellStyle name="Normal 9 3 2 2 3 2" xfId="56156"/>
    <cellStyle name="Normal 9 3 2 2 3 2 2" xfId="56157"/>
    <cellStyle name="Normal 9 3 2 2 3 3" xfId="56158"/>
    <cellStyle name="Normal 9 3 2 2 4" xfId="56159"/>
    <cellStyle name="Normal 9 3 2 2 4 2" xfId="56160"/>
    <cellStyle name="Normal 9 3 2 2 4 2 2" xfId="56161"/>
    <cellStyle name="Normal 9 3 2 2 4 3" xfId="56162"/>
    <cellStyle name="Normal 9 3 2 2 5" xfId="56163"/>
    <cellStyle name="Normal 9 3 2 2 5 2" xfId="56164"/>
    <cellStyle name="Normal 9 3 2 2 6" xfId="56165"/>
    <cellStyle name="Normal 9 3 2 3" xfId="56166"/>
    <cellStyle name="Normal 9 3 2 3 2" xfId="56167"/>
    <cellStyle name="Normal 9 3 2 3 2 2" xfId="56168"/>
    <cellStyle name="Normal 9 3 2 3 3" xfId="56169"/>
    <cellStyle name="Normal 9 3 2 4" xfId="56170"/>
    <cellStyle name="Normal 9 3 2 4 2" xfId="56171"/>
    <cellStyle name="Normal 9 3 2 4 2 2" xfId="56172"/>
    <cellStyle name="Normal 9 3 2 4 3" xfId="56173"/>
    <cellStyle name="Normal 9 3 2 5" xfId="56174"/>
    <cellStyle name="Normal 9 3 2 5 2" xfId="56175"/>
    <cellStyle name="Normal 9 3 2 6" xfId="56176"/>
    <cellStyle name="Normal 9 3 2 7" xfId="56177"/>
    <cellStyle name="Normal 9 3 3" xfId="56178"/>
    <cellStyle name="Normal 9 3 3 2" xfId="56179"/>
    <cellStyle name="Normal 9 3 3 2 2" xfId="56180"/>
    <cellStyle name="Normal 9 3 3 2 2 2" xfId="56181"/>
    <cellStyle name="Normal 9 3 3 2 2 3" xfId="56182"/>
    <cellStyle name="Normal 9 3 3 2 3" xfId="56183"/>
    <cellStyle name="Normal 9 3 3 2 4" xfId="56184"/>
    <cellStyle name="Normal 9 3 3 3" xfId="56185"/>
    <cellStyle name="Normal 9 3 3 3 2" xfId="56186"/>
    <cellStyle name="Normal 9 3 3 3 2 2" xfId="56187"/>
    <cellStyle name="Normal 9 3 3 3 3" xfId="56188"/>
    <cellStyle name="Normal 9 3 3 4" xfId="56189"/>
    <cellStyle name="Normal 9 3 3 4 2" xfId="56190"/>
    <cellStyle name="Normal 9 3 3 4 3" xfId="56191"/>
    <cellStyle name="Normal 9 3 3 5" xfId="56192"/>
    <cellStyle name="Normal 9 3 3 6" xfId="56193"/>
    <cellStyle name="Normal 9 3 4" xfId="56194"/>
    <cellStyle name="Normal 9 3 4 2" xfId="56195"/>
    <cellStyle name="Normal 9 3 4 2 2" xfId="56196"/>
    <cellStyle name="Normal 9 3 4 2 3" xfId="56197"/>
    <cellStyle name="Normal 9 3 4 3" xfId="56198"/>
    <cellStyle name="Normal 9 3 4 4" xfId="56199"/>
    <cellStyle name="Normal 9 3 5" xfId="56200"/>
    <cellStyle name="Normal 9 3 5 2" xfId="56201"/>
    <cellStyle name="Normal 9 3 5 2 2" xfId="56202"/>
    <cellStyle name="Normal 9 3 5 3" xfId="56203"/>
    <cellStyle name="Normal 9 3 6" xfId="56204"/>
    <cellStyle name="Normal 9 3 6 2" xfId="56205"/>
    <cellStyle name="Normal 9 3 6 3" xfId="56206"/>
    <cellStyle name="Normal 9 3 7" xfId="56207"/>
    <cellStyle name="Normal 9 3 8" xfId="56208"/>
    <cellStyle name="Normal 9 4" xfId="56209"/>
    <cellStyle name="Normal 9 4 2" xfId="56210"/>
    <cellStyle name="Normal 9 4 2 2" xfId="56211"/>
    <cellStyle name="Normal 9 4 2 2 2" xfId="56212"/>
    <cellStyle name="Normal 9 4 2 3" xfId="56213"/>
    <cellStyle name="Normal 9 4 2 4" xfId="56214"/>
    <cellStyle name="Normal 9 4 3" xfId="56215"/>
    <cellStyle name="Normal 9 4 3 2" xfId="56216"/>
    <cellStyle name="Normal 9 4 3 2 2" xfId="56217"/>
    <cellStyle name="Normal 9 4 3 3" xfId="56218"/>
    <cellStyle name="Normal 9 4 4" xfId="56219"/>
    <cellStyle name="Normal 9 4 4 2" xfId="56220"/>
    <cellStyle name="Normal 9 4 5" xfId="56221"/>
    <cellStyle name="Normal 9 4 6" xfId="56222"/>
    <cellStyle name="Normal 9 5" xfId="56223"/>
    <cellStyle name="Normal 9 5 2" xfId="56224"/>
    <cellStyle name="Normal 9 5 2 2" xfId="56225"/>
    <cellStyle name="Normal 9 5 3" xfId="56226"/>
    <cellStyle name="Normal 9 5 4" xfId="56227"/>
    <cellStyle name="Normal 9 6" xfId="56228"/>
    <cellStyle name="Normal 9 6 2" xfId="56229"/>
    <cellStyle name="Normal 9 6 2 2" xfId="56230"/>
    <cellStyle name="Normal 9 6 2 2 2" xfId="56231"/>
    <cellStyle name="Normal 9 6 2 2 3" xfId="56232"/>
    <cellStyle name="Normal 9 6 2 3" xfId="56233"/>
    <cellStyle name="Normal 9 6 2 4" xfId="56234"/>
    <cellStyle name="Normal 9 6 3" xfId="56235"/>
    <cellStyle name="Normal 9 6 3 2" xfId="56236"/>
    <cellStyle name="Normal 9 6 3 3" xfId="56237"/>
    <cellStyle name="Normal 9 6 4" xfId="56238"/>
    <cellStyle name="Normal 9 6 4 2" xfId="56239"/>
    <cellStyle name="Normal 9 6 4 3" xfId="56240"/>
    <cellStyle name="Normal 9 6 5" xfId="56241"/>
    <cellStyle name="Normal 9 6 6" xfId="56242"/>
    <cellStyle name="Normal 9 7" xfId="56243"/>
    <cellStyle name="Normal 9 7 2" xfId="56244"/>
    <cellStyle name="Normal 9 7 2 2" xfId="56245"/>
    <cellStyle name="Normal 9 7 2 2 2" xfId="56246"/>
    <cellStyle name="Normal 9 7 2 2 3" xfId="56247"/>
    <cellStyle name="Normal 9 7 2 3" xfId="56248"/>
    <cellStyle name="Normal 9 7 2 4" xfId="56249"/>
    <cellStyle name="Normal 9 7 3" xfId="56250"/>
    <cellStyle name="Normal 9 7 3 2" xfId="56251"/>
    <cellStyle name="Normal 9 7 3 3" xfId="56252"/>
    <cellStyle name="Normal 9 7 4" xfId="56253"/>
    <cellStyle name="Normal 9 7 4 2" xfId="56254"/>
    <cellStyle name="Normal 9 7 4 3" xfId="56255"/>
    <cellStyle name="Normal 9 7 5" xfId="56256"/>
    <cellStyle name="Normal 9 7 6" xfId="56257"/>
    <cellStyle name="Normal 9 8" xfId="56258"/>
    <cellStyle name="Normal 9 8 2" xfId="56259"/>
    <cellStyle name="Normal 9 8 2 2" xfId="56260"/>
    <cellStyle name="Normal 9 8 2 3" xfId="56261"/>
    <cellStyle name="Normal 9 8 3" xfId="56262"/>
    <cellStyle name="Normal 9 8 4" xfId="56263"/>
    <cellStyle name="Normal 9 8 5" xfId="56264"/>
    <cellStyle name="Normal 9 8 6" xfId="56265"/>
    <cellStyle name="Normal 9 9" xfId="56266"/>
    <cellStyle name="Normal 9 9 2" xfId="56267"/>
    <cellStyle name="Normal 9 9 2 2" xfId="56268"/>
    <cellStyle name="Normal 9 9 2 3" xfId="56269"/>
    <cellStyle name="Normal 9 9 3" xfId="56270"/>
    <cellStyle name="Normal 9 9 4" xfId="56271"/>
    <cellStyle name="Normal 9_T1_TP_MASTER_032112_Rev A" xfId="56272"/>
    <cellStyle name="Normal 90" xfId="56273"/>
    <cellStyle name="Normal 90 2" xfId="56274"/>
    <cellStyle name="Normal 90 2 2" xfId="56275"/>
    <cellStyle name="Normal 90 2 3" xfId="56276"/>
    <cellStyle name="Normal 90 3" xfId="56277"/>
    <cellStyle name="Normal 90 3 2" xfId="56278"/>
    <cellStyle name="Normal 90 3 3" xfId="56279"/>
    <cellStyle name="Normal 90 4" xfId="56280"/>
    <cellStyle name="Normal 90 5" xfId="56281"/>
    <cellStyle name="Normal 91" xfId="56282"/>
    <cellStyle name="Normal 91 2" xfId="56283"/>
    <cellStyle name="Normal 91 2 2" xfId="56284"/>
    <cellStyle name="Normal 91 2 3" xfId="56285"/>
    <cellStyle name="Normal 91 3" xfId="56286"/>
    <cellStyle name="Normal 91 3 2" xfId="56287"/>
    <cellStyle name="Normal 91 3 3" xfId="56288"/>
    <cellStyle name="Normal 91 4" xfId="56289"/>
    <cellStyle name="Normal 91 5" xfId="56290"/>
    <cellStyle name="Normal 92" xfId="56291"/>
    <cellStyle name="Normal 92 2" xfId="56292"/>
    <cellStyle name="Normal 92 2 2" xfId="56293"/>
    <cellStyle name="Normal 92 2 3" xfId="56294"/>
    <cellStyle name="Normal 92 3" xfId="56295"/>
    <cellStyle name="Normal 92 3 2" xfId="56296"/>
    <cellStyle name="Normal 92 3 3" xfId="56297"/>
    <cellStyle name="Normal 92 4" xfId="56298"/>
    <cellStyle name="Normal 92 5" xfId="56299"/>
    <cellStyle name="Normal 93" xfId="56300"/>
    <cellStyle name="Normal 93 2" xfId="56301"/>
    <cellStyle name="Normal 93 2 2" xfId="56302"/>
    <cellStyle name="Normal 93 2 3" xfId="56303"/>
    <cellStyle name="Normal 93 3" xfId="56304"/>
    <cellStyle name="Normal 93 3 2" xfId="56305"/>
    <cellStyle name="Normal 93 3 3" xfId="56306"/>
    <cellStyle name="Normal 93 4" xfId="56307"/>
    <cellStyle name="Normal 93 5" xfId="56308"/>
    <cellStyle name="Normal 94" xfId="56309"/>
    <cellStyle name="Normal 94 2" xfId="56310"/>
    <cellStyle name="Normal 94 2 2" xfId="56311"/>
    <cellStyle name="Normal 94 2 3" xfId="56312"/>
    <cellStyle name="Normal 94 3" xfId="56313"/>
    <cellStyle name="Normal 94 3 2" xfId="56314"/>
    <cellStyle name="Normal 94 3 3" xfId="56315"/>
    <cellStyle name="Normal 94 4" xfId="56316"/>
    <cellStyle name="Normal 94 5" xfId="56317"/>
    <cellStyle name="Normal 95" xfId="56318"/>
    <cellStyle name="Normal 95 2" xfId="56319"/>
    <cellStyle name="Normal 95 2 2" xfId="56320"/>
    <cellStyle name="Normal 95 2 3" xfId="56321"/>
    <cellStyle name="Normal 95 3" xfId="56322"/>
    <cellStyle name="Normal 95 3 2" xfId="56323"/>
    <cellStyle name="Normal 95 3 3" xfId="56324"/>
    <cellStyle name="Normal 95 4" xfId="56325"/>
    <cellStyle name="Normal 95 5" xfId="56326"/>
    <cellStyle name="Normal 96" xfId="56327"/>
    <cellStyle name="Normal 96 2" xfId="56328"/>
    <cellStyle name="Normal 96 2 2" xfId="56329"/>
    <cellStyle name="Normal 96 2 3" xfId="56330"/>
    <cellStyle name="Normal 96 3" xfId="56331"/>
    <cellStyle name="Normal 96 3 2" xfId="56332"/>
    <cellStyle name="Normal 96 3 3" xfId="56333"/>
    <cellStyle name="Normal 96 4" xfId="56334"/>
    <cellStyle name="Normal 96 5" xfId="56335"/>
    <cellStyle name="Normal 97" xfId="56336"/>
    <cellStyle name="Normal 97 2" xfId="56337"/>
    <cellStyle name="Normal 97 2 2" xfId="56338"/>
    <cellStyle name="Normal 97 2 3" xfId="56339"/>
    <cellStyle name="Normal 97 3" xfId="56340"/>
    <cellStyle name="Normal 97 3 2" xfId="56341"/>
    <cellStyle name="Normal 97 3 3" xfId="56342"/>
    <cellStyle name="Normal 97 4" xfId="56343"/>
    <cellStyle name="Normal 97 5" xfId="56344"/>
    <cellStyle name="Normal 98" xfId="56345"/>
    <cellStyle name="Normal 98 2" xfId="56346"/>
    <cellStyle name="Normal 98 2 2" xfId="56347"/>
    <cellStyle name="Normal 98 2 3" xfId="56348"/>
    <cellStyle name="Normal 98 3" xfId="56349"/>
    <cellStyle name="Normal 98 3 2" xfId="56350"/>
    <cellStyle name="Normal 98 3 3" xfId="56351"/>
    <cellStyle name="Normal 98 4" xfId="56352"/>
    <cellStyle name="Normal 98 5" xfId="56353"/>
    <cellStyle name="Normal 99" xfId="56354"/>
    <cellStyle name="Normal 99 2" xfId="56355"/>
    <cellStyle name="Normal 99 2 2" xfId="56356"/>
    <cellStyle name="Normal 99 2 3" xfId="56357"/>
    <cellStyle name="Normal 99 3" xfId="56358"/>
    <cellStyle name="Normal 99 3 2" xfId="56359"/>
    <cellStyle name="Normal 99 3 3" xfId="56360"/>
    <cellStyle name="Normal 99 4" xfId="56361"/>
    <cellStyle name="Normal 99 5" xfId="56362"/>
    <cellStyle name="Not Capable to Test" xfId="56363"/>
    <cellStyle name="Note 10" xfId="56364"/>
    <cellStyle name="Note 2" xfId="56365"/>
    <cellStyle name="Note 2 10" xfId="56366"/>
    <cellStyle name="Note 2 11" xfId="56367"/>
    <cellStyle name="Note 2 2" xfId="56368"/>
    <cellStyle name="Note 2 2 2" xfId="56369"/>
    <cellStyle name="Note 2 2 2 2" xfId="56370"/>
    <cellStyle name="Note 2 2 2 3" xfId="56371"/>
    <cellStyle name="Note 2 2 2 4" xfId="56372"/>
    <cellStyle name="Note 2 2 3" xfId="56373"/>
    <cellStyle name="Note 2 2 3 2" xfId="56374"/>
    <cellStyle name="Note 2 2 4" xfId="56375"/>
    <cellStyle name="Note 2 2 4 2" xfId="56376"/>
    <cellStyle name="Note 2 2 5" xfId="56377"/>
    <cellStyle name="Note 2 2 5 2" xfId="56378"/>
    <cellStyle name="Note 2 2 6" xfId="56379"/>
    <cellStyle name="Note 2 2 6 2" xfId="56380"/>
    <cellStyle name="Note 2 2 7" xfId="56381"/>
    <cellStyle name="Note 2 2 7 2" xfId="56382"/>
    <cellStyle name="Note 2 2 8" xfId="56383"/>
    <cellStyle name="Note 2 2 8 2" xfId="56384"/>
    <cellStyle name="Note 2 2 9" xfId="56385"/>
    <cellStyle name="Note 2 3" xfId="56386"/>
    <cellStyle name="Note 2 3 2" xfId="56387"/>
    <cellStyle name="Note 2 3 2 2" xfId="56388"/>
    <cellStyle name="Note 2 3 2 3" xfId="56389"/>
    <cellStyle name="Note 2 3 2 4" xfId="56390"/>
    <cellStyle name="Note 2 3 3" xfId="56391"/>
    <cellStyle name="Note 2 3 3 2" xfId="56392"/>
    <cellStyle name="Note 2 3 4" xfId="56393"/>
    <cellStyle name="Note 2 3 4 2" xfId="56394"/>
    <cellStyle name="Note 2 3 5" xfId="56395"/>
    <cellStyle name="Note 2 4" xfId="56396"/>
    <cellStyle name="Note 2 4 2" xfId="56397"/>
    <cellStyle name="Note 2 4 2 2" xfId="56398"/>
    <cellStyle name="Note 2 4 2 3" xfId="56399"/>
    <cellStyle name="Note 2 4 2 4" xfId="56400"/>
    <cellStyle name="Note 2 4 3" xfId="56401"/>
    <cellStyle name="Note 2 4 3 2" xfId="56402"/>
    <cellStyle name="Note 2 4 4" xfId="56403"/>
    <cellStyle name="Note 2 4 4 2" xfId="56404"/>
    <cellStyle name="Note 2 4 5" xfId="56405"/>
    <cellStyle name="Note 2 5" xfId="56406"/>
    <cellStyle name="Note 2 5 2" xfId="56407"/>
    <cellStyle name="Note 2 5 2 2" xfId="56408"/>
    <cellStyle name="Note 2 5 2 3" xfId="56409"/>
    <cellStyle name="Note 2 5 2 4" xfId="56410"/>
    <cellStyle name="Note 2 5 3" xfId="56411"/>
    <cellStyle name="Note 2 5 3 2" xfId="56412"/>
    <cellStyle name="Note 2 5 4" xfId="56413"/>
    <cellStyle name="Note 2 5 4 2" xfId="56414"/>
    <cellStyle name="Note 2 5 5" xfId="56415"/>
    <cellStyle name="Note 2 6" xfId="56416"/>
    <cellStyle name="Note 2 6 2" xfId="56417"/>
    <cellStyle name="Note 2 6 2 2" xfId="56418"/>
    <cellStyle name="Note 2 6 2 3" xfId="56419"/>
    <cellStyle name="Note 2 6 2 4" xfId="56420"/>
    <cellStyle name="Note 2 6 3" xfId="56421"/>
    <cellStyle name="Note 2 6 3 2" xfId="56422"/>
    <cellStyle name="Note 2 6 4" xfId="56423"/>
    <cellStyle name="Note 2 6 4 2" xfId="56424"/>
    <cellStyle name="Note 2 6 5" xfId="56425"/>
    <cellStyle name="Note 2 7" xfId="56426"/>
    <cellStyle name="Note 2 7 2" xfId="56427"/>
    <cellStyle name="Note 2 7 3" xfId="56428"/>
    <cellStyle name="Note 2 7 4" xfId="56429"/>
    <cellStyle name="Note 2 8" xfId="56430"/>
    <cellStyle name="Note 2 8 2" xfId="56431"/>
    <cellStyle name="Note 2 9" xfId="56432"/>
    <cellStyle name="Note 2 9 2" xfId="56433"/>
    <cellStyle name="Note 2 9 3" xfId="56434"/>
    <cellStyle name="Note 2 9 4" xfId="56435"/>
    <cellStyle name="Note 3" xfId="56436"/>
    <cellStyle name="Note 3 2" xfId="56437"/>
    <cellStyle name="Note 3 2 2" xfId="56438"/>
    <cellStyle name="Note 3 2 2 2" xfId="56439"/>
    <cellStyle name="Note 3 2 3" xfId="56440"/>
    <cellStyle name="Note 3 2 3 2" xfId="56441"/>
    <cellStyle name="Note 3 2 4" xfId="56442"/>
    <cellStyle name="Note 3 2 4 2" xfId="56443"/>
    <cellStyle name="Note 3 2 5" xfId="56444"/>
    <cellStyle name="Note 3 2 5 2" xfId="56445"/>
    <cellStyle name="Note 3 2 6" xfId="56446"/>
    <cellStyle name="Note 3 2 6 2" xfId="56447"/>
    <cellStyle name="Note 3 2 7" xfId="56448"/>
    <cellStyle name="Note 3 2 7 2" xfId="56449"/>
    <cellStyle name="Note 3 2 8" xfId="56450"/>
    <cellStyle name="Note 3 3" xfId="56451"/>
    <cellStyle name="Note 3 3 2" xfId="56452"/>
    <cellStyle name="Note 3 4" xfId="56453"/>
    <cellStyle name="Note 3 4 2" xfId="56454"/>
    <cellStyle name="Note 3 5" xfId="56455"/>
    <cellStyle name="Note 4" xfId="56456"/>
    <cellStyle name="Note 4 2" xfId="56457"/>
    <cellStyle name="Note 4 2 2" xfId="56458"/>
    <cellStyle name="Note 4 3" xfId="56459"/>
    <cellStyle name="Note 4 3 2" xfId="56460"/>
    <cellStyle name="Note 4 4" xfId="56461"/>
    <cellStyle name="Note 4 4 2" xfId="56462"/>
    <cellStyle name="Note 4 5" xfId="56463"/>
    <cellStyle name="Note 4 5 2" xfId="56464"/>
    <cellStyle name="Note 4 6" xfId="56465"/>
    <cellStyle name="Note 4 6 2" xfId="56466"/>
    <cellStyle name="Note 4 7" xfId="56467"/>
    <cellStyle name="Note 4 7 2" xfId="56468"/>
    <cellStyle name="Note 4 8" xfId="56469"/>
    <cellStyle name="Note 5" xfId="56470"/>
    <cellStyle name="Note 5 2" xfId="56471"/>
    <cellStyle name="Note 5 3" xfId="56472"/>
    <cellStyle name="Note 6" xfId="56473"/>
    <cellStyle name="Note 6 2" xfId="56474"/>
    <cellStyle name="Note 6 2 2" xfId="56475"/>
    <cellStyle name="Note 6 3" xfId="56476"/>
    <cellStyle name="Note 6 3 2" xfId="56477"/>
    <cellStyle name="Note 6 4" xfId="56478"/>
    <cellStyle name="Note 7" xfId="56479"/>
    <cellStyle name="Note 7 2" xfId="56480"/>
    <cellStyle name="Note 8" xfId="56481"/>
    <cellStyle name="Note 8 2" xfId="56482"/>
    <cellStyle name="Note 8 2 2" xfId="56483"/>
    <cellStyle name="Note 8 3" xfId="56484"/>
    <cellStyle name="Note 9" xfId="56485"/>
    <cellStyle name="Note 9 2" xfId="56486"/>
    <cellStyle name="oft Excel]_x000d__x000a_Comment=The open=/f lines load custom functions into the Paste Function list._x000d__x000a_Maximized=3_x000d__x000a_Basics=1_x000d__x000a_A" xfId="56487"/>
    <cellStyle name="oft Excel]_x000d__x000a_Comment=The open=/f lines load custom functions into the Paste Function list._x000d__x000a_Maximized=3_x000d__x000a_Basics=1_x000d__x000a_A 2" xfId="56488"/>
    <cellStyle name="Output 10" xfId="56489"/>
    <cellStyle name="Output 11" xfId="56490"/>
    <cellStyle name="Output 2" xfId="56491"/>
    <cellStyle name="Output 2 10" xfId="56492"/>
    <cellStyle name="Output 2 2" xfId="56493"/>
    <cellStyle name="Output 2 2 2" xfId="56494"/>
    <cellStyle name="Output 2 2 2 2" xfId="56495"/>
    <cellStyle name="Output 2 2 2 3" xfId="56496"/>
    <cellStyle name="Output 2 2 2 4" xfId="56497"/>
    <cellStyle name="Output 2 2 3" xfId="56498"/>
    <cellStyle name="Output 2 2 3 2" xfId="56499"/>
    <cellStyle name="Output 2 2 4" xfId="56500"/>
    <cellStyle name="Output 2 2 4 2" xfId="56501"/>
    <cellStyle name="Output 2 2 5" xfId="56502"/>
    <cellStyle name="Output 2 2 5 2" xfId="56503"/>
    <cellStyle name="Output 2 2 6" xfId="56504"/>
    <cellStyle name="Output 2 2 6 2" xfId="56505"/>
    <cellStyle name="Output 2 2 7" xfId="56506"/>
    <cellStyle name="Output 2 2 7 2" xfId="56507"/>
    <cellStyle name="Output 2 2 8" xfId="56508"/>
    <cellStyle name="Output 2 2 8 2" xfId="56509"/>
    <cellStyle name="Output 2 2 9" xfId="56510"/>
    <cellStyle name="Output 2 3" xfId="56511"/>
    <cellStyle name="Output 2 3 2" xfId="56512"/>
    <cellStyle name="Output 2 3 2 2" xfId="56513"/>
    <cellStyle name="Output 2 3 2 3" xfId="56514"/>
    <cellStyle name="Output 2 3 2 4" xfId="56515"/>
    <cellStyle name="Output 2 3 3" xfId="56516"/>
    <cellStyle name="Output 2 3 3 2" xfId="56517"/>
    <cellStyle name="Output 2 3 4" xfId="56518"/>
    <cellStyle name="Output 2 3 4 2" xfId="56519"/>
    <cellStyle name="Output 2 3 5" xfId="56520"/>
    <cellStyle name="Output 2 4" xfId="56521"/>
    <cellStyle name="Output 2 4 2" xfId="56522"/>
    <cellStyle name="Output 2 4 2 2" xfId="56523"/>
    <cellStyle name="Output 2 4 2 3" xfId="56524"/>
    <cellStyle name="Output 2 4 2 4" xfId="56525"/>
    <cellStyle name="Output 2 4 3" xfId="56526"/>
    <cellStyle name="Output 2 4 3 2" xfId="56527"/>
    <cellStyle name="Output 2 4 4" xfId="56528"/>
    <cellStyle name="Output 2 4 4 2" xfId="56529"/>
    <cellStyle name="Output 2 4 5" xfId="56530"/>
    <cellStyle name="Output 2 5" xfId="56531"/>
    <cellStyle name="Output 2 5 2" xfId="56532"/>
    <cellStyle name="Output 2 5 2 2" xfId="56533"/>
    <cellStyle name="Output 2 5 2 3" xfId="56534"/>
    <cellStyle name="Output 2 5 2 4" xfId="56535"/>
    <cellStyle name="Output 2 5 3" xfId="56536"/>
    <cellStyle name="Output 2 5 3 2" xfId="56537"/>
    <cellStyle name="Output 2 5 4" xfId="56538"/>
    <cellStyle name="Output 2 5 4 2" xfId="56539"/>
    <cellStyle name="Output 2 5 5" xfId="56540"/>
    <cellStyle name="Output 2 6" xfId="56541"/>
    <cellStyle name="Output 2 6 2" xfId="56542"/>
    <cellStyle name="Output 2 6 2 2" xfId="56543"/>
    <cellStyle name="Output 2 6 2 3" xfId="56544"/>
    <cellStyle name="Output 2 6 2 4" xfId="56545"/>
    <cellStyle name="Output 2 6 3" xfId="56546"/>
    <cellStyle name="Output 2 6 3 2" xfId="56547"/>
    <cellStyle name="Output 2 6 4" xfId="56548"/>
    <cellStyle name="Output 2 6 4 2" xfId="56549"/>
    <cellStyle name="Output 2 6 5" xfId="56550"/>
    <cellStyle name="Output 2 7" xfId="56551"/>
    <cellStyle name="Output 2 7 2" xfId="56552"/>
    <cellStyle name="Output 2 7 3" xfId="56553"/>
    <cellStyle name="Output 2 7 4" xfId="56554"/>
    <cellStyle name="Output 2 8" xfId="56555"/>
    <cellStyle name="Output 2 8 2" xfId="56556"/>
    <cellStyle name="Output 2 9" xfId="56557"/>
    <cellStyle name="Output 2 9 2" xfId="56558"/>
    <cellStyle name="Output 3" xfId="56559"/>
    <cellStyle name="Output 3 2" xfId="56560"/>
    <cellStyle name="Output 3 2 2" xfId="56561"/>
    <cellStyle name="Output 3 2 3" xfId="56562"/>
    <cellStyle name="Output 3 2 4" xfId="56563"/>
    <cellStyle name="Output 3 3" xfId="56564"/>
    <cellStyle name="Output 3 3 2" xfId="56565"/>
    <cellStyle name="Output 3 4" xfId="56566"/>
    <cellStyle name="Output 3 4 2" xfId="56567"/>
    <cellStyle name="Output 3 5" xfId="56568"/>
    <cellStyle name="Output 4" xfId="56569"/>
    <cellStyle name="Output 4 2" xfId="56570"/>
    <cellStyle name="Output 4 3" xfId="56571"/>
    <cellStyle name="Output 5" xfId="56572"/>
    <cellStyle name="Output 5 2" xfId="56573"/>
    <cellStyle name="Output 5 3" xfId="56574"/>
    <cellStyle name="Output 6" xfId="56575"/>
    <cellStyle name="Output 6 2" xfId="56576"/>
    <cellStyle name="Output 6 3" xfId="56577"/>
    <cellStyle name="Output 7" xfId="56578"/>
    <cellStyle name="Output 7 2" xfId="56579"/>
    <cellStyle name="Output 8" xfId="56580"/>
    <cellStyle name="Output 9" xfId="56581"/>
    <cellStyle name="Output 9 2" xfId="56582"/>
    <cellStyle name="Partially Capable to Test" xfId="56583"/>
    <cellStyle name="Percen - Style2" xfId="56584"/>
    <cellStyle name="Percen - Style2 2" xfId="56585"/>
    <cellStyle name="Percen - Style2 2 2" xfId="56586"/>
    <cellStyle name="Percen - Style2 2 3" xfId="56587"/>
    <cellStyle name="Percen - Style2 3" xfId="56588"/>
    <cellStyle name="Percen - Style2 4" xfId="56589"/>
    <cellStyle name="Percen - Style6" xfId="56590"/>
    <cellStyle name="Percen - Style6 2" xfId="56591"/>
    <cellStyle name="Percen - Style6 2 2" xfId="56592"/>
    <cellStyle name="Percen - Style6 2 3" xfId="56593"/>
    <cellStyle name="Percen - Style6 3" xfId="56594"/>
    <cellStyle name="Percen - Style6 4" xfId="56595"/>
    <cellStyle name="Percent" xfId="3" builtinId="5"/>
    <cellStyle name="Percent [0]" xfId="56596"/>
    <cellStyle name="Percent [0] 2" xfId="56597"/>
    <cellStyle name="Percent [0] 2 2" xfId="56598"/>
    <cellStyle name="Percent [00]" xfId="56599"/>
    <cellStyle name="Percent 10" xfId="56600"/>
    <cellStyle name="Percent 10 2" xfId="56601"/>
    <cellStyle name="Percent 10 3" xfId="56602"/>
    <cellStyle name="Percent 11" xfId="56603"/>
    <cellStyle name="Percent 11 2" xfId="56604"/>
    <cellStyle name="Percent 110" xfId="56605"/>
    <cellStyle name="Percent 12" xfId="56606"/>
    <cellStyle name="Percent 12 2" xfId="56607"/>
    <cellStyle name="Percent 13" xfId="56608"/>
    <cellStyle name="Percent 13 2" xfId="56609"/>
    <cellStyle name="Percent 13 3" xfId="56610"/>
    <cellStyle name="Percent 14" xfId="56611"/>
    <cellStyle name="Percent 14 2" xfId="56612"/>
    <cellStyle name="Percent 14 3" xfId="56613"/>
    <cellStyle name="Percent 15" xfId="56614"/>
    <cellStyle name="Percent 15 2" xfId="56615"/>
    <cellStyle name="Percent 15 3" xfId="56616"/>
    <cellStyle name="Percent 16" xfId="56617"/>
    <cellStyle name="Percent 16 2" xfId="56618"/>
    <cellStyle name="Percent 17" xfId="56619"/>
    <cellStyle name="Percent 17 2" xfId="56620"/>
    <cellStyle name="Percent 18" xfId="56621"/>
    <cellStyle name="Percent 18 2" xfId="56622"/>
    <cellStyle name="Percent 19" xfId="56623"/>
    <cellStyle name="Percent 19 2" xfId="56624"/>
    <cellStyle name="Percent 2" xfId="56625"/>
    <cellStyle name="Percent 2 10" xfId="56626"/>
    <cellStyle name="Percent 2 10 2" xfId="56627"/>
    <cellStyle name="Percent 2 11" xfId="56628"/>
    <cellStyle name="Percent 2 11 2" xfId="56629"/>
    <cellStyle name="Percent 2 12" xfId="56630"/>
    <cellStyle name="Percent 2 12 2" xfId="56631"/>
    <cellStyle name="Percent 2 13" xfId="56632"/>
    <cellStyle name="Percent 2 13 2" xfId="56633"/>
    <cellStyle name="Percent 2 14" xfId="56634"/>
    <cellStyle name="Percent 2 14 2" xfId="56635"/>
    <cellStyle name="Percent 2 15" xfId="56636"/>
    <cellStyle name="Percent 2 15 2" xfId="56637"/>
    <cellStyle name="Percent 2 16" xfId="56638"/>
    <cellStyle name="Percent 2 16 2" xfId="56639"/>
    <cellStyle name="Percent 2 17" xfId="56640"/>
    <cellStyle name="Percent 2 17 2" xfId="56641"/>
    <cellStyle name="Percent 2 18" xfId="56642"/>
    <cellStyle name="Percent 2 19" xfId="56643"/>
    <cellStyle name="Percent 2 2" xfId="56644"/>
    <cellStyle name="Percent 2 2 10" xfId="56645"/>
    <cellStyle name="Percent 2 2 2" xfId="56646"/>
    <cellStyle name="Percent 2 2 2 2" xfId="56647"/>
    <cellStyle name="Percent 2 2 2 2 2" xfId="56648"/>
    <cellStyle name="Percent 2 2 2 2 3" xfId="56649"/>
    <cellStyle name="Percent 2 2 2 2 4" xfId="56650"/>
    <cellStyle name="Percent 2 2 2 2 5" xfId="56651"/>
    <cellStyle name="Percent 2 2 2 3" xfId="56652"/>
    <cellStyle name="Percent 2 2 2 4" xfId="56653"/>
    <cellStyle name="Percent 2 2 2 5" xfId="56654"/>
    <cellStyle name="Percent 2 2 2 6" xfId="56655"/>
    <cellStyle name="Percent 2 2 2 7" xfId="56656"/>
    <cellStyle name="Percent 2 2 2 8" xfId="56657"/>
    <cellStyle name="Percent 2 2 3" xfId="56658"/>
    <cellStyle name="Percent 2 2 3 2" xfId="56659"/>
    <cellStyle name="Percent 2 2 3 3" xfId="56660"/>
    <cellStyle name="Percent 2 2 3 4" xfId="56661"/>
    <cellStyle name="Percent 2 2 3 5" xfId="56662"/>
    <cellStyle name="Percent 2 2 4" xfId="56663"/>
    <cellStyle name="Percent 2 2 5" xfId="56664"/>
    <cellStyle name="Percent 2 2 6" xfId="56665"/>
    <cellStyle name="Percent 2 2 7" xfId="56666"/>
    <cellStyle name="Percent 2 2 8" xfId="56667"/>
    <cellStyle name="Percent 2 2 9" xfId="56668"/>
    <cellStyle name="Percent 2 3" xfId="56669"/>
    <cellStyle name="Percent 2 3 2" xfId="56670"/>
    <cellStyle name="Percent 2 3 2 2" xfId="56671"/>
    <cellStyle name="Percent 2 3 2 3" xfId="56672"/>
    <cellStyle name="Percent 2 3 2 4" xfId="56673"/>
    <cellStyle name="Percent 2 3 2 5" xfId="56674"/>
    <cellStyle name="Percent 2 3 3" xfId="56675"/>
    <cellStyle name="Percent 2 3 4" xfId="56676"/>
    <cellStyle name="Percent 2 3 5" xfId="56677"/>
    <cellStyle name="Percent 2 3 6" xfId="56678"/>
    <cellStyle name="Percent 2 3 7" xfId="56679"/>
    <cellStyle name="Percent 2 3 8" xfId="56680"/>
    <cellStyle name="Percent 2 4" xfId="56681"/>
    <cellStyle name="Percent 2 4 2" xfId="56682"/>
    <cellStyle name="Percent 2 4 3" xfId="56683"/>
    <cellStyle name="Percent 2 4 4" xfId="56684"/>
    <cellStyle name="Percent 2 4 5" xfId="56685"/>
    <cellStyle name="Percent 2 4 6" xfId="56686"/>
    <cellStyle name="Percent 2 4 7" xfId="56687"/>
    <cellStyle name="Percent 2 5" xfId="56688"/>
    <cellStyle name="Percent 2 5 2" xfId="56689"/>
    <cellStyle name="Percent 2 6" xfId="56690"/>
    <cellStyle name="Percent 2 6 2" xfId="56691"/>
    <cellStyle name="Percent 2 7" xfId="56692"/>
    <cellStyle name="Percent 2 7 2" xfId="56693"/>
    <cellStyle name="Percent 2 8" xfId="56694"/>
    <cellStyle name="Percent 2 8 2" xfId="56695"/>
    <cellStyle name="Percent 2 9" xfId="56696"/>
    <cellStyle name="Percent 2 9 2" xfId="56697"/>
    <cellStyle name="Percent 20" xfId="56698"/>
    <cellStyle name="Percent 20 2" xfId="56699"/>
    <cellStyle name="Percent 20 2 2" xfId="56700"/>
    <cellStyle name="Percent 21" xfId="56701"/>
    <cellStyle name="Percent 21 2" xfId="56702"/>
    <cellStyle name="Percent 21 2 2" xfId="56703"/>
    <cellStyle name="Percent 21 2 2 2" xfId="56704"/>
    <cellStyle name="Percent 21 2 3" xfId="56705"/>
    <cellStyle name="Percent 21 2 4" xfId="56706"/>
    <cellStyle name="Percent 21 3" xfId="56707"/>
    <cellStyle name="Percent 21 3 2" xfId="56708"/>
    <cellStyle name="Percent 21 3 2 2" xfId="56709"/>
    <cellStyle name="Percent 21 3 3" xfId="56710"/>
    <cellStyle name="Percent 21 3 4" xfId="56711"/>
    <cellStyle name="Percent 21 4" xfId="56712"/>
    <cellStyle name="Percent 21 4 2" xfId="56713"/>
    <cellStyle name="Percent 21 5" xfId="56714"/>
    <cellStyle name="Percent 21 6" xfId="56715"/>
    <cellStyle name="Percent 22" xfId="56716"/>
    <cellStyle name="Percent 22 2" xfId="56717"/>
    <cellStyle name="Percent 22 2 2" xfId="56718"/>
    <cellStyle name="Percent 22 2 2 2" xfId="56719"/>
    <cellStyle name="Percent 22 2 3" xfId="56720"/>
    <cellStyle name="Percent 22 2 4" xfId="56721"/>
    <cellStyle name="Percent 22 3" xfId="56722"/>
    <cellStyle name="Percent 22 3 2" xfId="56723"/>
    <cellStyle name="Percent 22 3 2 2" xfId="56724"/>
    <cellStyle name="Percent 22 3 3" xfId="56725"/>
    <cellStyle name="Percent 22 3 4" xfId="56726"/>
    <cellStyle name="Percent 22 4" xfId="56727"/>
    <cellStyle name="Percent 22 4 2" xfId="56728"/>
    <cellStyle name="Percent 22 5" xfId="56729"/>
    <cellStyle name="Percent 22 6" xfId="56730"/>
    <cellStyle name="Percent 23" xfId="56731"/>
    <cellStyle name="Percent 23 2" xfId="56732"/>
    <cellStyle name="Percent 23 2 2" xfId="56733"/>
    <cellStyle name="Percent 23 2 2 2" xfId="56734"/>
    <cellStyle name="Percent 23 2 3" xfId="56735"/>
    <cellStyle name="Percent 23 2 4" xfId="56736"/>
    <cellStyle name="Percent 23 3" xfId="56737"/>
    <cellStyle name="Percent 23 3 2" xfId="56738"/>
    <cellStyle name="Percent 23 3 2 2" xfId="56739"/>
    <cellStyle name="Percent 23 3 3" xfId="56740"/>
    <cellStyle name="Percent 23 3 4" xfId="56741"/>
    <cellStyle name="Percent 23 4" xfId="56742"/>
    <cellStyle name="Percent 23 4 2" xfId="56743"/>
    <cellStyle name="Percent 23 5" xfId="56744"/>
    <cellStyle name="Percent 23 6" xfId="56745"/>
    <cellStyle name="Percent 24" xfId="56746"/>
    <cellStyle name="Percent 24 2" xfId="56747"/>
    <cellStyle name="Percent 24 2 2" xfId="56748"/>
    <cellStyle name="Percent 24 2 2 2" xfId="56749"/>
    <cellStyle name="Percent 24 2 3" xfId="56750"/>
    <cellStyle name="Percent 24 2 4" xfId="56751"/>
    <cellStyle name="Percent 24 3" xfId="56752"/>
    <cellStyle name="Percent 24 3 2" xfId="56753"/>
    <cellStyle name="Percent 24 3 2 2" xfId="56754"/>
    <cellStyle name="Percent 24 3 3" xfId="56755"/>
    <cellStyle name="Percent 24 3 4" xfId="56756"/>
    <cellStyle name="Percent 24 4" xfId="56757"/>
    <cellStyle name="Percent 24 4 2" xfId="56758"/>
    <cellStyle name="Percent 24 5" xfId="56759"/>
    <cellStyle name="Percent 24 6" xfId="56760"/>
    <cellStyle name="Percent 25" xfId="56761"/>
    <cellStyle name="Percent 25 2" xfId="56762"/>
    <cellStyle name="Percent 26" xfId="56763"/>
    <cellStyle name="Percent 27" xfId="56764"/>
    <cellStyle name="Percent 28" xfId="56765"/>
    <cellStyle name="Percent 28 2" xfId="56766"/>
    <cellStyle name="Percent 29" xfId="56767"/>
    <cellStyle name="Percent 3" xfId="56768"/>
    <cellStyle name="Percent 3 2" xfId="56769"/>
    <cellStyle name="Percent 3 2 2" xfId="56770"/>
    <cellStyle name="Percent 3 2 3" xfId="56771"/>
    <cellStyle name="Percent 3 2 4" xfId="56772"/>
    <cellStyle name="Percent 3 2 5" xfId="56773"/>
    <cellStyle name="Percent 3 3" xfId="56774"/>
    <cellStyle name="Percent 3 3 2" xfId="56775"/>
    <cellStyle name="Percent 3 4" xfId="56776"/>
    <cellStyle name="Percent 3 4 2" xfId="56777"/>
    <cellStyle name="Percent 3 4 2 2" xfId="56778"/>
    <cellStyle name="Percent 3 4 2 2 2" xfId="56779"/>
    <cellStyle name="Percent 3 4 2 2 4" xfId="56780"/>
    <cellStyle name="Percent 3 4 2 3" xfId="56781"/>
    <cellStyle name="Percent 3 4 3" xfId="56782"/>
    <cellStyle name="Percent 3 4 3 2" xfId="56783"/>
    <cellStyle name="Percent 3 4 4" xfId="56784"/>
    <cellStyle name="Percent 3 5" xfId="56785"/>
    <cellStyle name="Percent 3 5 2" xfId="56786"/>
    <cellStyle name="Percent 3 5 3" xfId="56787"/>
    <cellStyle name="Percent 3 6" xfId="56788"/>
    <cellStyle name="Percent 3 6 2" xfId="56789"/>
    <cellStyle name="Percent 3 6 3" xfId="56790"/>
    <cellStyle name="Percent 3 7" xfId="56791"/>
    <cellStyle name="Percent 3 8" xfId="56792"/>
    <cellStyle name="Percent 30" xfId="56793"/>
    <cellStyle name="Percent 31" xfId="56794"/>
    <cellStyle name="Percent 32" xfId="56795"/>
    <cellStyle name="Percent 32 2" xfId="56796"/>
    <cellStyle name="Percent 32 2 2" xfId="56797"/>
    <cellStyle name="Percent 32 3" xfId="56798"/>
    <cellStyle name="Percent 32 4" xfId="56799"/>
    <cellStyle name="Percent 33" xfId="56800"/>
    <cellStyle name="Percent 34" xfId="56801"/>
    <cellStyle name="Percent 34 2" xfId="56802"/>
    <cellStyle name="Percent 34 3" xfId="56803"/>
    <cellStyle name="Percent 35" xfId="56804"/>
    <cellStyle name="Percent 35 2" xfId="56805"/>
    <cellStyle name="Percent 36" xfId="56806"/>
    <cellStyle name="Percent 37" xfId="56807"/>
    <cellStyle name="Percent 38" xfId="56808"/>
    <cellStyle name="Percent 39" xfId="56809"/>
    <cellStyle name="Percent 4" xfId="56810"/>
    <cellStyle name="Percent 4 2" xfId="56811"/>
    <cellStyle name="Percent 4 2 2" xfId="56812"/>
    <cellStyle name="Percent 4 2 2 2" xfId="56813"/>
    <cellStyle name="Percent 4 2 3" xfId="56814"/>
    <cellStyle name="Percent 4 2 4" xfId="56815"/>
    <cellStyle name="Percent 4 2 5" xfId="56816"/>
    <cellStyle name="Percent 4 3" xfId="56817"/>
    <cellStyle name="Percent 4 4" xfId="56818"/>
    <cellStyle name="Percent 4 5" xfId="56819"/>
    <cellStyle name="Percent 4 6" xfId="56820"/>
    <cellStyle name="Percent 4 7" xfId="56821"/>
    <cellStyle name="Percent 4 8" xfId="56822"/>
    <cellStyle name="Percent 4 9" xfId="56823"/>
    <cellStyle name="Percent 40" xfId="56824"/>
    <cellStyle name="Percent 41" xfId="56825"/>
    <cellStyle name="Percent 42" xfId="56826"/>
    <cellStyle name="Percent 43" xfId="56827"/>
    <cellStyle name="Percent 44" xfId="56828"/>
    <cellStyle name="Percent 45" xfId="56829"/>
    <cellStyle name="Percent 45 2" xfId="56830"/>
    <cellStyle name="Percent 46" xfId="56831"/>
    <cellStyle name="Percent 47" xfId="56832"/>
    <cellStyle name="Percent 48" xfId="56833"/>
    <cellStyle name="Percent 49" xfId="56834"/>
    <cellStyle name="Percent 5" xfId="56835"/>
    <cellStyle name="Percent 5 2" xfId="56836"/>
    <cellStyle name="Percent 5 2 2" xfId="56837"/>
    <cellStyle name="Percent 5 2 2 2" xfId="56838"/>
    <cellStyle name="Percent 5 2 2 3" xfId="56839"/>
    <cellStyle name="Percent 5 2 3" xfId="56840"/>
    <cellStyle name="Percent 5 2 4" xfId="56841"/>
    <cellStyle name="Percent 5 2 5" xfId="56842"/>
    <cellStyle name="Percent 5 3" xfId="56843"/>
    <cellStyle name="Percent 5 3 2" xfId="56844"/>
    <cellStyle name="Percent 5 3 3" xfId="56845"/>
    <cellStyle name="Percent 5 3 4" xfId="56846"/>
    <cellStyle name="Percent 5 4" xfId="56847"/>
    <cellStyle name="Percent 5 4 2" xfId="56848"/>
    <cellStyle name="Percent 5 5" xfId="56849"/>
    <cellStyle name="Percent 5 6" xfId="56850"/>
    <cellStyle name="Percent 50" xfId="56851"/>
    <cellStyle name="Percent 51" xfId="56852"/>
    <cellStyle name="Percent 52" xfId="56853"/>
    <cellStyle name="Percent 53" xfId="56854"/>
    <cellStyle name="Percent 54" xfId="56855"/>
    <cellStyle name="Percent 55" xfId="56856"/>
    <cellStyle name="Percent 55 2" xfId="56857"/>
    <cellStyle name="Percent 55 3" xfId="56858"/>
    <cellStyle name="Percent 56" xfId="56859"/>
    <cellStyle name="Percent 57" xfId="56860"/>
    <cellStyle name="Percent 58" xfId="56861"/>
    <cellStyle name="Percent 59" xfId="56862"/>
    <cellStyle name="Percent 6" xfId="56863"/>
    <cellStyle name="Percent 6 2" xfId="56864"/>
    <cellStyle name="Percent 6 2 2" xfId="56865"/>
    <cellStyle name="Percent 6 3" xfId="56866"/>
    <cellStyle name="Percent 6 4" xfId="56867"/>
    <cellStyle name="Percent 60" xfId="56868"/>
    <cellStyle name="Percent 61" xfId="56869"/>
    <cellStyle name="Percent 62" xfId="56870"/>
    <cellStyle name="Percent 63" xfId="56871"/>
    <cellStyle name="Percent 64" xfId="56872"/>
    <cellStyle name="Percent 65" xfId="56873"/>
    <cellStyle name="Percent 66" xfId="56874"/>
    <cellStyle name="Percent 67" xfId="56875"/>
    <cellStyle name="Percent 7" xfId="56876"/>
    <cellStyle name="Percent 7 2" xfId="56877"/>
    <cellStyle name="Percent 8" xfId="56878"/>
    <cellStyle name="Percent 8 2" xfId="56879"/>
    <cellStyle name="Percent 8 2 2" xfId="56880"/>
    <cellStyle name="Percent 9" xfId="56881"/>
    <cellStyle name="Percent 9 2" xfId="56882"/>
    <cellStyle name="Percent 9 3" xfId="56883"/>
    <cellStyle name="PrePop Currency (0)" xfId="56884"/>
    <cellStyle name="PrePop Currency (2)" xfId="56885"/>
    <cellStyle name="PrePop Units (0)" xfId="56886"/>
    <cellStyle name="PrePop Units (1)" xfId="56887"/>
    <cellStyle name="PrePop Units (2)" xfId="56888"/>
    <cellStyle name="Product Header" xfId="56889"/>
    <cellStyle name="Product Header 2" xfId="56890"/>
    <cellStyle name="Product Header 3" xfId="56891"/>
    <cellStyle name="PROJ_NUM" xfId="56892"/>
    <cellStyle name="PSChar" xfId="56893"/>
    <cellStyle name="PSChar 2" xfId="56894"/>
    <cellStyle name="PSChar 2 2" xfId="56895"/>
    <cellStyle name="PSChar 2 2 2" xfId="56896"/>
    <cellStyle name="PSChar 2 2 2 2" xfId="56897"/>
    <cellStyle name="PSChar 2 2 2 3" xfId="56898"/>
    <cellStyle name="PSChar 2 2 3" xfId="56899"/>
    <cellStyle name="PSChar 2 2 4" xfId="56900"/>
    <cellStyle name="PSChar 2 3" xfId="56901"/>
    <cellStyle name="PSChar 2 3 2" xfId="56902"/>
    <cellStyle name="PSChar 2 3 3" xfId="56903"/>
    <cellStyle name="PSChar 2 4" xfId="56904"/>
    <cellStyle name="PSChar 2 5" xfId="56905"/>
    <cellStyle name="PSChar 3" xfId="56906"/>
    <cellStyle name="PSChar 3 2" xfId="56907"/>
    <cellStyle name="PSChar 3 3" xfId="56908"/>
    <cellStyle name="PSChar 4" xfId="56909"/>
    <cellStyle name="PSChar 5" xfId="56910"/>
    <cellStyle name="PSDate" xfId="56911"/>
    <cellStyle name="PSDate 2" xfId="56912"/>
    <cellStyle name="PSDate 2 2" xfId="56913"/>
    <cellStyle name="PSDec" xfId="56914"/>
    <cellStyle name="PSDec 2" xfId="56915"/>
    <cellStyle name="PSDec 2 2" xfId="56916"/>
    <cellStyle name="PSHeading" xfId="56917"/>
    <cellStyle name="PSHeading 2" xfId="56918"/>
    <cellStyle name="PSHeading 2 2" xfId="56919"/>
    <cellStyle name="PSHeading 2 2 2" xfId="56920"/>
    <cellStyle name="PSHeading 2 2 2 2" xfId="56921"/>
    <cellStyle name="PSHeading 2 2 2 3" xfId="56922"/>
    <cellStyle name="PSHeading 2 2 3" xfId="56923"/>
    <cellStyle name="PSHeading 2 2 3 2" xfId="56924"/>
    <cellStyle name="PSHeading 2 2 4" xfId="56925"/>
    <cellStyle name="PSHeading 2 2 4 2" xfId="56926"/>
    <cellStyle name="PSHeading 2 2 5" xfId="56927"/>
    <cellStyle name="PSHeading 2 3" xfId="56928"/>
    <cellStyle name="PSHeading 2 3 2" xfId="56929"/>
    <cellStyle name="PSHeading 2 3 3" xfId="56930"/>
    <cellStyle name="PSHeading 2 4" xfId="56931"/>
    <cellStyle name="PSHeading 2 4 2" xfId="56932"/>
    <cellStyle name="PSHeading 2 5" xfId="56933"/>
    <cellStyle name="PSHeading 2 5 2" xfId="56934"/>
    <cellStyle name="PSHeading 2 6" xfId="56935"/>
    <cellStyle name="PSHeading 3" xfId="56936"/>
    <cellStyle name="PSHeading 3 2" xfId="56937"/>
    <cellStyle name="PSHeading 3 3" xfId="56938"/>
    <cellStyle name="PSHeading 4" xfId="56939"/>
    <cellStyle name="PSHeading 4 2" xfId="56940"/>
    <cellStyle name="PSHeading 5" xfId="56941"/>
    <cellStyle name="PSHeading 5 2" xfId="56942"/>
    <cellStyle name="PSHeading 6" xfId="56943"/>
    <cellStyle name="PSInt" xfId="56944"/>
    <cellStyle name="PSInt 2" xfId="56945"/>
    <cellStyle name="PSInt 2 2" xfId="56946"/>
    <cellStyle name="PSSpacer" xfId="56947"/>
    <cellStyle name="PSSpacer 2" xfId="56948"/>
    <cellStyle name="PSSpacer 2 2" xfId="56949"/>
    <cellStyle name="PSSpacer 2 2 2" xfId="56950"/>
    <cellStyle name="PSSpacer 2 2 2 2" xfId="56951"/>
    <cellStyle name="PSSpacer 2 2 2 3" xfId="56952"/>
    <cellStyle name="PSSpacer 2 2 3" xfId="56953"/>
    <cellStyle name="PSSpacer 2 2 4" xfId="56954"/>
    <cellStyle name="PSSpacer 2 3" xfId="56955"/>
    <cellStyle name="PSSpacer 2 3 2" xfId="56956"/>
    <cellStyle name="PSSpacer 2 3 3" xfId="56957"/>
    <cellStyle name="PSSpacer 2 4" xfId="56958"/>
    <cellStyle name="PSSpacer 2 5" xfId="56959"/>
    <cellStyle name="PSSpacer 3" xfId="56960"/>
    <cellStyle name="PSSpacer 3 2" xfId="56961"/>
    <cellStyle name="PSSpacer 3 3" xfId="56962"/>
    <cellStyle name="PSSpacer 4" xfId="56963"/>
    <cellStyle name="PSSpacer 5" xfId="56964"/>
    <cellStyle name="results" xfId="56965"/>
    <cellStyle name="results 2" xfId="56966"/>
    <cellStyle name="results 3" xfId="56967"/>
    <cellStyle name="RISKbigPercent" xfId="56968"/>
    <cellStyle name="RISKblandrEdge" xfId="56969"/>
    <cellStyle name="RISKblCorner" xfId="56970"/>
    <cellStyle name="RISKbottomEdge" xfId="56971"/>
    <cellStyle name="RISKbrCorner" xfId="56972"/>
    <cellStyle name="RISKdarkBoxed" xfId="56973"/>
    <cellStyle name="RISKdarkShade" xfId="56974"/>
    <cellStyle name="RISKdbottomEdge" xfId="56975"/>
    <cellStyle name="RISKdrightEdge" xfId="56976"/>
    <cellStyle name="RISKdurationTime" xfId="56977"/>
    <cellStyle name="RISKinNumber" xfId="56978"/>
    <cellStyle name="RISKinNumber 2" xfId="56979"/>
    <cellStyle name="RISKlandrEdge" xfId="56980"/>
    <cellStyle name="RISKleftEdge" xfId="56981"/>
    <cellStyle name="RISKlightBoxed" xfId="56982"/>
    <cellStyle name="RISKltandbEdge" xfId="56983"/>
    <cellStyle name="RISKnormBoxed" xfId="56984"/>
    <cellStyle name="RISKnormCenter" xfId="56985"/>
    <cellStyle name="RISKnormHeading" xfId="56986"/>
    <cellStyle name="RISKnormItal" xfId="56987"/>
    <cellStyle name="RISKnormLabel" xfId="56988"/>
    <cellStyle name="RISKnormShade" xfId="56989"/>
    <cellStyle name="RISKnormTitle" xfId="56990"/>
    <cellStyle name="RISKoutNumber" xfId="56991"/>
    <cellStyle name="RISKoutNumber 2" xfId="56992"/>
    <cellStyle name="RISKrightEdge" xfId="56993"/>
    <cellStyle name="RISKrtandbEdge" xfId="56994"/>
    <cellStyle name="RISKssTime" xfId="56995"/>
    <cellStyle name="RISKtandbEdge" xfId="56996"/>
    <cellStyle name="RISKtlandrEdge" xfId="56997"/>
    <cellStyle name="RISKtlCorner" xfId="56998"/>
    <cellStyle name="RISKtopEdge" xfId="56999"/>
    <cellStyle name="RISKtrCorner" xfId="57000"/>
    <cellStyle name="Row" xfId="57001"/>
    <cellStyle name="Row 2" xfId="57002"/>
    <cellStyle name="SAPBEXaggData" xfId="57003"/>
    <cellStyle name="SAPBEXaggData 10" xfId="57004"/>
    <cellStyle name="SAPBEXaggData 10 2" xfId="57005"/>
    <cellStyle name="SAPBEXaggData 10 2 2" xfId="57006"/>
    <cellStyle name="SAPBEXaggData 10 3" xfId="57007"/>
    <cellStyle name="SAPBEXaggData 11" xfId="57008"/>
    <cellStyle name="SAPBEXaggData 11 2" xfId="57009"/>
    <cellStyle name="SAPBEXaggData 11 2 2" xfId="57010"/>
    <cellStyle name="SAPBEXaggData 11 3" xfId="57011"/>
    <cellStyle name="SAPBEXaggData 12" xfId="57012"/>
    <cellStyle name="SAPBEXaggData 12 2" xfId="57013"/>
    <cellStyle name="SAPBEXaggData 12 2 2" xfId="57014"/>
    <cellStyle name="SAPBEXaggData 12 3" xfId="57015"/>
    <cellStyle name="SAPBEXaggData 13" xfId="57016"/>
    <cellStyle name="SAPBEXaggData 13 2" xfId="57017"/>
    <cellStyle name="SAPBEXaggData 14" xfId="57018"/>
    <cellStyle name="SAPBEXaggData 2" xfId="57019"/>
    <cellStyle name="SAPBEXaggData 2 10" xfId="57020"/>
    <cellStyle name="SAPBEXaggData 2 2" xfId="57021"/>
    <cellStyle name="SAPBEXaggData 2 2 2" xfId="57022"/>
    <cellStyle name="SAPBEXaggData 2 2 2 2" xfId="57023"/>
    <cellStyle name="SAPBEXaggData 2 2 3" xfId="57024"/>
    <cellStyle name="SAPBEXaggData 2 3" xfId="57025"/>
    <cellStyle name="SAPBEXaggData 2 3 2" xfId="57026"/>
    <cellStyle name="SAPBEXaggData 2 3 2 2" xfId="57027"/>
    <cellStyle name="SAPBEXaggData 2 3 3" xfId="57028"/>
    <cellStyle name="SAPBEXaggData 2 4" xfId="57029"/>
    <cellStyle name="SAPBEXaggData 2 4 2" xfId="57030"/>
    <cellStyle name="SAPBEXaggData 2 4 2 2" xfId="57031"/>
    <cellStyle name="SAPBEXaggData 2 4 3" xfId="57032"/>
    <cellStyle name="SAPBEXaggData 2 5" xfId="57033"/>
    <cellStyle name="SAPBEXaggData 2 5 2" xfId="57034"/>
    <cellStyle name="SAPBEXaggData 2 5 2 2" xfId="57035"/>
    <cellStyle name="SAPBEXaggData 2 5 3" xfId="57036"/>
    <cellStyle name="SAPBEXaggData 2 6" xfId="57037"/>
    <cellStyle name="SAPBEXaggData 2 6 2" xfId="57038"/>
    <cellStyle name="SAPBEXaggData 2 6 2 2" xfId="57039"/>
    <cellStyle name="SAPBEXaggData 2 6 3" xfId="57040"/>
    <cellStyle name="SAPBEXaggData 2 7" xfId="57041"/>
    <cellStyle name="SAPBEXaggData 2 7 2" xfId="57042"/>
    <cellStyle name="SAPBEXaggData 2 7 2 2" xfId="57043"/>
    <cellStyle name="SAPBEXaggData 2 7 3" xfId="57044"/>
    <cellStyle name="SAPBEXaggData 2 8" xfId="57045"/>
    <cellStyle name="SAPBEXaggData 2 8 2" xfId="57046"/>
    <cellStyle name="SAPBEXaggData 2 8 2 2" xfId="57047"/>
    <cellStyle name="SAPBEXaggData 2 8 3" xfId="57048"/>
    <cellStyle name="SAPBEXaggData 2 9" xfId="57049"/>
    <cellStyle name="SAPBEXaggData 2 9 2" xfId="57050"/>
    <cellStyle name="SAPBEXaggData 3" xfId="57051"/>
    <cellStyle name="SAPBEXaggData 3 2" xfId="57052"/>
    <cellStyle name="SAPBEXaggData 3 2 2" xfId="57053"/>
    <cellStyle name="SAPBEXaggData 3 3" xfId="57054"/>
    <cellStyle name="SAPBEXaggData 4" xfId="57055"/>
    <cellStyle name="SAPBEXaggData 4 2" xfId="57056"/>
    <cellStyle name="SAPBEXaggData 4 2 2" xfId="57057"/>
    <cellStyle name="SAPBEXaggData 4 3" xfId="57058"/>
    <cellStyle name="SAPBEXaggData 5" xfId="57059"/>
    <cellStyle name="SAPBEXaggData 5 2" xfId="57060"/>
    <cellStyle name="SAPBEXaggData 5 2 2" xfId="57061"/>
    <cellStyle name="SAPBEXaggData 5 3" xfId="57062"/>
    <cellStyle name="SAPBEXaggData 6" xfId="57063"/>
    <cellStyle name="SAPBEXaggData 6 2" xfId="57064"/>
    <cellStyle name="SAPBEXaggData 6 2 2" xfId="57065"/>
    <cellStyle name="SAPBEXaggData 6 3" xfId="57066"/>
    <cellStyle name="SAPBEXaggData 7" xfId="57067"/>
    <cellStyle name="SAPBEXaggData 7 2" xfId="57068"/>
    <cellStyle name="SAPBEXaggData 7 2 2" xfId="57069"/>
    <cellStyle name="SAPBEXaggData 7 3" xfId="57070"/>
    <cellStyle name="SAPBEXaggData 8" xfId="57071"/>
    <cellStyle name="SAPBEXaggData 8 2" xfId="57072"/>
    <cellStyle name="SAPBEXaggData 8 2 2" xfId="57073"/>
    <cellStyle name="SAPBEXaggData 8 3" xfId="57074"/>
    <cellStyle name="SAPBEXaggData 9" xfId="57075"/>
    <cellStyle name="SAPBEXaggData 9 2" xfId="57076"/>
    <cellStyle name="SAPBEXaggData 9 2 2" xfId="57077"/>
    <cellStyle name="SAPBEXaggData 9 3" xfId="57078"/>
    <cellStyle name="SAPBEXaggDataEmph" xfId="57079"/>
    <cellStyle name="SAPBEXaggDataEmph 10" xfId="57080"/>
    <cellStyle name="SAPBEXaggDataEmph 10 2" xfId="57081"/>
    <cellStyle name="SAPBEXaggDataEmph 10 2 2" xfId="57082"/>
    <cellStyle name="SAPBEXaggDataEmph 10 3" xfId="57083"/>
    <cellStyle name="SAPBEXaggDataEmph 11" xfId="57084"/>
    <cellStyle name="SAPBEXaggDataEmph 11 2" xfId="57085"/>
    <cellStyle name="SAPBEXaggDataEmph 11 2 2" xfId="57086"/>
    <cellStyle name="SAPBEXaggDataEmph 11 3" xfId="57087"/>
    <cellStyle name="SAPBEXaggDataEmph 12" xfId="57088"/>
    <cellStyle name="SAPBEXaggDataEmph 12 2" xfId="57089"/>
    <cellStyle name="SAPBEXaggDataEmph 13" xfId="57090"/>
    <cellStyle name="SAPBEXaggDataEmph 2" xfId="57091"/>
    <cellStyle name="SAPBEXaggDataEmph 2 2" xfId="57092"/>
    <cellStyle name="SAPBEXaggDataEmph 2 2 2" xfId="57093"/>
    <cellStyle name="SAPBEXaggDataEmph 2 3" xfId="57094"/>
    <cellStyle name="SAPBEXaggDataEmph 3" xfId="57095"/>
    <cellStyle name="SAPBEXaggDataEmph 3 2" xfId="57096"/>
    <cellStyle name="SAPBEXaggDataEmph 3 2 2" xfId="57097"/>
    <cellStyle name="SAPBEXaggDataEmph 3 3" xfId="57098"/>
    <cellStyle name="SAPBEXaggDataEmph 4" xfId="57099"/>
    <cellStyle name="SAPBEXaggDataEmph 4 2" xfId="57100"/>
    <cellStyle name="SAPBEXaggDataEmph 4 2 2" xfId="57101"/>
    <cellStyle name="SAPBEXaggDataEmph 4 3" xfId="57102"/>
    <cellStyle name="SAPBEXaggDataEmph 5" xfId="57103"/>
    <cellStyle name="SAPBEXaggDataEmph 5 2" xfId="57104"/>
    <cellStyle name="SAPBEXaggDataEmph 5 2 2" xfId="57105"/>
    <cellStyle name="SAPBEXaggDataEmph 5 3" xfId="57106"/>
    <cellStyle name="SAPBEXaggDataEmph 6" xfId="57107"/>
    <cellStyle name="SAPBEXaggDataEmph 6 2" xfId="57108"/>
    <cellStyle name="SAPBEXaggDataEmph 6 2 2" xfId="57109"/>
    <cellStyle name="SAPBEXaggDataEmph 6 3" xfId="57110"/>
    <cellStyle name="SAPBEXaggDataEmph 7" xfId="57111"/>
    <cellStyle name="SAPBEXaggDataEmph 7 2" xfId="57112"/>
    <cellStyle name="SAPBEXaggDataEmph 7 2 2" xfId="57113"/>
    <cellStyle name="SAPBEXaggDataEmph 7 3" xfId="57114"/>
    <cellStyle name="SAPBEXaggDataEmph 8" xfId="57115"/>
    <cellStyle name="SAPBEXaggDataEmph 8 2" xfId="57116"/>
    <cellStyle name="SAPBEXaggDataEmph 8 2 2" xfId="57117"/>
    <cellStyle name="SAPBEXaggDataEmph 8 3" xfId="57118"/>
    <cellStyle name="SAPBEXaggDataEmph 9" xfId="57119"/>
    <cellStyle name="SAPBEXaggDataEmph 9 2" xfId="57120"/>
    <cellStyle name="SAPBEXaggDataEmph 9 2 2" xfId="57121"/>
    <cellStyle name="SAPBEXaggDataEmph 9 3" xfId="57122"/>
    <cellStyle name="SAPBEXaggItem" xfId="57123"/>
    <cellStyle name="SAPBEXaggItem 10" xfId="57124"/>
    <cellStyle name="SAPBEXaggItem 10 2" xfId="57125"/>
    <cellStyle name="SAPBEXaggItem 10 2 2" xfId="57126"/>
    <cellStyle name="SAPBEXaggItem 10 3" xfId="57127"/>
    <cellStyle name="SAPBEXaggItem 11" xfId="57128"/>
    <cellStyle name="SAPBEXaggItem 11 2" xfId="57129"/>
    <cellStyle name="SAPBEXaggItem 11 2 2" xfId="57130"/>
    <cellStyle name="SAPBEXaggItem 11 3" xfId="57131"/>
    <cellStyle name="SAPBEXaggItem 12" xfId="57132"/>
    <cellStyle name="SAPBEXaggItem 12 2" xfId="57133"/>
    <cellStyle name="SAPBEXaggItem 13" xfId="57134"/>
    <cellStyle name="SAPBEXaggItem 2" xfId="57135"/>
    <cellStyle name="SAPBEXaggItem 2 2" xfId="57136"/>
    <cellStyle name="SAPBEXaggItem 2 2 2" xfId="57137"/>
    <cellStyle name="SAPBEXaggItem 2 3" xfId="57138"/>
    <cellStyle name="SAPBEXaggItem 3" xfId="57139"/>
    <cellStyle name="SAPBEXaggItem 3 2" xfId="57140"/>
    <cellStyle name="SAPBEXaggItem 3 2 2" xfId="57141"/>
    <cellStyle name="SAPBEXaggItem 3 3" xfId="57142"/>
    <cellStyle name="SAPBEXaggItem 4" xfId="57143"/>
    <cellStyle name="SAPBEXaggItem 4 2" xfId="57144"/>
    <cellStyle name="SAPBEXaggItem 4 2 2" xfId="57145"/>
    <cellStyle name="SAPBEXaggItem 4 3" xfId="57146"/>
    <cellStyle name="SAPBEXaggItem 5" xfId="57147"/>
    <cellStyle name="SAPBEXaggItem 5 2" xfId="57148"/>
    <cellStyle name="SAPBEXaggItem 5 2 2" xfId="57149"/>
    <cellStyle name="SAPBEXaggItem 5 3" xfId="57150"/>
    <cellStyle name="SAPBEXaggItem 6" xfId="57151"/>
    <cellStyle name="SAPBEXaggItem 6 2" xfId="57152"/>
    <cellStyle name="SAPBEXaggItem 6 2 2" xfId="57153"/>
    <cellStyle name="SAPBEXaggItem 6 3" xfId="57154"/>
    <cellStyle name="SAPBEXaggItem 7" xfId="57155"/>
    <cellStyle name="SAPBEXaggItem 7 2" xfId="57156"/>
    <cellStyle name="SAPBEXaggItem 7 2 2" xfId="57157"/>
    <cellStyle name="SAPBEXaggItem 7 3" xfId="57158"/>
    <cellStyle name="SAPBEXaggItem 8" xfId="57159"/>
    <cellStyle name="SAPBEXaggItem 8 2" xfId="57160"/>
    <cellStyle name="SAPBEXaggItem 8 2 2" xfId="57161"/>
    <cellStyle name="SAPBEXaggItem 8 3" xfId="57162"/>
    <cellStyle name="SAPBEXaggItem 9" xfId="57163"/>
    <cellStyle name="SAPBEXaggItem 9 2" xfId="57164"/>
    <cellStyle name="SAPBEXaggItem 9 2 2" xfId="57165"/>
    <cellStyle name="SAPBEXaggItem 9 3" xfId="57166"/>
    <cellStyle name="SAPBEXaggItemX" xfId="57167"/>
    <cellStyle name="SAPBEXchaText" xfId="57168"/>
    <cellStyle name="SAPBEXchaText 2" xfId="57169"/>
    <cellStyle name="SAPBEXexcBad7" xfId="57170"/>
    <cellStyle name="SAPBEXexcBad7 10" xfId="57171"/>
    <cellStyle name="SAPBEXexcBad7 10 2" xfId="57172"/>
    <cellStyle name="SAPBEXexcBad7 10 2 2" xfId="57173"/>
    <cellStyle name="SAPBEXexcBad7 10 3" xfId="57174"/>
    <cellStyle name="SAPBEXexcBad7 11" xfId="57175"/>
    <cellStyle name="SAPBEXexcBad7 11 2" xfId="57176"/>
    <cellStyle name="SAPBEXexcBad7 11 2 2" xfId="57177"/>
    <cellStyle name="SAPBEXexcBad7 11 3" xfId="57178"/>
    <cellStyle name="SAPBEXexcBad7 12" xfId="57179"/>
    <cellStyle name="SAPBEXexcBad7 12 2" xfId="57180"/>
    <cellStyle name="SAPBEXexcBad7 12 2 2" xfId="57181"/>
    <cellStyle name="SAPBEXexcBad7 12 3" xfId="57182"/>
    <cellStyle name="SAPBEXexcBad7 13" xfId="57183"/>
    <cellStyle name="SAPBEXexcBad7 13 2" xfId="57184"/>
    <cellStyle name="SAPBEXexcBad7 14" xfId="57185"/>
    <cellStyle name="SAPBEXexcBad7 2" xfId="57186"/>
    <cellStyle name="SAPBEXexcBad7 2 10" xfId="57187"/>
    <cellStyle name="SAPBEXexcBad7 2 2" xfId="57188"/>
    <cellStyle name="SAPBEXexcBad7 2 2 2" xfId="57189"/>
    <cellStyle name="SAPBEXexcBad7 2 2 2 2" xfId="57190"/>
    <cellStyle name="SAPBEXexcBad7 2 2 3" xfId="57191"/>
    <cellStyle name="SAPBEXexcBad7 2 3" xfId="57192"/>
    <cellStyle name="SAPBEXexcBad7 2 3 2" xfId="57193"/>
    <cellStyle name="SAPBEXexcBad7 2 3 2 2" xfId="57194"/>
    <cellStyle name="SAPBEXexcBad7 2 3 3" xfId="57195"/>
    <cellStyle name="SAPBEXexcBad7 2 4" xfId="57196"/>
    <cellStyle name="SAPBEXexcBad7 2 4 2" xfId="57197"/>
    <cellStyle name="SAPBEXexcBad7 2 4 2 2" xfId="57198"/>
    <cellStyle name="SAPBEXexcBad7 2 4 3" xfId="57199"/>
    <cellStyle name="SAPBEXexcBad7 2 5" xfId="57200"/>
    <cellStyle name="SAPBEXexcBad7 2 5 2" xfId="57201"/>
    <cellStyle name="SAPBEXexcBad7 2 5 2 2" xfId="57202"/>
    <cellStyle name="SAPBEXexcBad7 2 5 3" xfId="57203"/>
    <cellStyle name="SAPBEXexcBad7 2 6" xfId="57204"/>
    <cellStyle name="SAPBEXexcBad7 2 6 2" xfId="57205"/>
    <cellStyle name="SAPBEXexcBad7 2 6 2 2" xfId="57206"/>
    <cellStyle name="SAPBEXexcBad7 2 6 3" xfId="57207"/>
    <cellStyle name="SAPBEXexcBad7 2 7" xfId="57208"/>
    <cellStyle name="SAPBEXexcBad7 2 7 2" xfId="57209"/>
    <cellStyle name="SAPBEXexcBad7 2 7 2 2" xfId="57210"/>
    <cellStyle name="SAPBEXexcBad7 2 7 3" xfId="57211"/>
    <cellStyle name="SAPBEXexcBad7 2 8" xfId="57212"/>
    <cellStyle name="SAPBEXexcBad7 2 8 2" xfId="57213"/>
    <cellStyle name="SAPBEXexcBad7 2 8 2 2" xfId="57214"/>
    <cellStyle name="SAPBEXexcBad7 2 8 3" xfId="57215"/>
    <cellStyle name="SAPBEXexcBad7 2 9" xfId="57216"/>
    <cellStyle name="SAPBEXexcBad7 2 9 2" xfId="57217"/>
    <cellStyle name="SAPBEXexcBad7 3" xfId="57218"/>
    <cellStyle name="SAPBEXexcBad7 3 2" xfId="57219"/>
    <cellStyle name="SAPBEXexcBad7 3 2 2" xfId="57220"/>
    <cellStyle name="SAPBEXexcBad7 3 3" xfId="57221"/>
    <cellStyle name="SAPBEXexcBad7 4" xfId="57222"/>
    <cellStyle name="SAPBEXexcBad7 4 2" xfId="57223"/>
    <cellStyle name="SAPBEXexcBad7 4 2 2" xfId="57224"/>
    <cellStyle name="SAPBEXexcBad7 4 3" xfId="57225"/>
    <cellStyle name="SAPBEXexcBad7 5" xfId="57226"/>
    <cellStyle name="SAPBEXexcBad7 5 2" xfId="57227"/>
    <cellStyle name="SAPBEXexcBad7 5 2 2" xfId="57228"/>
    <cellStyle name="SAPBEXexcBad7 5 3" xfId="57229"/>
    <cellStyle name="SAPBEXexcBad7 6" xfId="57230"/>
    <cellStyle name="SAPBEXexcBad7 6 2" xfId="57231"/>
    <cellStyle name="SAPBEXexcBad7 6 2 2" xfId="57232"/>
    <cellStyle name="SAPBEXexcBad7 6 3" xfId="57233"/>
    <cellStyle name="SAPBEXexcBad7 7" xfId="57234"/>
    <cellStyle name="SAPBEXexcBad7 7 2" xfId="57235"/>
    <cellStyle name="SAPBEXexcBad7 7 2 2" xfId="57236"/>
    <cellStyle name="SAPBEXexcBad7 7 3" xfId="57237"/>
    <cellStyle name="SAPBEXexcBad7 8" xfId="57238"/>
    <cellStyle name="SAPBEXexcBad7 8 2" xfId="57239"/>
    <cellStyle name="SAPBEXexcBad7 8 2 2" xfId="57240"/>
    <cellStyle name="SAPBEXexcBad7 8 3" xfId="57241"/>
    <cellStyle name="SAPBEXexcBad7 9" xfId="57242"/>
    <cellStyle name="SAPBEXexcBad7 9 2" xfId="57243"/>
    <cellStyle name="SAPBEXexcBad7 9 2 2" xfId="57244"/>
    <cellStyle name="SAPBEXexcBad7 9 3" xfId="57245"/>
    <cellStyle name="SAPBEXexcBad8" xfId="57246"/>
    <cellStyle name="SAPBEXexcBad8 10" xfId="57247"/>
    <cellStyle name="SAPBEXexcBad8 10 2" xfId="57248"/>
    <cellStyle name="SAPBEXexcBad8 10 2 2" xfId="57249"/>
    <cellStyle name="SAPBEXexcBad8 10 3" xfId="57250"/>
    <cellStyle name="SAPBEXexcBad8 11" xfId="57251"/>
    <cellStyle name="SAPBEXexcBad8 11 2" xfId="57252"/>
    <cellStyle name="SAPBEXexcBad8 11 2 2" xfId="57253"/>
    <cellStyle name="SAPBEXexcBad8 11 3" xfId="57254"/>
    <cellStyle name="SAPBEXexcBad8 12" xfId="57255"/>
    <cellStyle name="SAPBEXexcBad8 12 2" xfId="57256"/>
    <cellStyle name="SAPBEXexcBad8 12 2 2" xfId="57257"/>
    <cellStyle name="SAPBEXexcBad8 12 3" xfId="57258"/>
    <cellStyle name="SAPBEXexcBad8 13" xfId="57259"/>
    <cellStyle name="SAPBEXexcBad8 13 2" xfId="57260"/>
    <cellStyle name="SAPBEXexcBad8 14" xfId="57261"/>
    <cellStyle name="SAPBEXexcBad8 2" xfId="57262"/>
    <cellStyle name="SAPBEXexcBad8 2 10" xfId="57263"/>
    <cellStyle name="SAPBEXexcBad8 2 2" xfId="57264"/>
    <cellStyle name="SAPBEXexcBad8 2 2 2" xfId="57265"/>
    <cellStyle name="SAPBEXexcBad8 2 2 2 2" xfId="57266"/>
    <cellStyle name="SAPBEXexcBad8 2 2 3" xfId="57267"/>
    <cellStyle name="SAPBEXexcBad8 2 3" xfId="57268"/>
    <cellStyle name="SAPBEXexcBad8 2 3 2" xfId="57269"/>
    <cellStyle name="SAPBEXexcBad8 2 3 2 2" xfId="57270"/>
    <cellStyle name="SAPBEXexcBad8 2 3 3" xfId="57271"/>
    <cellStyle name="SAPBEXexcBad8 2 4" xfId="57272"/>
    <cellStyle name="SAPBEXexcBad8 2 4 2" xfId="57273"/>
    <cellStyle name="SAPBEXexcBad8 2 4 2 2" xfId="57274"/>
    <cellStyle name="SAPBEXexcBad8 2 4 3" xfId="57275"/>
    <cellStyle name="SAPBEXexcBad8 2 5" xfId="57276"/>
    <cellStyle name="SAPBEXexcBad8 2 5 2" xfId="57277"/>
    <cellStyle name="SAPBEXexcBad8 2 5 2 2" xfId="57278"/>
    <cellStyle name="SAPBEXexcBad8 2 5 3" xfId="57279"/>
    <cellStyle name="SAPBEXexcBad8 2 6" xfId="57280"/>
    <cellStyle name="SAPBEXexcBad8 2 6 2" xfId="57281"/>
    <cellStyle name="SAPBEXexcBad8 2 6 2 2" xfId="57282"/>
    <cellStyle name="SAPBEXexcBad8 2 6 3" xfId="57283"/>
    <cellStyle name="SAPBEXexcBad8 2 7" xfId="57284"/>
    <cellStyle name="SAPBEXexcBad8 2 7 2" xfId="57285"/>
    <cellStyle name="SAPBEXexcBad8 2 7 2 2" xfId="57286"/>
    <cellStyle name="SAPBEXexcBad8 2 7 3" xfId="57287"/>
    <cellStyle name="SAPBEXexcBad8 2 8" xfId="57288"/>
    <cellStyle name="SAPBEXexcBad8 2 8 2" xfId="57289"/>
    <cellStyle name="SAPBEXexcBad8 2 8 2 2" xfId="57290"/>
    <cellStyle name="SAPBEXexcBad8 2 8 3" xfId="57291"/>
    <cellStyle name="SAPBEXexcBad8 2 9" xfId="57292"/>
    <cellStyle name="SAPBEXexcBad8 2 9 2" xfId="57293"/>
    <cellStyle name="SAPBEXexcBad8 3" xfId="57294"/>
    <cellStyle name="SAPBEXexcBad8 3 2" xfId="57295"/>
    <cellStyle name="SAPBEXexcBad8 3 2 2" xfId="57296"/>
    <cellStyle name="SAPBEXexcBad8 3 3" xfId="57297"/>
    <cellStyle name="SAPBEXexcBad8 4" xfId="57298"/>
    <cellStyle name="SAPBEXexcBad8 4 2" xfId="57299"/>
    <cellStyle name="SAPBEXexcBad8 4 2 2" xfId="57300"/>
    <cellStyle name="SAPBEXexcBad8 4 3" xfId="57301"/>
    <cellStyle name="SAPBEXexcBad8 5" xfId="57302"/>
    <cellStyle name="SAPBEXexcBad8 5 2" xfId="57303"/>
    <cellStyle name="SAPBEXexcBad8 5 2 2" xfId="57304"/>
    <cellStyle name="SAPBEXexcBad8 5 3" xfId="57305"/>
    <cellStyle name="SAPBEXexcBad8 6" xfId="57306"/>
    <cellStyle name="SAPBEXexcBad8 6 2" xfId="57307"/>
    <cellStyle name="SAPBEXexcBad8 6 2 2" xfId="57308"/>
    <cellStyle name="SAPBEXexcBad8 6 3" xfId="57309"/>
    <cellStyle name="SAPBEXexcBad8 7" xfId="57310"/>
    <cellStyle name="SAPBEXexcBad8 7 2" xfId="57311"/>
    <cellStyle name="SAPBEXexcBad8 7 2 2" xfId="57312"/>
    <cellStyle name="SAPBEXexcBad8 7 3" xfId="57313"/>
    <cellStyle name="SAPBEXexcBad8 8" xfId="57314"/>
    <cellStyle name="SAPBEXexcBad8 8 2" xfId="57315"/>
    <cellStyle name="SAPBEXexcBad8 8 2 2" xfId="57316"/>
    <cellStyle name="SAPBEXexcBad8 8 3" xfId="57317"/>
    <cellStyle name="SAPBEXexcBad8 9" xfId="57318"/>
    <cellStyle name="SAPBEXexcBad8 9 2" xfId="57319"/>
    <cellStyle name="SAPBEXexcBad8 9 2 2" xfId="57320"/>
    <cellStyle name="SAPBEXexcBad8 9 3" xfId="57321"/>
    <cellStyle name="SAPBEXexcBad9" xfId="57322"/>
    <cellStyle name="SAPBEXexcBad9 10" xfId="57323"/>
    <cellStyle name="SAPBEXexcBad9 10 2" xfId="57324"/>
    <cellStyle name="SAPBEXexcBad9 10 2 2" xfId="57325"/>
    <cellStyle name="SAPBEXexcBad9 10 3" xfId="57326"/>
    <cellStyle name="SAPBEXexcBad9 11" xfId="57327"/>
    <cellStyle name="SAPBEXexcBad9 11 2" xfId="57328"/>
    <cellStyle name="SAPBEXexcBad9 11 2 2" xfId="57329"/>
    <cellStyle name="SAPBEXexcBad9 11 3" xfId="57330"/>
    <cellStyle name="SAPBEXexcBad9 12" xfId="57331"/>
    <cellStyle name="SAPBEXexcBad9 12 2" xfId="57332"/>
    <cellStyle name="SAPBEXexcBad9 13" xfId="57333"/>
    <cellStyle name="SAPBEXexcBad9 2" xfId="57334"/>
    <cellStyle name="SAPBEXexcBad9 2 2" xfId="57335"/>
    <cellStyle name="SAPBEXexcBad9 2 2 2" xfId="57336"/>
    <cellStyle name="SAPBEXexcBad9 2 3" xfId="57337"/>
    <cellStyle name="SAPBEXexcBad9 3" xfId="57338"/>
    <cellStyle name="SAPBEXexcBad9 3 2" xfId="57339"/>
    <cellStyle name="SAPBEXexcBad9 3 2 2" xfId="57340"/>
    <cellStyle name="SAPBEXexcBad9 3 3" xfId="57341"/>
    <cellStyle name="SAPBEXexcBad9 4" xfId="57342"/>
    <cellStyle name="SAPBEXexcBad9 4 2" xfId="57343"/>
    <cellStyle name="SAPBEXexcBad9 4 2 2" xfId="57344"/>
    <cellStyle name="SAPBEXexcBad9 4 3" xfId="57345"/>
    <cellStyle name="SAPBEXexcBad9 5" xfId="57346"/>
    <cellStyle name="SAPBEXexcBad9 5 2" xfId="57347"/>
    <cellStyle name="SAPBEXexcBad9 5 2 2" xfId="57348"/>
    <cellStyle name="SAPBEXexcBad9 5 3" xfId="57349"/>
    <cellStyle name="SAPBEXexcBad9 6" xfId="57350"/>
    <cellStyle name="SAPBEXexcBad9 6 2" xfId="57351"/>
    <cellStyle name="SAPBEXexcBad9 6 2 2" xfId="57352"/>
    <cellStyle name="SAPBEXexcBad9 6 3" xfId="57353"/>
    <cellStyle name="SAPBEXexcBad9 7" xfId="57354"/>
    <cellStyle name="SAPBEXexcBad9 7 2" xfId="57355"/>
    <cellStyle name="SAPBEXexcBad9 7 2 2" xfId="57356"/>
    <cellStyle name="SAPBEXexcBad9 7 3" xfId="57357"/>
    <cellStyle name="SAPBEXexcBad9 8" xfId="57358"/>
    <cellStyle name="SAPBEXexcBad9 8 2" xfId="57359"/>
    <cellStyle name="SAPBEXexcBad9 8 2 2" xfId="57360"/>
    <cellStyle name="SAPBEXexcBad9 8 3" xfId="57361"/>
    <cellStyle name="SAPBEXexcBad9 9" xfId="57362"/>
    <cellStyle name="SAPBEXexcBad9 9 2" xfId="57363"/>
    <cellStyle name="SAPBEXexcBad9 9 2 2" xfId="57364"/>
    <cellStyle name="SAPBEXexcBad9 9 3" xfId="57365"/>
    <cellStyle name="SAPBEXexcCritical4" xfId="57366"/>
    <cellStyle name="SAPBEXexcCritical4 10" xfId="57367"/>
    <cellStyle name="SAPBEXexcCritical4 10 2" xfId="57368"/>
    <cellStyle name="SAPBEXexcCritical4 10 2 2" xfId="57369"/>
    <cellStyle name="SAPBEXexcCritical4 10 3" xfId="57370"/>
    <cellStyle name="SAPBEXexcCritical4 11" xfId="57371"/>
    <cellStyle name="SAPBEXexcCritical4 11 2" xfId="57372"/>
    <cellStyle name="SAPBEXexcCritical4 11 2 2" xfId="57373"/>
    <cellStyle name="SAPBEXexcCritical4 11 3" xfId="57374"/>
    <cellStyle name="SAPBEXexcCritical4 12" xfId="57375"/>
    <cellStyle name="SAPBEXexcCritical4 12 2" xfId="57376"/>
    <cellStyle name="SAPBEXexcCritical4 12 2 2" xfId="57377"/>
    <cellStyle name="SAPBEXexcCritical4 12 3" xfId="57378"/>
    <cellStyle name="SAPBEXexcCritical4 13" xfId="57379"/>
    <cellStyle name="SAPBEXexcCritical4 13 2" xfId="57380"/>
    <cellStyle name="SAPBEXexcCritical4 14" xfId="57381"/>
    <cellStyle name="SAPBEXexcCritical4 2" xfId="57382"/>
    <cellStyle name="SAPBEXexcCritical4 2 10" xfId="57383"/>
    <cellStyle name="SAPBEXexcCritical4 2 2" xfId="57384"/>
    <cellStyle name="SAPBEXexcCritical4 2 2 2" xfId="57385"/>
    <cellStyle name="SAPBEXexcCritical4 2 2 2 2" xfId="57386"/>
    <cellStyle name="SAPBEXexcCritical4 2 2 3" xfId="57387"/>
    <cellStyle name="SAPBEXexcCritical4 2 3" xfId="57388"/>
    <cellStyle name="SAPBEXexcCritical4 2 3 2" xfId="57389"/>
    <cellStyle name="SAPBEXexcCritical4 2 3 2 2" xfId="57390"/>
    <cellStyle name="SAPBEXexcCritical4 2 3 3" xfId="57391"/>
    <cellStyle name="SAPBEXexcCritical4 2 4" xfId="57392"/>
    <cellStyle name="SAPBEXexcCritical4 2 4 2" xfId="57393"/>
    <cellStyle name="SAPBEXexcCritical4 2 4 2 2" xfId="57394"/>
    <cellStyle name="SAPBEXexcCritical4 2 4 3" xfId="57395"/>
    <cellStyle name="SAPBEXexcCritical4 2 5" xfId="57396"/>
    <cellStyle name="SAPBEXexcCritical4 2 5 2" xfId="57397"/>
    <cellStyle name="SAPBEXexcCritical4 2 5 2 2" xfId="57398"/>
    <cellStyle name="SAPBEXexcCritical4 2 5 3" xfId="57399"/>
    <cellStyle name="SAPBEXexcCritical4 2 6" xfId="57400"/>
    <cellStyle name="SAPBEXexcCritical4 2 6 2" xfId="57401"/>
    <cellStyle name="SAPBEXexcCritical4 2 6 2 2" xfId="57402"/>
    <cellStyle name="SAPBEXexcCritical4 2 6 3" xfId="57403"/>
    <cellStyle name="SAPBEXexcCritical4 2 7" xfId="57404"/>
    <cellStyle name="SAPBEXexcCritical4 2 7 2" xfId="57405"/>
    <cellStyle name="SAPBEXexcCritical4 2 7 2 2" xfId="57406"/>
    <cellStyle name="SAPBEXexcCritical4 2 7 3" xfId="57407"/>
    <cellStyle name="SAPBEXexcCritical4 2 8" xfId="57408"/>
    <cellStyle name="SAPBEXexcCritical4 2 8 2" xfId="57409"/>
    <cellStyle name="SAPBEXexcCritical4 2 8 2 2" xfId="57410"/>
    <cellStyle name="SAPBEXexcCritical4 2 8 3" xfId="57411"/>
    <cellStyle name="SAPBEXexcCritical4 2 9" xfId="57412"/>
    <cellStyle name="SAPBEXexcCritical4 2 9 2" xfId="57413"/>
    <cellStyle name="SAPBEXexcCritical4 3" xfId="57414"/>
    <cellStyle name="SAPBEXexcCritical4 3 2" xfId="57415"/>
    <cellStyle name="SAPBEXexcCritical4 3 2 2" xfId="57416"/>
    <cellStyle name="SAPBEXexcCritical4 3 3" xfId="57417"/>
    <cellStyle name="SAPBEXexcCritical4 4" xfId="57418"/>
    <cellStyle name="SAPBEXexcCritical4 4 2" xfId="57419"/>
    <cellStyle name="SAPBEXexcCritical4 4 2 2" xfId="57420"/>
    <cellStyle name="SAPBEXexcCritical4 4 3" xfId="57421"/>
    <cellStyle name="SAPBEXexcCritical4 5" xfId="57422"/>
    <cellStyle name="SAPBEXexcCritical4 5 2" xfId="57423"/>
    <cellStyle name="SAPBEXexcCritical4 5 2 2" xfId="57424"/>
    <cellStyle name="SAPBEXexcCritical4 5 3" xfId="57425"/>
    <cellStyle name="SAPBEXexcCritical4 6" xfId="57426"/>
    <cellStyle name="SAPBEXexcCritical4 6 2" xfId="57427"/>
    <cellStyle name="SAPBEXexcCritical4 6 2 2" xfId="57428"/>
    <cellStyle name="SAPBEXexcCritical4 6 3" xfId="57429"/>
    <cellStyle name="SAPBEXexcCritical4 7" xfId="57430"/>
    <cellStyle name="SAPBEXexcCritical4 7 2" xfId="57431"/>
    <cellStyle name="SAPBEXexcCritical4 7 2 2" xfId="57432"/>
    <cellStyle name="SAPBEXexcCritical4 7 3" xfId="57433"/>
    <cellStyle name="SAPBEXexcCritical4 8" xfId="57434"/>
    <cellStyle name="SAPBEXexcCritical4 8 2" xfId="57435"/>
    <cellStyle name="SAPBEXexcCritical4 8 2 2" xfId="57436"/>
    <cellStyle name="SAPBEXexcCritical4 8 3" xfId="57437"/>
    <cellStyle name="SAPBEXexcCritical4 9" xfId="57438"/>
    <cellStyle name="SAPBEXexcCritical4 9 2" xfId="57439"/>
    <cellStyle name="SAPBEXexcCritical4 9 2 2" xfId="57440"/>
    <cellStyle name="SAPBEXexcCritical4 9 3" xfId="57441"/>
    <cellStyle name="SAPBEXexcCritical5" xfId="57442"/>
    <cellStyle name="SAPBEXexcCritical5 10" xfId="57443"/>
    <cellStyle name="SAPBEXexcCritical5 10 2" xfId="57444"/>
    <cellStyle name="SAPBEXexcCritical5 10 2 2" xfId="57445"/>
    <cellStyle name="SAPBEXexcCritical5 10 3" xfId="57446"/>
    <cellStyle name="SAPBEXexcCritical5 11" xfId="57447"/>
    <cellStyle name="SAPBEXexcCritical5 11 2" xfId="57448"/>
    <cellStyle name="SAPBEXexcCritical5 11 2 2" xfId="57449"/>
    <cellStyle name="SAPBEXexcCritical5 11 3" xfId="57450"/>
    <cellStyle name="SAPBEXexcCritical5 12" xfId="57451"/>
    <cellStyle name="SAPBEXexcCritical5 12 2" xfId="57452"/>
    <cellStyle name="SAPBEXexcCritical5 12 2 2" xfId="57453"/>
    <cellStyle name="SAPBEXexcCritical5 12 3" xfId="57454"/>
    <cellStyle name="SAPBEXexcCritical5 13" xfId="57455"/>
    <cellStyle name="SAPBEXexcCritical5 13 2" xfId="57456"/>
    <cellStyle name="SAPBEXexcCritical5 14" xfId="57457"/>
    <cellStyle name="SAPBEXexcCritical5 2" xfId="57458"/>
    <cellStyle name="SAPBEXexcCritical5 2 10" xfId="57459"/>
    <cellStyle name="SAPBEXexcCritical5 2 2" xfId="57460"/>
    <cellStyle name="SAPBEXexcCritical5 2 2 2" xfId="57461"/>
    <cellStyle name="SAPBEXexcCritical5 2 2 2 2" xfId="57462"/>
    <cellStyle name="SAPBEXexcCritical5 2 2 3" xfId="57463"/>
    <cellStyle name="SAPBEXexcCritical5 2 3" xfId="57464"/>
    <cellStyle name="SAPBEXexcCritical5 2 3 2" xfId="57465"/>
    <cellStyle name="SAPBEXexcCritical5 2 3 2 2" xfId="57466"/>
    <cellStyle name="SAPBEXexcCritical5 2 3 3" xfId="57467"/>
    <cellStyle name="SAPBEXexcCritical5 2 4" xfId="57468"/>
    <cellStyle name="SAPBEXexcCritical5 2 4 2" xfId="57469"/>
    <cellStyle name="SAPBEXexcCritical5 2 4 2 2" xfId="57470"/>
    <cellStyle name="SAPBEXexcCritical5 2 4 3" xfId="57471"/>
    <cellStyle name="SAPBEXexcCritical5 2 5" xfId="57472"/>
    <cellStyle name="SAPBEXexcCritical5 2 5 2" xfId="57473"/>
    <cellStyle name="SAPBEXexcCritical5 2 5 2 2" xfId="57474"/>
    <cellStyle name="SAPBEXexcCritical5 2 5 3" xfId="57475"/>
    <cellStyle name="SAPBEXexcCritical5 2 6" xfId="57476"/>
    <cellStyle name="SAPBEXexcCritical5 2 6 2" xfId="57477"/>
    <cellStyle name="SAPBEXexcCritical5 2 6 2 2" xfId="57478"/>
    <cellStyle name="SAPBEXexcCritical5 2 6 3" xfId="57479"/>
    <cellStyle name="SAPBEXexcCritical5 2 7" xfId="57480"/>
    <cellStyle name="SAPBEXexcCritical5 2 7 2" xfId="57481"/>
    <cellStyle name="SAPBEXexcCritical5 2 7 2 2" xfId="57482"/>
    <cellStyle name="SAPBEXexcCritical5 2 7 3" xfId="57483"/>
    <cellStyle name="SAPBEXexcCritical5 2 8" xfId="57484"/>
    <cellStyle name="SAPBEXexcCritical5 2 8 2" xfId="57485"/>
    <cellStyle name="SAPBEXexcCritical5 2 8 2 2" xfId="57486"/>
    <cellStyle name="SAPBEXexcCritical5 2 8 3" xfId="57487"/>
    <cellStyle name="SAPBEXexcCritical5 2 9" xfId="57488"/>
    <cellStyle name="SAPBEXexcCritical5 2 9 2" xfId="57489"/>
    <cellStyle name="SAPBEXexcCritical5 3" xfId="57490"/>
    <cellStyle name="SAPBEXexcCritical5 3 2" xfId="57491"/>
    <cellStyle name="SAPBEXexcCritical5 3 2 2" xfId="57492"/>
    <cellStyle name="SAPBEXexcCritical5 3 3" xfId="57493"/>
    <cellStyle name="SAPBEXexcCritical5 4" xfId="57494"/>
    <cellStyle name="SAPBEXexcCritical5 4 2" xfId="57495"/>
    <cellStyle name="SAPBEXexcCritical5 4 2 2" xfId="57496"/>
    <cellStyle name="SAPBEXexcCritical5 4 3" xfId="57497"/>
    <cellStyle name="SAPBEXexcCritical5 5" xfId="57498"/>
    <cellStyle name="SAPBEXexcCritical5 5 2" xfId="57499"/>
    <cellStyle name="SAPBEXexcCritical5 5 2 2" xfId="57500"/>
    <cellStyle name="SAPBEXexcCritical5 5 3" xfId="57501"/>
    <cellStyle name="SAPBEXexcCritical5 6" xfId="57502"/>
    <cellStyle name="SAPBEXexcCritical5 6 2" xfId="57503"/>
    <cellStyle name="SAPBEXexcCritical5 6 2 2" xfId="57504"/>
    <cellStyle name="SAPBEXexcCritical5 6 3" xfId="57505"/>
    <cellStyle name="SAPBEXexcCritical5 7" xfId="57506"/>
    <cellStyle name="SAPBEXexcCritical5 7 2" xfId="57507"/>
    <cellStyle name="SAPBEXexcCritical5 7 2 2" xfId="57508"/>
    <cellStyle name="SAPBEXexcCritical5 7 3" xfId="57509"/>
    <cellStyle name="SAPBEXexcCritical5 8" xfId="57510"/>
    <cellStyle name="SAPBEXexcCritical5 8 2" xfId="57511"/>
    <cellStyle name="SAPBEXexcCritical5 8 2 2" xfId="57512"/>
    <cellStyle name="SAPBEXexcCritical5 8 3" xfId="57513"/>
    <cellStyle name="SAPBEXexcCritical5 9" xfId="57514"/>
    <cellStyle name="SAPBEXexcCritical5 9 2" xfId="57515"/>
    <cellStyle name="SAPBEXexcCritical5 9 2 2" xfId="57516"/>
    <cellStyle name="SAPBEXexcCritical5 9 3" xfId="57517"/>
    <cellStyle name="SAPBEXexcCritical6" xfId="57518"/>
    <cellStyle name="SAPBEXexcCritical6 10" xfId="57519"/>
    <cellStyle name="SAPBEXexcCritical6 10 2" xfId="57520"/>
    <cellStyle name="SAPBEXexcCritical6 10 2 2" xfId="57521"/>
    <cellStyle name="SAPBEXexcCritical6 10 3" xfId="57522"/>
    <cellStyle name="SAPBEXexcCritical6 11" xfId="57523"/>
    <cellStyle name="SAPBEXexcCritical6 11 2" xfId="57524"/>
    <cellStyle name="SAPBEXexcCritical6 11 2 2" xfId="57525"/>
    <cellStyle name="SAPBEXexcCritical6 11 3" xfId="57526"/>
    <cellStyle name="SAPBEXexcCritical6 12" xfId="57527"/>
    <cellStyle name="SAPBEXexcCritical6 12 2" xfId="57528"/>
    <cellStyle name="SAPBEXexcCritical6 12 2 2" xfId="57529"/>
    <cellStyle name="SAPBEXexcCritical6 12 3" xfId="57530"/>
    <cellStyle name="SAPBEXexcCritical6 13" xfId="57531"/>
    <cellStyle name="SAPBEXexcCritical6 13 2" xfId="57532"/>
    <cellStyle name="SAPBEXexcCritical6 14" xfId="57533"/>
    <cellStyle name="SAPBEXexcCritical6 2" xfId="57534"/>
    <cellStyle name="SAPBEXexcCritical6 2 10" xfId="57535"/>
    <cellStyle name="SAPBEXexcCritical6 2 2" xfId="57536"/>
    <cellStyle name="SAPBEXexcCritical6 2 2 2" xfId="57537"/>
    <cellStyle name="SAPBEXexcCritical6 2 2 2 2" xfId="57538"/>
    <cellStyle name="SAPBEXexcCritical6 2 2 3" xfId="57539"/>
    <cellStyle name="SAPBEXexcCritical6 2 3" xfId="57540"/>
    <cellStyle name="SAPBEXexcCritical6 2 3 2" xfId="57541"/>
    <cellStyle name="SAPBEXexcCritical6 2 3 2 2" xfId="57542"/>
    <cellStyle name="SAPBEXexcCritical6 2 3 3" xfId="57543"/>
    <cellStyle name="SAPBEXexcCritical6 2 4" xfId="57544"/>
    <cellStyle name="SAPBEXexcCritical6 2 4 2" xfId="57545"/>
    <cellStyle name="SAPBEXexcCritical6 2 4 2 2" xfId="57546"/>
    <cellStyle name="SAPBEXexcCritical6 2 4 3" xfId="57547"/>
    <cellStyle name="SAPBEXexcCritical6 2 5" xfId="57548"/>
    <cellStyle name="SAPBEXexcCritical6 2 5 2" xfId="57549"/>
    <cellStyle name="SAPBEXexcCritical6 2 5 2 2" xfId="57550"/>
    <cellStyle name="SAPBEXexcCritical6 2 5 3" xfId="57551"/>
    <cellStyle name="SAPBEXexcCritical6 2 6" xfId="57552"/>
    <cellStyle name="SAPBEXexcCritical6 2 6 2" xfId="57553"/>
    <cellStyle name="SAPBEXexcCritical6 2 6 2 2" xfId="57554"/>
    <cellStyle name="SAPBEXexcCritical6 2 6 3" xfId="57555"/>
    <cellStyle name="SAPBEXexcCritical6 2 7" xfId="57556"/>
    <cellStyle name="SAPBEXexcCritical6 2 7 2" xfId="57557"/>
    <cellStyle name="SAPBEXexcCritical6 2 7 2 2" xfId="57558"/>
    <cellStyle name="SAPBEXexcCritical6 2 7 3" xfId="57559"/>
    <cellStyle name="SAPBEXexcCritical6 2 8" xfId="57560"/>
    <cellStyle name="SAPBEXexcCritical6 2 8 2" xfId="57561"/>
    <cellStyle name="SAPBEXexcCritical6 2 8 2 2" xfId="57562"/>
    <cellStyle name="SAPBEXexcCritical6 2 8 3" xfId="57563"/>
    <cellStyle name="SAPBEXexcCritical6 2 9" xfId="57564"/>
    <cellStyle name="SAPBEXexcCritical6 2 9 2" xfId="57565"/>
    <cellStyle name="SAPBEXexcCritical6 3" xfId="57566"/>
    <cellStyle name="SAPBEXexcCritical6 3 2" xfId="57567"/>
    <cellStyle name="SAPBEXexcCritical6 3 2 2" xfId="57568"/>
    <cellStyle name="SAPBEXexcCritical6 3 3" xfId="57569"/>
    <cellStyle name="SAPBEXexcCritical6 4" xfId="57570"/>
    <cellStyle name="SAPBEXexcCritical6 4 2" xfId="57571"/>
    <cellStyle name="SAPBEXexcCritical6 4 2 2" xfId="57572"/>
    <cellStyle name="SAPBEXexcCritical6 4 3" xfId="57573"/>
    <cellStyle name="SAPBEXexcCritical6 5" xfId="57574"/>
    <cellStyle name="SAPBEXexcCritical6 5 2" xfId="57575"/>
    <cellStyle name="SAPBEXexcCritical6 5 2 2" xfId="57576"/>
    <cellStyle name="SAPBEXexcCritical6 5 3" xfId="57577"/>
    <cellStyle name="SAPBEXexcCritical6 6" xfId="57578"/>
    <cellStyle name="SAPBEXexcCritical6 6 2" xfId="57579"/>
    <cellStyle name="SAPBEXexcCritical6 6 2 2" xfId="57580"/>
    <cellStyle name="SAPBEXexcCritical6 6 3" xfId="57581"/>
    <cellStyle name="SAPBEXexcCritical6 7" xfId="57582"/>
    <cellStyle name="SAPBEXexcCritical6 7 2" xfId="57583"/>
    <cellStyle name="SAPBEXexcCritical6 7 2 2" xfId="57584"/>
    <cellStyle name="SAPBEXexcCritical6 7 3" xfId="57585"/>
    <cellStyle name="SAPBEXexcCritical6 8" xfId="57586"/>
    <cellStyle name="SAPBEXexcCritical6 8 2" xfId="57587"/>
    <cellStyle name="SAPBEXexcCritical6 8 2 2" xfId="57588"/>
    <cellStyle name="SAPBEXexcCritical6 8 3" xfId="57589"/>
    <cellStyle name="SAPBEXexcCritical6 9" xfId="57590"/>
    <cellStyle name="SAPBEXexcCritical6 9 2" xfId="57591"/>
    <cellStyle name="SAPBEXexcCritical6 9 2 2" xfId="57592"/>
    <cellStyle name="SAPBEXexcCritical6 9 3" xfId="57593"/>
    <cellStyle name="SAPBEXexcGood1" xfId="57594"/>
    <cellStyle name="SAPBEXexcGood1 10" xfId="57595"/>
    <cellStyle name="SAPBEXexcGood1 10 2" xfId="57596"/>
    <cellStyle name="SAPBEXexcGood1 10 2 2" xfId="57597"/>
    <cellStyle name="SAPBEXexcGood1 10 3" xfId="57598"/>
    <cellStyle name="SAPBEXexcGood1 11" xfId="57599"/>
    <cellStyle name="SAPBEXexcGood1 11 2" xfId="57600"/>
    <cellStyle name="SAPBEXexcGood1 11 2 2" xfId="57601"/>
    <cellStyle name="SAPBEXexcGood1 11 3" xfId="57602"/>
    <cellStyle name="SAPBEXexcGood1 12" xfId="57603"/>
    <cellStyle name="SAPBEXexcGood1 12 2" xfId="57604"/>
    <cellStyle name="SAPBEXexcGood1 12 2 2" xfId="57605"/>
    <cellStyle name="SAPBEXexcGood1 12 3" xfId="57606"/>
    <cellStyle name="SAPBEXexcGood1 13" xfId="57607"/>
    <cellStyle name="SAPBEXexcGood1 13 2" xfId="57608"/>
    <cellStyle name="SAPBEXexcGood1 14" xfId="57609"/>
    <cellStyle name="SAPBEXexcGood1 2" xfId="57610"/>
    <cellStyle name="SAPBEXexcGood1 2 10" xfId="57611"/>
    <cellStyle name="SAPBEXexcGood1 2 2" xfId="57612"/>
    <cellStyle name="SAPBEXexcGood1 2 2 2" xfId="57613"/>
    <cellStyle name="SAPBEXexcGood1 2 2 2 2" xfId="57614"/>
    <cellStyle name="SAPBEXexcGood1 2 2 3" xfId="57615"/>
    <cellStyle name="SAPBEXexcGood1 2 3" xfId="57616"/>
    <cellStyle name="SAPBEXexcGood1 2 3 2" xfId="57617"/>
    <cellStyle name="SAPBEXexcGood1 2 3 2 2" xfId="57618"/>
    <cellStyle name="SAPBEXexcGood1 2 3 3" xfId="57619"/>
    <cellStyle name="SAPBEXexcGood1 2 4" xfId="57620"/>
    <cellStyle name="SAPBEXexcGood1 2 4 2" xfId="57621"/>
    <cellStyle name="SAPBEXexcGood1 2 4 2 2" xfId="57622"/>
    <cellStyle name="SAPBEXexcGood1 2 4 3" xfId="57623"/>
    <cellStyle name="SAPBEXexcGood1 2 5" xfId="57624"/>
    <cellStyle name="SAPBEXexcGood1 2 5 2" xfId="57625"/>
    <cellStyle name="SAPBEXexcGood1 2 5 2 2" xfId="57626"/>
    <cellStyle name="SAPBEXexcGood1 2 5 3" xfId="57627"/>
    <cellStyle name="SAPBEXexcGood1 2 6" xfId="57628"/>
    <cellStyle name="SAPBEXexcGood1 2 6 2" xfId="57629"/>
    <cellStyle name="SAPBEXexcGood1 2 6 2 2" xfId="57630"/>
    <cellStyle name="SAPBEXexcGood1 2 6 3" xfId="57631"/>
    <cellStyle name="SAPBEXexcGood1 2 7" xfId="57632"/>
    <cellStyle name="SAPBEXexcGood1 2 7 2" xfId="57633"/>
    <cellStyle name="SAPBEXexcGood1 2 7 2 2" xfId="57634"/>
    <cellStyle name="SAPBEXexcGood1 2 7 3" xfId="57635"/>
    <cellStyle name="SAPBEXexcGood1 2 8" xfId="57636"/>
    <cellStyle name="SAPBEXexcGood1 2 8 2" xfId="57637"/>
    <cellStyle name="SAPBEXexcGood1 2 8 2 2" xfId="57638"/>
    <cellStyle name="SAPBEXexcGood1 2 8 3" xfId="57639"/>
    <cellStyle name="SAPBEXexcGood1 2 9" xfId="57640"/>
    <cellStyle name="SAPBEXexcGood1 2 9 2" xfId="57641"/>
    <cellStyle name="SAPBEXexcGood1 3" xfId="57642"/>
    <cellStyle name="SAPBEXexcGood1 3 2" xfId="57643"/>
    <cellStyle name="SAPBEXexcGood1 3 2 2" xfId="57644"/>
    <cellStyle name="SAPBEXexcGood1 3 3" xfId="57645"/>
    <cellStyle name="SAPBEXexcGood1 4" xfId="57646"/>
    <cellStyle name="SAPBEXexcGood1 4 2" xfId="57647"/>
    <cellStyle name="SAPBEXexcGood1 4 2 2" xfId="57648"/>
    <cellStyle name="SAPBEXexcGood1 4 3" xfId="57649"/>
    <cellStyle name="SAPBEXexcGood1 5" xfId="57650"/>
    <cellStyle name="SAPBEXexcGood1 5 2" xfId="57651"/>
    <cellStyle name="SAPBEXexcGood1 5 2 2" xfId="57652"/>
    <cellStyle name="SAPBEXexcGood1 5 3" xfId="57653"/>
    <cellStyle name="SAPBEXexcGood1 6" xfId="57654"/>
    <cellStyle name="SAPBEXexcGood1 6 2" xfId="57655"/>
    <cellStyle name="SAPBEXexcGood1 6 2 2" xfId="57656"/>
    <cellStyle name="SAPBEXexcGood1 6 3" xfId="57657"/>
    <cellStyle name="SAPBEXexcGood1 7" xfId="57658"/>
    <cellStyle name="SAPBEXexcGood1 7 2" xfId="57659"/>
    <cellStyle name="SAPBEXexcGood1 7 2 2" xfId="57660"/>
    <cellStyle name="SAPBEXexcGood1 7 3" xfId="57661"/>
    <cellStyle name="SAPBEXexcGood1 8" xfId="57662"/>
    <cellStyle name="SAPBEXexcGood1 8 2" xfId="57663"/>
    <cellStyle name="SAPBEXexcGood1 8 2 2" xfId="57664"/>
    <cellStyle name="SAPBEXexcGood1 8 3" xfId="57665"/>
    <cellStyle name="SAPBEXexcGood1 9" xfId="57666"/>
    <cellStyle name="SAPBEXexcGood1 9 2" xfId="57667"/>
    <cellStyle name="SAPBEXexcGood1 9 2 2" xfId="57668"/>
    <cellStyle name="SAPBEXexcGood1 9 3" xfId="57669"/>
    <cellStyle name="SAPBEXexcGood2" xfId="57670"/>
    <cellStyle name="SAPBEXexcGood2 10" xfId="57671"/>
    <cellStyle name="SAPBEXexcGood2 10 2" xfId="57672"/>
    <cellStyle name="SAPBEXexcGood2 10 2 2" xfId="57673"/>
    <cellStyle name="SAPBEXexcGood2 10 3" xfId="57674"/>
    <cellStyle name="SAPBEXexcGood2 11" xfId="57675"/>
    <cellStyle name="SAPBEXexcGood2 11 2" xfId="57676"/>
    <cellStyle name="SAPBEXexcGood2 11 2 2" xfId="57677"/>
    <cellStyle name="SAPBEXexcGood2 11 3" xfId="57678"/>
    <cellStyle name="SAPBEXexcGood2 12" xfId="57679"/>
    <cellStyle name="SAPBEXexcGood2 12 2" xfId="57680"/>
    <cellStyle name="SAPBEXexcGood2 12 2 2" xfId="57681"/>
    <cellStyle name="SAPBEXexcGood2 12 3" xfId="57682"/>
    <cellStyle name="SAPBEXexcGood2 13" xfId="57683"/>
    <cellStyle name="SAPBEXexcGood2 13 2" xfId="57684"/>
    <cellStyle name="SAPBEXexcGood2 14" xfId="57685"/>
    <cellStyle name="SAPBEXexcGood2 2" xfId="57686"/>
    <cellStyle name="SAPBEXexcGood2 2 10" xfId="57687"/>
    <cellStyle name="SAPBEXexcGood2 2 2" xfId="57688"/>
    <cellStyle name="SAPBEXexcGood2 2 2 2" xfId="57689"/>
    <cellStyle name="SAPBEXexcGood2 2 2 2 2" xfId="57690"/>
    <cellStyle name="SAPBEXexcGood2 2 2 3" xfId="57691"/>
    <cellStyle name="SAPBEXexcGood2 2 3" xfId="57692"/>
    <cellStyle name="SAPBEXexcGood2 2 3 2" xfId="57693"/>
    <cellStyle name="SAPBEXexcGood2 2 3 2 2" xfId="57694"/>
    <cellStyle name="SAPBEXexcGood2 2 3 3" xfId="57695"/>
    <cellStyle name="SAPBEXexcGood2 2 4" xfId="57696"/>
    <cellStyle name="SAPBEXexcGood2 2 4 2" xfId="57697"/>
    <cellStyle name="SAPBEXexcGood2 2 4 2 2" xfId="57698"/>
    <cellStyle name="SAPBEXexcGood2 2 4 3" xfId="57699"/>
    <cellStyle name="SAPBEXexcGood2 2 5" xfId="57700"/>
    <cellStyle name="SAPBEXexcGood2 2 5 2" xfId="57701"/>
    <cellStyle name="SAPBEXexcGood2 2 5 2 2" xfId="57702"/>
    <cellStyle name="SAPBEXexcGood2 2 5 3" xfId="57703"/>
    <cellStyle name="SAPBEXexcGood2 2 6" xfId="57704"/>
    <cellStyle name="SAPBEXexcGood2 2 6 2" xfId="57705"/>
    <cellStyle name="SAPBEXexcGood2 2 6 2 2" xfId="57706"/>
    <cellStyle name="SAPBEXexcGood2 2 6 3" xfId="57707"/>
    <cellStyle name="SAPBEXexcGood2 2 7" xfId="57708"/>
    <cellStyle name="SAPBEXexcGood2 2 7 2" xfId="57709"/>
    <cellStyle name="SAPBEXexcGood2 2 7 2 2" xfId="57710"/>
    <cellStyle name="SAPBEXexcGood2 2 7 3" xfId="57711"/>
    <cellStyle name="SAPBEXexcGood2 2 8" xfId="57712"/>
    <cellStyle name="SAPBEXexcGood2 2 8 2" xfId="57713"/>
    <cellStyle name="SAPBEXexcGood2 2 8 2 2" xfId="57714"/>
    <cellStyle name="SAPBEXexcGood2 2 8 3" xfId="57715"/>
    <cellStyle name="SAPBEXexcGood2 2 9" xfId="57716"/>
    <cellStyle name="SAPBEXexcGood2 2 9 2" xfId="57717"/>
    <cellStyle name="SAPBEXexcGood2 3" xfId="57718"/>
    <cellStyle name="SAPBEXexcGood2 3 2" xfId="57719"/>
    <cellStyle name="SAPBEXexcGood2 3 2 2" xfId="57720"/>
    <cellStyle name="SAPBEXexcGood2 3 3" xfId="57721"/>
    <cellStyle name="SAPBEXexcGood2 4" xfId="57722"/>
    <cellStyle name="SAPBEXexcGood2 4 2" xfId="57723"/>
    <cellStyle name="SAPBEXexcGood2 4 2 2" xfId="57724"/>
    <cellStyle name="SAPBEXexcGood2 4 3" xfId="57725"/>
    <cellStyle name="SAPBEXexcGood2 5" xfId="57726"/>
    <cellStyle name="SAPBEXexcGood2 5 2" xfId="57727"/>
    <cellStyle name="SAPBEXexcGood2 5 2 2" xfId="57728"/>
    <cellStyle name="SAPBEXexcGood2 5 3" xfId="57729"/>
    <cellStyle name="SAPBEXexcGood2 6" xfId="57730"/>
    <cellStyle name="SAPBEXexcGood2 6 2" xfId="57731"/>
    <cellStyle name="SAPBEXexcGood2 6 2 2" xfId="57732"/>
    <cellStyle name="SAPBEXexcGood2 6 3" xfId="57733"/>
    <cellStyle name="SAPBEXexcGood2 7" xfId="57734"/>
    <cellStyle name="SAPBEXexcGood2 7 2" xfId="57735"/>
    <cellStyle name="SAPBEXexcGood2 7 2 2" xfId="57736"/>
    <cellStyle name="SAPBEXexcGood2 7 3" xfId="57737"/>
    <cellStyle name="SAPBEXexcGood2 8" xfId="57738"/>
    <cellStyle name="SAPBEXexcGood2 8 2" xfId="57739"/>
    <cellStyle name="SAPBEXexcGood2 8 2 2" xfId="57740"/>
    <cellStyle name="SAPBEXexcGood2 8 3" xfId="57741"/>
    <cellStyle name="SAPBEXexcGood2 9" xfId="57742"/>
    <cellStyle name="SAPBEXexcGood2 9 2" xfId="57743"/>
    <cellStyle name="SAPBEXexcGood2 9 2 2" xfId="57744"/>
    <cellStyle name="SAPBEXexcGood2 9 3" xfId="57745"/>
    <cellStyle name="SAPBEXexcGood3" xfId="57746"/>
    <cellStyle name="SAPBEXexcGood3 10" xfId="57747"/>
    <cellStyle name="SAPBEXexcGood3 10 2" xfId="57748"/>
    <cellStyle name="SAPBEXexcGood3 10 2 2" xfId="57749"/>
    <cellStyle name="SAPBEXexcGood3 10 3" xfId="57750"/>
    <cellStyle name="SAPBEXexcGood3 11" xfId="57751"/>
    <cellStyle name="SAPBEXexcGood3 11 2" xfId="57752"/>
    <cellStyle name="SAPBEXexcGood3 11 2 2" xfId="57753"/>
    <cellStyle name="SAPBEXexcGood3 11 3" xfId="57754"/>
    <cellStyle name="SAPBEXexcGood3 12" xfId="57755"/>
    <cellStyle name="SAPBEXexcGood3 12 2" xfId="57756"/>
    <cellStyle name="SAPBEXexcGood3 12 2 2" xfId="57757"/>
    <cellStyle name="SAPBEXexcGood3 12 3" xfId="57758"/>
    <cellStyle name="SAPBEXexcGood3 13" xfId="57759"/>
    <cellStyle name="SAPBEXexcGood3 13 2" xfId="57760"/>
    <cellStyle name="SAPBEXexcGood3 14" xfId="57761"/>
    <cellStyle name="SAPBEXexcGood3 2" xfId="57762"/>
    <cellStyle name="SAPBEXexcGood3 2 10" xfId="57763"/>
    <cellStyle name="SAPBEXexcGood3 2 2" xfId="57764"/>
    <cellStyle name="SAPBEXexcGood3 2 2 2" xfId="57765"/>
    <cellStyle name="SAPBEXexcGood3 2 2 2 2" xfId="57766"/>
    <cellStyle name="SAPBEXexcGood3 2 2 3" xfId="57767"/>
    <cellStyle name="SAPBEXexcGood3 2 3" xfId="57768"/>
    <cellStyle name="SAPBEXexcGood3 2 3 2" xfId="57769"/>
    <cellStyle name="SAPBEXexcGood3 2 3 2 2" xfId="57770"/>
    <cellStyle name="SAPBEXexcGood3 2 3 3" xfId="57771"/>
    <cellStyle name="SAPBEXexcGood3 2 4" xfId="57772"/>
    <cellStyle name="SAPBEXexcGood3 2 4 2" xfId="57773"/>
    <cellStyle name="SAPBEXexcGood3 2 4 2 2" xfId="57774"/>
    <cellStyle name="SAPBEXexcGood3 2 4 3" xfId="57775"/>
    <cellStyle name="SAPBEXexcGood3 2 5" xfId="57776"/>
    <cellStyle name="SAPBEXexcGood3 2 5 2" xfId="57777"/>
    <cellStyle name="SAPBEXexcGood3 2 5 2 2" xfId="57778"/>
    <cellStyle name="SAPBEXexcGood3 2 5 3" xfId="57779"/>
    <cellStyle name="SAPBEXexcGood3 2 6" xfId="57780"/>
    <cellStyle name="SAPBEXexcGood3 2 6 2" xfId="57781"/>
    <cellStyle name="SAPBEXexcGood3 2 6 2 2" xfId="57782"/>
    <cellStyle name="SAPBEXexcGood3 2 6 3" xfId="57783"/>
    <cellStyle name="SAPBEXexcGood3 2 7" xfId="57784"/>
    <cellStyle name="SAPBEXexcGood3 2 7 2" xfId="57785"/>
    <cellStyle name="SAPBEXexcGood3 2 7 2 2" xfId="57786"/>
    <cellStyle name="SAPBEXexcGood3 2 7 3" xfId="57787"/>
    <cellStyle name="SAPBEXexcGood3 2 8" xfId="57788"/>
    <cellStyle name="SAPBEXexcGood3 2 8 2" xfId="57789"/>
    <cellStyle name="SAPBEXexcGood3 2 8 2 2" xfId="57790"/>
    <cellStyle name="SAPBEXexcGood3 2 8 3" xfId="57791"/>
    <cellStyle name="SAPBEXexcGood3 2 9" xfId="57792"/>
    <cellStyle name="SAPBEXexcGood3 2 9 2" xfId="57793"/>
    <cellStyle name="SAPBEXexcGood3 3" xfId="57794"/>
    <cellStyle name="SAPBEXexcGood3 3 2" xfId="57795"/>
    <cellStyle name="SAPBEXexcGood3 3 2 2" xfId="57796"/>
    <cellStyle name="SAPBEXexcGood3 3 3" xfId="57797"/>
    <cellStyle name="SAPBEXexcGood3 4" xfId="57798"/>
    <cellStyle name="SAPBEXexcGood3 4 2" xfId="57799"/>
    <cellStyle name="SAPBEXexcGood3 4 2 2" xfId="57800"/>
    <cellStyle name="SAPBEXexcGood3 4 3" xfId="57801"/>
    <cellStyle name="SAPBEXexcGood3 5" xfId="57802"/>
    <cellStyle name="SAPBEXexcGood3 5 2" xfId="57803"/>
    <cellStyle name="SAPBEXexcGood3 5 2 2" xfId="57804"/>
    <cellStyle name="SAPBEXexcGood3 5 3" xfId="57805"/>
    <cellStyle name="SAPBEXexcGood3 6" xfId="57806"/>
    <cellStyle name="SAPBEXexcGood3 6 2" xfId="57807"/>
    <cellStyle name="SAPBEXexcGood3 6 2 2" xfId="57808"/>
    <cellStyle name="SAPBEXexcGood3 6 3" xfId="57809"/>
    <cellStyle name="SAPBEXexcGood3 7" xfId="57810"/>
    <cellStyle name="SAPBEXexcGood3 7 2" xfId="57811"/>
    <cellStyle name="SAPBEXexcGood3 7 2 2" xfId="57812"/>
    <cellStyle name="SAPBEXexcGood3 7 3" xfId="57813"/>
    <cellStyle name="SAPBEXexcGood3 8" xfId="57814"/>
    <cellStyle name="SAPBEXexcGood3 8 2" xfId="57815"/>
    <cellStyle name="SAPBEXexcGood3 8 2 2" xfId="57816"/>
    <cellStyle name="SAPBEXexcGood3 8 3" xfId="57817"/>
    <cellStyle name="SAPBEXexcGood3 9" xfId="57818"/>
    <cellStyle name="SAPBEXexcGood3 9 2" xfId="57819"/>
    <cellStyle name="SAPBEXexcGood3 9 2 2" xfId="57820"/>
    <cellStyle name="SAPBEXexcGood3 9 3" xfId="57821"/>
    <cellStyle name="SAPBEXfilterDrill" xfId="57822"/>
    <cellStyle name="SAPBEXfilterDrill 2" xfId="57823"/>
    <cellStyle name="SAPBEXfilterDrill 2 2" xfId="57824"/>
    <cellStyle name="SAPBEXfilterDrill 3" xfId="57825"/>
    <cellStyle name="SAPBEXfilterDrill 3 2" xfId="57826"/>
    <cellStyle name="SAPBEXfilterDrill 4" xfId="57827"/>
    <cellStyle name="SAPBEXfilterDrill 5" xfId="57828"/>
    <cellStyle name="SAPBEXfilterDrill 6" xfId="57829"/>
    <cellStyle name="SAPBEXfilterDrill 7" xfId="57830"/>
    <cellStyle name="SAPBEXfilterDrill 8" xfId="57831"/>
    <cellStyle name="SAPBEXfilterDrill 9" xfId="57832"/>
    <cellStyle name="SAPBEXfilterItem" xfId="57833"/>
    <cellStyle name="SAPBEXfilterItem 2" xfId="57834"/>
    <cellStyle name="SAPBEXfilterItem 3" xfId="57835"/>
    <cellStyle name="SAPBEXfilterItem 4" xfId="57836"/>
    <cellStyle name="SAPBEXfilterItem 5" xfId="57837"/>
    <cellStyle name="SAPBEXfilterItem 6" xfId="57838"/>
    <cellStyle name="SAPBEXfilterItem 7" xfId="57839"/>
    <cellStyle name="SAPBEXfilterItem 8" xfId="57840"/>
    <cellStyle name="SAPBEXfilterItem 9" xfId="57841"/>
    <cellStyle name="SAPBEXfilterText" xfId="57842"/>
    <cellStyle name="SAPBEXfilterText 2" xfId="57843"/>
    <cellStyle name="SAPBEXfilterText 3" xfId="57844"/>
    <cellStyle name="SAPBEXformats" xfId="57845"/>
    <cellStyle name="SAPBEXformats 10" xfId="57846"/>
    <cellStyle name="SAPBEXformats 10 2" xfId="57847"/>
    <cellStyle name="SAPBEXformats 10 2 2" xfId="57848"/>
    <cellStyle name="SAPBEXformats 10 3" xfId="57849"/>
    <cellStyle name="SAPBEXformats 11" xfId="57850"/>
    <cellStyle name="SAPBEXformats 11 2" xfId="57851"/>
    <cellStyle name="SAPBEXformats 11 2 2" xfId="57852"/>
    <cellStyle name="SAPBEXformats 11 3" xfId="57853"/>
    <cellStyle name="SAPBEXformats 12" xfId="57854"/>
    <cellStyle name="SAPBEXformats 12 2" xfId="57855"/>
    <cellStyle name="SAPBEXformats 12 2 2" xfId="57856"/>
    <cellStyle name="SAPBEXformats 12 3" xfId="57857"/>
    <cellStyle name="SAPBEXformats 13" xfId="57858"/>
    <cellStyle name="SAPBEXformats 13 2" xfId="57859"/>
    <cellStyle name="SAPBEXformats 14" xfId="57860"/>
    <cellStyle name="SAPBEXformats 2" xfId="57861"/>
    <cellStyle name="SAPBEXformats 2 10" xfId="57862"/>
    <cellStyle name="SAPBEXformats 2 2" xfId="57863"/>
    <cellStyle name="SAPBEXformats 2 2 2" xfId="57864"/>
    <cellStyle name="SAPBEXformats 2 2 2 2" xfId="57865"/>
    <cellStyle name="SAPBEXformats 2 2 3" xfId="57866"/>
    <cellStyle name="SAPBEXformats 2 3" xfId="57867"/>
    <cellStyle name="SAPBEXformats 2 3 2" xfId="57868"/>
    <cellStyle name="SAPBEXformats 2 3 2 2" xfId="57869"/>
    <cellStyle name="SAPBEXformats 2 3 3" xfId="57870"/>
    <cellStyle name="SAPBEXformats 2 4" xfId="57871"/>
    <cellStyle name="SAPBEXformats 2 4 2" xfId="57872"/>
    <cellStyle name="SAPBEXformats 2 4 2 2" xfId="57873"/>
    <cellStyle name="SAPBEXformats 2 4 3" xfId="57874"/>
    <cellStyle name="SAPBEXformats 2 5" xfId="57875"/>
    <cellStyle name="SAPBEXformats 2 5 2" xfId="57876"/>
    <cellStyle name="SAPBEXformats 2 5 2 2" xfId="57877"/>
    <cellStyle name="SAPBEXformats 2 5 3" xfId="57878"/>
    <cellStyle name="SAPBEXformats 2 6" xfId="57879"/>
    <cellStyle name="SAPBEXformats 2 6 2" xfId="57880"/>
    <cellStyle name="SAPBEXformats 2 6 2 2" xfId="57881"/>
    <cellStyle name="SAPBEXformats 2 6 3" xfId="57882"/>
    <cellStyle name="SAPBEXformats 2 7" xfId="57883"/>
    <cellStyle name="SAPBEXformats 2 7 2" xfId="57884"/>
    <cellStyle name="SAPBEXformats 2 7 2 2" xfId="57885"/>
    <cellStyle name="SAPBEXformats 2 7 3" xfId="57886"/>
    <cellStyle name="SAPBEXformats 2 8" xfId="57887"/>
    <cellStyle name="SAPBEXformats 2 8 2" xfId="57888"/>
    <cellStyle name="SAPBEXformats 2 8 2 2" xfId="57889"/>
    <cellStyle name="SAPBEXformats 2 8 3" xfId="57890"/>
    <cellStyle name="SAPBEXformats 2 9" xfId="57891"/>
    <cellStyle name="SAPBEXformats 2 9 2" xfId="57892"/>
    <cellStyle name="SAPBEXformats 3" xfId="57893"/>
    <cellStyle name="SAPBEXformats 3 2" xfId="57894"/>
    <cellStyle name="SAPBEXformats 3 2 2" xfId="57895"/>
    <cellStyle name="SAPBEXformats 3 3" xfId="57896"/>
    <cellStyle name="SAPBEXformats 4" xfId="57897"/>
    <cellStyle name="SAPBEXformats 4 2" xfId="57898"/>
    <cellStyle name="SAPBEXformats 4 2 2" xfId="57899"/>
    <cellStyle name="SAPBEXformats 4 3" xfId="57900"/>
    <cellStyle name="SAPBEXformats 5" xfId="57901"/>
    <cellStyle name="SAPBEXformats 5 2" xfId="57902"/>
    <cellStyle name="SAPBEXformats 5 2 2" xfId="57903"/>
    <cellStyle name="SAPBEXformats 5 3" xfId="57904"/>
    <cellStyle name="SAPBEXformats 6" xfId="57905"/>
    <cellStyle name="SAPBEXformats 6 2" xfId="57906"/>
    <cellStyle name="SAPBEXformats 6 2 2" xfId="57907"/>
    <cellStyle name="SAPBEXformats 6 3" xfId="57908"/>
    <cellStyle name="SAPBEXformats 7" xfId="57909"/>
    <cellStyle name="SAPBEXformats 7 2" xfId="57910"/>
    <cellStyle name="SAPBEXformats 7 2 2" xfId="57911"/>
    <cellStyle name="SAPBEXformats 7 3" xfId="57912"/>
    <cellStyle name="SAPBEXformats 8" xfId="57913"/>
    <cellStyle name="SAPBEXformats 8 2" xfId="57914"/>
    <cellStyle name="SAPBEXformats 8 2 2" xfId="57915"/>
    <cellStyle name="SAPBEXformats 8 3" xfId="57916"/>
    <cellStyle name="SAPBEXformats 9" xfId="57917"/>
    <cellStyle name="SAPBEXformats 9 2" xfId="57918"/>
    <cellStyle name="SAPBEXformats 9 2 2" xfId="57919"/>
    <cellStyle name="SAPBEXformats 9 3" xfId="57920"/>
    <cellStyle name="SAPBEXheaderItem" xfId="57921"/>
    <cellStyle name="SAPBEXheaderItem 2" xfId="57922"/>
    <cellStyle name="SAPBEXheaderText" xfId="57923"/>
    <cellStyle name="SAPBEXheaderText 2" xfId="57924"/>
    <cellStyle name="SAPBEXHLevel0" xfId="57925"/>
    <cellStyle name="SAPBEXHLevel0X" xfId="57926"/>
    <cellStyle name="SAPBEXHLevel1" xfId="57927"/>
    <cellStyle name="SAPBEXHLevel1X" xfId="57928"/>
    <cellStyle name="SAPBEXHLevel2" xfId="57929"/>
    <cellStyle name="SAPBEXHLevel2X" xfId="57930"/>
    <cellStyle name="SAPBEXHLevel3" xfId="57931"/>
    <cellStyle name="SAPBEXHLevel3X" xfId="57932"/>
    <cellStyle name="SAPBEXinputData" xfId="57933"/>
    <cellStyle name="SAPBEXinputData 2" xfId="57934"/>
    <cellStyle name="SAPBEXItemHeader" xfId="57935"/>
    <cellStyle name="SAPBEXresData" xfId="57936"/>
    <cellStyle name="SAPBEXresData 10" xfId="57937"/>
    <cellStyle name="SAPBEXresData 10 2" xfId="57938"/>
    <cellStyle name="SAPBEXresData 10 2 2" xfId="57939"/>
    <cellStyle name="SAPBEXresData 10 3" xfId="57940"/>
    <cellStyle name="SAPBEXresData 11" xfId="57941"/>
    <cellStyle name="SAPBEXresData 11 2" xfId="57942"/>
    <cellStyle name="SAPBEXresData 11 2 2" xfId="57943"/>
    <cellStyle name="SAPBEXresData 11 3" xfId="57944"/>
    <cellStyle name="SAPBEXresData 12" xfId="57945"/>
    <cellStyle name="SAPBEXresData 12 2" xfId="57946"/>
    <cellStyle name="SAPBEXresData 12 2 2" xfId="57947"/>
    <cellStyle name="SAPBEXresData 12 3" xfId="57948"/>
    <cellStyle name="SAPBEXresData 13" xfId="57949"/>
    <cellStyle name="SAPBEXresData 13 2" xfId="57950"/>
    <cellStyle name="SAPBEXresData 14" xfId="57951"/>
    <cellStyle name="SAPBEXresData 2" xfId="57952"/>
    <cellStyle name="SAPBEXresData 2 10" xfId="57953"/>
    <cellStyle name="SAPBEXresData 2 2" xfId="57954"/>
    <cellStyle name="SAPBEXresData 2 2 2" xfId="57955"/>
    <cellStyle name="SAPBEXresData 2 2 2 2" xfId="57956"/>
    <cellStyle name="SAPBEXresData 2 2 3" xfId="57957"/>
    <cellStyle name="SAPBEXresData 2 3" xfId="57958"/>
    <cellStyle name="SAPBEXresData 2 3 2" xfId="57959"/>
    <cellStyle name="SAPBEXresData 2 3 2 2" xfId="57960"/>
    <cellStyle name="SAPBEXresData 2 3 3" xfId="57961"/>
    <cellStyle name="SAPBEXresData 2 4" xfId="57962"/>
    <cellStyle name="SAPBEXresData 2 4 2" xfId="57963"/>
    <cellStyle name="SAPBEXresData 2 4 2 2" xfId="57964"/>
    <cellStyle name="SAPBEXresData 2 4 3" xfId="57965"/>
    <cellStyle name="SAPBEXresData 2 5" xfId="57966"/>
    <cellStyle name="SAPBEXresData 2 5 2" xfId="57967"/>
    <cellStyle name="SAPBEXresData 2 5 2 2" xfId="57968"/>
    <cellStyle name="SAPBEXresData 2 5 3" xfId="57969"/>
    <cellStyle name="SAPBEXresData 2 6" xfId="57970"/>
    <cellStyle name="SAPBEXresData 2 6 2" xfId="57971"/>
    <cellStyle name="SAPBEXresData 2 6 2 2" xfId="57972"/>
    <cellStyle name="SAPBEXresData 2 6 3" xfId="57973"/>
    <cellStyle name="SAPBEXresData 2 7" xfId="57974"/>
    <cellStyle name="SAPBEXresData 2 7 2" xfId="57975"/>
    <cellStyle name="SAPBEXresData 2 7 2 2" xfId="57976"/>
    <cellStyle name="SAPBEXresData 2 7 3" xfId="57977"/>
    <cellStyle name="SAPBEXresData 2 8" xfId="57978"/>
    <cellStyle name="SAPBEXresData 2 8 2" xfId="57979"/>
    <cellStyle name="SAPBEXresData 2 8 2 2" xfId="57980"/>
    <cellStyle name="SAPBEXresData 2 8 3" xfId="57981"/>
    <cellStyle name="SAPBEXresData 2 9" xfId="57982"/>
    <cellStyle name="SAPBEXresData 2 9 2" xfId="57983"/>
    <cellStyle name="SAPBEXresData 3" xfId="57984"/>
    <cellStyle name="SAPBEXresData 3 2" xfId="57985"/>
    <cellStyle name="SAPBEXresData 3 2 2" xfId="57986"/>
    <cellStyle name="SAPBEXresData 3 3" xfId="57987"/>
    <cellStyle name="SAPBEXresData 4" xfId="57988"/>
    <cellStyle name="SAPBEXresData 4 2" xfId="57989"/>
    <cellStyle name="SAPBEXresData 4 2 2" xfId="57990"/>
    <cellStyle name="SAPBEXresData 4 3" xfId="57991"/>
    <cellStyle name="SAPBEXresData 5" xfId="57992"/>
    <cellStyle name="SAPBEXresData 5 2" xfId="57993"/>
    <cellStyle name="SAPBEXresData 5 2 2" xfId="57994"/>
    <cellStyle name="SAPBEXresData 5 3" xfId="57995"/>
    <cellStyle name="SAPBEXresData 6" xfId="57996"/>
    <cellStyle name="SAPBEXresData 6 2" xfId="57997"/>
    <cellStyle name="SAPBEXresData 6 2 2" xfId="57998"/>
    <cellStyle name="SAPBEXresData 6 3" xfId="57999"/>
    <cellStyle name="SAPBEXresData 7" xfId="58000"/>
    <cellStyle name="SAPBEXresData 7 2" xfId="58001"/>
    <cellStyle name="SAPBEXresData 7 2 2" xfId="58002"/>
    <cellStyle name="SAPBEXresData 7 3" xfId="58003"/>
    <cellStyle name="SAPBEXresData 8" xfId="58004"/>
    <cellStyle name="SAPBEXresData 8 2" xfId="58005"/>
    <cellStyle name="SAPBEXresData 8 2 2" xfId="58006"/>
    <cellStyle name="SAPBEXresData 8 3" xfId="58007"/>
    <cellStyle name="SAPBEXresData 9" xfId="58008"/>
    <cellStyle name="SAPBEXresData 9 2" xfId="58009"/>
    <cellStyle name="SAPBEXresData 9 2 2" xfId="58010"/>
    <cellStyle name="SAPBEXresData 9 3" xfId="58011"/>
    <cellStyle name="SAPBEXresDataEmph" xfId="58012"/>
    <cellStyle name="SAPBEXresDataEmph 10" xfId="58013"/>
    <cellStyle name="SAPBEXresDataEmph 10 2" xfId="58014"/>
    <cellStyle name="SAPBEXresDataEmph 10 2 2" xfId="58015"/>
    <cellStyle name="SAPBEXresDataEmph 10 3" xfId="58016"/>
    <cellStyle name="SAPBEXresDataEmph 11" xfId="58017"/>
    <cellStyle name="SAPBEXresDataEmph 11 2" xfId="58018"/>
    <cellStyle name="SAPBEXresDataEmph 11 2 2" xfId="58019"/>
    <cellStyle name="SAPBEXresDataEmph 11 3" xfId="58020"/>
    <cellStyle name="SAPBEXresDataEmph 12" xfId="58021"/>
    <cellStyle name="SAPBEXresDataEmph 12 2" xfId="58022"/>
    <cellStyle name="SAPBEXresDataEmph 13" xfId="58023"/>
    <cellStyle name="SAPBEXresDataEmph 2" xfId="58024"/>
    <cellStyle name="SAPBEXresDataEmph 2 2" xfId="58025"/>
    <cellStyle name="SAPBEXresDataEmph 2 2 2" xfId="58026"/>
    <cellStyle name="SAPBEXresDataEmph 2 3" xfId="58027"/>
    <cellStyle name="SAPBEXresDataEmph 3" xfId="58028"/>
    <cellStyle name="SAPBEXresDataEmph 3 2" xfId="58029"/>
    <cellStyle name="SAPBEXresDataEmph 3 2 2" xfId="58030"/>
    <cellStyle name="SAPBEXresDataEmph 3 3" xfId="58031"/>
    <cellStyle name="SAPBEXresDataEmph 4" xfId="58032"/>
    <cellStyle name="SAPBEXresDataEmph 4 2" xfId="58033"/>
    <cellStyle name="SAPBEXresDataEmph 4 2 2" xfId="58034"/>
    <cellStyle name="SAPBEXresDataEmph 4 3" xfId="58035"/>
    <cellStyle name="SAPBEXresDataEmph 5" xfId="58036"/>
    <cellStyle name="SAPBEXresDataEmph 5 2" xfId="58037"/>
    <cellStyle name="SAPBEXresDataEmph 5 2 2" xfId="58038"/>
    <cellStyle name="SAPBEXresDataEmph 5 3" xfId="58039"/>
    <cellStyle name="SAPBEXresDataEmph 6" xfId="58040"/>
    <cellStyle name="SAPBEXresDataEmph 6 2" xfId="58041"/>
    <cellStyle name="SAPBEXresDataEmph 6 2 2" xfId="58042"/>
    <cellStyle name="SAPBEXresDataEmph 6 3" xfId="58043"/>
    <cellStyle name="SAPBEXresDataEmph 7" xfId="58044"/>
    <cellStyle name="SAPBEXresDataEmph 7 2" xfId="58045"/>
    <cellStyle name="SAPBEXresDataEmph 7 2 2" xfId="58046"/>
    <cellStyle name="SAPBEXresDataEmph 7 3" xfId="58047"/>
    <cellStyle name="SAPBEXresDataEmph 8" xfId="58048"/>
    <cellStyle name="SAPBEXresDataEmph 8 2" xfId="58049"/>
    <cellStyle name="SAPBEXresDataEmph 8 2 2" xfId="58050"/>
    <cellStyle name="SAPBEXresDataEmph 8 3" xfId="58051"/>
    <cellStyle name="SAPBEXresDataEmph 9" xfId="58052"/>
    <cellStyle name="SAPBEXresDataEmph 9 2" xfId="58053"/>
    <cellStyle name="SAPBEXresDataEmph 9 2 2" xfId="58054"/>
    <cellStyle name="SAPBEXresDataEmph 9 3" xfId="58055"/>
    <cellStyle name="SAPBEXresItem" xfId="58056"/>
    <cellStyle name="SAPBEXresItem 10" xfId="58057"/>
    <cellStyle name="SAPBEXresItem 10 2" xfId="58058"/>
    <cellStyle name="SAPBEXresItem 10 2 2" xfId="58059"/>
    <cellStyle name="SAPBEXresItem 10 3" xfId="58060"/>
    <cellStyle name="SAPBEXresItem 11" xfId="58061"/>
    <cellStyle name="SAPBEXresItem 11 2" xfId="58062"/>
    <cellStyle name="SAPBEXresItem 11 2 2" xfId="58063"/>
    <cellStyle name="SAPBEXresItem 11 3" xfId="58064"/>
    <cellStyle name="SAPBEXresItem 12" xfId="58065"/>
    <cellStyle name="SAPBEXresItem 12 2" xfId="58066"/>
    <cellStyle name="SAPBEXresItem 12 2 2" xfId="58067"/>
    <cellStyle name="SAPBEXresItem 12 3" xfId="58068"/>
    <cellStyle name="SAPBEXresItem 13" xfId="58069"/>
    <cellStyle name="SAPBEXresItem 13 2" xfId="58070"/>
    <cellStyle name="SAPBEXresItem 14" xfId="58071"/>
    <cellStyle name="SAPBEXresItem 2" xfId="58072"/>
    <cellStyle name="SAPBEXresItem 2 10" xfId="58073"/>
    <cellStyle name="SAPBEXresItem 2 2" xfId="58074"/>
    <cellStyle name="SAPBEXresItem 2 2 2" xfId="58075"/>
    <cellStyle name="SAPBEXresItem 2 2 2 2" xfId="58076"/>
    <cellStyle name="SAPBEXresItem 2 2 3" xfId="58077"/>
    <cellStyle name="SAPBEXresItem 2 3" xfId="58078"/>
    <cellStyle name="SAPBEXresItem 2 3 2" xfId="58079"/>
    <cellStyle name="SAPBEXresItem 2 3 2 2" xfId="58080"/>
    <cellStyle name="SAPBEXresItem 2 3 3" xfId="58081"/>
    <cellStyle name="SAPBEXresItem 2 4" xfId="58082"/>
    <cellStyle name="SAPBEXresItem 2 4 2" xfId="58083"/>
    <cellStyle name="SAPBEXresItem 2 4 2 2" xfId="58084"/>
    <cellStyle name="SAPBEXresItem 2 4 3" xfId="58085"/>
    <cellStyle name="SAPBEXresItem 2 5" xfId="58086"/>
    <cellStyle name="SAPBEXresItem 2 5 2" xfId="58087"/>
    <cellStyle name="SAPBEXresItem 2 5 2 2" xfId="58088"/>
    <cellStyle name="SAPBEXresItem 2 5 3" xfId="58089"/>
    <cellStyle name="SAPBEXresItem 2 6" xfId="58090"/>
    <cellStyle name="SAPBEXresItem 2 6 2" xfId="58091"/>
    <cellStyle name="SAPBEXresItem 2 6 2 2" xfId="58092"/>
    <cellStyle name="SAPBEXresItem 2 6 3" xfId="58093"/>
    <cellStyle name="SAPBEXresItem 2 7" xfId="58094"/>
    <cellStyle name="SAPBEXresItem 2 7 2" xfId="58095"/>
    <cellStyle name="SAPBEXresItem 2 7 2 2" xfId="58096"/>
    <cellStyle name="SAPBEXresItem 2 7 3" xfId="58097"/>
    <cellStyle name="SAPBEXresItem 2 8" xfId="58098"/>
    <cellStyle name="SAPBEXresItem 2 8 2" xfId="58099"/>
    <cellStyle name="SAPBEXresItem 2 8 2 2" xfId="58100"/>
    <cellStyle name="SAPBEXresItem 2 8 3" xfId="58101"/>
    <cellStyle name="SAPBEXresItem 2 9" xfId="58102"/>
    <cellStyle name="SAPBEXresItem 2 9 2" xfId="58103"/>
    <cellStyle name="SAPBEXresItem 3" xfId="58104"/>
    <cellStyle name="SAPBEXresItem 3 2" xfId="58105"/>
    <cellStyle name="SAPBEXresItem 3 2 2" xfId="58106"/>
    <cellStyle name="SAPBEXresItem 3 3" xfId="58107"/>
    <cellStyle name="SAPBEXresItem 4" xfId="58108"/>
    <cellStyle name="SAPBEXresItem 4 2" xfId="58109"/>
    <cellStyle name="SAPBEXresItem 4 2 2" xfId="58110"/>
    <cellStyle name="SAPBEXresItem 4 3" xfId="58111"/>
    <cellStyle name="SAPBEXresItem 5" xfId="58112"/>
    <cellStyle name="SAPBEXresItem 5 2" xfId="58113"/>
    <cellStyle name="SAPBEXresItem 5 2 2" xfId="58114"/>
    <cellStyle name="SAPBEXresItem 5 3" xfId="58115"/>
    <cellStyle name="SAPBEXresItem 6" xfId="58116"/>
    <cellStyle name="SAPBEXresItem 6 2" xfId="58117"/>
    <cellStyle name="SAPBEXresItem 6 2 2" xfId="58118"/>
    <cellStyle name="SAPBEXresItem 6 3" xfId="58119"/>
    <cellStyle name="SAPBEXresItem 7" xfId="58120"/>
    <cellStyle name="SAPBEXresItem 7 2" xfId="58121"/>
    <cellStyle name="SAPBEXresItem 7 2 2" xfId="58122"/>
    <cellStyle name="SAPBEXresItem 7 3" xfId="58123"/>
    <cellStyle name="SAPBEXresItem 8" xfId="58124"/>
    <cellStyle name="SAPBEXresItem 8 2" xfId="58125"/>
    <cellStyle name="SAPBEXresItem 8 2 2" xfId="58126"/>
    <cellStyle name="SAPBEXresItem 8 3" xfId="58127"/>
    <cellStyle name="SAPBEXresItem 9" xfId="58128"/>
    <cellStyle name="SAPBEXresItem 9 2" xfId="58129"/>
    <cellStyle name="SAPBEXresItem 9 2 2" xfId="58130"/>
    <cellStyle name="SAPBEXresItem 9 3" xfId="58131"/>
    <cellStyle name="SAPBEXresItemX" xfId="58132"/>
    <cellStyle name="SAPBEXstdData" xfId="58133"/>
    <cellStyle name="SAPBEXstdData 10" xfId="58134"/>
    <cellStyle name="SAPBEXstdData 10 2" xfId="58135"/>
    <cellStyle name="SAPBEXstdData 10 2 2" xfId="58136"/>
    <cellStyle name="SAPBEXstdData 10 3" xfId="58137"/>
    <cellStyle name="SAPBEXstdData 11" xfId="58138"/>
    <cellStyle name="SAPBEXstdData 11 2" xfId="58139"/>
    <cellStyle name="SAPBEXstdData 11 2 2" xfId="58140"/>
    <cellStyle name="SAPBEXstdData 11 3" xfId="58141"/>
    <cellStyle name="SAPBEXstdData 12" xfId="58142"/>
    <cellStyle name="SAPBEXstdData 12 2" xfId="58143"/>
    <cellStyle name="SAPBEXstdData 13" xfId="58144"/>
    <cellStyle name="SAPBEXstdData 2" xfId="58145"/>
    <cellStyle name="SAPBEXstdData 2 2" xfId="58146"/>
    <cellStyle name="SAPBEXstdData 2 2 2" xfId="58147"/>
    <cellStyle name="SAPBEXstdData 2 3" xfId="58148"/>
    <cellStyle name="SAPBEXstdData 3" xfId="58149"/>
    <cellStyle name="SAPBEXstdData 3 2" xfId="58150"/>
    <cellStyle name="SAPBEXstdData 3 2 2" xfId="58151"/>
    <cellStyle name="SAPBEXstdData 3 3" xfId="58152"/>
    <cellStyle name="SAPBEXstdData 4" xfId="58153"/>
    <cellStyle name="SAPBEXstdData 4 2" xfId="58154"/>
    <cellStyle name="SAPBEXstdData 4 2 2" xfId="58155"/>
    <cellStyle name="SAPBEXstdData 4 3" xfId="58156"/>
    <cellStyle name="SAPBEXstdData 5" xfId="58157"/>
    <cellStyle name="SAPBEXstdData 5 2" xfId="58158"/>
    <cellStyle name="SAPBEXstdData 5 2 2" xfId="58159"/>
    <cellStyle name="SAPBEXstdData 5 3" xfId="58160"/>
    <cellStyle name="SAPBEXstdData 6" xfId="58161"/>
    <cellStyle name="SAPBEXstdData 6 2" xfId="58162"/>
    <cellStyle name="SAPBEXstdData 6 2 2" xfId="58163"/>
    <cellStyle name="SAPBEXstdData 6 3" xfId="58164"/>
    <cellStyle name="SAPBEXstdData 7" xfId="58165"/>
    <cellStyle name="SAPBEXstdData 7 2" xfId="58166"/>
    <cellStyle name="SAPBEXstdData 7 2 2" xfId="58167"/>
    <cellStyle name="SAPBEXstdData 7 3" xfId="58168"/>
    <cellStyle name="SAPBEXstdData 8" xfId="58169"/>
    <cellStyle name="SAPBEXstdData 8 2" xfId="58170"/>
    <cellStyle name="SAPBEXstdData 8 2 2" xfId="58171"/>
    <cellStyle name="SAPBEXstdData 8 3" xfId="58172"/>
    <cellStyle name="SAPBEXstdData 9" xfId="58173"/>
    <cellStyle name="SAPBEXstdData 9 2" xfId="58174"/>
    <cellStyle name="SAPBEXstdData 9 2 2" xfId="58175"/>
    <cellStyle name="SAPBEXstdData 9 3" xfId="58176"/>
    <cellStyle name="SAPBEXstdDataEmph" xfId="58177"/>
    <cellStyle name="SAPBEXstdDataEmph 10" xfId="58178"/>
    <cellStyle name="SAPBEXstdDataEmph 10 2" xfId="58179"/>
    <cellStyle name="SAPBEXstdDataEmph 10 2 2" xfId="58180"/>
    <cellStyle name="SAPBEXstdDataEmph 10 3" xfId="58181"/>
    <cellStyle name="SAPBEXstdDataEmph 11" xfId="58182"/>
    <cellStyle name="SAPBEXstdDataEmph 11 2" xfId="58183"/>
    <cellStyle name="SAPBEXstdDataEmph 11 2 2" xfId="58184"/>
    <cellStyle name="SAPBEXstdDataEmph 11 3" xfId="58185"/>
    <cellStyle name="SAPBEXstdDataEmph 12" xfId="58186"/>
    <cellStyle name="SAPBEXstdDataEmph 12 2" xfId="58187"/>
    <cellStyle name="SAPBEXstdDataEmph 13" xfId="58188"/>
    <cellStyle name="SAPBEXstdDataEmph 2" xfId="58189"/>
    <cellStyle name="SAPBEXstdDataEmph 2 2" xfId="58190"/>
    <cellStyle name="SAPBEXstdDataEmph 2 2 2" xfId="58191"/>
    <cellStyle name="SAPBEXstdDataEmph 2 3" xfId="58192"/>
    <cellStyle name="SAPBEXstdDataEmph 3" xfId="58193"/>
    <cellStyle name="SAPBEXstdDataEmph 3 2" xfId="58194"/>
    <cellStyle name="SAPBEXstdDataEmph 3 2 2" xfId="58195"/>
    <cellStyle name="SAPBEXstdDataEmph 3 3" xfId="58196"/>
    <cellStyle name="SAPBEXstdDataEmph 4" xfId="58197"/>
    <cellStyle name="SAPBEXstdDataEmph 4 2" xfId="58198"/>
    <cellStyle name="SAPBEXstdDataEmph 4 2 2" xfId="58199"/>
    <cellStyle name="SAPBEXstdDataEmph 4 3" xfId="58200"/>
    <cellStyle name="SAPBEXstdDataEmph 5" xfId="58201"/>
    <cellStyle name="SAPBEXstdDataEmph 5 2" xfId="58202"/>
    <cellStyle name="SAPBEXstdDataEmph 5 2 2" xfId="58203"/>
    <cellStyle name="SAPBEXstdDataEmph 5 3" xfId="58204"/>
    <cellStyle name="SAPBEXstdDataEmph 6" xfId="58205"/>
    <cellStyle name="SAPBEXstdDataEmph 6 2" xfId="58206"/>
    <cellStyle name="SAPBEXstdDataEmph 6 2 2" xfId="58207"/>
    <cellStyle name="SAPBEXstdDataEmph 6 3" xfId="58208"/>
    <cellStyle name="SAPBEXstdDataEmph 7" xfId="58209"/>
    <cellStyle name="SAPBEXstdDataEmph 7 2" xfId="58210"/>
    <cellStyle name="SAPBEXstdDataEmph 7 2 2" xfId="58211"/>
    <cellStyle name="SAPBEXstdDataEmph 7 3" xfId="58212"/>
    <cellStyle name="SAPBEXstdDataEmph 8" xfId="58213"/>
    <cellStyle name="SAPBEXstdDataEmph 8 2" xfId="58214"/>
    <cellStyle name="SAPBEXstdDataEmph 8 2 2" xfId="58215"/>
    <cellStyle name="SAPBEXstdDataEmph 8 3" xfId="58216"/>
    <cellStyle name="SAPBEXstdDataEmph 9" xfId="58217"/>
    <cellStyle name="SAPBEXstdDataEmph 9 2" xfId="58218"/>
    <cellStyle name="SAPBEXstdDataEmph 9 2 2" xfId="58219"/>
    <cellStyle name="SAPBEXstdDataEmph 9 3" xfId="58220"/>
    <cellStyle name="SAPBEXstdItem" xfId="58221"/>
    <cellStyle name="SAPBEXstdItem 10" xfId="58222"/>
    <cellStyle name="SAPBEXstdItem 10 2" xfId="58223"/>
    <cellStyle name="SAPBEXstdItem 10 2 2" xfId="58224"/>
    <cellStyle name="SAPBEXstdItem 10 3" xfId="58225"/>
    <cellStyle name="SAPBEXstdItem 11" xfId="58226"/>
    <cellStyle name="SAPBEXstdItem 11 2" xfId="58227"/>
    <cellStyle name="SAPBEXstdItem 11 2 2" xfId="58228"/>
    <cellStyle name="SAPBEXstdItem 11 3" xfId="58229"/>
    <cellStyle name="SAPBEXstdItem 12" xfId="58230"/>
    <cellStyle name="SAPBEXstdItem 12 2" xfId="58231"/>
    <cellStyle name="SAPBEXstdItem 13" xfId="58232"/>
    <cellStyle name="SAPBEXstdItem 2" xfId="58233"/>
    <cellStyle name="SAPBEXstdItem 2 2" xfId="58234"/>
    <cellStyle name="SAPBEXstdItem 2 2 2" xfId="58235"/>
    <cellStyle name="SAPBEXstdItem 2 3" xfId="58236"/>
    <cellStyle name="SAPBEXstdItem 3" xfId="58237"/>
    <cellStyle name="SAPBEXstdItem 3 2" xfId="58238"/>
    <cellStyle name="SAPBEXstdItem 3 2 2" xfId="58239"/>
    <cellStyle name="SAPBEXstdItem 3 3" xfId="58240"/>
    <cellStyle name="SAPBEXstdItem 4" xfId="58241"/>
    <cellStyle name="SAPBEXstdItem 4 2" xfId="58242"/>
    <cellStyle name="SAPBEXstdItem 4 2 2" xfId="58243"/>
    <cellStyle name="SAPBEXstdItem 4 3" xfId="58244"/>
    <cellStyle name="SAPBEXstdItem 5" xfId="58245"/>
    <cellStyle name="SAPBEXstdItem 5 2" xfId="58246"/>
    <cellStyle name="SAPBEXstdItem 5 2 2" xfId="58247"/>
    <cellStyle name="SAPBEXstdItem 5 3" xfId="58248"/>
    <cellStyle name="SAPBEXstdItem 6" xfId="58249"/>
    <cellStyle name="SAPBEXstdItem 6 2" xfId="58250"/>
    <cellStyle name="SAPBEXstdItem 6 2 2" xfId="58251"/>
    <cellStyle name="SAPBEXstdItem 6 3" xfId="58252"/>
    <cellStyle name="SAPBEXstdItem 7" xfId="58253"/>
    <cellStyle name="SAPBEXstdItem 7 2" xfId="58254"/>
    <cellStyle name="SAPBEXstdItem 7 2 2" xfId="58255"/>
    <cellStyle name="SAPBEXstdItem 7 3" xfId="58256"/>
    <cellStyle name="SAPBEXstdItem 8" xfId="58257"/>
    <cellStyle name="SAPBEXstdItem 8 2" xfId="58258"/>
    <cellStyle name="SAPBEXstdItem 8 2 2" xfId="58259"/>
    <cellStyle name="SAPBEXstdItem 8 3" xfId="58260"/>
    <cellStyle name="SAPBEXstdItem 9" xfId="58261"/>
    <cellStyle name="SAPBEXstdItem 9 2" xfId="58262"/>
    <cellStyle name="SAPBEXstdItem 9 2 2" xfId="58263"/>
    <cellStyle name="SAPBEXstdItem 9 3" xfId="58264"/>
    <cellStyle name="SAPBEXstdItemX" xfId="58265"/>
    <cellStyle name="SAPBEXtitle" xfId="58266"/>
    <cellStyle name="SAPBEXtitle 10" xfId="58267"/>
    <cellStyle name="SAPBEXtitle 10 2" xfId="58268"/>
    <cellStyle name="SAPBEXtitle 10 2 2" xfId="58269"/>
    <cellStyle name="SAPBEXtitle 10 3" xfId="58270"/>
    <cellStyle name="SAPBEXtitle 11" xfId="58271"/>
    <cellStyle name="SAPBEXtitle 11 2" xfId="58272"/>
    <cellStyle name="SAPBEXtitle 11 2 2" xfId="58273"/>
    <cellStyle name="SAPBEXtitle 11 3" xfId="58274"/>
    <cellStyle name="SAPBEXtitle 12" xfId="58275"/>
    <cellStyle name="SAPBEXtitle 12 2" xfId="58276"/>
    <cellStyle name="SAPBEXtitle 13" xfId="58277"/>
    <cellStyle name="SAPBEXtitle 2" xfId="58278"/>
    <cellStyle name="SAPBEXtitle 2 2" xfId="58279"/>
    <cellStyle name="SAPBEXtitle 2 2 2" xfId="58280"/>
    <cellStyle name="SAPBEXtitle 2 3" xfId="58281"/>
    <cellStyle name="SAPBEXtitle 3" xfId="58282"/>
    <cellStyle name="SAPBEXtitle 3 2" xfId="58283"/>
    <cellStyle name="SAPBEXtitle 3 2 2" xfId="58284"/>
    <cellStyle name="SAPBEXtitle 3 3" xfId="58285"/>
    <cellStyle name="SAPBEXtitle 4" xfId="58286"/>
    <cellStyle name="SAPBEXtitle 4 2" xfId="58287"/>
    <cellStyle name="SAPBEXtitle 4 2 2" xfId="58288"/>
    <cellStyle name="SAPBEXtitle 4 3" xfId="58289"/>
    <cellStyle name="SAPBEXtitle 5" xfId="58290"/>
    <cellStyle name="SAPBEXtitle 5 2" xfId="58291"/>
    <cellStyle name="SAPBEXtitle 5 2 2" xfId="58292"/>
    <cellStyle name="SAPBEXtitle 5 3" xfId="58293"/>
    <cellStyle name="SAPBEXtitle 6" xfId="58294"/>
    <cellStyle name="SAPBEXtitle 6 2" xfId="58295"/>
    <cellStyle name="SAPBEXtitle 6 2 2" xfId="58296"/>
    <cellStyle name="SAPBEXtitle 6 3" xfId="58297"/>
    <cellStyle name="SAPBEXtitle 7" xfId="58298"/>
    <cellStyle name="SAPBEXtitle 7 2" xfId="58299"/>
    <cellStyle name="SAPBEXtitle 7 2 2" xfId="58300"/>
    <cellStyle name="SAPBEXtitle 7 3" xfId="58301"/>
    <cellStyle name="SAPBEXtitle 8" xfId="58302"/>
    <cellStyle name="SAPBEXtitle 8 2" xfId="58303"/>
    <cellStyle name="SAPBEXtitle 8 2 2" xfId="58304"/>
    <cellStyle name="SAPBEXtitle 8 3" xfId="58305"/>
    <cellStyle name="SAPBEXtitle 9" xfId="58306"/>
    <cellStyle name="SAPBEXtitle 9 2" xfId="58307"/>
    <cellStyle name="SAPBEXtitle 9 2 2" xfId="58308"/>
    <cellStyle name="SAPBEXtitle 9 3" xfId="58309"/>
    <cellStyle name="SAPBEXunassignedItem" xfId="58310"/>
    <cellStyle name="SAPBEXundefined" xfId="58311"/>
    <cellStyle name="SAPBEXundefined 10" xfId="58312"/>
    <cellStyle name="SAPBEXundefined 10 2" xfId="58313"/>
    <cellStyle name="SAPBEXundefined 10 2 2" xfId="58314"/>
    <cellStyle name="SAPBEXundefined 10 3" xfId="58315"/>
    <cellStyle name="SAPBEXundefined 11" xfId="58316"/>
    <cellStyle name="SAPBEXundefined 11 2" xfId="58317"/>
    <cellStyle name="SAPBEXundefined 11 2 2" xfId="58318"/>
    <cellStyle name="SAPBEXundefined 11 3" xfId="58319"/>
    <cellStyle name="SAPBEXundefined 12" xfId="58320"/>
    <cellStyle name="SAPBEXundefined 12 2" xfId="58321"/>
    <cellStyle name="SAPBEXundefined 13" xfId="58322"/>
    <cellStyle name="SAPBEXundefined 2" xfId="58323"/>
    <cellStyle name="SAPBEXundefined 2 2" xfId="58324"/>
    <cellStyle name="SAPBEXundefined 2 2 2" xfId="58325"/>
    <cellStyle name="SAPBEXundefined 2 3" xfId="58326"/>
    <cellStyle name="SAPBEXundefined 3" xfId="58327"/>
    <cellStyle name="SAPBEXundefined 3 2" xfId="58328"/>
    <cellStyle name="SAPBEXundefined 3 2 2" xfId="58329"/>
    <cellStyle name="SAPBEXundefined 3 3" xfId="58330"/>
    <cellStyle name="SAPBEXundefined 4" xfId="58331"/>
    <cellStyle name="SAPBEXundefined 4 2" xfId="58332"/>
    <cellStyle name="SAPBEXundefined 4 2 2" xfId="58333"/>
    <cellStyle name="SAPBEXundefined 4 3" xfId="58334"/>
    <cellStyle name="SAPBEXundefined 5" xfId="58335"/>
    <cellStyle name="SAPBEXundefined 5 2" xfId="58336"/>
    <cellStyle name="SAPBEXundefined 5 2 2" xfId="58337"/>
    <cellStyle name="SAPBEXundefined 5 3" xfId="58338"/>
    <cellStyle name="SAPBEXundefined 6" xfId="58339"/>
    <cellStyle name="SAPBEXundefined 6 2" xfId="58340"/>
    <cellStyle name="SAPBEXundefined 6 2 2" xfId="58341"/>
    <cellStyle name="SAPBEXundefined 6 3" xfId="58342"/>
    <cellStyle name="SAPBEXundefined 7" xfId="58343"/>
    <cellStyle name="SAPBEXundefined 7 2" xfId="58344"/>
    <cellStyle name="SAPBEXundefined 7 2 2" xfId="58345"/>
    <cellStyle name="SAPBEXundefined 7 3" xfId="58346"/>
    <cellStyle name="SAPBEXundefined 8" xfId="58347"/>
    <cellStyle name="SAPBEXundefined 8 2" xfId="58348"/>
    <cellStyle name="SAPBEXundefined 8 2 2" xfId="58349"/>
    <cellStyle name="SAPBEXundefined 8 3" xfId="58350"/>
    <cellStyle name="SAPBEXundefined 9" xfId="58351"/>
    <cellStyle name="SAPBEXundefined 9 2" xfId="58352"/>
    <cellStyle name="SAPBEXundefined 9 2 2" xfId="58353"/>
    <cellStyle name="SAPBEXundefined 9 3" xfId="58354"/>
    <cellStyle name="SHARON" xfId="58355"/>
    <cellStyle name="Sheet Title" xfId="58356"/>
    <cellStyle name="Short $" xfId="58357"/>
    <cellStyle name="spcblack" xfId="58358"/>
    <cellStyle name="status" xfId="58359"/>
    <cellStyle name="status 2" xfId="58360"/>
    <cellStyle name="status 2 2" xfId="58361"/>
    <cellStyle name="status 2 2 2" xfId="58362"/>
    <cellStyle name="status 2 2 2 2" xfId="58363"/>
    <cellStyle name="status 2 2 2 3" xfId="58364"/>
    <cellStyle name="status 2 2 3" xfId="58365"/>
    <cellStyle name="status 2 2 4" xfId="58366"/>
    <cellStyle name="status 2 3" xfId="58367"/>
    <cellStyle name="status 2 3 2" xfId="58368"/>
    <cellStyle name="status 2 3 3" xfId="58369"/>
    <cellStyle name="status 2 4" xfId="58370"/>
    <cellStyle name="status 2 5" xfId="58371"/>
    <cellStyle name="status 3" xfId="58372"/>
    <cellStyle name="status 3 2" xfId="58373"/>
    <cellStyle name="status 3 3" xfId="58374"/>
    <cellStyle name="status 4" xfId="58375"/>
    <cellStyle name="status 5" xfId="58376"/>
    <cellStyle name="Style 1" xfId="58377"/>
    <cellStyle name="Style 10" xfId="58378"/>
    <cellStyle name="Style 10 10" xfId="58379"/>
    <cellStyle name="Style 10 11" xfId="58380"/>
    <cellStyle name="Style 10 12" xfId="58381"/>
    <cellStyle name="Style 10 2" xfId="58382"/>
    <cellStyle name="Style 10 2 2" xfId="58383"/>
    <cellStyle name="Style 10 2 2 2" xfId="58384"/>
    <cellStyle name="Style 10 2 2 2 2" xfId="58385"/>
    <cellStyle name="Style 10 2 2 2 3" xfId="58386"/>
    <cellStyle name="Style 10 2 2 3" xfId="58387"/>
    <cellStyle name="Style 10 2 2 3 2" xfId="58388"/>
    <cellStyle name="Style 10 2 2 3 3" xfId="58389"/>
    <cellStyle name="Style 10 2 2 4" xfId="58390"/>
    <cellStyle name="Style 10 2 2 5" xfId="58391"/>
    <cellStyle name="Style 10 2 3" xfId="58392"/>
    <cellStyle name="Style 10 2 3 2" xfId="58393"/>
    <cellStyle name="Style 10 2 3 3" xfId="58394"/>
    <cellStyle name="Style 10 2 4" xfId="58395"/>
    <cellStyle name="Style 10 2 4 2" xfId="58396"/>
    <cellStyle name="Style 10 2 4 3" xfId="58397"/>
    <cellStyle name="Style 10 2 5" xfId="58398"/>
    <cellStyle name="Style 10 2 6" xfId="58399"/>
    <cellStyle name="Style 10 3" xfId="58400"/>
    <cellStyle name="Style 10 3 2" xfId="58401"/>
    <cellStyle name="Style 10 3 2 2" xfId="58402"/>
    <cellStyle name="Style 10 3 2 3" xfId="58403"/>
    <cellStyle name="Style 10 3 3" xfId="58404"/>
    <cellStyle name="Style 10 3 3 2" xfId="58405"/>
    <cellStyle name="Style 10 3 3 3" xfId="58406"/>
    <cellStyle name="Style 10 3 4" xfId="58407"/>
    <cellStyle name="Style 10 3 5" xfId="58408"/>
    <cellStyle name="Style 10 4" xfId="58409"/>
    <cellStyle name="Style 10 4 2" xfId="58410"/>
    <cellStyle name="Style 10 4 2 2" xfId="58411"/>
    <cellStyle name="Style 10 4 2 2 2" xfId="58412"/>
    <cellStyle name="Style 10 4 2 2 3" xfId="58413"/>
    <cellStyle name="Style 10 4 2 3" xfId="58414"/>
    <cellStyle name="Style 10 4 2 3 2" xfId="58415"/>
    <cellStyle name="Style 10 4 2 3 3" xfId="58416"/>
    <cellStyle name="Style 10 4 2 4" xfId="58417"/>
    <cellStyle name="Style 10 4 2 5" xfId="58418"/>
    <cellStyle name="Style 10 4 3" xfId="58419"/>
    <cellStyle name="Style 10 4 3 2" xfId="58420"/>
    <cellStyle name="Style 10 4 3 3" xfId="58421"/>
    <cellStyle name="Style 10 4 4" xfId="58422"/>
    <cellStyle name="Style 10 4 4 2" xfId="58423"/>
    <cellStyle name="Style 10 4 4 3" xfId="58424"/>
    <cellStyle name="Style 10 4 5" xfId="58425"/>
    <cellStyle name="Style 10 4 6" xfId="58426"/>
    <cellStyle name="Style 10 5" xfId="58427"/>
    <cellStyle name="Style 10 5 2" xfId="58428"/>
    <cellStyle name="Style 10 5 3" xfId="58429"/>
    <cellStyle name="Style 10 6" xfId="58430"/>
    <cellStyle name="Style 10 6 2" xfId="58431"/>
    <cellStyle name="Style 10 6 3" xfId="58432"/>
    <cellStyle name="Style 10 7" xfId="58433"/>
    <cellStyle name="Style 10 8" xfId="58434"/>
    <cellStyle name="Style 10 9" xfId="58435"/>
    <cellStyle name="Style 11" xfId="58436"/>
    <cellStyle name="Style 11 10" xfId="58437"/>
    <cellStyle name="Style 11 11" xfId="58438"/>
    <cellStyle name="Style 11 12" xfId="58439"/>
    <cellStyle name="Style 11 2" xfId="58440"/>
    <cellStyle name="Style 11 2 2" xfId="58441"/>
    <cellStyle name="Style 11 2 2 2" xfId="58442"/>
    <cellStyle name="Style 11 2 2 2 2" xfId="58443"/>
    <cellStyle name="Style 11 2 2 2 3" xfId="58444"/>
    <cellStyle name="Style 11 2 2 3" xfId="58445"/>
    <cellStyle name="Style 11 2 2 3 2" xfId="58446"/>
    <cellStyle name="Style 11 2 2 3 3" xfId="58447"/>
    <cellStyle name="Style 11 2 2 4" xfId="58448"/>
    <cellStyle name="Style 11 2 2 5" xfId="58449"/>
    <cellStyle name="Style 11 2 3" xfId="58450"/>
    <cellStyle name="Style 11 2 3 2" xfId="58451"/>
    <cellStyle name="Style 11 2 3 3" xfId="58452"/>
    <cellStyle name="Style 11 2 4" xfId="58453"/>
    <cellStyle name="Style 11 2 4 2" xfId="58454"/>
    <cellStyle name="Style 11 2 4 3" xfId="58455"/>
    <cellStyle name="Style 11 2 5" xfId="58456"/>
    <cellStyle name="Style 11 2 6" xfId="58457"/>
    <cellStyle name="Style 11 3" xfId="58458"/>
    <cellStyle name="Style 11 3 2" xfId="58459"/>
    <cellStyle name="Style 11 3 2 2" xfId="58460"/>
    <cellStyle name="Style 11 3 2 3" xfId="58461"/>
    <cellStyle name="Style 11 3 3" xfId="58462"/>
    <cellStyle name="Style 11 3 3 2" xfId="58463"/>
    <cellStyle name="Style 11 3 3 3" xfId="58464"/>
    <cellStyle name="Style 11 3 4" xfId="58465"/>
    <cellStyle name="Style 11 3 5" xfId="58466"/>
    <cellStyle name="Style 11 4" xfId="58467"/>
    <cellStyle name="Style 11 4 2" xfId="58468"/>
    <cellStyle name="Style 11 4 2 2" xfId="58469"/>
    <cellStyle name="Style 11 4 2 2 2" xfId="58470"/>
    <cellStyle name="Style 11 4 2 2 3" xfId="58471"/>
    <cellStyle name="Style 11 4 2 3" xfId="58472"/>
    <cellStyle name="Style 11 4 2 3 2" xfId="58473"/>
    <cellStyle name="Style 11 4 2 3 3" xfId="58474"/>
    <cellStyle name="Style 11 4 2 4" xfId="58475"/>
    <cellStyle name="Style 11 4 2 5" xfId="58476"/>
    <cellStyle name="Style 11 4 3" xfId="58477"/>
    <cellStyle name="Style 11 4 3 2" xfId="58478"/>
    <cellStyle name="Style 11 4 3 3" xfId="58479"/>
    <cellStyle name="Style 11 4 4" xfId="58480"/>
    <cellStyle name="Style 11 4 4 2" xfId="58481"/>
    <cellStyle name="Style 11 4 4 3" xfId="58482"/>
    <cellStyle name="Style 11 4 5" xfId="58483"/>
    <cellStyle name="Style 11 4 6" xfId="58484"/>
    <cellStyle name="Style 11 5" xfId="58485"/>
    <cellStyle name="Style 11 5 2" xfId="58486"/>
    <cellStyle name="Style 11 5 3" xfId="58487"/>
    <cellStyle name="Style 11 6" xfId="58488"/>
    <cellStyle name="Style 11 6 2" xfId="58489"/>
    <cellStyle name="Style 11 6 3" xfId="58490"/>
    <cellStyle name="Style 11 7" xfId="58491"/>
    <cellStyle name="Style 11 8" xfId="58492"/>
    <cellStyle name="Style 11 9" xfId="58493"/>
    <cellStyle name="Style 12" xfId="58494"/>
    <cellStyle name="Style 12 2" xfId="58495"/>
    <cellStyle name="Style 12 2 2" xfId="58496"/>
    <cellStyle name="Style 12 2 3" xfId="58497"/>
    <cellStyle name="Style 12 3" xfId="58498"/>
    <cellStyle name="Style 12 3 2" xfId="58499"/>
    <cellStyle name="Style 12 3 3" xfId="58500"/>
    <cellStyle name="Style 12 4" xfId="58501"/>
    <cellStyle name="Style 12 5" xfId="58502"/>
    <cellStyle name="Style 13" xfId="58503"/>
    <cellStyle name="Style 13 2" xfId="58504"/>
    <cellStyle name="Style 13 3" xfId="58505"/>
    <cellStyle name="Style 14" xfId="58506"/>
    <cellStyle name="Style 14 2" xfId="58507"/>
    <cellStyle name="Style 14 3" xfId="58508"/>
    <cellStyle name="Style 15" xfId="58509"/>
    <cellStyle name="Style 16" xfId="58510"/>
    <cellStyle name="Style 17" xfId="58511"/>
    <cellStyle name="Style 18" xfId="58512"/>
    <cellStyle name="Style 19" xfId="58513"/>
    <cellStyle name="Style 19 2" xfId="58514"/>
    <cellStyle name="Style 19 3" xfId="58515"/>
    <cellStyle name="Style 2" xfId="58516"/>
    <cellStyle name="Style 20" xfId="58517"/>
    <cellStyle name="Style 20 2" xfId="58518"/>
    <cellStyle name="Style 20 3" xfId="58519"/>
    <cellStyle name="Style 21" xfId="58520"/>
    <cellStyle name="Style 21 2" xfId="58521"/>
    <cellStyle name="Style 21 3" xfId="58522"/>
    <cellStyle name="Style 22" xfId="58523"/>
    <cellStyle name="Style 22 2" xfId="58524"/>
    <cellStyle name="Style 22 3" xfId="58525"/>
    <cellStyle name="Style 3" xfId="58526"/>
    <cellStyle name="Style 4" xfId="58527"/>
    <cellStyle name="Style 4 10" xfId="58528"/>
    <cellStyle name="Style 4 11" xfId="58529"/>
    <cellStyle name="Style 4 12" xfId="58530"/>
    <cellStyle name="Style 4 2" xfId="58531"/>
    <cellStyle name="Style 4 2 2" xfId="58532"/>
    <cellStyle name="Style 4 2 2 2" xfId="58533"/>
    <cellStyle name="Style 4 2 2 2 2" xfId="58534"/>
    <cellStyle name="Style 4 2 2 2 3" xfId="58535"/>
    <cellStyle name="Style 4 2 2 3" xfId="58536"/>
    <cellStyle name="Style 4 2 2 3 2" xfId="58537"/>
    <cellStyle name="Style 4 2 2 3 3" xfId="58538"/>
    <cellStyle name="Style 4 2 2 4" xfId="58539"/>
    <cellStyle name="Style 4 2 2 5" xfId="58540"/>
    <cellStyle name="Style 4 2 3" xfId="58541"/>
    <cellStyle name="Style 4 2 3 2" xfId="58542"/>
    <cellStyle name="Style 4 2 3 3" xfId="58543"/>
    <cellStyle name="Style 4 2 4" xfId="58544"/>
    <cellStyle name="Style 4 2 4 2" xfId="58545"/>
    <cellStyle name="Style 4 2 4 3" xfId="58546"/>
    <cellStyle name="Style 4 2 5" xfId="58547"/>
    <cellStyle name="Style 4 2 6" xfId="58548"/>
    <cellStyle name="Style 4 3" xfId="58549"/>
    <cellStyle name="Style 4 3 2" xfId="58550"/>
    <cellStyle name="Style 4 3 2 2" xfId="58551"/>
    <cellStyle name="Style 4 3 2 3" xfId="58552"/>
    <cellStyle name="Style 4 3 3" xfId="58553"/>
    <cellStyle name="Style 4 3 3 2" xfId="58554"/>
    <cellStyle name="Style 4 3 3 3" xfId="58555"/>
    <cellStyle name="Style 4 3 4" xfId="58556"/>
    <cellStyle name="Style 4 3 5" xfId="58557"/>
    <cellStyle name="Style 4 4" xfId="58558"/>
    <cellStyle name="Style 4 4 2" xfId="58559"/>
    <cellStyle name="Style 4 4 2 2" xfId="58560"/>
    <cellStyle name="Style 4 4 2 2 2" xfId="58561"/>
    <cellStyle name="Style 4 4 2 2 3" xfId="58562"/>
    <cellStyle name="Style 4 4 2 3" xfId="58563"/>
    <cellStyle name="Style 4 4 2 3 2" xfId="58564"/>
    <cellStyle name="Style 4 4 2 3 3" xfId="58565"/>
    <cellStyle name="Style 4 4 2 4" xfId="58566"/>
    <cellStyle name="Style 4 4 2 5" xfId="58567"/>
    <cellStyle name="Style 4 4 3" xfId="58568"/>
    <cellStyle name="Style 4 4 3 2" xfId="58569"/>
    <cellStyle name="Style 4 4 3 3" xfId="58570"/>
    <cellStyle name="Style 4 4 4" xfId="58571"/>
    <cellStyle name="Style 4 4 4 2" xfId="58572"/>
    <cellStyle name="Style 4 4 4 3" xfId="58573"/>
    <cellStyle name="Style 4 4 5" xfId="58574"/>
    <cellStyle name="Style 4 4 6" xfId="58575"/>
    <cellStyle name="Style 4 5" xfId="58576"/>
    <cellStyle name="Style 4 5 2" xfId="58577"/>
    <cellStyle name="Style 4 5 3" xfId="58578"/>
    <cellStyle name="Style 4 6" xfId="58579"/>
    <cellStyle name="Style 4 6 2" xfId="58580"/>
    <cellStyle name="Style 4 6 3" xfId="58581"/>
    <cellStyle name="Style 4 7" xfId="58582"/>
    <cellStyle name="Style 4 8" xfId="58583"/>
    <cellStyle name="Style 4 9" xfId="58584"/>
    <cellStyle name="Style 5" xfId="58585"/>
    <cellStyle name="Style 5 10" xfId="58586"/>
    <cellStyle name="Style 5 11" xfId="58587"/>
    <cellStyle name="Style 5 12" xfId="58588"/>
    <cellStyle name="Style 5 2" xfId="58589"/>
    <cellStyle name="Style 5 2 2" xfId="58590"/>
    <cellStyle name="Style 5 2 2 2" xfId="58591"/>
    <cellStyle name="Style 5 2 2 2 2" xfId="58592"/>
    <cellStyle name="Style 5 2 2 2 3" xfId="58593"/>
    <cellStyle name="Style 5 2 2 3" xfId="58594"/>
    <cellStyle name="Style 5 2 2 3 2" xfId="58595"/>
    <cellStyle name="Style 5 2 2 3 3" xfId="58596"/>
    <cellStyle name="Style 5 2 2 4" xfId="58597"/>
    <cellStyle name="Style 5 2 2 5" xfId="58598"/>
    <cellStyle name="Style 5 2 3" xfId="58599"/>
    <cellStyle name="Style 5 2 3 2" xfId="58600"/>
    <cellStyle name="Style 5 2 3 3" xfId="58601"/>
    <cellStyle name="Style 5 2 4" xfId="58602"/>
    <cellStyle name="Style 5 2 4 2" xfId="58603"/>
    <cellStyle name="Style 5 2 4 3" xfId="58604"/>
    <cellStyle name="Style 5 2 5" xfId="58605"/>
    <cellStyle name="Style 5 2 6" xfId="58606"/>
    <cellStyle name="Style 5 3" xfId="58607"/>
    <cellStyle name="Style 5 3 2" xfId="58608"/>
    <cellStyle name="Style 5 3 2 2" xfId="58609"/>
    <cellStyle name="Style 5 3 2 3" xfId="58610"/>
    <cellStyle name="Style 5 3 3" xfId="58611"/>
    <cellStyle name="Style 5 3 3 2" xfId="58612"/>
    <cellStyle name="Style 5 3 3 3" xfId="58613"/>
    <cellStyle name="Style 5 3 4" xfId="58614"/>
    <cellStyle name="Style 5 3 5" xfId="58615"/>
    <cellStyle name="Style 5 4" xfId="58616"/>
    <cellStyle name="Style 5 4 2" xfId="58617"/>
    <cellStyle name="Style 5 4 2 2" xfId="58618"/>
    <cellStyle name="Style 5 4 2 2 2" xfId="58619"/>
    <cellStyle name="Style 5 4 2 2 3" xfId="58620"/>
    <cellStyle name="Style 5 4 2 3" xfId="58621"/>
    <cellStyle name="Style 5 4 2 3 2" xfId="58622"/>
    <cellStyle name="Style 5 4 2 3 3" xfId="58623"/>
    <cellStyle name="Style 5 4 2 4" xfId="58624"/>
    <cellStyle name="Style 5 4 2 5" xfId="58625"/>
    <cellStyle name="Style 5 4 3" xfId="58626"/>
    <cellStyle name="Style 5 4 3 2" xfId="58627"/>
    <cellStyle name="Style 5 4 3 3" xfId="58628"/>
    <cellStyle name="Style 5 4 4" xfId="58629"/>
    <cellStyle name="Style 5 4 4 2" xfId="58630"/>
    <cellStyle name="Style 5 4 4 3" xfId="58631"/>
    <cellStyle name="Style 5 4 5" xfId="58632"/>
    <cellStyle name="Style 5 4 6" xfId="58633"/>
    <cellStyle name="Style 5 5" xfId="58634"/>
    <cellStyle name="Style 5 5 2" xfId="58635"/>
    <cellStyle name="Style 5 5 3" xfId="58636"/>
    <cellStyle name="Style 5 6" xfId="58637"/>
    <cellStyle name="Style 5 6 2" xfId="58638"/>
    <cellStyle name="Style 5 6 3" xfId="58639"/>
    <cellStyle name="Style 5 7" xfId="58640"/>
    <cellStyle name="Style 5 8" xfId="58641"/>
    <cellStyle name="Style 5 9" xfId="58642"/>
    <cellStyle name="Style 6" xfId="58643"/>
    <cellStyle name="Style 6 10" xfId="58644"/>
    <cellStyle name="Style 6 11" xfId="58645"/>
    <cellStyle name="Style 6 12" xfId="58646"/>
    <cellStyle name="Style 6 2" xfId="58647"/>
    <cellStyle name="Style 6 2 2" xfId="58648"/>
    <cellStyle name="Style 6 2 2 2" xfId="58649"/>
    <cellStyle name="Style 6 2 2 2 2" xfId="58650"/>
    <cellStyle name="Style 6 2 2 2 3" xfId="58651"/>
    <cellStyle name="Style 6 2 2 3" xfId="58652"/>
    <cellStyle name="Style 6 2 2 3 2" xfId="58653"/>
    <cellStyle name="Style 6 2 2 3 3" xfId="58654"/>
    <cellStyle name="Style 6 2 2 4" xfId="58655"/>
    <cellStyle name="Style 6 2 2 5" xfId="58656"/>
    <cellStyle name="Style 6 2 3" xfId="58657"/>
    <cellStyle name="Style 6 2 3 2" xfId="58658"/>
    <cellStyle name="Style 6 2 3 3" xfId="58659"/>
    <cellStyle name="Style 6 2 4" xfId="58660"/>
    <cellStyle name="Style 6 2 4 2" xfId="58661"/>
    <cellStyle name="Style 6 2 4 3" xfId="58662"/>
    <cellStyle name="Style 6 2 5" xfId="58663"/>
    <cellStyle name="Style 6 2 6" xfId="58664"/>
    <cellStyle name="Style 6 3" xfId="58665"/>
    <cellStyle name="Style 6 3 2" xfId="58666"/>
    <cellStyle name="Style 6 3 2 2" xfId="58667"/>
    <cellStyle name="Style 6 3 2 3" xfId="58668"/>
    <cellStyle name="Style 6 3 3" xfId="58669"/>
    <cellStyle name="Style 6 3 3 2" xfId="58670"/>
    <cellStyle name="Style 6 3 3 3" xfId="58671"/>
    <cellStyle name="Style 6 3 4" xfId="58672"/>
    <cellStyle name="Style 6 3 5" xfId="58673"/>
    <cellStyle name="Style 6 4" xfId="58674"/>
    <cellStyle name="Style 6 4 2" xfId="58675"/>
    <cellStyle name="Style 6 4 2 2" xfId="58676"/>
    <cellStyle name="Style 6 4 2 2 2" xfId="58677"/>
    <cellStyle name="Style 6 4 2 2 3" xfId="58678"/>
    <cellStyle name="Style 6 4 2 3" xfId="58679"/>
    <cellStyle name="Style 6 4 2 3 2" xfId="58680"/>
    <cellStyle name="Style 6 4 2 3 3" xfId="58681"/>
    <cellStyle name="Style 6 4 2 4" xfId="58682"/>
    <cellStyle name="Style 6 4 2 5" xfId="58683"/>
    <cellStyle name="Style 6 4 3" xfId="58684"/>
    <cellStyle name="Style 6 4 3 2" xfId="58685"/>
    <cellStyle name="Style 6 4 3 3" xfId="58686"/>
    <cellStyle name="Style 6 4 4" xfId="58687"/>
    <cellStyle name="Style 6 4 4 2" xfId="58688"/>
    <cellStyle name="Style 6 4 4 3" xfId="58689"/>
    <cellStyle name="Style 6 4 5" xfId="58690"/>
    <cellStyle name="Style 6 4 6" xfId="58691"/>
    <cellStyle name="Style 6 5" xfId="58692"/>
    <cellStyle name="Style 6 5 2" xfId="58693"/>
    <cellStyle name="Style 6 5 3" xfId="58694"/>
    <cellStyle name="Style 6 6" xfId="58695"/>
    <cellStyle name="Style 6 6 2" xfId="58696"/>
    <cellStyle name="Style 6 6 3" xfId="58697"/>
    <cellStyle name="Style 6 7" xfId="58698"/>
    <cellStyle name="Style 6 8" xfId="58699"/>
    <cellStyle name="Style 6 9" xfId="58700"/>
    <cellStyle name="Style 7" xfId="58701"/>
    <cellStyle name="Style 7 10" xfId="58702"/>
    <cellStyle name="Style 7 11" xfId="58703"/>
    <cellStyle name="Style 7 12" xfId="58704"/>
    <cellStyle name="Style 7 2" xfId="58705"/>
    <cellStyle name="Style 7 2 2" xfId="58706"/>
    <cellStyle name="Style 7 2 2 2" xfId="58707"/>
    <cellStyle name="Style 7 2 2 2 2" xfId="58708"/>
    <cellStyle name="Style 7 2 2 2 3" xfId="58709"/>
    <cellStyle name="Style 7 2 2 3" xfId="58710"/>
    <cellStyle name="Style 7 2 2 3 2" xfId="58711"/>
    <cellStyle name="Style 7 2 2 3 3" xfId="58712"/>
    <cellStyle name="Style 7 2 2 4" xfId="58713"/>
    <cellStyle name="Style 7 2 2 5" xfId="58714"/>
    <cellStyle name="Style 7 2 3" xfId="58715"/>
    <cellStyle name="Style 7 2 3 2" xfId="58716"/>
    <cellStyle name="Style 7 2 3 3" xfId="58717"/>
    <cellStyle name="Style 7 2 4" xfId="58718"/>
    <cellStyle name="Style 7 2 4 2" xfId="58719"/>
    <cellStyle name="Style 7 2 4 3" xfId="58720"/>
    <cellStyle name="Style 7 2 5" xfId="58721"/>
    <cellStyle name="Style 7 2 6" xfId="58722"/>
    <cellStyle name="Style 7 3" xfId="58723"/>
    <cellStyle name="Style 7 3 2" xfId="58724"/>
    <cellStyle name="Style 7 3 2 2" xfId="58725"/>
    <cellStyle name="Style 7 3 2 3" xfId="58726"/>
    <cellStyle name="Style 7 3 3" xfId="58727"/>
    <cellStyle name="Style 7 3 3 2" xfId="58728"/>
    <cellStyle name="Style 7 3 3 3" xfId="58729"/>
    <cellStyle name="Style 7 3 4" xfId="58730"/>
    <cellStyle name="Style 7 3 5" xfId="58731"/>
    <cellStyle name="Style 7 4" xfId="58732"/>
    <cellStyle name="Style 7 4 2" xfId="58733"/>
    <cellStyle name="Style 7 4 2 2" xfId="58734"/>
    <cellStyle name="Style 7 4 2 2 2" xfId="58735"/>
    <cellStyle name="Style 7 4 2 2 3" xfId="58736"/>
    <cellStyle name="Style 7 4 2 3" xfId="58737"/>
    <cellStyle name="Style 7 4 2 3 2" xfId="58738"/>
    <cellStyle name="Style 7 4 2 3 3" xfId="58739"/>
    <cellStyle name="Style 7 4 2 4" xfId="58740"/>
    <cellStyle name="Style 7 4 2 5" xfId="58741"/>
    <cellStyle name="Style 7 4 3" xfId="58742"/>
    <cellStyle name="Style 7 4 3 2" xfId="58743"/>
    <cellStyle name="Style 7 4 3 3" xfId="58744"/>
    <cellStyle name="Style 7 4 4" xfId="58745"/>
    <cellStyle name="Style 7 4 4 2" xfId="58746"/>
    <cellStyle name="Style 7 4 4 3" xfId="58747"/>
    <cellStyle name="Style 7 4 5" xfId="58748"/>
    <cellStyle name="Style 7 4 6" xfId="58749"/>
    <cellStyle name="Style 7 5" xfId="58750"/>
    <cellStyle name="Style 7 5 2" xfId="58751"/>
    <cellStyle name="Style 7 5 3" xfId="58752"/>
    <cellStyle name="Style 7 6" xfId="58753"/>
    <cellStyle name="Style 7 6 2" xfId="58754"/>
    <cellStyle name="Style 7 6 3" xfId="58755"/>
    <cellStyle name="Style 7 7" xfId="58756"/>
    <cellStyle name="Style 7 8" xfId="58757"/>
    <cellStyle name="Style 7 9" xfId="58758"/>
    <cellStyle name="Style 8" xfId="58759"/>
    <cellStyle name="Style 9" xfId="58760"/>
    <cellStyle name="Sum_EDS-23-2007-70629 v1 " xfId="58761"/>
    <cellStyle name="Systems" xfId="58762"/>
    <cellStyle name="temp" xfId="58763"/>
    <cellStyle name="temp 2" xfId="58764"/>
    <cellStyle name="temp 2 2" xfId="58765"/>
    <cellStyle name="temp 2 2 2" xfId="58766"/>
    <cellStyle name="temp 2 2 2 2" xfId="58767"/>
    <cellStyle name="temp 2 2 2 3" xfId="58768"/>
    <cellStyle name="temp 2 2 3" xfId="58769"/>
    <cellStyle name="temp 2 2 4" xfId="58770"/>
    <cellStyle name="temp 2 3" xfId="58771"/>
    <cellStyle name="temp 2 3 2" xfId="58772"/>
    <cellStyle name="temp 2 3 3" xfId="58773"/>
    <cellStyle name="temp 2 4" xfId="58774"/>
    <cellStyle name="temp 2 5" xfId="58775"/>
    <cellStyle name="temp 3" xfId="58776"/>
    <cellStyle name="temp 3 2" xfId="58777"/>
    <cellStyle name="temp 3 3" xfId="58778"/>
    <cellStyle name="temp 4" xfId="58779"/>
    <cellStyle name="temp 5" xfId="58780"/>
    <cellStyle name="Test Complete" xfId="58781"/>
    <cellStyle name="Test Complete 2" xfId="58782"/>
    <cellStyle name="Test Complete 2 2" xfId="58783"/>
    <cellStyle name="Test Complete 2 2 2" xfId="58784"/>
    <cellStyle name="Test Complete 2 2 2 2" xfId="58785"/>
    <cellStyle name="Test Complete 2 2 2 2 2" xfId="58786"/>
    <cellStyle name="Test Complete 2 2 2 2 2 2" xfId="58787"/>
    <cellStyle name="Test Complete 2 2 2 2 3" xfId="58788"/>
    <cellStyle name="Test Complete 2 2 2 3" xfId="58789"/>
    <cellStyle name="Test Complete 2 2 2 3 2" xfId="58790"/>
    <cellStyle name="Test Complete 2 2 2 4" xfId="58791"/>
    <cellStyle name="Test Complete 2 2 3" xfId="58792"/>
    <cellStyle name="Test Complete 2 2 3 2" xfId="58793"/>
    <cellStyle name="Test Complete 2 2 3 2 2" xfId="58794"/>
    <cellStyle name="Test Complete 2 2 3 3" xfId="58795"/>
    <cellStyle name="Test Complete 2 2 4" xfId="58796"/>
    <cellStyle name="Test Complete 2 2 4 2" xfId="58797"/>
    <cellStyle name="Test Complete 2 2 5" xfId="58798"/>
    <cellStyle name="Test Complete 2 3" xfId="58799"/>
    <cellStyle name="Test Complete 2 3 2" xfId="58800"/>
    <cellStyle name="Test Complete 2 3 2 2" xfId="58801"/>
    <cellStyle name="Test Complete 2 3 2 2 2" xfId="58802"/>
    <cellStyle name="Test Complete 2 3 2 2 2 2" xfId="58803"/>
    <cellStyle name="Test Complete 2 3 2 2 3" xfId="58804"/>
    <cellStyle name="Test Complete 2 3 2 3" xfId="58805"/>
    <cellStyle name="Test Complete 2 3 2 3 2" xfId="58806"/>
    <cellStyle name="Test Complete 2 3 2 4" xfId="58807"/>
    <cellStyle name="Test Complete 2 3 3" xfId="58808"/>
    <cellStyle name="Test Complete 2 3 3 2" xfId="58809"/>
    <cellStyle name="Test Complete 2 3 3 2 2" xfId="58810"/>
    <cellStyle name="Test Complete 2 3 3 3" xfId="58811"/>
    <cellStyle name="Test Complete 2 3 4" xfId="58812"/>
    <cellStyle name="Test Complete 2 3 4 2" xfId="58813"/>
    <cellStyle name="Test Complete 2 3 5" xfId="58814"/>
    <cellStyle name="Test Complete 2 4" xfId="58815"/>
    <cellStyle name="Test Complete 2 4 2" xfId="58816"/>
    <cellStyle name="Test Complete 2 4 2 2" xfId="58817"/>
    <cellStyle name="Test Complete 2 4 2 2 2" xfId="58818"/>
    <cellStyle name="Test Complete 2 4 2 2 2 2" xfId="58819"/>
    <cellStyle name="Test Complete 2 4 2 2 3" xfId="58820"/>
    <cellStyle name="Test Complete 2 4 2 3" xfId="58821"/>
    <cellStyle name="Test Complete 2 4 2 3 2" xfId="58822"/>
    <cellStyle name="Test Complete 2 4 2 4" xfId="58823"/>
    <cellStyle name="Test Complete 2 4 3" xfId="58824"/>
    <cellStyle name="Test Complete 2 4 3 2" xfId="58825"/>
    <cellStyle name="Test Complete 2 4 3 2 2" xfId="58826"/>
    <cellStyle name="Test Complete 2 4 3 3" xfId="58827"/>
    <cellStyle name="Test Complete 2 4 4" xfId="58828"/>
    <cellStyle name="Test Complete 2 4 4 2" xfId="58829"/>
    <cellStyle name="Test Complete 2 4 5" xfId="58830"/>
    <cellStyle name="Test Complete 2 5" xfId="58831"/>
    <cellStyle name="Test Complete 2 5 2" xfId="58832"/>
    <cellStyle name="Test Complete 2 5 2 2" xfId="58833"/>
    <cellStyle name="Test Complete 2 5 2 2 2" xfId="58834"/>
    <cellStyle name="Test Complete 2 5 2 3" xfId="58835"/>
    <cellStyle name="Test Complete 2 5 3" xfId="58836"/>
    <cellStyle name="Test Complete 2 5 3 2" xfId="58837"/>
    <cellStyle name="Test Complete 2 5 4" xfId="58838"/>
    <cellStyle name="Test Complete 2 6" xfId="58839"/>
    <cellStyle name="Test Complete 2 6 2" xfId="58840"/>
    <cellStyle name="Test Complete 2 6 2 2" xfId="58841"/>
    <cellStyle name="Test Complete 2 6 3" xfId="58842"/>
    <cellStyle name="Test Complete 2 7" xfId="58843"/>
    <cellStyle name="Test Complete 2 7 2" xfId="58844"/>
    <cellStyle name="Test Complete 2 8" xfId="58845"/>
    <cellStyle name="Test Complete 3" xfId="58846"/>
    <cellStyle name="Test Complete 3 2" xfId="58847"/>
    <cellStyle name="Test Complete 3 2 2" xfId="58848"/>
    <cellStyle name="Test Complete 3 2 2 2" xfId="58849"/>
    <cellStyle name="Test Complete 3 2 2 2 2" xfId="58850"/>
    <cellStyle name="Test Complete 3 2 2 3" xfId="58851"/>
    <cellStyle name="Test Complete 3 2 3" xfId="58852"/>
    <cellStyle name="Test Complete 3 2 3 2" xfId="58853"/>
    <cellStyle name="Test Complete 3 2 4" xfId="58854"/>
    <cellStyle name="Test Complete 3 3" xfId="58855"/>
    <cellStyle name="Test Complete 3 3 2" xfId="58856"/>
    <cellStyle name="Test Complete 3 3 2 2" xfId="58857"/>
    <cellStyle name="Test Complete 3 3 3" xfId="58858"/>
    <cellStyle name="Test Complete 3 4" xfId="58859"/>
    <cellStyle name="Test Complete 3 4 2" xfId="58860"/>
    <cellStyle name="Test Complete 3 5" xfId="58861"/>
    <cellStyle name="Test Complete 4" xfId="58862"/>
    <cellStyle name="Test Complete 4 2" xfId="58863"/>
    <cellStyle name="Test Complete 4 2 2" xfId="58864"/>
    <cellStyle name="Test Complete 4 2 2 2" xfId="58865"/>
    <cellStyle name="Test Complete 4 2 2 2 2" xfId="58866"/>
    <cellStyle name="Test Complete 4 2 2 3" xfId="58867"/>
    <cellStyle name="Test Complete 4 2 3" xfId="58868"/>
    <cellStyle name="Test Complete 4 2 3 2" xfId="58869"/>
    <cellStyle name="Test Complete 4 2 4" xfId="58870"/>
    <cellStyle name="Test Complete 4 3" xfId="58871"/>
    <cellStyle name="Test Complete 4 3 2" xfId="58872"/>
    <cellStyle name="Test Complete 4 3 2 2" xfId="58873"/>
    <cellStyle name="Test Complete 4 3 3" xfId="58874"/>
    <cellStyle name="Test Complete 4 4" xfId="58875"/>
    <cellStyle name="Test Complete 4 4 2" xfId="58876"/>
    <cellStyle name="Test Complete 4 5" xfId="58877"/>
    <cellStyle name="Test Complete 5" xfId="58878"/>
    <cellStyle name="Test Complete 5 2" xfId="58879"/>
    <cellStyle name="Test Complete 5 2 2" xfId="58880"/>
    <cellStyle name="Test Complete 5 2 2 2" xfId="58881"/>
    <cellStyle name="Test Complete 5 2 2 2 2" xfId="58882"/>
    <cellStyle name="Test Complete 5 2 2 3" xfId="58883"/>
    <cellStyle name="Test Complete 5 2 3" xfId="58884"/>
    <cellStyle name="Test Complete 5 2 3 2" xfId="58885"/>
    <cellStyle name="Test Complete 5 2 4" xfId="58886"/>
    <cellStyle name="Test Complete 5 3" xfId="58887"/>
    <cellStyle name="Test Complete 5 3 2" xfId="58888"/>
    <cellStyle name="Test Complete 5 3 2 2" xfId="58889"/>
    <cellStyle name="Test Complete 5 3 3" xfId="58890"/>
    <cellStyle name="Test Complete 5 4" xfId="58891"/>
    <cellStyle name="Test Complete 5 4 2" xfId="58892"/>
    <cellStyle name="Test Complete 5 5" xfId="58893"/>
    <cellStyle name="Test Complete 6" xfId="58894"/>
    <cellStyle name="Test Complete 6 2" xfId="58895"/>
    <cellStyle name="Test Complete 6 2 2" xfId="58896"/>
    <cellStyle name="Test Complete 6 2 2 2" xfId="58897"/>
    <cellStyle name="Test Complete 6 2 3" xfId="58898"/>
    <cellStyle name="Test Complete 6 3" xfId="58899"/>
    <cellStyle name="Test Complete 6 3 2" xfId="58900"/>
    <cellStyle name="Test Complete 6 4" xfId="58901"/>
    <cellStyle name="Test Complete 7" xfId="58902"/>
    <cellStyle name="Test Complete 7 2" xfId="58903"/>
    <cellStyle name="Test Complete 7 2 2" xfId="58904"/>
    <cellStyle name="Test Complete 7 3" xfId="58905"/>
    <cellStyle name="Test Complete 8" xfId="58906"/>
    <cellStyle name="Test Complete 8 2" xfId="58907"/>
    <cellStyle name="Test Complete 9" xfId="58908"/>
    <cellStyle name="Text Indent A" xfId="58909"/>
    <cellStyle name="Text Indent B" xfId="58910"/>
    <cellStyle name="Text Indent C" xfId="58911"/>
    <cellStyle name="Title 10" xfId="58912"/>
    <cellStyle name="Title 2" xfId="58913"/>
    <cellStyle name="Title 2 2" xfId="58914"/>
    <cellStyle name="Title 2 2 2" xfId="58915"/>
    <cellStyle name="Title 2 2 3" xfId="58916"/>
    <cellStyle name="Title 2 3" xfId="58917"/>
    <cellStyle name="Title 2 4" xfId="58918"/>
    <cellStyle name="Title 3" xfId="58919"/>
    <cellStyle name="Title 3 2" xfId="58920"/>
    <cellStyle name="Title 3 3" xfId="58921"/>
    <cellStyle name="Title 4" xfId="58922"/>
    <cellStyle name="Title 4 2" xfId="58923"/>
    <cellStyle name="Title 5" xfId="58924"/>
    <cellStyle name="Title 6" xfId="58925"/>
    <cellStyle name="Title 6 2" xfId="58926"/>
    <cellStyle name="Title 7" xfId="58927"/>
    <cellStyle name="Title 8" xfId="58928"/>
    <cellStyle name="Title 9" xfId="58929"/>
    <cellStyle name="Total 10" xfId="58930"/>
    <cellStyle name="Total 2" xfId="58931"/>
    <cellStyle name="Total 2 10" xfId="58932"/>
    <cellStyle name="Total 2 2" xfId="58933"/>
    <cellStyle name="Total 2 2 2" xfId="58934"/>
    <cellStyle name="Total 2 2 2 2" xfId="58935"/>
    <cellStyle name="Total 2 2 2 3" xfId="58936"/>
    <cellStyle name="Total 2 2 3" xfId="58937"/>
    <cellStyle name="Total 2 2 3 2" xfId="58938"/>
    <cellStyle name="Total 2 2 3 3" xfId="58939"/>
    <cellStyle name="Total 2 2 4" xfId="58940"/>
    <cellStyle name="Total 2 2 4 2" xfId="58941"/>
    <cellStyle name="Total 2 2 5" xfId="58942"/>
    <cellStyle name="Total 2 2 5 2" xfId="58943"/>
    <cellStyle name="Total 2 2 6" xfId="58944"/>
    <cellStyle name="Total 2 2 6 2" xfId="58945"/>
    <cellStyle name="Total 2 2 7" xfId="58946"/>
    <cellStyle name="Total 2 2 7 2" xfId="58947"/>
    <cellStyle name="Total 2 2 8" xfId="58948"/>
    <cellStyle name="Total 2 2 8 2" xfId="58949"/>
    <cellStyle name="Total 2 2 9" xfId="58950"/>
    <cellStyle name="Total 2 3" xfId="58951"/>
    <cellStyle name="Total 2 3 2" xfId="58952"/>
    <cellStyle name="Total 2 3 3" xfId="58953"/>
    <cellStyle name="Total 2 4" xfId="58954"/>
    <cellStyle name="Total 2 4 2" xfId="58955"/>
    <cellStyle name="Total 2 4 3" xfId="58956"/>
    <cellStyle name="Total 2 5" xfId="58957"/>
    <cellStyle name="Total 2 5 2" xfId="58958"/>
    <cellStyle name="Total 2 6" xfId="58959"/>
    <cellStyle name="Total 2 6 2" xfId="58960"/>
    <cellStyle name="Total 2 7" xfId="58961"/>
    <cellStyle name="Total 2 7 2" xfId="58962"/>
    <cellStyle name="Total 2 8" xfId="58963"/>
    <cellStyle name="Total 2 8 2" xfId="58964"/>
    <cellStyle name="Total 2 9" xfId="58965"/>
    <cellStyle name="Total 2 9 2" xfId="58966"/>
    <cellStyle name="Total 3" xfId="58967"/>
    <cellStyle name="Total 3 2" xfId="58968"/>
    <cellStyle name="Total 3 2 2" xfId="58969"/>
    <cellStyle name="Total 3 2 2 2" xfId="58970"/>
    <cellStyle name="Total 3 2 2 3" xfId="58971"/>
    <cellStyle name="Total 3 2 3" xfId="58972"/>
    <cellStyle name="Total 3 2 3 2" xfId="58973"/>
    <cellStyle name="Total 3 2 3 3" xfId="58974"/>
    <cellStyle name="Total 3 2 4" xfId="58975"/>
    <cellStyle name="Total 3 2 5" xfId="58976"/>
    <cellStyle name="Total 3 3" xfId="58977"/>
    <cellStyle name="Total 3 3 2" xfId="58978"/>
    <cellStyle name="Total 3 3 3" xfId="58979"/>
    <cellStyle name="Total 3 4" xfId="58980"/>
    <cellStyle name="Total 3 4 2" xfId="58981"/>
    <cellStyle name="Total 3 4 3" xfId="58982"/>
    <cellStyle name="Total 3 5" xfId="58983"/>
    <cellStyle name="Total 3 6" xfId="58984"/>
    <cellStyle name="Total 4" xfId="58985"/>
    <cellStyle name="Total 4 2" xfId="58986"/>
    <cellStyle name="Total 4 2 2" xfId="58987"/>
    <cellStyle name="Total 4 2 2 2" xfId="58988"/>
    <cellStyle name="Total 4 2 2 3" xfId="58989"/>
    <cellStyle name="Total 4 2 3" xfId="58990"/>
    <cellStyle name="Total 4 2 3 2" xfId="58991"/>
    <cellStyle name="Total 4 2 3 3" xfId="58992"/>
    <cellStyle name="Total 4 2 4" xfId="58993"/>
    <cellStyle name="Total 4 2 5" xfId="58994"/>
    <cellStyle name="Total 4 3" xfId="58995"/>
    <cellStyle name="Total 4 3 2" xfId="58996"/>
    <cellStyle name="Total 4 3 3" xfId="58997"/>
    <cellStyle name="Total 4 4" xfId="58998"/>
    <cellStyle name="Total 4 4 2" xfId="58999"/>
    <cellStyle name="Total 4 4 3" xfId="59000"/>
    <cellStyle name="Total 4 5" xfId="59001"/>
    <cellStyle name="Total 4 6" xfId="59002"/>
    <cellStyle name="Total 5" xfId="59003"/>
    <cellStyle name="Total 5 2" xfId="59004"/>
    <cellStyle name="Total 6" xfId="59005"/>
    <cellStyle name="Total 6 2" xfId="59006"/>
    <cellStyle name="Total 7" xfId="59007"/>
    <cellStyle name="Total 7 2" xfId="59008"/>
    <cellStyle name="Total 8" xfId="59009"/>
    <cellStyle name="Total 9" xfId="59010"/>
    <cellStyle name="Total 9 2" xfId="59011"/>
    <cellStyle name="Warning Text 2" xfId="59012"/>
    <cellStyle name="Warning Text 2 2" xfId="59013"/>
    <cellStyle name="Warning Text 2 2 2" xfId="59014"/>
    <cellStyle name="Warning Text 2 2 3" xfId="59015"/>
    <cellStyle name="Warning Text 2 3" xfId="59016"/>
    <cellStyle name="Warning Text 2 4" xfId="59017"/>
    <cellStyle name="Warning Text 3" xfId="59018"/>
    <cellStyle name="Warning Text 3 2" xfId="59019"/>
    <cellStyle name="Warning Text 3 3" xfId="59020"/>
    <cellStyle name="Warning Text 4" xfId="59021"/>
    <cellStyle name="Warning Text 4 2" xfId="59022"/>
    <cellStyle name="Warning Text 5" xfId="59023"/>
    <cellStyle name="Warning Text 6" xfId="59024"/>
    <cellStyle name="Warning Text 6 2" xfId="59025"/>
    <cellStyle name="Warning Text 7" xfId="59026"/>
    <cellStyle name="Warning Text 8" xfId="59027"/>
    <cellStyle name="Warning Text 9" xfId="5902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'S-Curve'!$G$7</c:f>
          <c:strCache>
            <c:ptCount val="1"/>
            <c:pt idx="0">
              <c:v>CH-53K Development Cost S-Curve
CV = 0.11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'S-Curve'!$D$12</c:f>
              <c:strCache>
                <c:ptCount val="1"/>
                <c:pt idx="0">
                  <c:v>TY$M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tx1"/>
              </a:solidFill>
            </c:spPr>
          </c:marker>
          <c:xVal>
            <c:numRef>
              <c:f>'S-Curve'!$D$13:$D$31</c:f>
              <c:numCache>
                <c:formatCode>_("$"* #,##0.0_);_("$"* \(#,##0.0\);_("$"* "-"??_);_(@_)</c:formatCode>
                <c:ptCount val="19"/>
                <c:pt idx="0">
                  <c:v>836.17941971567552</c:v>
                </c:pt>
                <c:pt idx="1">
                  <c:v>855.02501806596388</c:v>
                </c:pt>
                <c:pt idx="2">
                  <c:v>869.19165714519374</c:v>
                </c:pt>
                <c:pt idx="3">
                  <c:v>878.71773545700694</c:v>
                </c:pt>
                <c:pt idx="4">
                  <c:v>888.61999366441023</c:v>
                </c:pt>
                <c:pt idx="5">
                  <c:v>897.02916307733074</c:v>
                </c:pt>
                <c:pt idx="6">
                  <c:v>905.52267788279232</c:v>
                </c:pt>
                <c:pt idx="7">
                  <c:v>915.23443622164166</c:v>
                </c:pt>
                <c:pt idx="8">
                  <c:v>925.29768454536872</c:v>
                </c:pt>
                <c:pt idx="9">
                  <c:v>936.15048234700976</c:v>
                </c:pt>
                <c:pt idx="10">
                  <c:v>948.18867934710318</c:v>
                </c:pt>
                <c:pt idx="11">
                  <c:v>961.28578294477609</c:v>
                </c:pt>
                <c:pt idx="12">
                  <c:v>979.18014874598646</c:v>
                </c:pt>
                <c:pt idx="13">
                  <c:v>1005.4453227831053</c:v>
                </c:pt>
                <c:pt idx="14">
                  <c:v>1041.9390224951349</c:v>
                </c:pt>
                <c:pt idx="15">
                  <c:v>1076.5896146668047</c:v>
                </c:pt>
                <c:pt idx="16">
                  <c:v>1108.2200284953853</c:v>
                </c:pt>
                <c:pt idx="17">
                  <c:v>1141.8505477344688</c:v>
                </c:pt>
                <c:pt idx="18">
                  <c:v>1186.8287335516043</c:v>
                </c:pt>
              </c:numCache>
            </c:numRef>
          </c:xVal>
          <c:yVal>
            <c:numRef>
              <c:f>'S-Curve'!$C$13:$C$31</c:f>
              <c:numCache>
                <c:formatCode>_(* #,##0.00_);_(* \(#,##0.00\);_(* "-"??_);_(@_)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07616"/>
        <c:axId val="54534144"/>
      </c:scatterChart>
      <c:valAx>
        <c:axId val="101807616"/>
        <c:scaling>
          <c:orientation val="minMax"/>
          <c:max val="1500"/>
          <c:min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TY$M</a:t>
                </a: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54534144"/>
        <c:crosses val="autoZero"/>
        <c:crossBetween val="midCat"/>
      </c:valAx>
      <c:valAx>
        <c:axId val="5453414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Percentiles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1018076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JCL!$I$10</c:f>
          <c:strCache>
            <c:ptCount val="1"/>
            <c:pt idx="0">
              <c:v>X Program
(Joint Confidence Level)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JCL!JCLx</c:f>
              <c:numCache>
                <c:formatCode>0.00</c:formatCode>
                <c:ptCount val="10000"/>
                <c:pt idx="0">
                  <c:v>2024.7375202125556</c:v>
                </c:pt>
                <c:pt idx="1">
                  <c:v>2023.1371503450334</c:v>
                </c:pt>
                <c:pt idx="2">
                  <c:v>2023.2763791393425</c:v>
                </c:pt>
                <c:pt idx="3">
                  <c:v>2024.9706425837837</c:v>
                </c:pt>
                <c:pt idx="4">
                  <c:v>2022.6760409315916</c:v>
                </c:pt>
                <c:pt idx="5">
                  <c:v>2023.0348881112</c:v>
                </c:pt>
                <c:pt idx="6">
                  <c:v>2023.6364222601344</c:v>
                </c:pt>
                <c:pt idx="7">
                  <c:v>2023.5395614322119</c:v>
                </c:pt>
                <c:pt idx="8">
                  <c:v>2024.757392519193</c:v>
                </c:pt>
                <c:pt idx="9">
                  <c:v>2026.0734105965921</c:v>
                </c:pt>
                <c:pt idx="10">
                  <c:v>2024.6652206974718</c:v>
                </c:pt>
                <c:pt idx="11">
                  <c:v>2025.3418062358744</c:v>
                </c:pt>
                <c:pt idx="12">
                  <c:v>2023.6238150001802</c:v>
                </c:pt>
                <c:pt idx="13">
                  <c:v>2022.5928323324838</c:v>
                </c:pt>
                <c:pt idx="14">
                  <c:v>2023.2380026667895</c:v>
                </c:pt>
                <c:pt idx="15">
                  <c:v>2022.6929068336899</c:v>
                </c:pt>
                <c:pt idx="16">
                  <c:v>2022.8516658328151</c:v>
                </c:pt>
                <c:pt idx="17">
                  <c:v>2022.9891937757893</c:v>
                </c:pt>
                <c:pt idx="18">
                  <c:v>2023.1802489089969</c:v>
                </c:pt>
                <c:pt idx="19">
                  <c:v>2022.86667324666</c:v>
                </c:pt>
                <c:pt idx="20">
                  <c:v>2024.9006643213093</c:v>
                </c:pt>
                <c:pt idx="21">
                  <c:v>2023.2064753686554</c:v>
                </c:pt>
                <c:pt idx="22">
                  <c:v>2022.9266513257353</c:v>
                </c:pt>
                <c:pt idx="23">
                  <c:v>2024.796936533894</c:v>
                </c:pt>
                <c:pt idx="24">
                  <c:v>2023.5517452026136</c:v>
                </c:pt>
                <c:pt idx="25">
                  <c:v>2023.3742127824503</c:v>
                </c:pt>
                <c:pt idx="26">
                  <c:v>2023.4023381260874</c:v>
                </c:pt>
                <c:pt idx="27">
                  <c:v>2022.7687569300192</c:v>
                </c:pt>
                <c:pt idx="28">
                  <c:v>2024.9139156660269</c:v>
                </c:pt>
                <c:pt idx="29">
                  <c:v>2023.0006395283797</c:v>
                </c:pt>
                <c:pt idx="30">
                  <c:v>2023.3285079541517</c:v>
                </c:pt>
                <c:pt idx="31">
                  <c:v>2025.4685457022933</c:v>
                </c:pt>
                <c:pt idx="32">
                  <c:v>2024.6072245582557</c:v>
                </c:pt>
                <c:pt idx="33">
                  <c:v>2023.6601684475065</c:v>
                </c:pt>
                <c:pt idx="34">
                  <c:v>2023.1058474686918</c:v>
                </c:pt>
                <c:pt idx="35">
                  <c:v>2023.2941037825403</c:v>
                </c:pt>
                <c:pt idx="36">
                  <c:v>2024.7330242488952</c:v>
                </c:pt>
                <c:pt idx="37">
                  <c:v>2022.8377660938029</c:v>
                </c:pt>
                <c:pt idx="38">
                  <c:v>2024.0277717055671</c:v>
                </c:pt>
                <c:pt idx="39">
                  <c:v>2023.062202957366</c:v>
                </c:pt>
                <c:pt idx="40">
                  <c:v>2025.0956710921719</c:v>
                </c:pt>
                <c:pt idx="41">
                  <c:v>2025.2251089472711</c:v>
                </c:pt>
                <c:pt idx="42">
                  <c:v>2024.4770234605587</c:v>
                </c:pt>
                <c:pt idx="43">
                  <c:v>2023.4079810728845</c:v>
                </c:pt>
                <c:pt idx="44">
                  <c:v>2023.3954820144208</c:v>
                </c:pt>
                <c:pt idx="45">
                  <c:v>2023.6645519262654</c:v>
                </c:pt>
                <c:pt idx="46">
                  <c:v>2022.8674219245408</c:v>
                </c:pt>
                <c:pt idx="47">
                  <c:v>2023.1061008679733</c:v>
                </c:pt>
                <c:pt idx="48">
                  <c:v>2023.7948414012433</c:v>
                </c:pt>
                <c:pt idx="49">
                  <c:v>2022.8880861500713</c:v>
                </c:pt>
                <c:pt idx="50">
                  <c:v>2022.7061596094247</c:v>
                </c:pt>
                <c:pt idx="51">
                  <c:v>2022.5123764879586</c:v>
                </c:pt>
                <c:pt idx="52">
                  <c:v>2024.2584307297984</c:v>
                </c:pt>
                <c:pt idx="53">
                  <c:v>2023.2468238204492</c:v>
                </c:pt>
                <c:pt idx="54">
                  <c:v>2022.9301273320193</c:v>
                </c:pt>
                <c:pt idx="55">
                  <c:v>2024.8128095246072</c:v>
                </c:pt>
                <c:pt idx="56">
                  <c:v>2023.4304801602295</c:v>
                </c:pt>
                <c:pt idx="57">
                  <c:v>2024.4770375845048</c:v>
                </c:pt>
                <c:pt idx="58">
                  <c:v>2023.4241429922124</c:v>
                </c:pt>
                <c:pt idx="59">
                  <c:v>2022.8737097184667</c:v>
                </c:pt>
                <c:pt idx="60">
                  <c:v>2023.3540770394195</c:v>
                </c:pt>
                <c:pt idx="61">
                  <c:v>2024.7647766935549</c:v>
                </c:pt>
                <c:pt idx="62">
                  <c:v>2024.2350859019937</c:v>
                </c:pt>
                <c:pt idx="63">
                  <c:v>2023.9051870381761</c:v>
                </c:pt>
                <c:pt idx="64">
                  <c:v>2023.1267168908157</c:v>
                </c:pt>
                <c:pt idx="65">
                  <c:v>2024.7910662807344</c:v>
                </c:pt>
                <c:pt idx="66">
                  <c:v>2023.0777881241927</c:v>
                </c:pt>
                <c:pt idx="67">
                  <c:v>2023.8812084274982</c:v>
                </c:pt>
                <c:pt idx="68">
                  <c:v>2023.0416348526192</c:v>
                </c:pt>
                <c:pt idx="69">
                  <c:v>2022.5876995207952</c:v>
                </c:pt>
                <c:pt idx="70">
                  <c:v>2023.1221118956971</c:v>
                </c:pt>
                <c:pt idx="71">
                  <c:v>2023.18238752347</c:v>
                </c:pt>
                <c:pt idx="72">
                  <c:v>2023.4828405946871</c:v>
                </c:pt>
                <c:pt idx="73">
                  <c:v>2023.3385070971237</c:v>
                </c:pt>
                <c:pt idx="74">
                  <c:v>2025.42947094693</c:v>
                </c:pt>
                <c:pt idx="75">
                  <c:v>2022.8833441367804</c:v>
                </c:pt>
                <c:pt idx="76">
                  <c:v>2023.2674416294658</c:v>
                </c:pt>
                <c:pt idx="77">
                  <c:v>2023.4761950678142</c:v>
                </c:pt>
                <c:pt idx="78">
                  <c:v>2024.4056125698535</c:v>
                </c:pt>
                <c:pt idx="79">
                  <c:v>2023.0024305922461</c:v>
                </c:pt>
                <c:pt idx="80">
                  <c:v>2023.1205178028267</c:v>
                </c:pt>
                <c:pt idx="81">
                  <c:v>2023.0919347456465</c:v>
                </c:pt>
                <c:pt idx="82">
                  <c:v>2023.5558741009511</c:v>
                </c:pt>
                <c:pt idx="83">
                  <c:v>2023.0209970569922</c:v>
                </c:pt>
                <c:pt idx="84">
                  <c:v>2023.2530459417169</c:v>
                </c:pt>
                <c:pt idx="85">
                  <c:v>2023.969178037991</c:v>
                </c:pt>
                <c:pt idx="86">
                  <c:v>2023.2296960513415</c:v>
                </c:pt>
                <c:pt idx="87">
                  <c:v>2022.99081669619</c:v>
                </c:pt>
                <c:pt idx="88">
                  <c:v>2023.0784437354234</c:v>
                </c:pt>
                <c:pt idx="89">
                  <c:v>2023.0577576417963</c:v>
                </c:pt>
                <c:pt idx="90">
                  <c:v>2023.0373615234521</c:v>
                </c:pt>
                <c:pt idx="91">
                  <c:v>2025.9900632101105</c:v>
                </c:pt>
                <c:pt idx="92">
                  <c:v>2023.1599162298428</c:v>
                </c:pt>
                <c:pt idx="93">
                  <c:v>2024.0347265231571</c:v>
                </c:pt>
                <c:pt idx="94">
                  <c:v>2022.7912650122116</c:v>
                </c:pt>
                <c:pt idx="95">
                  <c:v>2022.9727454796312</c:v>
                </c:pt>
                <c:pt idx="96">
                  <c:v>2024.4318398655753</c:v>
                </c:pt>
                <c:pt idx="97">
                  <c:v>2025.1373608516274</c:v>
                </c:pt>
                <c:pt idx="98">
                  <c:v>2025.1824601658509</c:v>
                </c:pt>
                <c:pt idx="99">
                  <c:v>2025.0708267586124</c:v>
                </c:pt>
                <c:pt idx="100">
                  <c:v>2023.1400441732351</c:v>
                </c:pt>
                <c:pt idx="101">
                  <c:v>2023.1414332201712</c:v>
                </c:pt>
                <c:pt idx="102">
                  <c:v>2022.8888636785782</c:v>
                </c:pt>
                <c:pt idx="103">
                  <c:v>2022.8680603048617</c:v>
                </c:pt>
                <c:pt idx="104">
                  <c:v>2023.0189931105986</c:v>
                </c:pt>
                <c:pt idx="105">
                  <c:v>2023.3794255807209</c:v>
                </c:pt>
                <c:pt idx="106">
                  <c:v>2024.2327804908196</c:v>
                </c:pt>
                <c:pt idx="107">
                  <c:v>2023.1669365169628</c:v>
                </c:pt>
                <c:pt idx="108">
                  <c:v>2023.8767381086843</c:v>
                </c:pt>
                <c:pt idx="109">
                  <c:v>2022.7592259193491</c:v>
                </c:pt>
                <c:pt idx="110">
                  <c:v>2022.7563629413066</c:v>
                </c:pt>
                <c:pt idx="111">
                  <c:v>2023.1576973755191</c:v>
                </c:pt>
                <c:pt idx="112">
                  <c:v>2022.603881788423</c:v>
                </c:pt>
                <c:pt idx="113">
                  <c:v>2025.2802025222536</c:v>
                </c:pt>
                <c:pt idx="114">
                  <c:v>2023.1907898022046</c:v>
                </c:pt>
                <c:pt idx="115">
                  <c:v>2024.9447772060139</c:v>
                </c:pt>
                <c:pt idx="116">
                  <c:v>2025.7393078107821</c:v>
                </c:pt>
                <c:pt idx="117">
                  <c:v>2024.6643162225866</c:v>
                </c:pt>
                <c:pt idx="118">
                  <c:v>2023.0947213881275</c:v>
                </c:pt>
                <c:pt idx="119">
                  <c:v>2022.6640832311709</c:v>
                </c:pt>
                <c:pt idx="120">
                  <c:v>2024.7576611730456</c:v>
                </c:pt>
                <c:pt idx="121">
                  <c:v>2023.2075960869925</c:v>
                </c:pt>
                <c:pt idx="122">
                  <c:v>2022.917652479452</c:v>
                </c:pt>
                <c:pt idx="123">
                  <c:v>2023.5404524505409</c:v>
                </c:pt>
                <c:pt idx="124">
                  <c:v>2022.9173659990875</c:v>
                </c:pt>
                <c:pt idx="125">
                  <c:v>2023.2668127689685</c:v>
                </c:pt>
                <c:pt idx="126">
                  <c:v>2022.9854999690881</c:v>
                </c:pt>
                <c:pt idx="127">
                  <c:v>2022.7357025686861</c:v>
                </c:pt>
                <c:pt idx="128">
                  <c:v>2023.1810057250984</c:v>
                </c:pt>
                <c:pt idx="129">
                  <c:v>2023.5516575670283</c:v>
                </c:pt>
                <c:pt idx="130">
                  <c:v>2023.0745924725807</c:v>
                </c:pt>
                <c:pt idx="131">
                  <c:v>2023.2317501207942</c:v>
                </c:pt>
                <c:pt idx="132">
                  <c:v>2022.8541643646211</c:v>
                </c:pt>
                <c:pt idx="133">
                  <c:v>2024.6952438969811</c:v>
                </c:pt>
                <c:pt idx="134">
                  <c:v>2023.1708999075631</c:v>
                </c:pt>
                <c:pt idx="135">
                  <c:v>2025.2365950873641</c:v>
                </c:pt>
                <c:pt idx="136">
                  <c:v>2022.9312843909604</c:v>
                </c:pt>
                <c:pt idx="137">
                  <c:v>2023.3412671968692</c:v>
                </c:pt>
                <c:pt idx="138">
                  <c:v>2023.6082545900149</c:v>
                </c:pt>
                <c:pt idx="139">
                  <c:v>2023.0952013174151</c:v>
                </c:pt>
                <c:pt idx="140">
                  <c:v>2022.6737423041668</c:v>
                </c:pt>
                <c:pt idx="141">
                  <c:v>2024.7464659159061</c:v>
                </c:pt>
                <c:pt idx="142">
                  <c:v>2023.3558063159455</c:v>
                </c:pt>
                <c:pt idx="143">
                  <c:v>2023.9054236851989</c:v>
                </c:pt>
                <c:pt idx="144">
                  <c:v>2024.8336304072109</c:v>
                </c:pt>
                <c:pt idx="145">
                  <c:v>2025.2333370630126</c:v>
                </c:pt>
                <c:pt idx="146">
                  <c:v>2024.8099247874611</c:v>
                </c:pt>
                <c:pt idx="147">
                  <c:v>2022.9424874019041</c:v>
                </c:pt>
                <c:pt idx="148">
                  <c:v>2024.8104816849598</c:v>
                </c:pt>
                <c:pt idx="149">
                  <c:v>2024.1838349167922</c:v>
                </c:pt>
                <c:pt idx="150">
                  <c:v>2022.8415806256437</c:v>
                </c:pt>
                <c:pt idx="151">
                  <c:v>2023.3769414362305</c:v>
                </c:pt>
                <c:pt idx="152">
                  <c:v>2022.9395001348773</c:v>
                </c:pt>
                <c:pt idx="153">
                  <c:v>2023.5577250440224</c:v>
                </c:pt>
                <c:pt idx="154">
                  <c:v>2024.9295764708631</c:v>
                </c:pt>
                <c:pt idx="155">
                  <c:v>2023.9023074595273</c:v>
                </c:pt>
                <c:pt idx="156">
                  <c:v>2023.4542657692234</c:v>
                </c:pt>
                <c:pt idx="157">
                  <c:v>2023.2041761586781</c:v>
                </c:pt>
                <c:pt idx="158">
                  <c:v>2023.3013185254249</c:v>
                </c:pt>
                <c:pt idx="159">
                  <c:v>2024.8490596265945</c:v>
                </c:pt>
                <c:pt idx="160">
                  <c:v>2024.8864914997218</c:v>
                </c:pt>
                <c:pt idx="161">
                  <c:v>2023.1439234265069</c:v>
                </c:pt>
                <c:pt idx="162">
                  <c:v>2025.1473050125994</c:v>
                </c:pt>
                <c:pt idx="163">
                  <c:v>2023.2742716019809</c:v>
                </c:pt>
                <c:pt idx="164">
                  <c:v>2025.0604125120769</c:v>
                </c:pt>
                <c:pt idx="165">
                  <c:v>2024.1123673030829</c:v>
                </c:pt>
                <c:pt idx="166">
                  <c:v>2022.8227752473156</c:v>
                </c:pt>
                <c:pt idx="167">
                  <c:v>2022.9229171600023</c:v>
                </c:pt>
                <c:pt idx="168">
                  <c:v>2024.7302535870692</c:v>
                </c:pt>
                <c:pt idx="169">
                  <c:v>2024.5682983407792</c:v>
                </c:pt>
                <c:pt idx="170">
                  <c:v>2022.9846112047737</c:v>
                </c:pt>
                <c:pt idx="171">
                  <c:v>2022.7576957985939</c:v>
                </c:pt>
                <c:pt idx="172">
                  <c:v>2023.0943224084565</c:v>
                </c:pt>
                <c:pt idx="173">
                  <c:v>2023.1514244742409</c:v>
                </c:pt>
                <c:pt idx="174">
                  <c:v>2024.4880742276234</c:v>
                </c:pt>
                <c:pt idx="175">
                  <c:v>2022.9895249707365</c:v>
                </c:pt>
                <c:pt idx="176">
                  <c:v>2025.3386693893515</c:v>
                </c:pt>
                <c:pt idx="177">
                  <c:v>2023.6534533931817</c:v>
                </c:pt>
                <c:pt idx="178">
                  <c:v>2023.4783120182999</c:v>
                </c:pt>
                <c:pt idx="179">
                  <c:v>2023.2870542652208</c:v>
                </c:pt>
                <c:pt idx="180">
                  <c:v>2023.0341329088706</c:v>
                </c:pt>
                <c:pt idx="181">
                  <c:v>2023.5544144405719</c:v>
                </c:pt>
                <c:pt idx="182">
                  <c:v>2023.0430560101006</c:v>
                </c:pt>
                <c:pt idx="183">
                  <c:v>2023.2786398795463</c:v>
                </c:pt>
                <c:pt idx="184">
                  <c:v>2024.0510533871823</c:v>
                </c:pt>
                <c:pt idx="185">
                  <c:v>2023.2813323370201</c:v>
                </c:pt>
                <c:pt idx="186">
                  <c:v>2024.935891519403</c:v>
                </c:pt>
                <c:pt idx="187">
                  <c:v>2023.0205826188669</c:v>
                </c:pt>
                <c:pt idx="188">
                  <c:v>2023.3327535744017</c:v>
                </c:pt>
                <c:pt idx="189">
                  <c:v>2022.8270517444544</c:v>
                </c:pt>
                <c:pt idx="190">
                  <c:v>2022.8854360252867</c:v>
                </c:pt>
                <c:pt idx="191">
                  <c:v>2022.9764165805839</c:v>
                </c:pt>
                <c:pt idx="192">
                  <c:v>2023.1578252324666</c:v>
                </c:pt>
                <c:pt idx="193">
                  <c:v>2023.2061107857351</c:v>
                </c:pt>
                <c:pt idx="194">
                  <c:v>2024.8370682699749</c:v>
                </c:pt>
                <c:pt idx="195">
                  <c:v>2024.7986728584015</c:v>
                </c:pt>
                <c:pt idx="196">
                  <c:v>2024.3925338696529</c:v>
                </c:pt>
                <c:pt idx="197">
                  <c:v>2023.0075202781302</c:v>
                </c:pt>
                <c:pt idx="198">
                  <c:v>2023.3039204427698</c:v>
                </c:pt>
                <c:pt idx="199">
                  <c:v>2023.794890240096</c:v>
                </c:pt>
                <c:pt idx="200">
                  <c:v>2023.1481940466983</c:v>
                </c:pt>
                <c:pt idx="201">
                  <c:v>2024.7272540891065</c:v>
                </c:pt>
                <c:pt idx="202">
                  <c:v>2023.038897517057</c:v>
                </c:pt>
                <c:pt idx="203">
                  <c:v>2024.727232241547</c:v>
                </c:pt>
                <c:pt idx="204">
                  <c:v>2023.2335722230152</c:v>
                </c:pt>
                <c:pt idx="205">
                  <c:v>2023.3065870023961</c:v>
                </c:pt>
                <c:pt idx="206">
                  <c:v>2024.7778724319262</c:v>
                </c:pt>
                <c:pt idx="207">
                  <c:v>2022.9002501961495</c:v>
                </c:pt>
                <c:pt idx="208">
                  <c:v>2022.9885757441909</c:v>
                </c:pt>
                <c:pt idx="209">
                  <c:v>2023.0742802894633</c:v>
                </c:pt>
                <c:pt idx="210">
                  <c:v>2022.9672805190912</c:v>
                </c:pt>
                <c:pt idx="211">
                  <c:v>2023.5015755226023</c:v>
                </c:pt>
                <c:pt idx="212">
                  <c:v>2023.1370085514441</c:v>
                </c:pt>
                <c:pt idx="213">
                  <c:v>2022.7580837546409</c:v>
                </c:pt>
                <c:pt idx="214">
                  <c:v>2023.0004184556662</c:v>
                </c:pt>
                <c:pt idx="215">
                  <c:v>2023.037634275847</c:v>
                </c:pt>
                <c:pt idx="216">
                  <c:v>2023.0448600280331</c:v>
                </c:pt>
                <c:pt idx="217">
                  <c:v>2022.6940066274117</c:v>
                </c:pt>
                <c:pt idx="218">
                  <c:v>2022.870357201426</c:v>
                </c:pt>
                <c:pt idx="219">
                  <c:v>2023.5737474545297</c:v>
                </c:pt>
                <c:pt idx="220">
                  <c:v>2025.0542054791654</c:v>
                </c:pt>
                <c:pt idx="221">
                  <c:v>2022.6056980137103</c:v>
                </c:pt>
                <c:pt idx="222">
                  <c:v>2022.8116492923689</c:v>
                </c:pt>
                <c:pt idx="223">
                  <c:v>2023.579285983345</c:v>
                </c:pt>
                <c:pt idx="224">
                  <c:v>2024.8738599810511</c:v>
                </c:pt>
                <c:pt idx="225">
                  <c:v>2025.1514111607337</c:v>
                </c:pt>
                <c:pt idx="226">
                  <c:v>2024.7665282392334</c:v>
                </c:pt>
                <c:pt idx="227">
                  <c:v>2023.3430685926955</c:v>
                </c:pt>
                <c:pt idx="228">
                  <c:v>2023.1370009646082</c:v>
                </c:pt>
                <c:pt idx="229">
                  <c:v>2022.9671029448773</c:v>
                </c:pt>
                <c:pt idx="230">
                  <c:v>2024.1615657872801</c:v>
                </c:pt>
                <c:pt idx="231">
                  <c:v>2022.8443955276141</c:v>
                </c:pt>
                <c:pt idx="232">
                  <c:v>2022.9431075211342</c:v>
                </c:pt>
                <c:pt idx="233">
                  <c:v>2023.5964347472695</c:v>
                </c:pt>
                <c:pt idx="234">
                  <c:v>2023.6068556647749</c:v>
                </c:pt>
                <c:pt idx="235">
                  <c:v>2023.4757774369796</c:v>
                </c:pt>
                <c:pt idx="236">
                  <c:v>2024.0384281266513</c:v>
                </c:pt>
                <c:pt idx="237">
                  <c:v>2023.7807698499576</c:v>
                </c:pt>
                <c:pt idx="238">
                  <c:v>2023.4677734107925</c:v>
                </c:pt>
                <c:pt idx="239">
                  <c:v>2022.7221471756054</c:v>
                </c:pt>
                <c:pt idx="240">
                  <c:v>2023.2248853906049</c:v>
                </c:pt>
                <c:pt idx="241">
                  <c:v>2023.1267103381726</c:v>
                </c:pt>
                <c:pt idx="242">
                  <c:v>2023.2698369262905</c:v>
                </c:pt>
                <c:pt idx="243">
                  <c:v>2022.8397072167902</c:v>
                </c:pt>
                <c:pt idx="244">
                  <c:v>2022.9574507201373</c:v>
                </c:pt>
                <c:pt idx="245">
                  <c:v>2023.4242047534012</c:v>
                </c:pt>
                <c:pt idx="246">
                  <c:v>2023.0478708251248</c:v>
                </c:pt>
                <c:pt idx="247">
                  <c:v>2023.131631702322</c:v>
                </c:pt>
                <c:pt idx="248">
                  <c:v>2022.5770447471725</c:v>
                </c:pt>
                <c:pt idx="249">
                  <c:v>2023.3505343379168</c:v>
                </c:pt>
                <c:pt idx="250">
                  <c:v>2022.9944135902967</c:v>
                </c:pt>
                <c:pt idx="251">
                  <c:v>2022.7871254540016</c:v>
                </c:pt>
                <c:pt idx="252">
                  <c:v>2023.3783005085554</c:v>
                </c:pt>
                <c:pt idx="253">
                  <c:v>2023.356193452245</c:v>
                </c:pt>
                <c:pt idx="254">
                  <c:v>2023.7465535984134</c:v>
                </c:pt>
                <c:pt idx="255">
                  <c:v>2025.2384701874389</c:v>
                </c:pt>
                <c:pt idx="256">
                  <c:v>2023.1359257971178</c:v>
                </c:pt>
                <c:pt idx="257">
                  <c:v>2023.1591479280646</c:v>
                </c:pt>
                <c:pt idx="258">
                  <c:v>2024.5379728885048</c:v>
                </c:pt>
                <c:pt idx="259">
                  <c:v>2024.7650430419299</c:v>
                </c:pt>
                <c:pt idx="260">
                  <c:v>2022.8127137268432</c:v>
                </c:pt>
                <c:pt idx="261">
                  <c:v>2023.0201733158381</c:v>
                </c:pt>
                <c:pt idx="262">
                  <c:v>2024.3987582885454</c:v>
                </c:pt>
                <c:pt idx="263">
                  <c:v>2023.554800373975</c:v>
                </c:pt>
                <c:pt idx="264">
                  <c:v>2023.8680514957334</c:v>
                </c:pt>
                <c:pt idx="265">
                  <c:v>2023.3379901787162</c:v>
                </c:pt>
                <c:pt idx="266">
                  <c:v>2024.3703689380222</c:v>
                </c:pt>
                <c:pt idx="267">
                  <c:v>2022.7010466491208</c:v>
                </c:pt>
                <c:pt idx="268">
                  <c:v>2023.9442877445506</c:v>
                </c:pt>
                <c:pt idx="269">
                  <c:v>2023.1424573279462</c:v>
                </c:pt>
                <c:pt idx="270">
                  <c:v>2022.9651588718443</c:v>
                </c:pt>
                <c:pt idx="271">
                  <c:v>2022.8853458941785</c:v>
                </c:pt>
                <c:pt idx="272">
                  <c:v>2025.0850847000925</c:v>
                </c:pt>
                <c:pt idx="273">
                  <c:v>2022.8515937697655</c:v>
                </c:pt>
                <c:pt idx="274">
                  <c:v>2023.7394057278636</c:v>
                </c:pt>
                <c:pt idx="275">
                  <c:v>2023.1325677496245</c:v>
                </c:pt>
                <c:pt idx="276">
                  <c:v>2023.1764319056399</c:v>
                </c:pt>
                <c:pt idx="277">
                  <c:v>2023.4671160797284</c:v>
                </c:pt>
                <c:pt idx="278">
                  <c:v>2023.6299868465999</c:v>
                </c:pt>
                <c:pt idx="279">
                  <c:v>2022.8047558403557</c:v>
                </c:pt>
                <c:pt idx="280">
                  <c:v>2023.2866595366677</c:v>
                </c:pt>
                <c:pt idx="281">
                  <c:v>2023.3643019959959</c:v>
                </c:pt>
                <c:pt idx="282">
                  <c:v>2023.3001629660678</c:v>
                </c:pt>
                <c:pt idx="283">
                  <c:v>2023.0459740319959</c:v>
                </c:pt>
                <c:pt idx="284">
                  <c:v>2024.7249794614759</c:v>
                </c:pt>
                <c:pt idx="285">
                  <c:v>2023.1693754954454</c:v>
                </c:pt>
                <c:pt idx="286">
                  <c:v>2023.2727809003225</c:v>
                </c:pt>
                <c:pt idx="287">
                  <c:v>2022.9580445892886</c:v>
                </c:pt>
                <c:pt idx="288">
                  <c:v>2023.358202950343</c:v>
                </c:pt>
                <c:pt idx="289">
                  <c:v>2023.2861154921998</c:v>
                </c:pt>
                <c:pt idx="290">
                  <c:v>2023.3477393067774</c:v>
                </c:pt>
                <c:pt idx="291">
                  <c:v>2022.7749274243745</c:v>
                </c:pt>
                <c:pt idx="292">
                  <c:v>2023.7091856706061</c:v>
                </c:pt>
                <c:pt idx="293">
                  <c:v>2022.7403955442007</c:v>
                </c:pt>
                <c:pt idx="294">
                  <c:v>2022.8186277443656</c:v>
                </c:pt>
                <c:pt idx="295">
                  <c:v>2023.2584128920901</c:v>
                </c:pt>
                <c:pt idx="296">
                  <c:v>2023.0235396331234</c:v>
                </c:pt>
                <c:pt idx="297">
                  <c:v>2023.0774368171967</c:v>
                </c:pt>
                <c:pt idx="298">
                  <c:v>2023.1049657795129</c:v>
                </c:pt>
                <c:pt idx="299">
                  <c:v>2023.2837551283476</c:v>
                </c:pt>
                <c:pt idx="300">
                  <c:v>2023.4776485919588</c:v>
                </c:pt>
                <c:pt idx="301">
                  <c:v>2022.8649230108401</c:v>
                </c:pt>
                <c:pt idx="302">
                  <c:v>2023.2466269398267</c:v>
                </c:pt>
                <c:pt idx="303">
                  <c:v>2022.7326322647534</c:v>
                </c:pt>
                <c:pt idx="304">
                  <c:v>2024.8837131999783</c:v>
                </c:pt>
                <c:pt idx="305">
                  <c:v>2022.9742928034441</c:v>
                </c:pt>
                <c:pt idx="306">
                  <c:v>2023.3190351306828</c:v>
                </c:pt>
                <c:pt idx="307">
                  <c:v>2023.4456541928375</c:v>
                </c:pt>
                <c:pt idx="308">
                  <c:v>2022.6834730780217</c:v>
                </c:pt>
                <c:pt idx="309">
                  <c:v>2022.8021274878631</c:v>
                </c:pt>
                <c:pt idx="310">
                  <c:v>2023.1239857083883</c:v>
                </c:pt>
                <c:pt idx="311">
                  <c:v>2023.4529963162961</c:v>
                </c:pt>
                <c:pt idx="312">
                  <c:v>2024.6734588774634</c:v>
                </c:pt>
                <c:pt idx="313">
                  <c:v>2023.0647858710543</c:v>
                </c:pt>
                <c:pt idx="314">
                  <c:v>2022.9314069575389</c:v>
                </c:pt>
                <c:pt idx="315">
                  <c:v>2024.8111259628074</c:v>
                </c:pt>
                <c:pt idx="316">
                  <c:v>2023.4484416300725</c:v>
                </c:pt>
                <c:pt idx="317">
                  <c:v>2023.1509933027112</c:v>
                </c:pt>
                <c:pt idx="318">
                  <c:v>2023.2422150681214</c:v>
                </c:pt>
                <c:pt idx="319">
                  <c:v>2023.2644971693853</c:v>
                </c:pt>
                <c:pt idx="320">
                  <c:v>2023.3622719934026</c:v>
                </c:pt>
                <c:pt idx="321">
                  <c:v>2023.038363897999</c:v>
                </c:pt>
                <c:pt idx="322">
                  <c:v>2022.9858526644894</c:v>
                </c:pt>
                <c:pt idx="323">
                  <c:v>2023.32317172842</c:v>
                </c:pt>
                <c:pt idx="324">
                  <c:v>2024.5588462736448</c:v>
                </c:pt>
                <c:pt idx="325">
                  <c:v>2022.8209595105327</c:v>
                </c:pt>
                <c:pt idx="326">
                  <c:v>2023.5274490099146</c:v>
                </c:pt>
                <c:pt idx="327">
                  <c:v>2025.3183307274908</c:v>
                </c:pt>
                <c:pt idx="328">
                  <c:v>2024.9769414658576</c:v>
                </c:pt>
                <c:pt idx="329">
                  <c:v>2023.7547084030473</c:v>
                </c:pt>
                <c:pt idx="330">
                  <c:v>2024.9322437609503</c:v>
                </c:pt>
                <c:pt idx="331">
                  <c:v>2023.2878042977297</c:v>
                </c:pt>
                <c:pt idx="332">
                  <c:v>2023.4385544598806</c:v>
                </c:pt>
                <c:pt idx="333">
                  <c:v>2023.1935083007286</c:v>
                </c:pt>
                <c:pt idx="334">
                  <c:v>2025.4979017054902</c:v>
                </c:pt>
                <c:pt idx="335">
                  <c:v>2023.4305107511182</c:v>
                </c:pt>
                <c:pt idx="336">
                  <c:v>2022.9829486194076</c:v>
                </c:pt>
                <c:pt idx="337">
                  <c:v>2024.5845128321423</c:v>
                </c:pt>
                <c:pt idx="338">
                  <c:v>2023.3363734553411</c:v>
                </c:pt>
                <c:pt idx="339">
                  <c:v>2024.2473375108095</c:v>
                </c:pt>
                <c:pt idx="340">
                  <c:v>2024.8337178936233</c:v>
                </c:pt>
                <c:pt idx="341">
                  <c:v>2023.3874618667478</c:v>
                </c:pt>
                <c:pt idx="342">
                  <c:v>2023.3952207776956</c:v>
                </c:pt>
                <c:pt idx="343">
                  <c:v>2024.7499543789247</c:v>
                </c:pt>
                <c:pt idx="344">
                  <c:v>2022.9632992550451</c:v>
                </c:pt>
                <c:pt idx="345">
                  <c:v>2022.8207086923239</c:v>
                </c:pt>
                <c:pt idx="346">
                  <c:v>2025.7148792694027</c:v>
                </c:pt>
                <c:pt idx="347">
                  <c:v>2022.8039630070757</c:v>
                </c:pt>
                <c:pt idx="348">
                  <c:v>2022.6350016400793</c:v>
                </c:pt>
                <c:pt idx="349">
                  <c:v>2023.107008006268</c:v>
                </c:pt>
                <c:pt idx="350">
                  <c:v>2023.8262879879653</c:v>
                </c:pt>
                <c:pt idx="351">
                  <c:v>2025.1529091652856</c:v>
                </c:pt>
                <c:pt idx="352">
                  <c:v>2025.183615810342</c:v>
                </c:pt>
                <c:pt idx="353">
                  <c:v>2023.1175280570428</c:v>
                </c:pt>
                <c:pt idx="354">
                  <c:v>2023.0753060212369</c:v>
                </c:pt>
                <c:pt idx="355">
                  <c:v>2023.3171653942434</c:v>
                </c:pt>
                <c:pt idx="356">
                  <c:v>2023.7440387221477</c:v>
                </c:pt>
                <c:pt idx="357">
                  <c:v>2022.9303292459829</c:v>
                </c:pt>
                <c:pt idx="358">
                  <c:v>2024.9715701230241</c:v>
                </c:pt>
                <c:pt idx="359">
                  <c:v>2024.3566766294612</c:v>
                </c:pt>
                <c:pt idx="360">
                  <c:v>2022.9695071887065</c:v>
                </c:pt>
                <c:pt idx="361">
                  <c:v>2023.0057814848672</c:v>
                </c:pt>
                <c:pt idx="362">
                  <c:v>2024.9080070162395</c:v>
                </c:pt>
                <c:pt idx="363">
                  <c:v>2025.8120762225381</c:v>
                </c:pt>
                <c:pt idx="364">
                  <c:v>2023.4136207325241</c:v>
                </c:pt>
                <c:pt idx="365">
                  <c:v>2025.5576682162098</c:v>
                </c:pt>
                <c:pt idx="366">
                  <c:v>2023.5508415492322</c:v>
                </c:pt>
                <c:pt idx="367">
                  <c:v>2024.8431911377891</c:v>
                </c:pt>
                <c:pt idx="368">
                  <c:v>2023.7446916270999</c:v>
                </c:pt>
                <c:pt idx="369">
                  <c:v>2023.4053450008</c:v>
                </c:pt>
                <c:pt idx="370">
                  <c:v>2024.133599285944</c:v>
                </c:pt>
                <c:pt idx="371">
                  <c:v>2023.0075730375638</c:v>
                </c:pt>
                <c:pt idx="372">
                  <c:v>2023.184026849234</c:v>
                </c:pt>
                <c:pt idx="373">
                  <c:v>2024.5591061303103</c:v>
                </c:pt>
                <c:pt idx="374">
                  <c:v>2024.5284629032981</c:v>
                </c:pt>
                <c:pt idx="375">
                  <c:v>2023.3761747153376</c:v>
                </c:pt>
                <c:pt idx="376">
                  <c:v>2022.9187338745423</c:v>
                </c:pt>
                <c:pt idx="377">
                  <c:v>2024.6528707499594</c:v>
                </c:pt>
                <c:pt idx="378">
                  <c:v>2023.838505026069</c:v>
                </c:pt>
                <c:pt idx="379">
                  <c:v>2023.3933972157608</c:v>
                </c:pt>
                <c:pt idx="380">
                  <c:v>2023.0683314118462</c:v>
                </c:pt>
                <c:pt idx="381">
                  <c:v>2024.4494770045635</c:v>
                </c:pt>
                <c:pt idx="382">
                  <c:v>2023.9477843702357</c:v>
                </c:pt>
                <c:pt idx="383">
                  <c:v>2023.2719218910515</c:v>
                </c:pt>
                <c:pt idx="384">
                  <c:v>2023.3235887789424</c:v>
                </c:pt>
                <c:pt idx="385">
                  <c:v>2023.3634862871791</c:v>
                </c:pt>
                <c:pt idx="386">
                  <c:v>2024.7941142109021</c:v>
                </c:pt>
                <c:pt idx="387">
                  <c:v>2025.7910742819179</c:v>
                </c:pt>
                <c:pt idx="388">
                  <c:v>2024.3876207659582</c:v>
                </c:pt>
                <c:pt idx="389">
                  <c:v>2025.0714779788411</c:v>
                </c:pt>
                <c:pt idx="390">
                  <c:v>2023.3568692866943</c:v>
                </c:pt>
                <c:pt idx="391">
                  <c:v>2023.7757579598137</c:v>
                </c:pt>
                <c:pt idx="392">
                  <c:v>2023.1004447227128</c:v>
                </c:pt>
                <c:pt idx="393">
                  <c:v>2022.9273353314445</c:v>
                </c:pt>
                <c:pt idx="394">
                  <c:v>2022.6973257828463</c:v>
                </c:pt>
                <c:pt idx="395">
                  <c:v>2024.9043718458106</c:v>
                </c:pt>
                <c:pt idx="396">
                  <c:v>2023.3672216330374</c:v>
                </c:pt>
                <c:pt idx="397">
                  <c:v>2023.3152459582568</c:v>
                </c:pt>
                <c:pt idx="398">
                  <c:v>2023.20319066107</c:v>
                </c:pt>
                <c:pt idx="399">
                  <c:v>2024.9513894666825</c:v>
                </c:pt>
                <c:pt idx="400">
                  <c:v>2022.7973697672226</c:v>
                </c:pt>
                <c:pt idx="401">
                  <c:v>2023.7128320153031</c:v>
                </c:pt>
                <c:pt idx="402">
                  <c:v>2023.2850756406933</c:v>
                </c:pt>
                <c:pt idx="403">
                  <c:v>2024.8369329765692</c:v>
                </c:pt>
                <c:pt idx="404">
                  <c:v>2024.9777948084632</c:v>
                </c:pt>
                <c:pt idx="405">
                  <c:v>2023.1853458004387</c:v>
                </c:pt>
                <c:pt idx="406">
                  <c:v>2023.0460954701239</c:v>
                </c:pt>
                <c:pt idx="407">
                  <c:v>2024.7967663571305</c:v>
                </c:pt>
                <c:pt idx="408">
                  <c:v>2025.4336683275685</c:v>
                </c:pt>
                <c:pt idx="409">
                  <c:v>2024.7742602980366</c:v>
                </c:pt>
                <c:pt idx="410">
                  <c:v>2024.2605270689764</c:v>
                </c:pt>
                <c:pt idx="411">
                  <c:v>2024.5841860792127</c:v>
                </c:pt>
                <c:pt idx="412">
                  <c:v>2023.2335810107102</c:v>
                </c:pt>
                <c:pt idx="413">
                  <c:v>2023.1480438387973</c:v>
                </c:pt>
                <c:pt idx="414">
                  <c:v>2023.4744230820081</c:v>
                </c:pt>
                <c:pt idx="415">
                  <c:v>2023.6096961283604</c:v>
                </c:pt>
                <c:pt idx="416">
                  <c:v>2023.2076847469727</c:v>
                </c:pt>
                <c:pt idx="417">
                  <c:v>2024.9517515143477</c:v>
                </c:pt>
                <c:pt idx="418">
                  <c:v>2023.3570833349095</c:v>
                </c:pt>
                <c:pt idx="419">
                  <c:v>2024.341278412679</c:v>
                </c:pt>
                <c:pt idx="420">
                  <c:v>2023.1523508813852</c:v>
                </c:pt>
                <c:pt idx="421">
                  <c:v>2024.9889529093527</c:v>
                </c:pt>
                <c:pt idx="422">
                  <c:v>2022.9503526972469</c:v>
                </c:pt>
                <c:pt idx="423">
                  <c:v>2024.3500196497025</c:v>
                </c:pt>
                <c:pt idx="424">
                  <c:v>2022.6974808041905</c:v>
                </c:pt>
                <c:pt idx="425">
                  <c:v>2024.7657231347853</c:v>
                </c:pt>
                <c:pt idx="426">
                  <c:v>2023.6736177846731</c:v>
                </c:pt>
                <c:pt idx="427">
                  <c:v>2025.113630070766</c:v>
                </c:pt>
                <c:pt idx="428">
                  <c:v>2023.0932288920537</c:v>
                </c:pt>
                <c:pt idx="429">
                  <c:v>2023.4021405359028</c:v>
                </c:pt>
                <c:pt idx="430">
                  <c:v>2024.5742480274782</c:v>
                </c:pt>
                <c:pt idx="431">
                  <c:v>2024.6565223644939</c:v>
                </c:pt>
                <c:pt idx="432">
                  <c:v>2024.9581582633064</c:v>
                </c:pt>
                <c:pt idx="433">
                  <c:v>2023.1863830909281</c:v>
                </c:pt>
                <c:pt idx="434">
                  <c:v>2023.163163041191</c:v>
                </c:pt>
                <c:pt idx="435">
                  <c:v>2023.1091580875425</c:v>
                </c:pt>
                <c:pt idx="436">
                  <c:v>2023.125190425443</c:v>
                </c:pt>
                <c:pt idx="437">
                  <c:v>2023.0057107866287</c:v>
                </c:pt>
                <c:pt idx="438">
                  <c:v>2023.6804383241595</c:v>
                </c:pt>
                <c:pt idx="439">
                  <c:v>2023.6038300626415</c:v>
                </c:pt>
                <c:pt idx="440">
                  <c:v>2023.3149485906285</c:v>
                </c:pt>
                <c:pt idx="441">
                  <c:v>2022.8053959946546</c:v>
                </c:pt>
                <c:pt idx="442">
                  <c:v>2023.3884539790861</c:v>
                </c:pt>
                <c:pt idx="443">
                  <c:v>2023.2894925150142</c:v>
                </c:pt>
                <c:pt idx="444">
                  <c:v>2024.159720635093</c:v>
                </c:pt>
                <c:pt idx="445">
                  <c:v>2024.3472039834346</c:v>
                </c:pt>
                <c:pt idx="446">
                  <c:v>2023.8277572494383</c:v>
                </c:pt>
                <c:pt idx="447">
                  <c:v>2023.394131139959</c:v>
                </c:pt>
                <c:pt idx="448">
                  <c:v>2023.2395048605226</c:v>
                </c:pt>
                <c:pt idx="449">
                  <c:v>2023.3696760316188</c:v>
                </c:pt>
                <c:pt idx="450">
                  <c:v>2023.5584365881136</c:v>
                </c:pt>
                <c:pt idx="451">
                  <c:v>2025.5002415066342</c:v>
                </c:pt>
                <c:pt idx="452">
                  <c:v>2023.0164563114602</c:v>
                </c:pt>
                <c:pt idx="453">
                  <c:v>2024.9761188238656</c:v>
                </c:pt>
                <c:pt idx="454">
                  <c:v>2022.9902008526612</c:v>
                </c:pt>
                <c:pt idx="455">
                  <c:v>2024.6294965436041</c:v>
                </c:pt>
                <c:pt idx="456">
                  <c:v>2025.0911217937189</c:v>
                </c:pt>
                <c:pt idx="457">
                  <c:v>2022.9269185469714</c:v>
                </c:pt>
                <c:pt idx="458">
                  <c:v>2023.1893417656202</c:v>
                </c:pt>
                <c:pt idx="459">
                  <c:v>2023.1163895262296</c:v>
                </c:pt>
                <c:pt idx="460">
                  <c:v>2022.8597134076858</c:v>
                </c:pt>
                <c:pt idx="461">
                  <c:v>2023.1210736980001</c:v>
                </c:pt>
                <c:pt idx="462">
                  <c:v>2024.9137188777543</c:v>
                </c:pt>
                <c:pt idx="463">
                  <c:v>2023.4896654690324</c:v>
                </c:pt>
                <c:pt idx="464">
                  <c:v>2023.398632914153</c:v>
                </c:pt>
                <c:pt idx="465">
                  <c:v>2025.1221863840435</c:v>
                </c:pt>
                <c:pt idx="466">
                  <c:v>2025.2273291129541</c:v>
                </c:pt>
                <c:pt idx="467">
                  <c:v>2023.439587645611</c:v>
                </c:pt>
                <c:pt idx="468">
                  <c:v>2023.7762080590314</c:v>
                </c:pt>
                <c:pt idx="469">
                  <c:v>2022.9078002179044</c:v>
                </c:pt>
                <c:pt idx="470">
                  <c:v>2023.5425277839181</c:v>
                </c:pt>
                <c:pt idx="471">
                  <c:v>2024.2871647759489</c:v>
                </c:pt>
                <c:pt idx="472">
                  <c:v>2023.0136774663404</c:v>
                </c:pt>
                <c:pt idx="473">
                  <c:v>2023.2976631706506</c:v>
                </c:pt>
                <c:pt idx="474">
                  <c:v>2022.9905332194912</c:v>
                </c:pt>
                <c:pt idx="475">
                  <c:v>2022.8476870562858</c:v>
                </c:pt>
                <c:pt idx="476">
                  <c:v>2025.2453750680675</c:v>
                </c:pt>
                <c:pt idx="477">
                  <c:v>2022.875257781669</c:v>
                </c:pt>
                <c:pt idx="478">
                  <c:v>2024.9722804110286</c:v>
                </c:pt>
                <c:pt idx="479">
                  <c:v>2023.4773662577154</c:v>
                </c:pt>
                <c:pt idx="480">
                  <c:v>2023.0437234280278</c:v>
                </c:pt>
                <c:pt idx="481">
                  <c:v>2025.2063555365853</c:v>
                </c:pt>
                <c:pt idx="482">
                  <c:v>2022.7310574394564</c:v>
                </c:pt>
                <c:pt idx="483">
                  <c:v>2023.0459307746928</c:v>
                </c:pt>
                <c:pt idx="484">
                  <c:v>2024.6330243924012</c:v>
                </c:pt>
                <c:pt idx="485">
                  <c:v>2025.383699684955</c:v>
                </c:pt>
                <c:pt idx="486">
                  <c:v>2024.5417390098446</c:v>
                </c:pt>
                <c:pt idx="487">
                  <c:v>2023.3860372167128</c:v>
                </c:pt>
                <c:pt idx="488">
                  <c:v>2023.2399188126512</c:v>
                </c:pt>
                <c:pt idx="489">
                  <c:v>2023.5111198686186</c:v>
                </c:pt>
                <c:pt idx="490">
                  <c:v>2022.7874232507402</c:v>
                </c:pt>
                <c:pt idx="491">
                  <c:v>2022.6824891625031</c:v>
                </c:pt>
                <c:pt idx="492">
                  <c:v>2023.0609380155554</c:v>
                </c:pt>
                <c:pt idx="493">
                  <c:v>2023.4200494261979</c:v>
                </c:pt>
                <c:pt idx="494">
                  <c:v>2024.265778471947</c:v>
                </c:pt>
                <c:pt idx="495">
                  <c:v>2025.8572571243033</c:v>
                </c:pt>
                <c:pt idx="496">
                  <c:v>2023.1120276840816</c:v>
                </c:pt>
                <c:pt idx="497">
                  <c:v>2023.5440130647141</c:v>
                </c:pt>
                <c:pt idx="498">
                  <c:v>2023.2127544310345</c:v>
                </c:pt>
                <c:pt idx="499">
                  <c:v>2023.3032146184321</c:v>
                </c:pt>
                <c:pt idx="500">
                  <c:v>2022.9739790808915</c:v>
                </c:pt>
                <c:pt idx="501">
                  <c:v>2022.9759227539801</c:v>
                </c:pt>
                <c:pt idx="502">
                  <c:v>2022.8184889434303</c:v>
                </c:pt>
                <c:pt idx="503">
                  <c:v>2022.9605668053471</c:v>
                </c:pt>
                <c:pt idx="504">
                  <c:v>2024.9958299859493</c:v>
                </c:pt>
                <c:pt idx="505">
                  <c:v>2025.1682159322495</c:v>
                </c:pt>
                <c:pt idx="506">
                  <c:v>2024.8708945123039</c:v>
                </c:pt>
                <c:pt idx="507">
                  <c:v>2023.0502946430752</c:v>
                </c:pt>
                <c:pt idx="508">
                  <c:v>2023.722322100416</c:v>
                </c:pt>
                <c:pt idx="509">
                  <c:v>2023.7097747925882</c:v>
                </c:pt>
                <c:pt idx="510">
                  <c:v>2024.5058637497718</c:v>
                </c:pt>
                <c:pt idx="511">
                  <c:v>2023.0058060495946</c:v>
                </c:pt>
                <c:pt idx="512">
                  <c:v>2022.8649086616413</c:v>
                </c:pt>
                <c:pt idx="513">
                  <c:v>2023.001000218494</c:v>
                </c:pt>
                <c:pt idx="514">
                  <c:v>2024.5068287172296</c:v>
                </c:pt>
                <c:pt idx="515">
                  <c:v>2023.1631914947827</c:v>
                </c:pt>
                <c:pt idx="516">
                  <c:v>2023.6840910854428</c:v>
                </c:pt>
                <c:pt idx="517">
                  <c:v>2023.4707024746424</c:v>
                </c:pt>
                <c:pt idx="518">
                  <c:v>2023.0105132692934</c:v>
                </c:pt>
                <c:pt idx="519">
                  <c:v>2025.2618913811407</c:v>
                </c:pt>
                <c:pt idx="520">
                  <c:v>2023.670875435336</c:v>
                </c:pt>
                <c:pt idx="521">
                  <c:v>2022.929558699474</c:v>
                </c:pt>
                <c:pt idx="522">
                  <c:v>2023.1184447858236</c:v>
                </c:pt>
                <c:pt idx="523">
                  <c:v>2023.6919628351993</c:v>
                </c:pt>
                <c:pt idx="524">
                  <c:v>2023.4576177209974</c:v>
                </c:pt>
                <c:pt idx="525">
                  <c:v>2023.1182889478264</c:v>
                </c:pt>
                <c:pt idx="526">
                  <c:v>2023.239605174088</c:v>
                </c:pt>
                <c:pt idx="527">
                  <c:v>2023.1718096598945</c:v>
                </c:pt>
                <c:pt idx="528">
                  <c:v>2023.2300913774654</c:v>
                </c:pt>
                <c:pt idx="529">
                  <c:v>2025.08123998319</c:v>
                </c:pt>
                <c:pt idx="530">
                  <c:v>2024.3573523519326</c:v>
                </c:pt>
                <c:pt idx="531">
                  <c:v>2023.2544439660383</c:v>
                </c:pt>
                <c:pt idx="532">
                  <c:v>2024.5860482270004</c:v>
                </c:pt>
                <c:pt idx="533">
                  <c:v>2023.3141954166388</c:v>
                </c:pt>
                <c:pt idx="534">
                  <c:v>2023.1426023376036</c:v>
                </c:pt>
                <c:pt idx="535">
                  <c:v>2023.0019492851197</c:v>
                </c:pt>
                <c:pt idx="536">
                  <c:v>2023.8009432536924</c:v>
                </c:pt>
                <c:pt idx="537">
                  <c:v>2023.450983933915</c:v>
                </c:pt>
                <c:pt idx="538">
                  <c:v>2022.88463202802</c:v>
                </c:pt>
                <c:pt idx="539">
                  <c:v>2023.1999457273898</c:v>
                </c:pt>
                <c:pt idx="540">
                  <c:v>2024.8790256135087</c:v>
                </c:pt>
                <c:pt idx="541">
                  <c:v>2022.9582007897463</c:v>
                </c:pt>
                <c:pt idx="542">
                  <c:v>2023.1512809146936</c:v>
                </c:pt>
                <c:pt idx="543">
                  <c:v>2023.4630785700185</c:v>
                </c:pt>
                <c:pt idx="544">
                  <c:v>2022.8389673112895</c:v>
                </c:pt>
                <c:pt idx="545">
                  <c:v>2024.7993694367233</c:v>
                </c:pt>
                <c:pt idx="546">
                  <c:v>2023.5820301243505</c:v>
                </c:pt>
                <c:pt idx="547">
                  <c:v>2025.4500505641843</c:v>
                </c:pt>
                <c:pt idx="548">
                  <c:v>2024.0966483470622</c:v>
                </c:pt>
                <c:pt idx="549">
                  <c:v>2023.2965590381846</c:v>
                </c:pt>
                <c:pt idx="550">
                  <c:v>2023.2134540621598</c:v>
                </c:pt>
                <c:pt idx="551">
                  <c:v>2022.8917241575921</c:v>
                </c:pt>
                <c:pt idx="552">
                  <c:v>2023.2385136839757</c:v>
                </c:pt>
                <c:pt idx="553">
                  <c:v>2025.3253161127377</c:v>
                </c:pt>
                <c:pt idx="554">
                  <c:v>2023.2617541852546</c:v>
                </c:pt>
                <c:pt idx="555">
                  <c:v>2022.8923348577009</c:v>
                </c:pt>
                <c:pt idx="556">
                  <c:v>2023.471058573951</c:v>
                </c:pt>
                <c:pt idx="557">
                  <c:v>2024.5422567348874</c:v>
                </c:pt>
                <c:pt idx="558">
                  <c:v>2024.980652740147</c:v>
                </c:pt>
                <c:pt idx="559">
                  <c:v>2025.1639195690764</c:v>
                </c:pt>
                <c:pt idx="560">
                  <c:v>2025.5184511005759</c:v>
                </c:pt>
                <c:pt idx="561">
                  <c:v>2023.433583161969</c:v>
                </c:pt>
                <c:pt idx="562">
                  <c:v>2022.7844132043442</c:v>
                </c:pt>
                <c:pt idx="563">
                  <c:v>2023.2914891577338</c:v>
                </c:pt>
                <c:pt idx="564">
                  <c:v>2023.1273142202094</c:v>
                </c:pt>
                <c:pt idx="565">
                  <c:v>2024.2798498453146</c:v>
                </c:pt>
                <c:pt idx="566">
                  <c:v>2023.4565816503455</c:v>
                </c:pt>
                <c:pt idx="567">
                  <c:v>2023.3605707659187</c:v>
                </c:pt>
                <c:pt idx="568">
                  <c:v>2022.7377688354452</c:v>
                </c:pt>
                <c:pt idx="569">
                  <c:v>2022.6936844385398</c:v>
                </c:pt>
                <c:pt idx="570">
                  <c:v>2024.5386372109342</c:v>
                </c:pt>
                <c:pt idx="571">
                  <c:v>2023.2994205881009</c:v>
                </c:pt>
                <c:pt idx="572">
                  <c:v>2022.8032388962029</c:v>
                </c:pt>
                <c:pt idx="573">
                  <c:v>2024.4492825343843</c:v>
                </c:pt>
                <c:pt idx="574">
                  <c:v>2023.21482662832</c:v>
                </c:pt>
                <c:pt idx="575">
                  <c:v>2024.8682780976083</c:v>
                </c:pt>
                <c:pt idx="576">
                  <c:v>2025.4140443079814</c:v>
                </c:pt>
                <c:pt idx="577">
                  <c:v>2023.0457870163909</c:v>
                </c:pt>
                <c:pt idx="578">
                  <c:v>2024.38526277184</c:v>
                </c:pt>
                <c:pt idx="579">
                  <c:v>2022.6556299304207</c:v>
                </c:pt>
                <c:pt idx="580">
                  <c:v>2023.1621624363195</c:v>
                </c:pt>
                <c:pt idx="581">
                  <c:v>2025.3543319188821</c:v>
                </c:pt>
                <c:pt idx="582">
                  <c:v>2024.7970331805268</c:v>
                </c:pt>
                <c:pt idx="583">
                  <c:v>2024.1688513987197</c:v>
                </c:pt>
                <c:pt idx="584">
                  <c:v>2023.2854679962938</c:v>
                </c:pt>
                <c:pt idx="585">
                  <c:v>2023.2642873538514</c:v>
                </c:pt>
                <c:pt idx="586">
                  <c:v>2024.3828224521492</c:v>
                </c:pt>
                <c:pt idx="587">
                  <c:v>2023.242345282061</c:v>
                </c:pt>
                <c:pt idx="588">
                  <c:v>2022.8176339648728</c:v>
                </c:pt>
                <c:pt idx="589">
                  <c:v>2024.6171438177905</c:v>
                </c:pt>
                <c:pt idx="590">
                  <c:v>2023.242073323024</c:v>
                </c:pt>
                <c:pt idx="591">
                  <c:v>2024.8164996684559</c:v>
                </c:pt>
                <c:pt idx="592">
                  <c:v>2024.6170279115438</c:v>
                </c:pt>
                <c:pt idx="593">
                  <c:v>2023.1414803767152</c:v>
                </c:pt>
                <c:pt idx="594">
                  <c:v>2023.0715340006573</c:v>
                </c:pt>
                <c:pt idx="595">
                  <c:v>2023.0284318621098</c:v>
                </c:pt>
                <c:pt idx="596">
                  <c:v>2023.316633923489</c:v>
                </c:pt>
                <c:pt idx="597">
                  <c:v>2023.190447656365</c:v>
                </c:pt>
                <c:pt idx="598">
                  <c:v>2022.8278715025783</c:v>
                </c:pt>
                <c:pt idx="599">
                  <c:v>2024.1469556292204</c:v>
                </c:pt>
                <c:pt idx="600">
                  <c:v>2023.1665538559785</c:v>
                </c:pt>
                <c:pt idx="601">
                  <c:v>2023.0047575298454</c:v>
                </c:pt>
                <c:pt idx="602">
                  <c:v>2023.3357440459781</c:v>
                </c:pt>
                <c:pt idx="603">
                  <c:v>2023.0532040842866</c:v>
                </c:pt>
                <c:pt idx="604">
                  <c:v>2022.9232294391022</c:v>
                </c:pt>
                <c:pt idx="605">
                  <c:v>2022.6274775491825</c:v>
                </c:pt>
                <c:pt idx="606">
                  <c:v>2022.7857623574075</c:v>
                </c:pt>
                <c:pt idx="607">
                  <c:v>2023.2541225981633</c:v>
                </c:pt>
                <c:pt idx="608">
                  <c:v>2022.892046572963</c:v>
                </c:pt>
                <c:pt idx="609">
                  <c:v>2022.9220910102679</c:v>
                </c:pt>
                <c:pt idx="610">
                  <c:v>2022.6776063177733</c:v>
                </c:pt>
                <c:pt idx="611">
                  <c:v>2023.4463207294998</c:v>
                </c:pt>
                <c:pt idx="612">
                  <c:v>2023.1682737219865</c:v>
                </c:pt>
                <c:pt idx="613">
                  <c:v>2024.817076688847</c:v>
                </c:pt>
                <c:pt idx="614">
                  <c:v>2023.0360505027172</c:v>
                </c:pt>
                <c:pt idx="615">
                  <c:v>2023.2716376644098</c:v>
                </c:pt>
                <c:pt idx="616">
                  <c:v>2022.9462940988897</c:v>
                </c:pt>
                <c:pt idx="617">
                  <c:v>2024.7686151978753</c:v>
                </c:pt>
                <c:pt idx="618">
                  <c:v>2022.8805352507516</c:v>
                </c:pt>
                <c:pt idx="619">
                  <c:v>2024.8919651422168</c:v>
                </c:pt>
                <c:pt idx="620">
                  <c:v>2024.6029060727044</c:v>
                </c:pt>
                <c:pt idx="621">
                  <c:v>2023.2691047352687</c:v>
                </c:pt>
                <c:pt idx="622">
                  <c:v>2023.5778093511788</c:v>
                </c:pt>
                <c:pt idx="623">
                  <c:v>2023.3981342948387</c:v>
                </c:pt>
                <c:pt idx="624">
                  <c:v>2024.617564666723</c:v>
                </c:pt>
                <c:pt idx="625">
                  <c:v>2025.4253582485005</c:v>
                </c:pt>
                <c:pt idx="626">
                  <c:v>2025.2271292979515</c:v>
                </c:pt>
                <c:pt idx="627">
                  <c:v>2022.973627929106</c:v>
                </c:pt>
                <c:pt idx="628">
                  <c:v>2024.9232957560923</c:v>
                </c:pt>
                <c:pt idx="629">
                  <c:v>2023.2159328760081</c:v>
                </c:pt>
                <c:pt idx="630">
                  <c:v>2024.4351285554019</c:v>
                </c:pt>
                <c:pt idx="631">
                  <c:v>2024.5342294127258</c:v>
                </c:pt>
                <c:pt idx="632">
                  <c:v>2023.2456081109676</c:v>
                </c:pt>
                <c:pt idx="633">
                  <c:v>2023.0695108089121</c:v>
                </c:pt>
                <c:pt idx="634">
                  <c:v>2024.8850015921541</c:v>
                </c:pt>
                <c:pt idx="635">
                  <c:v>2024.7439582587565</c:v>
                </c:pt>
                <c:pt idx="636">
                  <c:v>2022.8704584134978</c:v>
                </c:pt>
                <c:pt idx="637">
                  <c:v>2022.7522043536778</c:v>
                </c:pt>
                <c:pt idx="638">
                  <c:v>2022.6447246930013</c:v>
                </c:pt>
                <c:pt idx="639">
                  <c:v>2023.3747139119259</c:v>
                </c:pt>
                <c:pt idx="640">
                  <c:v>2022.7326312624989</c:v>
                </c:pt>
                <c:pt idx="641">
                  <c:v>2023.5132736656612</c:v>
                </c:pt>
                <c:pt idx="642">
                  <c:v>2023.4620676776783</c:v>
                </c:pt>
                <c:pt idx="643">
                  <c:v>2022.7598968986817</c:v>
                </c:pt>
                <c:pt idx="644">
                  <c:v>2023.0595188386928</c:v>
                </c:pt>
                <c:pt idx="645">
                  <c:v>2023.0896155921023</c:v>
                </c:pt>
                <c:pt idx="646">
                  <c:v>2023.1931776047875</c:v>
                </c:pt>
                <c:pt idx="647">
                  <c:v>2022.6617631726779</c:v>
                </c:pt>
                <c:pt idx="648">
                  <c:v>2023.5369110212671</c:v>
                </c:pt>
                <c:pt idx="649">
                  <c:v>2023.4341801203868</c:v>
                </c:pt>
                <c:pt idx="650">
                  <c:v>2023.9388049757158</c:v>
                </c:pt>
                <c:pt idx="651">
                  <c:v>2022.6877974609924</c:v>
                </c:pt>
                <c:pt idx="652">
                  <c:v>2022.5397035385502</c:v>
                </c:pt>
                <c:pt idx="653">
                  <c:v>2023.2281236846427</c:v>
                </c:pt>
                <c:pt idx="654">
                  <c:v>2023.6732790239303</c:v>
                </c:pt>
                <c:pt idx="655">
                  <c:v>2022.9127956827208</c:v>
                </c:pt>
                <c:pt idx="656">
                  <c:v>2023.0641739333696</c:v>
                </c:pt>
                <c:pt idx="657">
                  <c:v>2023.2248059511826</c:v>
                </c:pt>
                <c:pt idx="658">
                  <c:v>2023.5869908334673</c:v>
                </c:pt>
                <c:pt idx="659">
                  <c:v>2023.045647918392</c:v>
                </c:pt>
                <c:pt idx="660">
                  <c:v>2022.8754974488738</c:v>
                </c:pt>
                <c:pt idx="661">
                  <c:v>2023.428856516824</c:v>
                </c:pt>
                <c:pt idx="662">
                  <c:v>2025.6035652205626</c:v>
                </c:pt>
                <c:pt idx="663">
                  <c:v>2025.7470900769163</c:v>
                </c:pt>
                <c:pt idx="664">
                  <c:v>2023.1079773006379</c:v>
                </c:pt>
                <c:pt idx="665">
                  <c:v>2023.2735102951781</c:v>
                </c:pt>
                <c:pt idx="666">
                  <c:v>2023.6214976930987</c:v>
                </c:pt>
                <c:pt idx="667">
                  <c:v>2023.0120829933662</c:v>
                </c:pt>
                <c:pt idx="668">
                  <c:v>2022.9838466281126</c:v>
                </c:pt>
                <c:pt idx="669">
                  <c:v>2023.3986666187407</c:v>
                </c:pt>
                <c:pt idx="670">
                  <c:v>2023.3321227000483</c:v>
                </c:pt>
                <c:pt idx="671">
                  <c:v>2023.3414236996541</c:v>
                </c:pt>
                <c:pt idx="672">
                  <c:v>2024.8806601245537</c:v>
                </c:pt>
                <c:pt idx="673">
                  <c:v>2022.7952353334326</c:v>
                </c:pt>
                <c:pt idx="674">
                  <c:v>2023.7501867637666</c:v>
                </c:pt>
                <c:pt idx="675">
                  <c:v>2025.2705423924933</c:v>
                </c:pt>
                <c:pt idx="676">
                  <c:v>2023.3761108378606</c:v>
                </c:pt>
                <c:pt idx="677">
                  <c:v>2023.0466603051934</c:v>
                </c:pt>
                <c:pt idx="678">
                  <c:v>2024.797976670294</c:v>
                </c:pt>
                <c:pt idx="679">
                  <c:v>2024.1505849079151</c:v>
                </c:pt>
                <c:pt idx="680">
                  <c:v>2022.9927823894477</c:v>
                </c:pt>
                <c:pt idx="681">
                  <c:v>2023.9334156207783</c:v>
                </c:pt>
                <c:pt idx="682">
                  <c:v>2024.6403513244143</c:v>
                </c:pt>
                <c:pt idx="683">
                  <c:v>2023.2758026512474</c:v>
                </c:pt>
                <c:pt idx="684">
                  <c:v>2022.9338765053069</c:v>
                </c:pt>
                <c:pt idx="685">
                  <c:v>2022.8261202495717</c:v>
                </c:pt>
                <c:pt idx="686">
                  <c:v>2023.6308466645764</c:v>
                </c:pt>
                <c:pt idx="687">
                  <c:v>2022.990687415821</c:v>
                </c:pt>
                <c:pt idx="688">
                  <c:v>2022.9120856347158</c:v>
                </c:pt>
                <c:pt idx="689">
                  <c:v>2023.0874600875973</c:v>
                </c:pt>
                <c:pt idx="690">
                  <c:v>2023.7212975832831</c:v>
                </c:pt>
                <c:pt idx="691">
                  <c:v>2024.341202072836</c:v>
                </c:pt>
                <c:pt idx="692">
                  <c:v>2023.6160611782536</c:v>
                </c:pt>
                <c:pt idx="693">
                  <c:v>2022.7557987278426</c:v>
                </c:pt>
                <c:pt idx="694">
                  <c:v>2023.5438424940617</c:v>
                </c:pt>
                <c:pt idx="695">
                  <c:v>2024.9006264938223</c:v>
                </c:pt>
                <c:pt idx="696">
                  <c:v>2022.9575607318459</c:v>
                </c:pt>
                <c:pt idx="697">
                  <c:v>2023.1524728522184</c:v>
                </c:pt>
                <c:pt idx="698">
                  <c:v>2023.0513272924168</c:v>
                </c:pt>
                <c:pt idx="699">
                  <c:v>2022.8840386580021</c:v>
                </c:pt>
                <c:pt idx="700">
                  <c:v>2023.1152758682788</c:v>
                </c:pt>
                <c:pt idx="701">
                  <c:v>2024.1362491229204</c:v>
                </c:pt>
                <c:pt idx="702">
                  <c:v>2022.9745446398665</c:v>
                </c:pt>
                <c:pt idx="703">
                  <c:v>2024.5258818758839</c:v>
                </c:pt>
                <c:pt idx="704">
                  <c:v>2024.0776918263005</c:v>
                </c:pt>
                <c:pt idx="705">
                  <c:v>2024.2521690985982</c:v>
                </c:pt>
                <c:pt idx="706">
                  <c:v>2024.9077660653193</c:v>
                </c:pt>
                <c:pt idx="707">
                  <c:v>2023.3671790737073</c:v>
                </c:pt>
                <c:pt idx="708">
                  <c:v>2022.8159200917414</c:v>
                </c:pt>
                <c:pt idx="709">
                  <c:v>2023.0367246345256</c:v>
                </c:pt>
                <c:pt idx="710">
                  <c:v>2023.3103758170373</c:v>
                </c:pt>
                <c:pt idx="711">
                  <c:v>2022.9433440775776</c:v>
                </c:pt>
                <c:pt idx="712">
                  <c:v>2025.262134597767</c:v>
                </c:pt>
                <c:pt idx="713">
                  <c:v>2022.6258399075577</c:v>
                </c:pt>
                <c:pt idx="714">
                  <c:v>2023.2534889188787</c:v>
                </c:pt>
                <c:pt idx="715">
                  <c:v>2022.965368925514</c:v>
                </c:pt>
                <c:pt idx="716">
                  <c:v>2024.5210207945763</c:v>
                </c:pt>
                <c:pt idx="717">
                  <c:v>2023.0320226635963</c:v>
                </c:pt>
                <c:pt idx="718">
                  <c:v>2024.7855092150426</c:v>
                </c:pt>
                <c:pt idx="719">
                  <c:v>2025.1833369646847</c:v>
                </c:pt>
                <c:pt idx="720">
                  <c:v>2023.0384393286961</c:v>
                </c:pt>
                <c:pt idx="721">
                  <c:v>2022.9535723392776</c:v>
                </c:pt>
                <c:pt idx="722">
                  <c:v>2022.8893009703186</c:v>
                </c:pt>
                <c:pt idx="723">
                  <c:v>2024.8008221329449</c:v>
                </c:pt>
                <c:pt idx="724">
                  <c:v>2025.0624521984234</c:v>
                </c:pt>
                <c:pt idx="725">
                  <c:v>2023.1079247117234</c:v>
                </c:pt>
                <c:pt idx="726">
                  <c:v>2024.3769316657153</c:v>
                </c:pt>
                <c:pt idx="727">
                  <c:v>2024.3523658287725</c:v>
                </c:pt>
                <c:pt idx="728">
                  <c:v>2024.711341461207</c:v>
                </c:pt>
                <c:pt idx="729">
                  <c:v>2024.5292166792824</c:v>
                </c:pt>
                <c:pt idx="730">
                  <c:v>2022.9204815811963</c:v>
                </c:pt>
                <c:pt idx="731">
                  <c:v>2022.885165546872</c:v>
                </c:pt>
                <c:pt idx="732">
                  <c:v>2023.2336208314478</c:v>
                </c:pt>
                <c:pt idx="733">
                  <c:v>2023.0866081938555</c:v>
                </c:pt>
                <c:pt idx="734">
                  <c:v>2022.8899408954082</c:v>
                </c:pt>
                <c:pt idx="735">
                  <c:v>2023.4535466340408</c:v>
                </c:pt>
                <c:pt idx="736">
                  <c:v>2022.8545987621083</c:v>
                </c:pt>
                <c:pt idx="737">
                  <c:v>2024.3499397597552</c:v>
                </c:pt>
                <c:pt idx="738">
                  <c:v>2025.4636914554692</c:v>
                </c:pt>
                <c:pt idx="739">
                  <c:v>2024.6493643657561</c:v>
                </c:pt>
                <c:pt idx="740">
                  <c:v>2025.1589533085737</c:v>
                </c:pt>
                <c:pt idx="741">
                  <c:v>2023.2286144012692</c:v>
                </c:pt>
                <c:pt idx="742">
                  <c:v>2023.1662257323087</c:v>
                </c:pt>
                <c:pt idx="743">
                  <c:v>2022.8599268120945</c:v>
                </c:pt>
                <c:pt idx="744">
                  <c:v>2023.166139735878</c:v>
                </c:pt>
                <c:pt idx="745">
                  <c:v>2023.7515196567017</c:v>
                </c:pt>
                <c:pt idx="746">
                  <c:v>2023.654257197657</c:v>
                </c:pt>
                <c:pt idx="747">
                  <c:v>2022.8414876499305</c:v>
                </c:pt>
                <c:pt idx="748">
                  <c:v>2022.8784515441982</c:v>
                </c:pt>
                <c:pt idx="749">
                  <c:v>2023.303122551031</c:v>
                </c:pt>
                <c:pt idx="750">
                  <c:v>2023.3672840141498</c:v>
                </c:pt>
                <c:pt idx="751">
                  <c:v>2023.1694854592581</c:v>
                </c:pt>
                <c:pt idx="752">
                  <c:v>2023.4952334509671</c:v>
                </c:pt>
                <c:pt idx="753">
                  <c:v>2023.5763750884298</c:v>
                </c:pt>
                <c:pt idx="754">
                  <c:v>2022.7334660753165</c:v>
                </c:pt>
                <c:pt idx="755">
                  <c:v>2024.9855930123856</c:v>
                </c:pt>
                <c:pt idx="756">
                  <c:v>2024.9066825201126</c:v>
                </c:pt>
                <c:pt idx="757">
                  <c:v>2024.3825290901843</c:v>
                </c:pt>
                <c:pt idx="758">
                  <c:v>2024.7772457140056</c:v>
                </c:pt>
                <c:pt idx="759">
                  <c:v>2023.1700712208628</c:v>
                </c:pt>
                <c:pt idx="760">
                  <c:v>2023.4260708852971</c:v>
                </c:pt>
                <c:pt idx="761">
                  <c:v>2025.6045479246472</c:v>
                </c:pt>
                <c:pt idx="762">
                  <c:v>2023.6238340049665</c:v>
                </c:pt>
                <c:pt idx="763">
                  <c:v>2022.9292732806064</c:v>
                </c:pt>
                <c:pt idx="764">
                  <c:v>2024.5689799768102</c:v>
                </c:pt>
                <c:pt idx="765">
                  <c:v>2025.7121962607157</c:v>
                </c:pt>
                <c:pt idx="766">
                  <c:v>2024.9748987425703</c:v>
                </c:pt>
                <c:pt idx="767">
                  <c:v>2022.8664407678127</c:v>
                </c:pt>
                <c:pt idx="768">
                  <c:v>2022.8963183533174</c:v>
                </c:pt>
                <c:pt idx="769">
                  <c:v>2022.9837221438379</c:v>
                </c:pt>
                <c:pt idx="770">
                  <c:v>2023.0802186720689</c:v>
                </c:pt>
                <c:pt idx="771">
                  <c:v>2024.9720309293</c:v>
                </c:pt>
                <c:pt idx="772">
                  <c:v>2024.8232331576744</c:v>
                </c:pt>
                <c:pt idx="773">
                  <c:v>2023.2166674769132</c:v>
                </c:pt>
                <c:pt idx="774">
                  <c:v>2024.4692013345675</c:v>
                </c:pt>
                <c:pt idx="775">
                  <c:v>2024.7642080861667</c:v>
                </c:pt>
                <c:pt idx="776">
                  <c:v>2023.5869965980683</c:v>
                </c:pt>
                <c:pt idx="777">
                  <c:v>2023.4730551880136</c:v>
                </c:pt>
                <c:pt idx="778">
                  <c:v>2023.0591760356886</c:v>
                </c:pt>
                <c:pt idx="779">
                  <c:v>2022.4965540185356</c:v>
                </c:pt>
                <c:pt idx="780">
                  <c:v>2023.1923590103791</c:v>
                </c:pt>
                <c:pt idx="781">
                  <c:v>2022.9670296156507</c:v>
                </c:pt>
                <c:pt idx="782">
                  <c:v>2023.1199191126959</c:v>
                </c:pt>
                <c:pt idx="783">
                  <c:v>2025.2481862957482</c:v>
                </c:pt>
                <c:pt idx="784">
                  <c:v>2025.5693979647433</c:v>
                </c:pt>
                <c:pt idx="785">
                  <c:v>2022.7992460795051</c:v>
                </c:pt>
                <c:pt idx="786">
                  <c:v>2023.3797420125725</c:v>
                </c:pt>
                <c:pt idx="787">
                  <c:v>2025.448030119818</c:v>
                </c:pt>
                <c:pt idx="788">
                  <c:v>2023.0860714882538</c:v>
                </c:pt>
                <c:pt idx="789">
                  <c:v>2025.3242086293308</c:v>
                </c:pt>
                <c:pt idx="790">
                  <c:v>2024.4353868352878</c:v>
                </c:pt>
                <c:pt idx="791">
                  <c:v>2022.8027187878486</c:v>
                </c:pt>
                <c:pt idx="792">
                  <c:v>2025.1537767863622</c:v>
                </c:pt>
                <c:pt idx="793">
                  <c:v>2024.6098587159902</c:v>
                </c:pt>
                <c:pt idx="794">
                  <c:v>2023.3546375042743</c:v>
                </c:pt>
                <c:pt idx="795">
                  <c:v>2023.2745765110508</c:v>
                </c:pt>
                <c:pt idx="796">
                  <c:v>2023.3972523274892</c:v>
                </c:pt>
                <c:pt idx="797">
                  <c:v>2023.4079227744887</c:v>
                </c:pt>
                <c:pt idx="798">
                  <c:v>2023.4677486132794</c:v>
                </c:pt>
                <c:pt idx="799">
                  <c:v>2023.6580858892064</c:v>
                </c:pt>
                <c:pt idx="800">
                  <c:v>2023.507843529829</c:v>
                </c:pt>
                <c:pt idx="801">
                  <c:v>2022.9787007080824</c:v>
                </c:pt>
                <c:pt idx="802">
                  <c:v>2023.9502785374236</c:v>
                </c:pt>
                <c:pt idx="803">
                  <c:v>2023.1282127114032</c:v>
                </c:pt>
                <c:pt idx="804">
                  <c:v>2023.5142886828216</c:v>
                </c:pt>
                <c:pt idx="805">
                  <c:v>2025.3826180133963</c:v>
                </c:pt>
                <c:pt idx="806">
                  <c:v>2023.3654288827674</c:v>
                </c:pt>
                <c:pt idx="807">
                  <c:v>2023.1100430014676</c:v>
                </c:pt>
                <c:pt idx="808">
                  <c:v>2024.3655864182499</c:v>
                </c:pt>
                <c:pt idx="809">
                  <c:v>2023.2443674429387</c:v>
                </c:pt>
                <c:pt idx="810">
                  <c:v>2022.9874388725793</c:v>
                </c:pt>
                <c:pt idx="811">
                  <c:v>2023.3338299754032</c:v>
                </c:pt>
                <c:pt idx="812">
                  <c:v>2022.74434993718</c:v>
                </c:pt>
                <c:pt idx="813">
                  <c:v>2023.2728432189306</c:v>
                </c:pt>
                <c:pt idx="814">
                  <c:v>2022.8102208162159</c:v>
                </c:pt>
                <c:pt idx="815">
                  <c:v>2025.7205952912898</c:v>
                </c:pt>
                <c:pt idx="816">
                  <c:v>2023.0276885565395</c:v>
                </c:pt>
                <c:pt idx="817">
                  <c:v>2022.8260032261144</c:v>
                </c:pt>
                <c:pt idx="818">
                  <c:v>2024.1932718693856</c:v>
                </c:pt>
                <c:pt idx="819">
                  <c:v>2023.426935469555</c:v>
                </c:pt>
                <c:pt idx="820">
                  <c:v>2022.8641674290664</c:v>
                </c:pt>
                <c:pt idx="821">
                  <c:v>2023.1195573612406</c:v>
                </c:pt>
                <c:pt idx="822">
                  <c:v>2023.214950249823</c:v>
                </c:pt>
                <c:pt idx="823">
                  <c:v>2023.268889287815</c:v>
                </c:pt>
                <c:pt idx="824">
                  <c:v>2024.8113462446729</c:v>
                </c:pt>
                <c:pt idx="825">
                  <c:v>2023.1347654428007</c:v>
                </c:pt>
                <c:pt idx="826">
                  <c:v>2023.8002526542657</c:v>
                </c:pt>
                <c:pt idx="827">
                  <c:v>2022.9077334492001</c:v>
                </c:pt>
                <c:pt idx="828">
                  <c:v>2023.107709043619</c:v>
                </c:pt>
                <c:pt idx="829">
                  <c:v>2025.5565192387787</c:v>
                </c:pt>
                <c:pt idx="830">
                  <c:v>2024.6674773274933</c:v>
                </c:pt>
                <c:pt idx="831">
                  <c:v>2023.1795975050195</c:v>
                </c:pt>
                <c:pt idx="832">
                  <c:v>2024.5840122948707</c:v>
                </c:pt>
                <c:pt idx="833">
                  <c:v>2023.1177181341286</c:v>
                </c:pt>
                <c:pt idx="834">
                  <c:v>2022.9928465808957</c:v>
                </c:pt>
                <c:pt idx="835">
                  <c:v>2023.2573779526504</c:v>
                </c:pt>
                <c:pt idx="836">
                  <c:v>2023.6001090547907</c:v>
                </c:pt>
                <c:pt idx="837">
                  <c:v>2023.561320362995</c:v>
                </c:pt>
                <c:pt idx="838">
                  <c:v>2023.0071666817739</c:v>
                </c:pt>
                <c:pt idx="839">
                  <c:v>2024.9466552807796</c:v>
                </c:pt>
                <c:pt idx="840">
                  <c:v>2022.9702721332335</c:v>
                </c:pt>
                <c:pt idx="841">
                  <c:v>2023.2406168860709</c:v>
                </c:pt>
                <c:pt idx="842">
                  <c:v>2024.7953043547095</c:v>
                </c:pt>
                <c:pt idx="843">
                  <c:v>2023.2377207856168</c:v>
                </c:pt>
                <c:pt idx="844">
                  <c:v>2023.1134460458557</c:v>
                </c:pt>
                <c:pt idx="845">
                  <c:v>2022.8314524216939</c:v>
                </c:pt>
                <c:pt idx="846">
                  <c:v>2023.192134784887</c:v>
                </c:pt>
                <c:pt idx="847">
                  <c:v>2022.9638500777201</c:v>
                </c:pt>
                <c:pt idx="848">
                  <c:v>2024.6759215284089</c:v>
                </c:pt>
                <c:pt idx="849">
                  <c:v>2023.7178644836508</c:v>
                </c:pt>
                <c:pt idx="850">
                  <c:v>2022.7669650458108</c:v>
                </c:pt>
                <c:pt idx="851">
                  <c:v>2023.3320095969</c:v>
                </c:pt>
                <c:pt idx="852">
                  <c:v>2023.2849077400908</c:v>
                </c:pt>
                <c:pt idx="853">
                  <c:v>2024.0519136841865</c:v>
                </c:pt>
                <c:pt idx="854">
                  <c:v>2022.7931501774437</c:v>
                </c:pt>
                <c:pt idx="855">
                  <c:v>2025.3948947867207</c:v>
                </c:pt>
                <c:pt idx="856">
                  <c:v>2024.7098196045908</c:v>
                </c:pt>
                <c:pt idx="857">
                  <c:v>2023.3957288048609</c:v>
                </c:pt>
                <c:pt idx="858">
                  <c:v>2023.1458189782165</c:v>
                </c:pt>
                <c:pt idx="859">
                  <c:v>2022.7124667347068</c:v>
                </c:pt>
                <c:pt idx="860">
                  <c:v>2023.09202827174</c:v>
                </c:pt>
                <c:pt idx="861">
                  <c:v>2024.8449073762733</c:v>
                </c:pt>
                <c:pt idx="862">
                  <c:v>2023.3025070193432</c:v>
                </c:pt>
                <c:pt idx="863">
                  <c:v>2024.454258802898</c:v>
                </c:pt>
                <c:pt idx="864">
                  <c:v>2023.2860671789615</c:v>
                </c:pt>
                <c:pt idx="865">
                  <c:v>2024.479854740938</c:v>
                </c:pt>
                <c:pt idx="866">
                  <c:v>2023.2342261029328</c:v>
                </c:pt>
                <c:pt idx="867">
                  <c:v>2023.2353180445491</c:v>
                </c:pt>
                <c:pt idx="868">
                  <c:v>2025.8939772716517</c:v>
                </c:pt>
                <c:pt idx="869">
                  <c:v>2023.095780469775</c:v>
                </c:pt>
                <c:pt idx="870">
                  <c:v>2023.1001393026147</c:v>
                </c:pt>
                <c:pt idx="871">
                  <c:v>2024.8417296756488</c:v>
                </c:pt>
                <c:pt idx="872">
                  <c:v>2024.7285854174345</c:v>
                </c:pt>
                <c:pt idx="873">
                  <c:v>2023.4770379337117</c:v>
                </c:pt>
                <c:pt idx="874">
                  <c:v>2023.1928214084633</c:v>
                </c:pt>
                <c:pt idx="875">
                  <c:v>2023.1888104091399</c:v>
                </c:pt>
                <c:pt idx="876">
                  <c:v>2022.5705375237221</c:v>
                </c:pt>
                <c:pt idx="877">
                  <c:v>2022.4117144387476</c:v>
                </c:pt>
                <c:pt idx="878">
                  <c:v>2023.28573340509</c:v>
                </c:pt>
                <c:pt idx="879">
                  <c:v>2023.2894096335888</c:v>
                </c:pt>
                <c:pt idx="880">
                  <c:v>2023.3538276889703</c:v>
                </c:pt>
                <c:pt idx="881">
                  <c:v>2025.2511797311049</c:v>
                </c:pt>
                <c:pt idx="882">
                  <c:v>2024.8045305949477</c:v>
                </c:pt>
                <c:pt idx="883">
                  <c:v>2022.9894453847635</c:v>
                </c:pt>
                <c:pt idx="884">
                  <c:v>2023.2993325223747</c:v>
                </c:pt>
                <c:pt idx="885">
                  <c:v>2023.3985068633347</c:v>
                </c:pt>
                <c:pt idx="886">
                  <c:v>2024.4933149483484</c:v>
                </c:pt>
                <c:pt idx="887">
                  <c:v>2022.993675059211</c:v>
                </c:pt>
                <c:pt idx="888">
                  <c:v>2023.0731263078976</c:v>
                </c:pt>
                <c:pt idx="889">
                  <c:v>2023.2732580717006</c:v>
                </c:pt>
                <c:pt idx="890">
                  <c:v>2023.02046238414</c:v>
                </c:pt>
                <c:pt idx="891">
                  <c:v>2023.0137107107639</c:v>
                </c:pt>
                <c:pt idx="892">
                  <c:v>2023.169587788838</c:v>
                </c:pt>
                <c:pt idx="893">
                  <c:v>2024.1996720957659</c:v>
                </c:pt>
                <c:pt idx="894">
                  <c:v>2023.2926103638422</c:v>
                </c:pt>
                <c:pt idx="895">
                  <c:v>2023.021670567311</c:v>
                </c:pt>
                <c:pt idx="896">
                  <c:v>2022.7279437487332</c:v>
                </c:pt>
                <c:pt idx="897">
                  <c:v>2023.3089092338726</c:v>
                </c:pt>
                <c:pt idx="898">
                  <c:v>2022.8287634626793</c:v>
                </c:pt>
                <c:pt idx="899">
                  <c:v>2023.301175528567</c:v>
                </c:pt>
                <c:pt idx="900">
                  <c:v>2023.1897365148811</c:v>
                </c:pt>
                <c:pt idx="901">
                  <c:v>2022.8629669612556</c:v>
                </c:pt>
                <c:pt idx="902">
                  <c:v>2025.828015660657</c:v>
                </c:pt>
                <c:pt idx="903">
                  <c:v>2022.7127979446611</c:v>
                </c:pt>
                <c:pt idx="904">
                  <c:v>2023.242258516512</c:v>
                </c:pt>
                <c:pt idx="905">
                  <c:v>2024.760096946676</c:v>
                </c:pt>
                <c:pt idx="906">
                  <c:v>2025.1669381765003</c:v>
                </c:pt>
                <c:pt idx="907">
                  <c:v>2022.9323342717403</c:v>
                </c:pt>
                <c:pt idx="908">
                  <c:v>2023.4856837464645</c:v>
                </c:pt>
                <c:pt idx="909">
                  <c:v>2024.6443726037992</c:v>
                </c:pt>
                <c:pt idx="910">
                  <c:v>2022.939581624747</c:v>
                </c:pt>
                <c:pt idx="911">
                  <c:v>2023.1822302274852</c:v>
                </c:pt>
                <c:pt idx="912">
                  <c:v>2024.4637935266062</c:v>
                </c:pt>
                <c:pt idx="913">
                  <c:v>2022.8448967494094</c:v>
                </c:pt>
                <c:pt idx="914">
                  <c:v>2023.7271674140159</c:v>
                </c:pt>
                <c:pt idx="915">
                  <c:v>2024.9105123473369</c:v>
                </c:pt>
                <c:pt idx="916">
                  <c:v>2024.3679364381037</c:v>
                </c:pt>
                <c:pt idx="917">
                  <c:v>2023.9129135133339</c:v>
                </c:pt>
                <c:pt idx="918">
                  <c:v>2024.5975392625214</c:v>
                </c:pt>
                <c:pt idx="919">
                  <c:v>2024.6973702255157</c:v>
                </c:pt>
                <c:pt idx="920">
                  <c:v>2024.7414943122628</c:v>
                </c:pt>
                <c:pt idx="921">
                  <c:v>2022.8129861493646</c:v>
                </c:pt>
                <c:pt idx="922">
                  <c:v>2023.5544461339082</c:v>
                </c:pt>
                <c:pt idx="923">
                  <c:v>2023.2271594627007</c:v>
                </c:pt>
                <c:pt idx="924">
                  <c:v>2022.6006815068044</c:v>
                </c:pt>
                <c:pt idx="925">
                  <c:v>2023.2131006381514</c:v>
                </c:pt>
                <c:pt idx="926">
                  <c:v>2023.4819349638478</c:v>
                </c:pt>
                <c:pt idx="927">
                  <c:v>2024.3813736129791</c:v>
                </c:pt>
                <c:pt idx="928">
                  <c:v>2023.1829145971419</c:v>
                </c:pt>
                <c:pt idx="929">
                  <c:v>2025.5363565159787</c:v>
                </c:pt>
                <c:pt idx="930">
                  <c:v>2023.1083888386206</c:v>
                </c:pt>
                <c:pt idx="931">
                  <c:v>2023.3284774044394</c:v>
                </c:pt>
                <c:pt idx="932">
                  <c:v>2023.2712550021183</c:v>
                </c:pt>
                <c:pt idx="933">
                  <c:v>2024.6430115589346</c:v>
                </c:pt>
                <c:pt idx="934">
                  <c:v>2024.1654280377554</c:v>
                </c:pt>
                <c:pt idx="935">
                  <c:v>2024.6031272506516</c:v>
                </c:pt>
                <c:pt idx="936">
                  <c:v>2023.1983474664173</c:v>
                </c:pt>
                <c:pt idx="937">
                  <c:v>2025.1836611637266</c:v>
                </c:pt>
                <c:pt idx="938">
                  <c:v>2023.2707514506615</c:v>
                </c:pt>
                <c:pt idx="939">
                  <c:v>2023.3411903962369</c:v>
                </c:pt>
                <c:pt idx="940">
                  <c:v>2024.7209504514062</c:v>
                </c:pt>
                <c:pt idx="941">
                  <c:v>2023.1256827744644</c:v>
                </c:pt>
                <c:pt idx="942">
                  <c:v>2022.9054419611475</c:v>
                </c:pt>
                <c:pt idx="943">
                  <c:v>2022.9747901624619</c:v>
                </c:pt>
                <c:pt idx="944">
                  <c:v>2023.0274758433548</c:v>
                </c:pt>
                <c:pt idx="945">
                  <c:v>2023.835421148636</c:v>
                </c:pt>
                <c:pt idx="946">
                  <c:v>2023.1197215927141</c:v>
                </c:pt>
                <c:pt idx="947">
                  <c:v>2024.5711179076886</c:v>
                </c:pt>
                <c:pt idx="948">
                  <c:v>2023.044857280235</c:v>
                </c:pt>
                <c:pt idx="949">
                  <c:v>2023.6187528048647</c:v>
                </c:pt>
                <c:pt idx="950">
                  <c:v>2023.2163452871944</c:v>
                </c:pt>
                <c:pt idx="951">
                  <c:v>2022.9446504406562</c:v>
                </c:pt>
                <c:pt idx="952">
                  <c:v>2022.9186736914869</c:v>
                </c:pt>
                <c:pt idx="953">
                  <c:v>2023.234090419671</c:v>
                </c:pt>
                <c:pt idx="954">
                  <c:v>2022.7812584039975</c:v>
                </c:pt>
                <c:pt idx="955">
                  <c:v>2024.8024671967116</c:v>
                </c:pt>
                <c:pt idx="956">
                  <c:v>2023.048413250923</c:v>
                </c:pt>
                <c:pt idx="957">
                  <c:v>2025.1230427376317</c:v>
                </c:pt>
                <c:pt idx="958">
                  <c:v>2023.3497036835365</c:v>
                </c:pt>
                <c:pt idx="959">
                  <c:v>2024.7470663756549</c:v>
                </c:pt>
                <c:pt idx="960">
                  <c:v>2023.7378611164274</c:v>
                </c:pt>
                <c:pt idx="961">
                  <c:v>2022.7726300225838</c:v>
                </c:pt>
                <c:pt idx="962">
                  <c:v>2024.1834359388308</c:v>
                </c:pt>
                <c:pt idx="963">
                  <c:v>2023.271982502989</c:v>
                </c:pt>
                <c:pt idx="964">
                  <c:v>2022.892627369258</c:v>
                </c:pt>
                <c:pt idx="965">
                  <c:v>2022.9860163992564</c:v>
                </c:pt>
                <c:pt idx="966">
                  <c:v>2023.3005491952683</c:v>
                </c:pt>
                <c:pt idx="967">
                  <c:v>2024.9554340059142</c:v>
                </c:pt>
                <c:pt idx="968">
                  <c:v>2023.2672868260545</c:v>
                </c:pt>
                <c:pt idx="969">
                  <c:v>2023.0006106103615</c:v>
                </c:pt>
                <c:pt idx="970">
                  <c:v>2024.6169510066577</c:v>
                </c:pt>
                <c:pt idx="971">
                  <c:v>2022.7119884380841</c:v>
                </c:pt>
                <c:pt idx="972">
                  <c:v>2025.7140906434779</c:v>
                </c:pt>
                <c:pt idx="973">
                  <c:v>2024.6327070765365</c:v>
                </c:pt>
                <c:pt idx="974">
                  <c:v>2022.9926210910153</c:v>
                </c:pt>
                <c:pt idx="975">
                  <c:v>2022.7759287874035</c:v>
                </c:pt>
                <c:pt idx="976">
                  <c:v>2023.2221501653848</c:v>
                </c:pt>
                <c:pt idx="977">
                  <c:v>2023.1790556146482</c:v>
                </c:pt>
                <c:pt idx="978">
                  <c:v>2023.9528470756645</c:v>
                </c:pt>
                <c:pt idx="979">
                  <c:v>2023.3107386504323</c:v>
                </c:pt>
                <c:pt idx="980">
                  <c:v>2023.907689955563</c:v>
                </c:pt>
                <c:pt idx="981">
                  <c:v>2022.6229142186894</c:v>
                </c:pt>
                <c:pt idx="982">
                  <c:v>2024.2676763365048</c:v>
                </c:pt>
                <c:pt idx="983">
                  <c:v>2024.354362369055</c:v>
                </c:pt>
                <c:pt idx="984">
                  <c:v>2024.4617785726934</c:v>
                </c:pt>
                <c:pt idx="985">
                  <c:v>2025.5575266734124</c:v>
                </c:pt>
                <c:pt idx="986">
                  <c:v>2022.7413781946248</c:v>
                </c:pt>
                <c:pt idx="987">
                  <c:v>2024.7376847822925</c:v>
                </c:pt>
                <c:pt idx="988">
                  <c:v>2025.6778801972969</c:v>
                </c:pt>
                <c:pt idx="989">
                  <c:v>2022.8285116317231</c:v>
                </c:pt>
                <c:pt idx="990">
                  <c:v>2024.3514194560162</c:v>
                </c:pt>
                <c:pt idx="991">
                  <c:v>2025.068439551198</c:v>
                </c:pt>
                <c:pt idx="992">
                  <c:v>2025.4120497338943</c:v>
                </c:pt>
                <c:pt idx="993">
                  <c:v>2026.3397053297092</c:v>
                </c:pt>
                <c:pt idx="994">
                  <c:v>2024.9203015427443</c:v>
                </c:pt>
                <c:pt idx="995">
                  <c:v>2022.9821473893678</c:v>
                </c:pt>
                <c:pt idx="996">
                  <c:v>2025.8959219531191</c:v>
                </c:pt>
                <c:pt idx="997">
                  <c:v>2023.378868937863</c:v>
                </c:pt>
                <c:pt idx="998">
                  <c:v>2023.4625201880679</c:v>
                </c:pt>
                <c:pt idx="999">
                  <c:v>2023.3471223989734</c:v>
                </c:pt>
                <c:pt idx="1000">
                  <c:v>2023.1874067526066</c:v>
                </c:pt>
                <c:pt idx="1001">
                  <c:v>2022.4399578312825</c:v>
                </c:pt>
                <c:pt idx="1002">
                  <c:v>2023.1194723804713</c:v>
                </c:pt>
                <c:pt idx="1003">
                  <c:v>2023.1456041172744</c:v>
                </c:pt>
                <c:pt idx="1004">
                  <c:v>2022.9694135987922</c:v>
                </c:pt>
                <c:pt idx="1005">
                  <c:v>2023.4457970139249</c:v>
                </c:pt>
                <c:pt idx="1006">
                  <c:v>2023.2904117928351</c:v>
                </c:pt>
                <c:pt idx="1007">
                  <c:v>2022.8595937052733</c:v>
                </c:pt>
                <c:pt idx="1008">
                  <c:v>2023.4418906985352</c:v>
                </c:pt>
                <c:pt idx="1009">
                  <c:v>2023.2495199268335</c:v>
                </c:pt>
                <c:pt idx="1010">
                  <c:v>2023.2723136296067</c:v>
                </c:pt>
                <c:pt idx="1011">
                  <c:v>2022.9413683587779</c:v>
                </c:pt>
                <c:pt idx="1012">
                  <c:v>2025.2505497610314</c:v>
                </c:pt>
                <c:pt idx="1013">
                  <c:v>2022.8112223342048</c:v>
                </c:pt>
                <c:pt idx="1014">
                  <c:v>2024.6672094460207</c:v>
                </c:pt>
                <c:pt idx="1015">
                  <c:v>2023.040532035626</c:v>
                </c:pt>
                <c:pt idx="1016">
                  <c:v>2023.2666275418026</c:v>
                </c:pt>
                <c:pt idx="1017">
                  <c:v>2023.2147589163249</c:v>
                </c:pt>
                <c:pt idx="1018">
                  <c:v>2022.6940340349176</c:v>
                </c:pt>
                <c:pt idx="1019">
                  <c:v>2023.3155408996772</c:v>
                </c:pt>
                <c:pt idx="1020">
                  <c:v>2022.8668702324978</c:v>
                </c:pt>
                <c:pt idx="1021">
                  <c:v>2024.2898893039694</c:v>
                </c:pt>
                <c:pt idx="1022">
                  <c:v>2024.6034531216983</c:v>
                </c:pt>
                <c:pt idx="1023">
                  <c:v>2024.8234337267836</c:v>
                </c:pt>
                <c:pt idx="1024">
                  <c:v>2023.0345247412256</c:v>
                </c:pt>
                <c:pt idx="1025">
                  <c:v>2023.0423007318748</c:v>
                </c:pt>
                <c:pt idx="1026">
                  <c:v>2023.4444933723412</c:v>
                </c:pt>
                <c:pt idx="1027">
                  <c:v>2022.7783348390119</c:v>
                </c:pt>
                <c:pt idx="1028">
                  <c:v>2023.0250592107245</c:v>
                </c:pt>
                <c:pt idx="1029">
                  <c:v>2022.8438787934838</c:v>
                </c:pt>
                <c:pt idx="1030">
                  <c:v>2026.4453330357992</c:v>
                </c:pt>
                <c:pt idx="1031">
                  <c:v>2022.7856928049168</c:v>
                </c:pt>
                <c:pt idx="1032">
                  <c:v>2023.4012050665747</c:v>
                </c:pt>
                <c:pt idx="1033">
                  <c:v>2023.3469733313091</c:v>
                </c:pt>
                <c:pt idx="1034">
                  <c:v>2023.2776218250576</c:v>
                </c:pt>
                <c:pt idx="1035">
                  <c:v>2023.2072518837965</c:v>
                </c:pt>
                <c:pt idx="1036">
                  <c:v>2023.058737382742</c:v>
                </c:pt>
                <c:pt idx="1037">
                  <c:v>2025.1576956386866</c:v>
                </c:pt>
                <c:pt idx="1038">
                  <c:v>2023.558164098265</c:v>
                </c:pt>
                <c:pt idx="1039">
                  <c:v>2023.2612352737242</c:v>
                </c:pt>
                <c:pt idx="1040">
                  <c:v>2024.1814912057582</c:v>
                </c:pt>
                <c:pt idx="1041">
                  <c:v>2025.1748809823725</c:v>
                </c:pt>
                <c:pt idx="1042">
                  <c:v>2023.4840935450061</c:v>
                </c:pt>
                <c:pt idx="1043">
                  <c:v>2025.0584977307522</c:v>
                </c:pt>
                <c:pt idx="1044">
                  <c:v>2025.1675435047223</c:v>
                </c:pt>
                <c:pt idx="1045">
                  <c:v>2023.120178388252</c:v>
                </c:pt>
                <c:pt idx="1046">
                  <c:v>2025.0557000383976</c:v>
                </c:pt>
                <c:pt idx="1047">
                  <c:v>2023.4634701726366</c:v>
                </c:pt>
                <c:pt idx="1048">
                  <c:v>2024.667453774247</c:v>
                </c:pt>
                <c:pt idx="1049">
                  <c:v>2023.2018410867165</c:v>
                </c:pt>
                <c:pt idx="1050">
                  <c:v>2023.1889053556008</c:v>
                </c:pt>
                <c:pt idx="1051">
                  <c:v>2024.5744830844196</c:v>
                </c:pt>
                <c:pt idx="1052">
                  <c:v>2023.4881128633781</c:v>
                </c:pt>
                <c:pt idx="1053">
                  <c:v>2023.2819268871829</c:v>
                </c:pt>
                <c:pt idx="1054">
                  <c:v>2025.00570198171</c:v>
                </c:pt>
                <c:pt idx="1055">
                  <c:v>2023.1895511541516</c:v>
                </c:pt>
                <c:pt idx="1056">
                  <c:v>2023.0084979835378</c:v>
                </c:pt>
                <c:pt idx="1057">
                  <c:v>2023.0509852324356</c:v>
                </c:pt>
                <c:pt idx="1058">
                  <c:v>2023.1561645166455</c:v>
                </c:pt>
                <c:pt idx="1059">
                  <c:v>2023.6228756802377</c:v>
                </c:pt>
                <c:pt idx="1060">
                  <c:v>2023.2971343683464</c:v>
                </c:pt>
                <c:pt idx="1061">
                  <c:v>2023.0847899079226</c:v>
                </c:pt>
                <c:pt idx="1062">
                  <c:v>2024.7703550312472</c:v>
                </c:pt>
                <c:pt idx="1063">
                  <c:v>2025.1505070318183</c:v>
                </c:pt>
                <c:pt idx="1064">
                  <c:v>2024.9819135471807</c:v>
                </c:pt>
                <c:pt idx="1065">
                  <c:v>2023.1660113736339</c:v>
                </c:pt>
                <c:pt idx="1066">
                  <c:v>2023.0954810854412</c:v>
                </c:pt>
                <c:pt idx="1067">
                  <c:v>2023.1328039369603</c:v>
                </c:pt>
                <c:pt idx="1068">
                  <c:v>2023.3373403943513</c:v>
                </c:pt>
                <c:pt idx="1069">
                  <c:v>2023.6908245779377</c:v>
                </c:pt>
                <c:pt idx="1070">
                  <c:v>2022.9691238567721</c:v>
                </c:pt>
                <c:pt idx="1071">
                  <c:v>2023.016840672738</c:v>
                </c:pt>
                <c:pt idx="1072">
                  <c:v>2024.5447350803988</c:v>
                </c:pt>
                <c:pt idx="1073">
                  <c:v>2023.3172394086464</c:v>
                </c:pt>
                <c:pt idx="1074">
                  <c:v>2023.4711111268405</c:v>
                </c:pt>
                <c:pt idx="1075">
                  <c:v>2023.0810602709244</c:v>
                </c:pt>
                <c:pt idx="1076">
                  <c:v>2024.7530423084711</c:v>
                </c:pt>
                <c:pt idx="1077">
                  <c:v>2024.968611314895</c:v>
                </c:pt>
                <c:pt idx="1078">
                  <c:v>2022.9564244750711</c:v>
                </c:pt>
                <c:pt idx="1079">
                  <c:v>2025.2997956605834</c:v>
                </c:pt>
                <c:pt idx="1080">
                  <c:v>2023.0855741286946</c:v>
                </c:pt>
                <c:pt idx="1081">
                  <c:v>2023.0966134630426</c:v>
                </c:pt>
                <c:pt idx="1082">
                  <c:v>2022.9807945344992</c:v>
                </c:pt>
                <c:pt idx="1083">
                  <c:v>2022.8760503556425</c:v>
                </c:pt>
                <c:pt idx="1084">
                  <c:v>2024.1993422932173</c:v>
                </c:pt>
                <c:pt idx="1085">
                  <c:v>2023.115516222636</c:v>
                </c:pt>
                <c:pt idx="1086">
                  <c:v>2023.3882663520383</c:v>
                </c:pt>
                <c:pt idx="1087">
                  <c:v>2023.1757367403347</c:v>
                </c:pt>
                <c:pt idx="1088">
                  <c:v>2025.0215857120859</c:v>
                </c:pt>
                <c:pt idx="1089">
                  <c:v>2023.2848294089868</c:v>
                </c:pt>
                <c:pt idx="1090">
                  <c:v>2024.9490956656855</c:v>
                </c:pt>
                <c:pt idx="1091">
                  <c:v>2022.9163512378941</c:v>
                </c:pt>
                <c:pt idx="1092">
                  <c:v>2025.1518369151086</c:v>
                </c:pt>
                <c:pt idx="1093">
                  <c:v>2023.2498811565163</c:v>
                </c:pt>
                <c:pt idx="1094">
                  <c:v>2023.3840471391766</c:v>
                </c:pt>
                <c:pt idx="1095">
                  <c:v>2023.2040223521558</c:v>
                </c:pt>
                <c:pt idx="1096">
                  <c:v>2022.866742638691</c:v>
                </c:pt>
                <c:pt idx="1097">
                  <c:v>2023.0360634198332</c:v>
                </c:pt>
                <c:pt idx="1098">
                  <c:v>2024.0355435868407</c:v>
                </c:pt>
                <c:pt idx="1099">
                  <c:v>2023.0409285826195</c:v>
                </c:pt>
                <c:pt idx="1100">
                  <c:v>2023.5002004149815</c:v>
                </c:pt>
                <c:pt idx="1101">
                  <c:v>2023.1719817429532</c:v>
                </c:pt>
                <c:pt idx="1102">
                  <c:v>2023.327859601917</c:v>
                </c:pt>
                <c:pt idx="1103">
                  <c:v>2025.5174964647499</c:v>
                </c:pt>
                <c:pt idx="1104">
                  <c:v>2023.6357521443408</c:v>
                </c:pt>
                <c:pt idx="1105">
                  <c:v>2022.7559509466623</c:v>
                </c:pt>
                <c:pt idx="1106">
                  <c:v>2024.8219507819133</c:v>
                </c:pt>
                <c:pt idx="1107">
                  <c:v>2023.5361682935293</c:v>
                </c:pt>
                <c:pt idx="1108">
                  <c:v>2022.9758809515949</c:v>
                </c:pt>
                <c:pt idx="1109">
                  <c:v>2024.955120136168</c:v>
                </c:pt>
                <c:pt idx="1110">
                  <c:v>2024.8444577593261</c:v>
                </c:pt>
                <c:pt idx="1111">
                  <c:v>2024.5185697066429</c:v>
                </c:pt>
                <c:pt idx="1112">
                  <c:v>2025.3196435873581</c:v>
                </c:pt>
                <c:pt idx="1113">
                  <c:v>2022.9535904132374</c:v>
                </c:pt>
                <c:pt idx="1114">
                  <c:v>2023.226539766998</c:v>
                </c:pt>
                <c:pt idx="1115">
                  <c:v>2023.1165721036095</c:v>
                </c:pt>
                <c:pt idx="1116">
                  <c:v>2022.9254368290751</c:v>
                </c:pt>
                <c:pt idx="1117">
                  <c:v>2022.8099112815232</c:v>
                </c:pt>
                <c:pt idx="1118">
                  <c:v>2024.4872269126101</c:v>
                </c:pt>
                <c:pt idx="1119">
                  <c:v>2023.5912801522022</c:v>
                </c:pt>
                <c:pt idx="1120">
                  <c:v>2023.6673542967192</c:v>
                </c:pt>
                <c:pt idx="1121">
                  <c:v>2023.15426819053</c:v>
                </c:pt>
                <c:pt idx="1122">
                  <c:v>2023.3619225249693</c:v>
                </c:pt>
                <c:pt idx="1123">
                  <c:v>2023.150713542721</c:v>
                </c:pt>
                <c:pt idx="1124">
                  <c:v>2025.2006833775624</c:v>
                </c:pt>
                <c:pt idx="1125">
                  <c:v>2024.1539479697717</c:v>
                </c:pt>
                <c:pt idx="1126">
                  <c:v>2024.8852013986457</c:v>
                </c:pt>
                <c:pt idx="1127">
                  <c:v>2025.3397274430279</c:v>
                </c:pt>
                <c:pt idx="1128">
                  <c:v>2023.477022353966</c:v>
                </c:pt>
                <c:pt idx="1129">
                  <c:v>2024.959665228341</c:v>
                </c:pt>
                <c:pt idx="1130">
                  <c:v>2022.8147105327498</c:v>
                </c:pt>
                <c:pt idx="1131">
                  <c:v>2022.9101231862562</c:v>
                </c:pt>
                <c:pt idx="1132">
                  <c:v>2023.5580232015097</c:v>
                </c:pt>
                <c:pt idx="1133">
                  <c:v>2024.4521264605303</c:v>
                </c:pt>
                <c:pt idx="1134">
                  <c:v>2022.8995745590414</c:v>
                </c:pt>
                <c:pt idx="1135">
                  <c:v>2023.3255210542352</c:v>
                </c:pt>
                <c:pt idx="1136">
                  <c:v>2025.7069699505519</c:v>
                </c:pt>
                <c:pt idx="1137">
                  <c:v>2023.2859275722949</c:v>
                </c:pt>
                <c:pt idx="1138">
                  <c:v>2025.0821726429303</c:v>
                </c:pt>
                <c:pt idx="1139">
                  <c:v>2023.6144407563063</c:v>
                </c:pt>
                <c:pt idx="1140">
                  <c:v>2023.0720213010891</c:v>
                </c:pt>
                <c:pt idx="1141">
                  <c:v>2024.6060860840378</c:v>
                </c:pt>
                <c:pt idx="1142">
                  <c:v>2022.8175476923368</c:v>
                </c:pt>
                <c:pt idx="1143">
                  <c:v>2024.8044606075316</c:v>
                </c:pt>
                <c:pt idx="1144">
                  <c:v>2023.1844865734888</c:v>
                </c:pt>
                <c:pt idx="1145">
                  <c:v>2023.2801073381204</c:v>
                </c:pt>
                <c:pt idx="1146">
                  <c:v>2024.8440467968462</c:v>
                </c:pt>
                <c:pt idx="1147">
                  <c:v>2024.7245637256867</c:v>
                </c:pt>
                <c:pt idx="1148">
                  <c:v>2022.9507816561738</c:v>
                </c:pt>
                <c:pt idx="1149">
                  <c:v>2025.2299236269864</c:v>
                </c:pt>
                <c:pt idx="1150">
                  <c:v>2024.0416790383108</c:v>
                </c:pt>
                <c:pt idx="1151">
                  <c:v>2023.2849857526267</c:v>
                </c:pt>
                <c:pt idx="1152">
                  <c:v>2023.8674269061439</c:v>
                </c:pt>
                <c:pt idx="1153">
                  <c:v>2023.1514207758755</c:v>
                </c:pt>
                <c:pt idx="1154">
                  <c:v>2023.0700073498613</c:v>
                </c:pt>
                <c:pt idx="1155">
                  <c:v>2023.2367169564286</c:v>
                </c:pt>
                <c:pt idx="1156">
                  <c:v>2023.5603249827773</c:v>
                </c:pt>
                <c:pt idx="1157">
                  <c:v>2022.7212366872368</c:v>
                </c:pt>
                <c:pt idx="1158">
                  <c:v>2023.2842541149068</c:v>
                </c:pt>
                <c:pt idx="1159">
                  <c:v>2023.0257833149385</c:v>
                </c:pt>
                <c:pt idx="1160">
                  <c:v>2024.6882260298003</c:v>
                </c:pt>
                <c:pt idx="1161">
                  <c:v>2024.9400037803794</c:v>
                </c:pt>
                <c:pt idx="1162">
                  <c:v>2023.4070317162186</c:v>
                </c:pt>
                <c:pt idx="1163">
                  <c:v>2023.6580681204066</c:v>
                </c:pt>
                <c:pt idx="1164">
                  <c:v>2022.9506810153912</c:v>
                </c:pt>
                <c:pt idx="1165">
                  <c:v>2023.3617917247591</c:v>
                </c:pt>
                <c:pt idx="1166">
                  <c:v>2023.3458288380343</c:v>
                </c:pt>
                <c:pt idx="1167">
                  <c:v>2023.1847575613399</c:v>
                </c:pt>
                <c:pt idx="1168">
                  <c:v>2025.7010909278829</c:v>
                </c:pt>
                <c:pt idx="1169">
                  <c:v>2023.2683152971035</c:v>
                </c:pt>
                <c:pt idx="1170">
                  <c:v>2024.7262259570791</c:v>
                </c:pt>
                <c:pt idx="1171">
                  <c:v>2024.191688054914</c:v>
                </c:pt>
                <c:pt idx="1172">
                  <c:v>2023.080059509319</c:v>
                </c:pt>
                <c:pt idx="1173">
                  <c:v>2024.730619093888</c:v>
                </c:pt>
                <c:pt idx="1174">
                  <c:v>2022.9607620747418</c:v>
                </c:pt>
                <c:pt idx="1175">
                  <c:v>2022.8951469385822</c:v>
                </c:pt>
                <c:pt idx="1176">
                  <c:v>2024.7346469995348</c:v>
                </c:pt>
                <c:pt idx="1177">
                  <c:v>2023.2467253936786</c:v>
                </c:pt>
                <c:pt idx="1178">
                  <c:v>2024.7701418570275</c:v>
                </c:pt>
                <c:pt idx="1179">
                  <c:v>2023.3407742845836</c:v>
                </c:pt>
                <c:pt idx="1180">
                  <c:v>2022.8495453013822</c:v>
                </c:pt>
                <c:pt idx="1181">
                  <c:v>2023.231906647525</c:v>
                </c:pt>
                <c:pt idx="1182">
                  <c:v>2023.4810789670948</c:v>
                </c:pt>
                <c:pt idx="1183">
                  <c:v>2025.7909755383641</c:v>
                </c:pt>
                <c:pt idx="1184">
                  <c:v>2023.2843242560205</c:v>
                </c:pt>
                <c:pt idx="1185">
                  <c:v>2023.1362016750702</c:v>
                </c:pt>
                <c:pt idx="1186">
                  <c:v>2023.3093978498998</c:v>
                </c:pt>
                <c:pt idx="1187">
                  <c:v>2022.8588687282004</c:v>
                </c:pt>
                <c:pt idx="1188">
                  <c:v>2024.4798408418358</c:v>
                </c:pt>
                <c:pt idx="1189">
                  <c:v>2023.2476989086313</c:v>
                </c:pt>
                <c:pt idx="1190">
                  <c:v>2023.0988889733223</c:v>
                </c:pt>
                <c:pt idx="1191">
                  <c:v>2022.943705827154</c:v>
                </c:pt>
                <c:pt idx="1192">
                  <c:v>2025.7476995148304</c:v>
                </c:pt>
                <c:pt idx="1193">
                  <c:v>2023.1659246192289</c:v>
                </c:pt>
                <c:pt idx="1194">
                  <c:v>2023.7568137683197</c:v>
                </c:pt>
                <c:pt idx="1195">
                  <c:v>2023.2373624854324</c:v>
                </c:pt>
                <c:pt idx="1196">
                  <c:v>2022.9217519597739</c:v>
                </c:pt>
                <c:pt idx="1197">
                  <c:v>2022.8452677682278</c:v>
                </c:pt>
                <c:pt idx="1198">
                  <c:v>2024.9704689303799</c:v>
                </c:pt>
                <c:pt idx="1199">
                  <c:v>2025.3284129178082</c:v>
                </c:pt>
                <c:pt idx="1200">
                  <c:v>2023.1462121993143</c:v>
                </c:pt>
                <c:pt idx="1201">
                  <c:v>2024.8254824252278</c:v>
                </c:pt>
                <c:pt idx="1202">
                  <c:v>2022.8741761585145</c:v>
                </c:pt>
                <c:pt idx="1203">
                  <c:v>2024.6094655293607</c:v>
                </c:pt>
                <c:pt idx="1204">
                  <c:v>2022.8018030199535</c:v>
                </c:pt>
                <c:pt idx="1205">
                  <c:v>2024.4303347925193</c:v>
                </c:pt>
                <c:pt idx="1206">
                  <c:v>2022.8074018452255</c:v>
                </c:pt>
                <c:pt idx="1207">
                  <c:v>2023.7871961348515</c:v>
                </c:pt>
                <c:pt idx="1208">
                  <c:v>2024.8378314073045</c:v>
                </c:pt>
                <c:pt idx="1209">
                  <c:v>2023.3533928633003</c:v>
                </c:pt>
                <c:pt idx="1210">
                  <c:v>2022.899330018741</c:v>
                </c:pt>
                <c:pt idx="1211">
                  <c:v>2024.7152241547931</c:v>
                </c:pt>
                <c:pt idx="1212">
                  <c:v>2025.2419430339498</c:v>
                </c:pt>
                <c:pt idx="1213">
                  <c:v>2023.2017764370285</c:v>
                </c:pt>
                <c:pt idx="1214">
                  <c:v>2023.6523322978426</c:v>
                </c:pt>
                <c:pt idx="1215">
                  <c:v>2023.3610973965397</c:v>
                </c:pt>
                <c:pt idx="1216">
                  <c:v>2025.1394844628662</c:v>
                </c:pt>
                <c:pt idx="1217">
                  <c:v>2023.077118386648</c:v>
                </c:pt>
                <c:pt idx="1218">
                  <c:v>2023.2669914898213</c:v>
                </c:pt>
                <c:pt idx="1219">
                  <c:v>2025.1649712592016</c:v>
                </c:pt>
                <c:pt idx="1220">
                  <c:v>2024.8756870061354</c:v>
                </c:pt>
                <c:pt idx="1221">
                  <c:v>2024.8900683287447</c:v>
                </c:pt>
                <c:pt idx="1222">
                  <c:v>2023.0967328406116</c:v>
                </c:pt>
                <c:pt idx="1223">
                  <c:v>2023.0195128530779</c:v>
                </c:pt>
                <c:pt idx="1224">
                  <c:v>2023.3174711720442</c:v>
                </c:pt>
                <c:pt idx="1225">
                  <c:v>2023.1654551196536</c:v>
                </c:pt>
                <c:pt idx="1226">
                  <c:v>2023.442504120168</c:v>
                </c:pt>
                <c:pt idx="1227">
                  <c:v>2024.7045896050547</c:v>
                </c:pt>
                <c:pt idx="1228">
                  <c:v>2023.6029726189963</c:v>
                </c:pt>
                <c:pt idx="1229">
                  <c:v>2022.8599264291877</c:v>
                </c:pt>
                <c:pt idx="1230">
                  <c:v>2023.2293117398349</c:v>
                </c:pt>
                <c:pt idx="1231">
                  <c:v>2023.0075366235214</c:v>
                </c:pt>
                <c:pt idx="1232">
                  <c:v>2023.8861615434489</c:v>
                </c:pt>
                <c:pt idx="1233">
                  <c:v>2023.4955637369974</c:v>
                </c:pt>
                <c:pt idx="1234">
                  <c:v>2024.1339042109062</c:v>
                </c:pt>
                <c:pt idx="1235">
                  <c:v>2023.7069551115428</c:v>
                </c:pt>
                <c:pt idx="1236">
                  <c:v>2022.9255221481469</c:v>
                </c:pt>
                <c:pt idx="1237">
                  <c:v>2025.4410609287372</c:v>
                </c:pt>
                <c:pt idx="1238">
                  <c:v>2025.3672048892593</c:v>
                </c:pt>
                <c:pt idx="1239">
                  <c:v>2023.6245007951104</c:v>
                </c:pt>
                <c:pt idx="1240">
                  <c:v>2024.49296267676</c:v>
                </c:pt>
                <c:pt idx="1241">
                  <c:v>2022.9887078551844</c:v>
                </c:pt>
                <c:pt idx="1242">
                  <c:v>2023.2816044897297</c:v>
                </c:pt>
                <c:pt idx="1243">
                  <c:v>2023.3000617710645</c:v>
                </c:pt>
                <c:pt idx="1244">
                  <c:v>2024.7894000892375</c:v>
                </c:pt>
                <c:pt idx="1245">
                  <c:v>2024.5885363813081</c:v>
                </c:pt>
                <c:pt idx="1246">
                  <c:v>2023.5489520800188</c:v>
                </c:pt>
                <c:pt idx="1247">
                  <c:v>2023.1186226755701</c:v>
                </c:pt>
                <c:pt idx="1248">
                  <c:v>2025.183563559169</c:v>
                </c:pt>
                <c:pt idx="1249">
                  <c:v>2023.4359845875065</c:v>
                </c:pt>
                <c:pt idx="1250">
                  <c:v>2023.632925871151</c:v>
                </c:pt>
                <c:pt idx="1251">
                  <c:v>2024.3473151570076</c:v>
                </c:pt>
                <c:pt idx="1252">
                  <c:v>2024.147481483217</c:v>
                </c:pt>
                <c:pt idx="1253">
                  <c:v>2022.8011551839431</c:v>
                </c:pt>
                <c:pt idx="1254">
                  <c:v>2023.1634711829042</c:v>
                </c:pt>
                <c:pt idx="1255">
                  <c:v>2023.0970532872529</c:v>
                </c:pt>
                <c:pt idx="1256">
                  <c:v>2023.0467605937042</c:v>
                </c:pt>
                <c:pt idx="1257">
                  <c:v>2023.0753949607579</c:v>
                </c:pt>
                <c:pt idx="1258">
                  <c:v>2023.6346336493084</c:v>
                </c:pt>
                <c:pt idx="1259">
                  <c:v>2022.8978337150197</c:v>
                </c:pt>
                <c:pt idx="1260">
                  <c:v>2022.6968745119377</c:v>
                </c:pt>
                <c:pt idx="1261">
                  <c:v>2023.4015321648806</c:v>
                </c:pt>
                <c:pt idx="1262">
                  <c:v>2025.8343467545044</c:v>
                </c:pt>
                <c:pt idx="1263">
                  <c:v>2024.832911184375</c:v>
                </c:pt>
                <c:pt idx="1264">
                  <c:v>2022.9716830901832</c:v>
                </c:pt>
                <c:pt idx="1265">
                  <c:v>2022.9667506856895</c:v>
                </c:pt>
                <c:pt idx="1266">
                  <c:v>2023.3971725273439</c:v>
                </c:pt>
                <c:pt idx="1267">
                  <c:v>2024.7432137788169</c:v>
                </c:pt>
                <c:pt idx="1268">
                  <c:v>2023.0801516776182</c:v>
                </c:pt>
                <c:pt idx="1269">
                  <c:v>2023.5749879364812</c:v>
                </c:pt>
                <c:pt idx="1270">
                  <c:v>2023.5273436364275</c:v>
                </c:pt>
                <c:pt idx="1271">
                  <c:v>2022.8356967990428</c:v>
                </c:pt>
                <c:pt idx="1272">
                  <c:v>2024.1750228475896</c:v>
                </c:pt>
                <c:pt idx="1273">
                  <c:v>2024.3269552911727</c:v>
                </c:pt>
                <c:pt idx="1274">
                  <c:v>2024.9184850641716</c:v>
                </c:pt>
                <c:pt idx="1275">
                  <c:v>2024.4667466459869</c:v>
                </c:pt>
                <c:pt idx="1276">
                  <c:v>2025.5613801644088</c:v>
                </c:pt>
                <c:pt idx="1277">
                  <c:v>2025.2737575769461</c:v>
                </c:pt>
                <c:pt idx="1278">
                  <c:v>2025.8537391683801</c:v>
                </c:pt>
                <c:pt idx="1279">
                  <c:v>2023.3683370814535</c:v>
                </c:pt>
                <c:pt idx="1280">
                  <c:v>2024.7922465286074</c:v>
                </c:pt>
                <c:pt idx="1281">
                  <c:v>2023.1498965345693</c:v>
                </c:pt>
                <c:pt idx="1282">
                  <c:v>2023.3769147688552</c:v>
                </c:pt>
                <c:pt idx="1283">
                  <c:v>2023.1699573582148</c:v>
                </c:pt>
                <c:pt idx="1284">
                  <c:v>2023.901751898188</c:v>
                </c:pt>
                <c:pt idx="1285">
                  <c:v>2022.8221735650022</c:v>
                </c:pt>
                <c:pt idx="1286">
                  <c:v>2023.2884457994144</c:v>
                </c:pt>
                <c:pt idx="1287">
                  <c:v>2023.0587738771605</c:v>
                </c:pt>
                <c:pt idx="1288">
                  <c:v>2023.1915938147399</c:v>
                </c:pt>
                <c:pt idx="1289">
                  <c:v>2023.431947625628</c:v>
                </c:pt>
                <c:pt idx="1290">
                  <c:v>2023.2284636388335</c:v>
                </c:pt>
                <c:pt idx="1291">
                  <c:v>2024.8180782505049</c:v>
                </c:pt>
                <c:pt idx="1292">
                  <c:v>2024.9786036831415</c:v>
                </c:pt>
                <c:pt idx="1293">
                  <c:v>2023.6749382143994</c:v>
                </c:pt>
                <c:pt idx="1294">
                  <c:v>2022.9929595100207</c:v>
                </c:pt>
                <c:pt idx="1295">
                  <c:v>2025.1237753477458</c:v>
                </c:pt>
                <c:pt idx="1296">
                  <c:v>2022.8531964185886</c:v>
                </c:pt>
                <c:pt idx="1297">
                  <c:v>2022.8537210926675</c:v>
                </c:pt>
                <c:pt idx="1298">
                  <c:v>2024.9868989710037</c:v>
                </c:pt>
                <c:pt idx="1299">
                  <c:v>2023.0401133932198</c:v>
                </c:pt>
                <c:pt idx="1300">
                  <c:v>2023.4501748431394</c:v>
                </c:pt>
                <c:pt idx="1301">
                  <c:v>2022.8418376433081</c:v>
                </c:pt>
                <c:pt idx="1302">
                  <c:v>2022.9203694250334</c:v>
                </c:pt>
                <c:pt idx="1303">
                  <c:v>2024.3878724924002</c:v>
                </c:pt>
                <c:pt idx="1304">
                  <c:v>2023.1900419150259</c:v>
                </c:pt>
                <c:pt idx="1305">
                  <c:v>2023.6517057868675</c:v>
                </c:pt>
                <c:pt idx="1306">
                  <c:v>2022.926876341603</c:v>
                </c:pt>
                <c:pt idx="1307">
                  <c:v>2022.7802778893122</c:v>
                </c:pt>
                <c:pt idx="1308">
                  <c:v>2023.4972860345322</c:v>
                </c:pt>
                <c:pt idx="1309">
                  <c:v>2022.8403221781705</c:v>
                </c:pt>
                <c:pt idx="1310">
                  <c:v>2023.5489585460575</c:v>
                </c:pt>
                <c:pt idx="1311">
                  <c:v>2023.0171008025811</c:v>
                </c:pt>
                <c:pt idx="1312">
                  <c:v>2024.8917574178231</c:v>
                </c:pt>
                <c:pt idx="1313">
                  <c:v>2023.0246551665216</c:v>
                </c:pt>
                <c:pt idx="1314">
                  <c:v>2023.3172550637912</c:v>
                </c:pt>
                <c:pt idx="1315">
                  <c:v>2023.5803245912741</c:v>
                </c:pt>
                <c:pt idx="1316">
                  <c:v>2022.7076732004493</c:v>
                </c:pt>
                <c:pt idx="1317">
                  <c:v>2023.4309273846911</c:v>
                </c:pt>
                <c:pt idx="1318">
                  <c:v>2023.7150282078351</c:v>
                </c:pt>
                <c:pt idx="1319">
                  <c:v>2024.9333238997622</c:v>
                </c:pt>
                <c:pt idx="1320">
                  <c:v>2023.3761319846101</c:v>
                </c:pt>
                <c:pt idx="1321">
                  <c:v>2023.3115180468365</c:v>
                </c:pt>
                <c:pt idx="1322">
                  <c:v>2022.8505866329683</c:v>
                </c:pt>
                <c:pt idx="1323">
                  <c:v>2023.2925967271135</c:v>
                </c:pt>
                <c:pt idx="1324">
                  <c:v>2023.2735039576153</c:v>
                </c:pt>
                <c:pt idx="1325">
                  <c:v>2023.2943553629632</c:v>
                </c:pt>
                <c:pt idx="1326">
                  <c:v>2023.1966265535768</c:v>
                </c:pt>
                <c:pt idx="1327">
                  <c:v>2024.720592229249</c:v>
                </c:pt>
                <c:pt idx="1328">
                  <c:v>2024.419242251166</c:v>
                </c:pt>
                <c:pt idx="1329">
                  <c:v>2023.0795209246639</c:v>
                </c:pt>
                <c:pt idx="1330">
                  <c:v>2024.6591300590239</c:v>
                </c:pt>
                <c:pt idx="1331">
                  <c:v>2023.0958090982806</c:v>
                </c:pt>
                <c:pt idx="1332">
                  <c:v>2022.7763569632998</c:v>
                </c:pt>
                <c:pt idx="1333">
                  <c:v>2022.6086755812578</c:v>
                </c:pt>
                <c:pt idx="1334">
                  <c:v>2023.115455594658</c:v>
                </c:pt>
                <c:pt idx="1335">
                  <c:v>2025.7297981959632</c:v>
                </c:pt>
                <c:pt idx="1336">
                  <c:v>2023.5600813084657</c:v>
                </c:pt>
                <c:pt idx="1337">
                  <c:v>2023.4265131250349</c:v>
                </c:pt>
                <c:pt idx="1338">
                  <c:v>2022.6028754686438</c:v>
                </c:pt>
                <c:pt idx="1339">
                  <c:v>2022.7818736907816</c:v>
                </c:pt>
                <c:pt idx="1340">
                  <c:v>2025.3300443391092</c:v>
                </c:pt>
                <c:pt idx="1341">
                  <c:v>2024.4747829583548</c:v>
                </c:pt>
                <c:pt idx="1342">
                  <c:v>2023.7837323741303</c:v>
                </c:pt>
                <c:pt idx="1343">
                  <c:v>2023.56579310553</c:v>
                </c:pt>
                <c:pt idx="1344">
                  <c:v>2022.9957815144949</c:v>
                </c:pt>
                <c:pt idx="1345">
                  <c:v>2023.0074613271554</c:v>
                </c:pt>
                <c:pt idx="1346">
                  <c:v>2024.8584054011424</c:v>
                </c:pt>
                <c:pt idx="1347">
                  <c:v>2025.2711260044498</c:v>
                </c:pt>
                <c:pt idx="1348">
                  <c:v>2024.1852423162318</c:v>
                </c:pt>
                <c:pt idx="1349">
                  <c:v>2022.9502337335323</c:v>
                </c:pt>
                <c:pt idx="1350">
                  <c:v>2022.9137391730337</c:v>
                </c:pt>
                <c:pt idx="1351">
                  <c:v>2022.9359336883945</c:v>
                </c:pt>
                <c:pt idx="1352">
                  <c:v>2023.6037174216915</c:v>
                </c:pt>
                <c:pt idx="1353">
                  <c:v>2022.9492959813126</c:v>
                </c:pt>
                <c:pt idx="1354">
                  <c:v>2024.7421846444552</c:v>
                </c:pt>
                <c:pt idx="1355">
                  <c:v>2025.2379292384969</c:v>
                </c:pt>
                <c:pt idx="1356">
                  <c:v>2024.8788995739696</c:v>
                </c:pt>
                <c:pt idx="1357">
                  <c:v>2023.3805369657732</c:v>
                </c:pt>
                <c:pt idx="1358">
                  <c:v>2024.5906725172476</c:v>
                </c:pt>
                <c:pt idx="1359">
                  <c:v>2023.174082377431</c:v>
                </c:pt>
                <c:pt idx="1360">
                  <c:v>2022.9248495922791</c:v>
                </c:pt>
                <c:pt idx="1361">
                  <c:v>2023.0733744792658</c:v>
                </c:pt>
                <c:pt idx="1362">
                  <c:v>2022.9489186858102</c:v>
                </c:pt>
                <c:pt idx="1363">
                  <c:v>2023.2409110572569</c:v>
                </c:pt>
                <c:pt idx="1364">
                  <c:v>2024.5649102264624</c:v>
                </c:pt>
                <c:pt idx="1365">
                  <c:v>2024.5326030510826</c:v>
                </c:pt>
                <c:pt idx="1366">
                  <c:v>2025.2338723322118</c:v>
                </c:pt>
                <c:pt idx="1367">
                  <c:v>2022.6682594377337</c:v>
                </c:pt>
                <c:pt idx="1368">
                  <c:v>2022.8427059668179</c:v>
                </c:pt>
                <c:pt idx="1369">
                  <c:v>2023.1035538827532</c:v>
                </c:pt>
                <c:pt idx="1370">
                  <c:v>2023.1792847829524</c:v>
                </c:pt>
                <c:pt idx="1371">
                  <c:v>2022.7010265773615</c:v>
                </c:pt>
                <c:pt idx="1372">
                  <c:v>2023.2195511487823</c:v>
                </c:pt>
                <c:pt idx="1373">
                  <c:v>2023.2486796455066</c:v>
                </c:pt>
                <c:pt idx="1374">
                  <c:v>2023.2944348783926</c:v>
                </c:pt>
                <c:pt idx="1375">
                  <c:v>2023.421998451211</c:v>
                </c:pt>
                <c:pt idx="1376">
                  <c:v>2025.2473668161022</c:v>
                </c:pt>
                <c:pt idx="1377">
                  <c:v>2023.5055264715245</c:v>
                </c:pt>
                <c:pt idx="1378">
                  <c:v>2022.7233243360979</c:v>
                </c:pt>
                <c:pt idx="1379">
                  <c:v>2022.7325873789496</c:v>
                </c:pt>
                <c:pt idx="1380">
                  <c:v>2023.3097868140724</c:v>
                </c:pt>
                <c:pt idx="1381">
                  <c:v>2022.9948936057015</c:v>
                </c:pt>
                <c:pt idx="1382">
                  <c:v>2025.3165319099314</c:v>
                </c:pt>
                <c:pt idx="1383">
                  <c:v>2023.3195286198315</c:v>
                </c:pt>
                <c:pt idx="1384">
                  <c:v>2023.139484395052</c:v>
                </c:pt>
                <c:pt idx="1385">
                  <c:v>2023.2929716106107</c:v>
                </c:pt>
                <c:pt idx="1386">
                  <c:v>2024.486123501212</c:v>
                </c:pt>
                <c:pt idx="1387">
                  <c:v>2022.7228485422702</c:v>
                </c:pt>
                <c:pt idx="1388">
                  <c:v>2023.2469097686112</c:v>
                </c:pt>
                <c:pt idx="1389">
                  <c:v>2022.9285343070112</c:v>
                </c:pt>
                <c:pt idx="1390">
                  <c:v>2024.7946349384601</c:v>
                </c:pt>
                <c:pt idx="1391">
                  <c:v>2022.6773382757974</c:v>
                </c:pt>
                <c:pt idx="1392">
                  <c:v>2025.4141589212122</c:v>
                </c:pt>
                <c:pt idx="1393">
                  <c:v>2023.0655707231103</c:v>
                </c:pt>
                <c:pt idx="1394">
                  <c:v>2023.0679174202173</c:v>
                </c:pt>
                <c:pt idx="1395">
                  <c:v>2023.2747483315413</c:v>
                </c:pt>
                <c:pt idx="1396">
                  <c:v>2022.6504716003874</c:v>
                </c:pt>
                <c:pt idx="1397">
                  <c:v>2023.5297305043757</c:v>
                </c:pt>
                <c:pt idx="1398">
                  <c:v>2022.934836933825</c:v>
                </c:pt>
                <c:pt idx="1399">
                  <c:v>2023.2512736684296</c:v>
                </c:pt>
                <c:pt idx="1400">
                  <c:v>2025.1729285398178</c:v>
                </c:pt>
                <c:pt idx="1401">
                  <c:v>2024.4590257049449</c:v>
                </c:pt>
                <c:pt idx="1402">
                  <c:v>2024.9131447668451</c:v>
                </c:pt>
                <c:pt idx="1403">
                  <c:v>2023.5709819258698</c:v>
                </c:pt>
                <c:pt idx="1404">
                  <c:v>2022.9324368176133</c:v>
                </c:pt>
                <c:pt idx="1405">
                  <c:v>2025.1654012551776</c:v>
                </c:pt>
                <c:pt idx="1406">
                  <c:v>2023.4530496105704</c:v>
                </c:pt>
                <c:pt idx="1407">
                  <c:v>2022.8933019491794</c:v>
                </c:pt>
                <c:pt idx="1408">
                  <c:v>2023.1225707910726</c:v>
                </c:pt>
                <c:pt idx="1409">
                  <c:v>2023.5213782794187</c:v>
                </c:pt>
                <c:pt idx="1410">
                  <c:v>2023.3181775421308</c:v>
                </c:pt>
                <c:pt idx="1411">
                  <c:v>2023.359816975619</c:v>
                </c:pt>
                <c:pt idx="1412">
                  <c:v>2023.3567589468641</c:v>
                </c:pt>
                <c:pt idx="1413">
                  <c:v>2022.9998880033202</c:v>
                </c:pt>
                <c:pt idx="1414">
                  <c:v>2023.5671237719225</c:v>
                </c:pt>
                <c:pt idx="1415">
                  <c:v>2023.1206923979385</c:v>
                </c:pt>
                <c:pt idx="1416">
                  <c:v>2023.1694408496385</c:v>
                </c:pt>
                <c:pt idx="1417">
                  <c:v>2023.4238332106383</c:v>
                </c:pt>
                <c:pt idx="1418">
                  <c:v>2025.1268786050293</c:v>
                </c:pt>
                <c:pt idx="1419">
                  <c:v>2023.03292746946</c:v>
                </c:pt>
                <c:pt idx="1420">
                  <c:v>2024.8173553830059</c:v>
                </c:pt>
                <c:pt idx="1421">
                  <c:v>2023.07026260165</c:v>
                </c:pt>
                <c:pt idx="1422">
                  <c:v>2024.8412878864756</c:v>
                </c:pt>
                <c:pt idx="1423">
                  <c:v>2024.0987391414428</c:v>
                </c:pt>
                <c:pt idx="1424">
                  <c:v>2025.0263942870449</c:v>
                </c:pt>
                <c:pt idx="1425">
                  <c:v>2023.1890647101809</c:v>
                </c:pt>
                <c:pt idx="1426">
                  <c:v>2024.5471135440794</c:v>
                </c:pt>
                <c:pt idx="1427">
                  <c:v>2023.2377746581242</c:v>
                </c:pt>
                <c:pt idx="1428">
                  <c:v>2025.326226497315</c:v>
                </c:pt>
                <c:pt idx="1429">
                  <c:v>2024.8966979515224</c:v>
                </c:pt>
                <c:pt idx="1430">
                  <c:v>2023.1384308742511</c:v>
                </c:pt>
                <c:pt idx="1431">
                  <c:v>2023.1949640671146</c:v>
                </c:pt>
                <c:pt idx="1432">
                  <c:v>2024.2607463473084</c:v>
                </c:pt>
                <c:pt idx="1433">
                  <c:v>2024.4882106638443</c:v>
                </c:pt>
                <c:pt idx="1434">
                  <c:v>2023.5563160211145</c:v>
                </c:pt>
                <c:pt idx="1435">
                  <c:v>2023.152652889476</c:v>
                </c:pt>
                <c:pt idx="1436">
                  <c:v>2022.9160873203605</c:v>
                </c:pt>
                <c:pt idx="1437">
                  <c:v>2023.7660238677258</c:v>
                </c:pt>
                <c:pt idx="1438">
                  <c:v>2023.4059932687815</c:v>
                </c:pt>
                <c:pt idx="1439">
                  <c:v>2025.3102137125613</c:v>
                </c:pt>
                <c:pt idx="1440">
                  <c:v>2023.113186767891</c:v>
                </c:pt>
                <c:pt idx="1441">
                  <c:v>2025.2380165258737</c:v>
                </c:pt>
                <c:pt idx="1442">
                  <c:v>2022.9659848342853</c:v>
                </c:pt>
                <c:pt idx="1443">
                  <c:v>2024.6566420614615</c:v>
                </c:pt>
                <c:pt idx="1444">
                  <c:v>2023.9876032307247</c:v>
                </c:pt>
                <c:pt idx="1445">
                  <c:v>2024.7584514761836</c:v>
                </c:pt>
                <c:pt idx="1446">
                  <c:v>2022.8976855601511</c:v>
                </c:pt>
                <c:pt idx="1447">
                  <c:v>2023.2068466229121</c:v>
                </c:pt>
                <c:pt idx="1448">
                  <c:v>2023.4135217340868</c:v>
                </c:pt>
                <c:pt idx="1449">
                  <c:v>2023.7960635222491</c:v>
                </c:pt>
                <c:pt idx="1450">
                  <c:v>2025.2409107225246</c:v>
                </c:pt>
                <c:pt idx="1451">
                  <c:v>2024.6168484876484</c:v>
                </c:pt>
                <c:pt idx="1452">
                  <c:v>2022.9365991197569</c:v>
                </c:pt>
                <c:pt idx="1453">
                  <c:v>2023.7733836421478</c:v>
                </c:pt>
                <c:pt idx="1454">
                  <c:v>2024.7505481299916</c:v>
                </c:pt>
                <c:pt idx="1455">
                  <c:v>2025.1750739861297</c:v>
                </c:pt>
                <c:pt idx="1456">
                  <c:v>2023.3042665305993</c:v>
                </c:pt>
                <c:pt idx="1457">
                  <c:v>2023.3364395330502</c:v>
                </c:pt>
                <c:pt idx="1458">
                  <c:v>2023.3493851980948</c:v>
                </c:pt>
                <c:pt idx="1459">
                  <c:v>2024.8784009294279</c:v>
                </c:pt>
                <c:pt idx="1460">
                  <c:v>2022.9863885730126</c:v>
                </c:pt>
                <c:pt idx="1461">
                  <c:v>2025.4100617404711</c:v>
                </c:pt>
                <c:pt idx="1462">
                  <c:v>2022.893801797396</c:v>
                </c:pt>
                <c:pt idx="1463">
                  <c:v>2023.6272684464623</c:v>
                </c:pt>
                <c:pt idx="1464">
                  <c:v>2025.501514909656</c:v>
                </c:pt>
                <c:pt idx="1465">
                  <c:v>2025.4061508512909</c:v>
                </c:pt>
                <c:pt idx="1466">
                  <c:v>2022.6361896293588</c:v>
                </c:pt>
                <c:pt idx="1467">
                  <c:v>2023.0517350420293</c:v>
                </c:pt>
                <c:pt idx="1468">
                  <c:v>2023.6831211775402</c:v>
                </c:pt>
                <c:pt idx="1469">
                  <c:v>2023.4912597284999</c:v>
                </c:pt>
                <c:pt idx="1470">
                  <c:v>2023.4957188833168</c:v>
                </c:pt>
                <c:pt idx="1471">
                  <c:v>2023.0814864562296</c:v>
                </c:pt>
                <c:pt idx="1472">
                  <c:v>2023.0997144563132</c:v>
                </c:pt>
                <c:pt idx="1473">
                  <c:v>2023.2141164615648</c:v>
                </c:pt>
                <c:pt idx="1474">
                  <c:v>2023.6747627458594</c:v>
                </c:pt>
                <c:pt idx="1475">
                  <c:v>2025.4606926144186</c:v>
                </c:pt>
                <c:pt idx="1476">
                  <c:v>2023.3647134610649</c:v>
                </c:pt>
                <c:pt idx="1477">
                  <c:v>2023.5609672750322</c:v>
                </c:pt>
                <c:pt idx="1478">
                  <c:v>2024.7727867357416</c:v>
                </c:pt>
                <c:pt idx="1479">
                  <c:v>2023.5295889339823</c:v>
                </c:pt>
                <c:pt idx="1480">
                  <c:v>2022.9720644850599</c:v>
                </c:pt>
                <c:pt idx="1481">
                  <c:v>2023.4924969164315</c:v>
                </c:pt>
                <c:pt idx="1482">
                  <c:v>2024.8207177351715</c:v>
                </c:pt>
                <c:pt idx="1483">
                  <c:v>2023.3401118134282</c:v>
                </c:pt>
                <c:pt idx="1484">
                  <c:v>2023.8728991654496</c:v>
                </c:pt>
                <c:pt idx="1485">
                  <c:v>2024.1627463064176</c:v>
                </c:pt>
                <c:pt idx="1486">
                  <c:v>2022.9118056270643</c:v>
                </c:pt>
                <c:pt idx="1487">
                  <c:v>2023.1467127228448</c:v>
                </c:pt>
                <c:pt idx="1488">
                  <c:v>2023.7298452979292</c:v>
                </c:pt>
                <c:pt idx="1489">
                  <c:v>2022.8140842842777</c:v>
                </c:pt>
                <c:pt idx="1490">
                  <c:v>2024.9794331346036</c:v>
                </c:pt>
                <c:pt idx="1491">
                  <c:v>2023.5918715257885</c:v>
                </c:pt>
                <c:pt idx="1492">
                  <c:v>2022.7187975705692</c:v>
                </c:pt>
                <c:pt idx="1493">
                  <c:v>2025.0706506151532</c:v>
                </c:pt>
                <c:pt idx="1494">
                  <c:v>2024.1295955397954</c:v>
                </c:pt>
                <c:pt idx="1495">
                  <c:v>2023.1912067767114</c:v>
                </c:pt>
                <c:pt idx="1496">
                  <c:v>2023.540950571414</c:v>
                </c:pt>
                <c:pt idx="1497">
                  <c:v>2024.1451596987677</c:v>
                </c:pt>
                <c:pt idx="1498">
                  <c:v>2023.3602054795417</c:v>
                </c:pt>
                <c:pt idx="1499">
                  <c:v>2024.5323199183997</c:v>
                </c:pt>
                <c:pt idx="1500">
                  <c:v>2022.8243493674379</c:v>
                </c:pt>
                <c:pt idx="1501">
                  <c:v>2023.3652989488785</c:v>
                </c:pt>
                <c:pt idx="1502">
                  <c:v>2023.1112592240856</c:v>
                </c:pt>
                <c:pt idx="1503">
                  <c:v>2022.7633192446156</c:v>
                </c:pt>
                <c:pt idx="1504">
                  <c:v>2023.3655373591725</c:v>
                </c:pt>
                <c:pt idx="1505">
                  <c:v>2023.5351469554193</c:v>
                </c:pt>
                <c:pt idx="1506">
                  <c:v>2023.6255385540196</c:v>
                </c:pt>
                <c:pt idx="1507">
                  <c:v>2023.5494314396365</c:v>
                </c:pt>
                <c:pt idx="1508">
                  <c:v>2025.3373174781034</c:v>
                </c:pt>
                <c:pt idx="1509">
                  <c:v>2023.2247550497016</c:v>
                </c:pt>
                <c:pt idx="1510">
                  <c:v>2023.1386867106057</c:v>
                </c:pt>
                <c:pt idx="1511">
                  <c:v>2023.3932883541663</c:v>
                </c:pt>
                <c:pt idx="1512">
                  <c:v>2023.8021693628323</c:v>
                </c:pt>
                <c:pt idx="1513">
                  <c:v>2023.2270154166106</c:v>
                </c:pt>
                <c:pt idx="1514">
                  <c:v>2023.2001547694474</c:v>
                </c:pt>
                <c:pt idx="1515">
                  <c:v>2022.6439859778231</c:v>
                </c:pt>
                <c:pt idx="1516">
                  <c:v>2023.4506580340073</c:v>
                </c:pt>
                <c:pt idx="1517">
                  <c:v>2023.4325275579195</c:v>
                </c:pt>
                <c:pt idx="1518">
                  <c:v>2023.1268612559504</c:v>
                </c:pt>
                <c:pt idx="1519">
                  <c:v>2024.9589966186345</c:v>
                </c:pt>
                <c:pt idx="1520">
                  <c:v>2023.7645655318304</c:v>
                </c:pt>
                <c:pt idx="1521">
                  <c:v>2024.4323707398764</c:v>
                </c:pt>
                <c:pt idx="1522">
                  <c:v>2022.6956423588731</c:v>
                </c:pt>
                <c:pt idx="1523">
                  <c:v>2022.8239887735899</c:v>
                </c:pt>
                <c:pt idx="1524">
                  <c:v>2022.9224388381967</c:v>
                </c:pt>
                <c:pt idx="1525">
                  <c:v>2023.0108067101967</c:v>
                </c:pt>
                <c:pt idx="1526">
                  <c:v>2023.1615034349313</c:v>
                </c:pt>
                <c:pt idx="1527">
                  <c:v>2023.5064392344254</c:v>
                </c:pt>
                <c:pt idx="1528">
                  <c:v>2023.6495179739043</c:v>
                </c:pt>
                <c:pt idx="1529">
                  <c:v>2023.6091883489655</c:v>
                </c:pt>
                <c:pt idx="1530">
                  <c:v>2023.4177168622737</c:v>
                </c:pt>
                <c:pt idx="1531">
                  <c:v>2025.0457358403032</c:v>
                </c:pt>
                <c:pt idx="1532">
                  <c:v>2022.8716380569604</c:v>
                </c:pt>
                <c:pt idx="1533">
                  <c:v>2023.4275330179657</c:v>
                </c:pt>
                <c:pt idx="1534">
                  <c:v>2023.7293496954787</c:v>
                </c:pt>
                <c:pt idx="1535">
                  <c:v>2022.9789041350325</c:v>
                </c:pt>
                <c:pt idx="1536">
                  <c:v>2023.3814680504656</c:v>
                </c:pt>
                <c:pt idx="1537">
                  <c:v>2023.3250735614026</c:v>
                </c:pt>
                <c:pt idx="1538">
                  <c:v>2022.8838747258828</c:v>
                </c:pt>
                <c:pt idx="1539">
                  <c:v>2022.740586455797</c:v>
                </c:pt>
                <c:pt idx="1540">
                  <c:v>2024.8347061146162</c:v>
                </c:pt>
                <c:pt idx="1541">
                  <c:v>2024.4542897687463</c:v>
                </c:pt>
                <c:pt idx="1542">
                  <c:v>2023.2262029017847</c:v>
                </c:pt>
                <c:pt idx="1543">
                  <c:v>2025.3901736423243</c:v>
                </c:pt>
                <c:pt idx="1544">
                  <c:v>2023.0140657256859</c:v>
                </c:pt>
                <c:pt idx="1545">
                  <c:v>2022.7689714439557</c:v>
                </c:pt>
                <c:pt idx="1546">
                  <c:v>2023.0087103378999</c:v>
                </c:pt>
                <c:pt idx="1547">
                  <c:v>2023.0610017978252</c:v>
                </c:pt>
                <c:pt idx="1548">
                  <c:v>2022.9825692593583</c:v>
                </c:pt>
                <c:pt idx="1549">
                  <c:v>2022.7265965451572</c:v>
                </c:pt>
                <c:pt idx="1550">
                  <c:v>2023.1495038697849</c:v>
                </c:pt>
                <c:pt idx="1551">
                  <c:v>2024.0351523691584</c:v>
                </c:pt>
                <c:pt idx="1552">
                  <c:v>2023.3432695269848</c:v>
                </c:pt>
                <c:pt idx="1553">
                  <c:v>2022.8105042580951</c:v>
                </c:pt>
                <c:pt idx="1554">
                  <c:v>2023.1353669597593</c:v>
                </c:pt>
                <c:pt idx="1555">
                  <c:v>2023.2537356173473</c:v>
                </c:pt>
                <c:pt idx="1556">
                  <c:v>2023.1580463096557</c:v>
                </c:pt>
                <c:pt idx="1557">
                  <c:v>2022.9834864691425</c:v>
                </c:pt>
                <c:pt idx="1558">
                  <c:v>2022.653605141446</c:v>
                </c:pt>
                <c:pt idx="1559">
                  <c:v>2023.3946748823814</c:v>
                </c:pt>
                <c:pt idx="1560">
                  <c:v>2022.9990344385883</c:v>
                </c:pt>
                <c:pt idx="1561">
                  <c:v>2025.1170033353972</c:v>
                </c:pt>
                <c:pt idx="1562">
                  <c:v>2023.1630513808866</c:v>
                </c:pt>
                <c:pt idx="1563">
                  <c:v>2024.5044458892191</c:v>
                </c:pt>
                <c:pt idx="1564">
                  <c:v>2022.7289382467036</c:v>
                </c:pt>
                <c:pt idx="1565">
                  <c:v>2024.4106791892732</c:v>
                </c:pt>
                <c:pt idx="1566">
                  <c:v>2022.8196349087179</c:v>
                </c:pt>
                <c:pt idx="1567">
                  <c:v>2023.5023038876961</c:v>
                </c:pt>
                <c:pt idx="1568">
                  <c:v>2023.6497812220696</c:v>
                </c:pt>
                <c:pt idx="1569">
                  <c:v>2024.9828243688037</c:v>
                </c:pt>
                <c:pt idx="1570">
                  <c:v>2022.9224395172557</c:v>
                </c:pt>
                <c:pt idx="1571">
                  <c:v>2023.0099862560119</c:v>
                </c:pt>
                <c:pt idx="1572">
                  <c:v>2022.9079267126506</c:v>
                </c:pt>
                <c:pt idx="1573">
                  <c:v>2022.7020236484873</c:v>
                </c:pt>
                <c:pt idx="1574">
                  <c:v>2023.1302002395832</c:v>
                </c:pt>
                <c:pt idx="1575">
                  <c:v>2025.2020030383862</c:v>
                </c:pt>
                <c:pt idx="1576">
                  <c:v>2023.0537557535511</c:v>
                </c:pt>
                <c:pt idx="1577">
                  <c:v>2023.3004434624233</c:v>
                </c:pt>
                <c:pt idx="1578">
                  <c:v>2023.0703321443116</c:v>
                </c:pt>
                <c:pt idx="1579">
                  <c:v>2023.3105796206833</c:v>
                </c:pt>
                <c:pt idx="1580">
                  <c:v>2022.9276241843274</c:v>
                </c:pt>
                <c:pt idx="1581">
                  <c:v>2025.8613305109207</c:v>
                </c:pt>
                <c:pt idx="1582">
                  <c:v>2022.991051590195</c:v>
                </c:pt>
                <c:pt idx="1583">
                  <c:v>2023.4070897145959</c:v>
                </c:pt>
                <c:pt idx="1584">
                  <c:v>2023.1608583419065</c:v>
                </c:pt>
                <c:pt idx="1585">
                  <c:v>2023.3250316185488</c:v>
                </c:pt>
                <c:pt idx="1586">
                  <c:v>2023.2274756037493</c:v>
                </c:pt>
                <c:pt idx="1587">
                  <c:v>2025.0601595041526</c:v>
                </c:pt>
                <c:pt idx="1588">
                  <c:v>2023.5922175349847</c:v>
                </c:pt>
                <c:pt idx="1589">
                  <c:v>2024.0962322698995</c:v>
                </c:pt>
                <c:pt idx="1590">
                  <c:v>2024.9596904733708</c:v>
                </c:pt>
                <c:pt idx="1591">
                  <c:v>2024.537347429389</c:v>
                </c:pt>
                <c:pt idx="1592">
                  <c:v>2023.8310104893496</c:v>
                </c:pt>
                <c:pt idx="1593">
                  <c:v>2023.2773219123103</c:v>
                </c:pt>
                <c:pt idx="1594">
                  <c:v>2022.9203029484822</c:v>
                </c:pt>
                <c:pt idx="1595">
                  <c:v>2023.4691974502286</c:v>
                </c:pt>
                <c:pt idx="1596">
                  <c:v>2023.2191941344295</c:v>
                </c:pt>
                <c:pt idx="1597">
                  <c:v>2023.4289110859931</c:v>
                </c:pt>
                <c:pt idx="1598">
                  <c:v>2023.3734547323727</c:v>
                </c:pt>
                <c:pt idx="1599">
                  <c:v>2023.5032922775069</c:v>
                </c:pt>
                <c:pt idx="1600">
                  <c:v>2024.6095133512968</c:v>
                </c:pt>
                <c:pt idx="1601">
                  <c:v>2024.9758150480866</c:v>
                </c:pt>
                <c:pt idx="1602">
                  <c:v>2023.5030351693181</c:v>
                </c:pt>
                <c:pt idx="1603">
                  <c:v>2023.2316193945151</c:v>
                </c:pt>
                <c:pt idx="1604">
                  <c:v>2023.2333703124427</c:v>
                </c:pt>
                <c:pt idx="1605">
                  <c:v>2023.2168655331784</c:v>
                </c:pt>
                <c:pt idx="1606">
                  <c:v>2023.0079346356092</c:v>
                </c:pt>
                <c:pt idx="1607">
                  <c:v>2023.4543028631006</c:v>
                </c:pt>
                <c:pt idx="1608">
                  <c:v>2023.009522919765</c:v>
                </c:pt>
                <c:pt idx="1609">
                  <c:v>2024.5734801544138</c:v>
                </c:pt>
                <c:pt idx="1610">
                  <c:v>2023.4954507820999</c:v>
                </c:pt>
                <c:pt idx="1611">
                  <c:v>2023.0255906504601</c:v>
                </c:pt>
                <c:pt idx="1612">
                  <c:v>2023.3767000829755</c:v>
                </c:pt>
                <c:pt idx="1613">
                  <c:v>2022.7179290342865</c:v>
                </c:pt>
                <c:pt idx="1614">
                  <c:v>2023.3455767172395</c:v>
                </c:pt>
                <c:pt idx="1615">
                  <c:v>2022.5852049896293</c:v>
                </c:pt>
                <c:pt idx="1616">
                  <c:v>2022.7950323244982</c:v>
                </c:pt>
                <c:pt idx="1617">
                  <c:v>2022.8450199150086</c:v>
                </c:pt>
                <c:pt idx="1618">
                  <c:v>2024.2967057647481</c:v>
                </c:pt>
                <c:pt idx="1619">
                  <c:v>2023.55066971102</c:v>
                </c:pt>
                <c:pt idx="1620">
                  <c:v>2023.3815784413782</c:v>
                </c:pt>
                <c:pt idx="1621">
                  <c:v>2024.8152196508572</c:v>
                </c:pt>
                <c:pt idx="1622">
                  <c:v>2022.9945117846619</c:v>
                </c:pt>
                <c:pt idx="1623">
                  <c:v>2022.6808587225673</c:v>
                </c:pt>
                <c:pt idx="1624">
                  <c:v>2025.7859874606556</c:v>
                </c:pt>
                <c:pt idx="1625">
                  <c:v>2022.9994942467486</c:v>
                </c:pt>
                <c:pt idx="1626">
                  <c:v>2023.2926852391577</c:v>
                </c:pt>
                <c:pt idx="1627">
                  <c:v>2024.781795365579</c:v>
                </c:pt>
                <c:pt idx="1628">
                  <c:v>2023.649811248998</c:v>
                </c:pt>
                <c:pt idx="1629">
                  <c:v>2023.6696168949352</c:v>
                </c:pt>
                <c:pt idx="1630">
                  <c:v>2023.3170906074881</c:v>
                </c:pt>
                <c:pt idx="1631">
                  <c:v>2022.9566391609435</c:v>
                </c:pt>
                <c:pt idx="1632">
                  <c:v>2023.2557941513821</c:v>
                </c:pt>
                <c:pt idx="1633">
                  <c:v>2024.6112094645223</c:v>
                </c:pt>
                <c:pt idx="1634">
                  <c:v>2023.3815338835525</c:v>
                </c:pt>
                <c:pt idx="1635">
                  <c:v>2023.4800264782461</c:v>
                </c:pt>
                <c:pt idx="1636">
                  <c:v>2023.0968905879708</c:v>
                </c:pt>
                <c:pt idx="1637">
                  <c:v>2022.7849214263874</c:v>
                </c:pt>
                <c:pt idx="1638">
                  <c:v>2022.8527505425066</c:v>
                </c:pt>
                <c:pt idx="1639">
                  <c:v>2023.0666518141568</c:v>
                </c:pt>
                <c:pt idx="1640">
                  <c:v>2023.0724228588042</c:v>
                </c:pt>
                <c:pt idx="1641">
                  <c:v>2022.421147119175</c:v>
                </c:pt>
                <c:pt idx="1642">
                  <c:v>2023.3088702731302</c:v>
                </c:pt>
                <c:pt idx="1643">
                  <c:v>2025.0515386054371</c:v>
                </c:pt>
                <c:pt idx="1644">
                  <c:v>2022.8824845507331</c:v>
                </c:pt>
                <c:pt idx="1645">
                  <c:v>2024.8962187096906</c:v>
                </c:pt>
                <c:pt idx="1646">
                  <c:v>2022.8424084202447</c:v>
                </c:pt>
                <c:pt idx="1647">
                  <c:v>2023.4750554644465</c:v>
                </c:pt>
                <c:pt idx="1648">
                  <c:v>2023.2162010158067</c:v>
                </c:pt>
                <c:pt idx="1649">
                  <c:v>2023.255427670628</c:v>
                </c:pt>
                <c:pt idx="1650">
                  <c:v>2022.8017558224287</c:v>
                </c:pt>
                <c:pt idx="1651">
                  <c:v>2022.874936656076</c:v>
                </c:pt>
                <c:pt idx="1652">
                  <c:v>2023.3542129531654</c:v>
                </c:pt>
                <c:pt idx="1653">
                  <c:v>2023.4417360911066</c:v>
                </c:pt>
                <c:pt idx="1654">
                  <c:v>2025.2144205630495</c:v>
                </c:pt>
                <c:pt idx="1655">
                  <c:v>2022.793623701255</c:v>
                </c:pt>
                <c:pt idx="1656">
                  <c:v>2022.8340652915267</c:v>
                </c:pt>
                <c:pt idx="1657">
                  <c:v>2024.4964471890376</c:v>
                </c:pt>
                <c:pt idx="1658">
                  <c:v>2023.2167328131541</c:v>
                </c:pt>
                <c:pt idx="1659">
                  <c:v>2023.1047392147068</c:v>
                </c:pt>
                <c:pt idx="1660">
                  <c:v>2022.9677378293829</c:v>
                </c:pt>
                <c:pt idx="1661">
                  <c:v>2025.2844561310887</c:v>
                </c:pt>
                <c:pt idx="1662">
                  <c:v>2022.8734928204037</c:v>
                </c:pt>
                <c:pt idx="1663">
                  <c:v>2024.4995957256115</c:v>
                </c:pt>
                <c:pt idx="1664">
                  <c:v>2023.3461701923068</c:v>
                </c:pt>
                <c:pt idx="1665">
                  <c:v>2022.8484130568988</c:v>
                </c:pt>
                <c:pt idx="1666">
                  <c:v>2023.2017125999635</c:v>
                </c:pt>
                <c:pt idx="1667">
                  <c:v>2025.5942772388353</c:v>
                </c:pt>
                <c:pt idx="1668">
                  <c:v>2023.147021230636</c:v>
                </c:pt>
                <c:pt idx="1669">
                  <c:v>2023.1643785389019</c:v>
                </c:pt>
                <c:pt idx="1670">
                  <c:v>2022.9527597249878</c:v>
                </c:pt>
                <c:pt idx="1671">
                  <c:v>2023.1277553323057</c:v>
                </c:pt>
                <c:pt idx="1672">
                  <c:v>2023.4446817407163</c:v>
                </c:pt>
                <c:pt idx="1673">
                  <c:v>2023.5388140388125</c:v>
                </c:pt>
                <c:pt idx="1674">
                  <c:v>2023.6699878008758</c:v>
                </c:pt>
                <c:pt idx="1675">
                  <c:v>2023.009472414936</c:v>
                </c:pt>
                <c:pt idx="1676">
                  <c:v>2023.2386329019384</c:v>
                </c:pt>
                <c:pt idx="1677">
                  <c:v>2023.1151707927477</c:v>
                </c:pt>
                <c:pt idx="1678">
                  <c:v>2025.00788056181</c:v>
                </c:pt>
                <c:pt idx="1679">
                  <c:v>2024.9524789505651</c:v>
                </c:pt>
                <c:pt idx="1680">
                  <c:v>2022.8794148061734</c:v>
                </c:pt>
                <c:pt idx="1681">
                  <c:v>2024.9928000463001</c:v>
                </c:pt>
                <c:pt idx="1682">
                  <c:v>2023.3791044973732</c:v>
                </c:pt>
                <c:pt idx="1683">
                  <c:v>2025.6460130178179</c:v>
                </c:pt>
                <c:pt idx="1684">
                  <c:v>2023.3461404620705</c:v>
                </c:pt>
                <c:pt idx="1685">
                  <c:v>2022.8858475143263</c:v>
                </c:pt>
                <c:pt idx="1686">
                  <c:v>2025.1979897779627</c:v>
                </c:pt>
                <c:pt idx="1687">
                  <c:v>2024.8232818618096</c:v>
                </c:pt>
                <c:pt idx="1688">
                  <c:v>2023.8534932850209</c:v>
                </c:pt>
                <c:pt idx="1689">
                  <c:v>2022.8749319078445</c:v>
                </c:pt>
                <c:pt idx="1690">
                  <c:v>2023.3839140372195</c:v>
                </c:pt>
                <c:pt idx="1691">
                  <c:v>2022.8949759365969</c:v>
                </c:pt>
                <c:pt idx="1692">
                  <c:v>2023.5494626566872</c:v>
                </c:pt>
                <c:pt idx="1693">
                  <c:v>2022.9723211525516</c:v>
                </c:pt>
                <c:pt idx="1694">
                  <c:v>2023.0983544960875</c:v>
                </c:pt>
                <c:pt idx="1695">
                  <c:v>2023.2847423822968</c:v>
                </c:pt>
                <c:pt idx="1696">
                  <c:v>2023.2169971304772</c:v>
                </c:pt>
                <c:pt idx="1697">
                  <c:v>2022.9569582435911</c:v>
                </c:pt>
                <c:pt idx="1698">
                  <c:v>2024.274331982022</c:v>
                </c:pt>
                <c:pt idx="1699">
                  <c:v>2022.9947628956431</c:v>
                </c:pt>
                <c:pt idx="1700">
                  <c:v>2023.2851340203811</c:v>
                </c:pt>
                <c:pt idx="1701">
                  <c:v>2022.8489425479293</c:v>
                </c:pt>
                <c:pt idx="1702">
                  <c:v>2023.513522198692</c:v>
                </c:pt>
                <c:pt idx="1703">
                  <c:v>2023.9672074385421</c:v>
                </c:pt>
                <c:pt idx="1704">
                  <c:v>2023.2692332494103</c:v>
                </c:pt>
                <c:pt idx="1705">
                  <c:v>2023.1799921347902</c:v>
                </c:pt>
                <c:pt idx="1706">
                  <c:v>2022.931419951271</c:v>
                </c:pt>
                <c:pt idx="1707">
                  <c:v>2022.7799530920438</c:v>
                </c:pt>
                <c:pt idx="1708">
                  <c:v>2024.2620418030035</c:v>
                </c:pt>
                <c:pt idx="1709">
                  <c:v>2024.927883255305</c:v>
                </c:pt>
                <c:pt idx="1710">
                  <c:v>2023.2298769872079</c:v>
                </c:pt>
                <c:pt idx="1711">
                  <c:v>2023.0050622051342</c:v>
                </c:pt>
                <c:pt idx="1712">
                  <c:v>2024.5115630710534</c:v>
                </c:pt>
                <c:pt idx="1713">
                  <c:v>2023.1012284027058</c:v>
                </c:pt>
                <c:pt idx="1714">
                  <c:v>2022.8680785347497</c:v>
                </c:pt>
                <c:pt idx="1715">
                  <c:v>2022.8636603595698</c:v>
                </c:pt>
                <c:pt idx="1716">
                  <c:v>2024.4571009975634</c:v>
                </c:pt>
                <c:pt idx="1717">
                  <c:v>2022.7537557549306</c:v>
                </c:pt>
                <c:pt idx="1718">
                  <c:v>2024.4168232659677</c:v>
                </c:pt>
                <c:pt idx="1719">
                  <c:v>2023.3570173809483</c:v>
                </c:pt>
                <c:pt idx="1720">
                  <c:v>2022.6235272760562</c:v>
                </c:pt>
                <c:pt idx="1721">
                  <c:v>2022.9549116437722</c:v>
                </c:pt>
                <c:pt idx="1722">
                  <c:v>2022.9248612657873</c:v>
                </c:pt>
                <c:pt idx="1723">
                  <c:v>2023.2966835135869</c:v>
                </c:pt>
                <c:pt idx="1724">
                  <c:v>2023.5793071520361</c:v>
                </c:pt>
                <c:pt idx="1725">
                  <c:v>2023.0269796091202</c:v>
                </c:pt>
                <c:pt idx="1726">
                  <c:v>2022.7435147869642</c:v>
                </c:pt>
                <c:pt idx="1727">
                  <c:v>2023.1676794808675</c:v>
                </c:pt>
                <c:pt idx="1728">
                  <c:v>2025.1918504509665</c:v>
                </c:pt>
                <c:pt idx="1729">
                  <c:v>2023.202233245928</c:v>
                </c:pt>
                <c:pt idx="1730">
                  <c:v>2023.9362809346578</c:v>
                </c:pt>
                <c:pt idx="1731">
                  <c:v>2023.0143330325911</c:v>
                </c:pt>
                <c:pt idx="1732">
                  <c:v>2025.5376476720128</c:v>
                </c:pt>
                <c:pt idx="1733">
                  <c:v>2024.0986055267549</c:v>
                </c:pt>
                <c:pt idx="1734">
                  <c:v>2023.1483299218801</c:v>
                </c:pt>
                <c:pt idx="1735">
                  <c:v>2023.0617431957016</c:v>
                </c:pt>
                <c:pt idx="1736">
                  <c:v>2023.4121227375588</c:v>
                </c:pt>
                <c:pt idx="1737">
                  <c:v>2022.6639937861767</c:v>
                </c:pt>
                <c:pt idx="1738">
                  <c:v>2022.6144819459053</c:v>
                </c:pt>
                <c:pt idx="1739">
                  <c:v>2023.2065063485643</c:v>
                </c:pt>
                <c:pt idx="1740">
                  <c:v>2023.0420790607152</c:v>
                </c:pt>
                <c:pt idx="1741">
                  <c:v>2025.5769801483343</c:v>
                </c:pt>
                <c:pt idx="1742">
                  <c:v>2022.912510362291</c:v>
                </c:pt>
                <c:pt idx="1743">
                  <c:v>2023.2985492174669</c:v>
                </c:pt>
                <c:pt idx="1744">
                  <c:v>2023.3914686357102</c:v>
                </c:pt>
                <c:pt idx="1745">
                  <c:v>2023.0980216746184</c:v>
                </c:pt>
                <c:pt idx="1746">
                  <c:v>2023.0394724884002</c:v>
                </c:pt>
                <c:pt idx="1747">
                  <c:v>2022.9228001237113</c:v>
                </c:pt>
                <c:pt idx="1748">
                  <c:v>2025.5556964813748</c:v>
                </c:pt>
                <c:pt idx="1749">
                  <c:v>2022.8495745595794</c:v>
                </c:pt>
                <c:pt idx="1750">
                  <c:v>2025.0663480528281</c:v>
                </c:pt>
                <c:pt idx="1751">
                  <c:v>2023.2244084338615</c:v>
                </c:pt>
                <c:pt idx="1752">
                  <c:v>2025.2911466364712</c:v>
                </c:pt>
                <c:pt idx="1753">
                  <c:v>2023.8426383268463</c:v>
                </c:pt>
                <c:pt idx="1754">
                  <c:v>2023.3306371339156</c:v>
                </c:pt>
                <c:pt idx="1755">
                  <c:v>2023.3295650807506</c:v>
                </c:pt>
                <c:pt idx="1756">
                  <c:v>2022.8075622964975</c:v>
                </c:pt>
                <c:pt idx="1757">
                  <c:v>2022.9686491517366</c:v>
                </c:pt>
                <c:pt idx="1758">
                  <c:v>2025.7178528565869</c:v>
                </c:pt>
                <c:pt idx="1759">
                  <c:v>2022.7501942349277</c:v>
                </c:pt>
                <c:pt idx="1760">
                  <c:v>2023.2012856060851</c:v>
                </c:pt>
                <c:pt idx="1761">
                  <c:v>2023.0761626844887</c:v>
                </c:pt>
                <c:pt idx="1762">
                  <c:v>2022.7638722872566</c:v>
                </c:pt>
                <c:pt idx="1763">
                  <c:v>2025.8437015950749</c:v>
                </c:pt>
                <c:pt idx="1764">
                  <c:v>2025.1030048311202</c:v>
                </c:pt>
                <c:pt idx="1765">
                  <c:v>2025.115310741779</c:v>
                </c:pt>
                <c:pt idx="1766">
                  <c:v>2023.8127542035411</c:v>
                </c:pt>
                <c:pt idx="1767">
                  <c:v>2024.3370456532023</c:v>
                </c:pt>
                <c:pt idx="1768">
                  <c:v>2023.6405115486343</c:v>
                </c:pt>
                <c:pt idx="1769">
                  <c:v>2023.0491126239576</c:v>
                </c:pt>
                <c:pt idx="1770">
                  <c:v>2023.2294323695905</c:v>
                </c:pt>
                <c:pt idx="1771">
                  <c:v>2023.752681806895</c:v>
                </c:pt>
                <c:pt idx="1772">
                  <c:v>2023.9046668047924</c:v>
                </c:pt>
                <c:pt idx="1773">
                  <c:v>2022.6930800267614</c:v>
                </c:pt>
                <c:pt idx="1774">
                  <c:v>2023.3095193582917</c:v>
                </c:pt>
                <c:pt idx="1775">
                  <c:v>2023.1425932685056</c:v>
                </c:pt>
                <c:pt idx="1776">
                  <c:v>2023.3058472047273</c:v>
                </c:pt>
                <c:pt idx="1777">
                  <c:v>2023.8151350980272</c:v>
                </c:pt>
                <c:pt idx="1778">
                  <c:v>2023.0079350509047</c:v>
                </c:pt>
                <c:pt idx="1779">
                  <c:v>2025.0430882488954</c:v>
                </c:pt>
                <c:pt idx="1780">
                  <c:v>2023.3142741573345</c:v>
                </c:pt>
                <c:pt idx="1781">
                  <c:v>2022.981376698744</c:v>
                </c:pt>
                <c:pt idx="1782">
                  <c:v>2022.9609448626034</c:v>
                </c:pt>
                <c:pt idx="1783">
                  <c:v>2023.0239598053945</c:v>
                </c:pt>
                <c:pt idx="1784">
                  <c:v>2023.1136767750013</c:v>
                </c:pt>
                <c:pt idx="1785">
                  <c:v>2024.8688632431599</c:v>
                </c:pt>
                <c:pt idx="1786">
                  <c:v>2024.7781632036963</c:v>
                </c:pt>
                <c:pt idx="1787">
                  <c:v>2024.4293345862868</c:v>
                </c:pt>
                <c:pt idx="1788">
                  <c:v>2025.7465231027941</c:v>
                </c:pt>
                <c:pt idx="1789">
                  <c:v>2022.754149691782</c:v>
                </c:pt>
                <c:pt idx="1790">
                  <c:v>2022.6955299465656</c:v>
                </c:pt>
                <c:pt idx="1791">
                  <c:v>2023.2727139121318</c:v>
                </c:pt>
                <c:pt idx="1792">
                  <c:v>2025.5112908926531</c:v>
                </c:pt>
                <c:pt idx="1793">
                  <c:v>2025.0670497632789</c:v>
                </c:pt>
                <c:pt idx="1794">
                  <c:v>2023.9381464468777</c:v>
                </c:pt>
                <c:pt idx="1795">
                  <c:v>2022.9798976141569</c:v>
                </c:pt>
                <c:pt idx="1796">
                  <c:v>2023.3138556512356</c:v>
                </c:pt>
                <c:pt idx="1797">
                  <c:v>2024.9264136743025</c:v>
                </c:pt>
                <c:pt idx="1798">
                  <c:v>2022.918665261911</c:v>
                </c:pt>
                <c:pt idx="1799">
                  <c:v>2024.8425515270399</c:v>
                </c:pt>
                <c:pt idx="1800">
                  <c:v>2022.7189341854885</c:v>
                </c:pt>
                <c:pt idx="1801">
                  <c:v>2024.8110578890878</c:v>
                </c:pt>
                <c:pt idx="1802">
                  <c:v>2023.3423839113204</c:v>
                </c:pt>
                <c:pt idx="1803">
                  <c:v>2024.2159959818857</c:v>
                </c:pt>
                <c:pt idx="1804">
                  <c:v>2024.8561339812807</c:v>
                </c:pt>
                <c:pt idx="1805">
                  <c:v>2024.6918940807873</c:v>
                </c:pt>
                <c:pt idx="1806">
                  <c:v>2023.4647905212466</c:v>
                </c:pt>
                <c:pt idx="1807">
                  <c:v>2024.369003566437</c:v>
                </c:pt>
                <c:pt idx="1808">
                  <c:v>2023.4737197700688</c:v>
                </c:pt>
                <c:pt idx="1809">
                  <c:v>2023.2186556252213</c:v>
                </c:pt>
                <c:pt idx="1810">
                  <c:v>2022.8757560219578</c:v>
                </c:pt>
                <c:pt idx="1811">
                  <c:v>2024.8191314689923</c:v>
                </c:pt>
                <c:pt idx="1812">
                  <c:v>2023.5140619875087</c:v>
                </c:pt>
                <c:pt idx="1813">
                  <c:v>2023.9688133818584</c:v>
                </c:pt>
                <c:pt idx="1814">
                  <c:v>2024.215751376677</c:v>
                </c:pt>
                <c:pt idx="1815">
                  <c:v>2023.1693439635264</c:v>
                </c:pt>
                <c:pt idx="1816">
                  <c:v>2023.0619356435109</c:v>
                </c:pt>
                <c:pt idx="1817">
                  <c:v>2022.8426816402718</c:v>
                </c:pt>
                <c:pt idx="1818">
                  <c:v>2022.9783207352802</c:v>
                </c:pt>
                <c:pt idx="1819">
                  <c:v>2024.3349264615358</c:v>
                </c:pt>
                <c:pt idx="1820">
                  <c:v>2023.7423929471804</c:v>
                </c:pt>
                <c:pt idx="1821">
                  <c:v>2024.9801645931175</c:v>
                </c:pt>
                <c:pt idx="1822">
                  <c:v>2023.5440565048307</c:v>
                </c:pt>
                <c:pt idx="1823">
                  <c:v>2023.6639710373461</c:v>
                </c:pt>
                <c:pt idx="1824">
                  <c:v>2023.314378255764</c:v>
                </c:pt>
                <c:pt idx="1825">
                  <c:v>2025.3693943250616</c:v>
                </c:pt>
                <c:pt idx="1826">
                  <c:v>2024.5906458172399</c:v>
                </c:pt>
                <c:pt idx="1827">
                  <c:v>2022.8756172274655</c:v>
                </c:pt>
                <c:pt idx="1828">
                  <c:v>2024.6460871401057</c:v>
                </c:pt>
                <c:pt idx="1829">
                  <c:v>2023.2699667274105</c:v>
                </c:pt>
                <c:pt idx="1830">
                  <c:v>2025.1251336385055</c:v>
                </c:pt>
                <c:pt idx="1831">
                  <c:v>2023.2395706939124</c:v>
                </c:pt>
                <c:pt idx="1832">
                  <c:v>2023.2869491607173</c:v>
                </c:pt>
                <c:pt idx="1833">
                  <c:v>2023.1520018549174</c:v>
                </c:pt>
                <c:pt idx="1834">
                  <c:v>2024.660851532472</c:v>
                </c:pt>
                <c:pt idx="1835">
                  <c:v>2023.3691216377335</c:v>
                </c:pt>
                <c:pt idx="1836">
                  <c:v>2023.0816690515258</c:v>
                </c:pt>
                <c:pt idx="1837">
                  <c:v>2023.5162260785821</c:v>
                </c:pt>
                <c:pt idx="1838">
                  <c:v>2023.0410381270244</c:v>
                </c:pt>
                <c:pt idx="1839">
                  <c:v>2023.1212763375402</c:v>
                </c:pt>
                <c:pt idx="1840">
                  <c:v>2023.0979006621624</c:v>
                </c:pt>
                <c:pt idx="1841">
                  <c:v>2023.3329671537449</c:v>
                </c:pt>
                <c:pt idx="1842">
                  <c:v>2022.8100385616563</c:v>
                </c:pt>
                <c:pt idx="1843">
                  <c:v>2023.5497483718887</c:v>
                </c:pt>
                <c:pt idx="1844">
                  <c:v>2023.5037157058273</c:v>
                </c:pt>
                <c:pt idx="1845">
                  <c:v>2024.8667188422132</c:v>
                </c:pt>
                <c:pt idx="1846">
                  <c:v>2025.630241218191</c:v>
                </c:pt>
                <c:pt idx="1847">
                  <c:v>2023.3879719956203</c:v>
                </c:pt>
                <c:pt idx="1848">
                  <c:v>2022.5740342870865</c:v>
                </c:pt>
                <c:pt idx="1849">
                  <c:v>2024.528202739938</c:v>
                </c:pt>
                <c:pt idx="1850">
                  <c:v>2023.5244057666259</c:v>
                </c:pt>
                <c:pt idx="1851">
                  <c:v>2025.4387279162142</c:v>
                </c:pt>
                <c:pt idx="1852">
                  <c:v>2022.9251393198617</c:v>
                </c:pt>
                <c:pt idx="1853">
                  <c:v>2022.8037761424239</c:v>
                </c:pt>
                <c:pt idx="1854">
                  <c:v>2023.1738960859943</c:v>
                </c:pt>
                <c:pt idx="1855">
                  <c:v>2023.7844938102205</c:v>
                </c:pt>
                <c:pt idx="1856">
                  <c:v>2022.500249367017</c:v>
                </c:pt>
                <c:pt idx="1857">
                  <c:v>2023.0736076865749</c:v>
                </c:pt>
                <c:pt idx="1858">
                  <c:v>2023.262046723981</c:v>
                </c:pt>
                <c:pt idx="1859">
                  <c:v>2022.8609668149604</c:v>
                </c:pt>
                <c:pt idx="1860">
                  <c:v>2024.9204932207083</c:v>
                </c:pt>
                <c:pt idx="1861">
                  <c:v>2022.9239150466431</c:v>
                </c:pt>
                <c:pt idx="1862">
                  <c:v>2022.7059320348919</c:v>
                </c:pt>
                <c:pt idx="1863">
                  <c:v>2022.9752104393024</c:v>
                </c:pt>
                <c:pt idx="1864">
                  <c:v>2023.5088535114564</c:v>
                </c:pt>
                <c:pt idx="1865">
                  <c:v>2023.3766004067045</c:v>
                </c:pt>
                <c:pt idx="1866">
                  <c:v>2025.0136971252248</c:v>
                </c:pt>
                <c:pt idx="1867">
                  <c:v>2022.895182144212</c:v>
                </c:pt>
                <c:pt idx="1868">
                  <c:v>2023.1351449861907</c:v>
                </c:pt>
                <c:pt idx="1869">
                  <c:v>2022.637262843924</c:v>
                </c:pt>
                <c:pt idx="1870">
                  <c:v>2022.9102340663592</c:v>
                </c:pt>
                <c:pt idx="1871">
                  <c:v>2025.0243744188574</c:v>
                </c:pt>
                <c:pt idx="1872">
                  <c:v>2025.5841354333718</c:v>
                </c:pt>
                <c:pt idx="1873">
                  <c:v>2024.4437061282288</c:v>
                </c:pt>
                <c:pt idx="1874">
                  <c:v>2023.2219118116902</c:v>
                </c:pt>
                <c:pt idx="1875">
                  <c:v>2023.0457234107637</c:v>
                </c:pt>
                <c:pt idx="1876">
                  <c:v>2022.5667206159728</c:v>
                </c:pt>
                <c:pt idx="1877">
                  <c:v>2023.821318888735</c:v>
                </c:pt>
                <c:pt idx="1878">
                  <c:v>2023.32333260118</c:v>
                </c:pt>
                <c:pt idx="1879">
                  <c:v>2022.9994826900981</c:v>
                </c:pt>
                <c:pt idx="1880">
                  <c:v>2022.9391859666357</c:v>
                </c:pt>
                <c:pt idx="1881">
                  <c:v>2022.9184342229707</c:v>
                </c:pt>
                <c:pt idx="1882">
                  <c:v>2023.5916441309503</c:v>
                </c:pt>
                <c:pt idx="1883">
                  <c:v>2022.9216989162696</c:v>
                </c:pt>
                <c:pt idx="1884">
                  <c:v>2022.8464316367811</c:v>
                </c:pt>
                <c:pt idx="1885">
                  <c:v>2023.1027321469919</c:v>
                </c:pt>
                <c:pt idx="1886">
                  <c:v>2025.0371542281346</c:v>
                </c:pt>
                <c:pt idx="1887">
                  <c:v>2023.3429347459187</c:v>
                </c:pt>
                <c:pt idx="1888">
                  <c:v>2024.3889343629514</c:v>
                </c:pt>
                <c:pt idx="1889">
                  <c:v>2023.490325724179</c:v>
                </c:pt>
                <c:pt idx="1890">
                  <c:v>2022.9639293319333</c:v>
                </c:pt>
                <c:pt idx="1891">
                  <c:v>2025.0582241845366</c:v>
                </c:pt>
                <c:pt idx="1892">
                  <c:v>2024.8718047323282</c:v>
                </c:pt>
                <c:pt idx="1893">
                  <c:v>2024.7476775262001</c:v>
                </c:pt>
                <c:pt idx="1894">
                  <c:v>2023.2845655496133</c:v>
                </c:pt>
                <c:pt idx="1895">
                  <c:v>2023.2152445805859</c:v>
                </c:pt>
                <c:pt idx="1896">
                  <c:v>2023.1623292200225</c:v>
                </c:pt>
                <c:pt idx="1897">
                  <c:v>2023.189468101908</c:v>
                </c:pt>
                <c:pt idx="1898">
                  <c:v>2022.6758619617417</c:v>
                </c:pt>
                <c:pt idx="1899">
                  <c:v>2023.4458272385298</c:v>
                </c:pt>
                <c:pt idx="1900">
                  <c:v>2023.4449071755621</c:v>
                </c:pt>
                <c:pt idx="1901">
                  <c:v>2023.2386079153734</c:v>
                </c:pt>
                <c:pt idx="1902">
                  <c:v>2023.0379752942993</c:v>
                </c:pt>
                <c:pt idx="1903">
                  <c:v>2023.2459865977696</c:v>
                </c:pt>
                <c:pt idx="1904">
                  <c:v>2024.5917915951775</c:v>
                </c:pt>
                <c:pt idx="1905">
                  <c:v>2025.0984115614503</c:v>
                </c:pt>
                <c:pt idx="1906">
                  <c:v>2023.8660238578598</c:v>
                </c:pt>
                <c:pt idx="1907">
                  <c:v>2024.1174379606778</c:v>
                </c:pt>
                <c:pt idx="1908">
                  <c:v>2023.4964363038596</c:v>
                </c:pt>
                <c:pt idx="1909">
                  <c:v>2023.4533059201917</c:v>
                </c:pt>
                <c:pt idx="1910">
                  <c:v>2022.8669066611465</c:v>
                </c:pt>
                <c:pt idx="1911">
                  <c:v>2023.0937147748675</c:v>
                </c:pt>
                <c:pt idx="1912">
                  <c:v>2023.3160005117256</c:v>
                </c:pt>
                <c:pt idx="1913">
                  <c:v>2022.9613476144739</c:v>
                </c:pt>
                <c:pt idx="1914">
                  <c:v>2023.7967748300757</c:v>
                </c:pt>
                <c:pt idx="1915">
                  <c:v>2024.8651357344929</c:v>
                </c:pt>
                <c:pt idx="1916">
                  <c:v>2022.9213388068736</c:v>
                </c:pt>
                <c:pt idx="1917">
                  <c:v>2022.8525103356637</c:v>
                </c:pt>
                <c:pt idx="1918">
                  <c:v>2024.4926247444535</c:v>
                </c:pt>
                <c:pt idx="1919">
                  <c:v>2022.9694703930563</c:v>
                </c:pt>
                <c:pt idx="1920">
                  <c:v>2023.0901933986815</c:v>
                </c:pt>
                <c:pt idx="1921">
                  <c:v>2022.7374955233402</c:v>
                </c:pt>
                <c:pt idx="1922">
                  <c:v>2025.7799917196974</c:v>
                </c:pt>
                <c:pt idx="1923">
                  <c:v>2022.7964436257053</c:v>
                </c:pt>
                <c:pt idx="1924">
                  <c:v>2023.1974147197593</c:v>
                </c:pt>
                <c:pt idx="1925">
                  <c:v>2025.5319548047264</c:v>
                </c:pt>
                <c:pt idx="1926">
                  <c:v>2022.7304874882723</c:v>
                </c:pt>
                <c:pt idx="1927">
                  <c:v>2024.5540703433262</c:v>
                </c:pt>
                <c:pt idx="1928">
                  <c:v>2023.2515743788731</c:v>
                </c:pt>
                <c:pt idx="1929">
                  <c:v>2023.0986808314219</c:v>
                </c:pt>
                <c:pt idx="1930">
                  <c:v>2023.0009026304649</c:v>
                </c:pt>
                <c:pt idx="1931">
                  <c:v>2024.6414948868523</c:v>
                </c:pt>
                <c:pt idx="1932">
                  <c:v>2023.2794491762272</c:v>
                </c:pt>
                <c:pt idx="1933">
                  <c:v>2022.9287044661312</c:v>
                </c:pt>
                <c:pt idx="1934">
                  <c:v>2024.5777026146272</c:v>
                </c:pt>
                <c:pt idx="1935">
                  <c:v>2024.5154621780284</c:v>
                </c:pt>
                <c:pt idx="1936">
                  <c:v>2023.4393534789515</c:v>
                </c:pt>
                <c:pt idx="1937">
                  <c:v>2024.9209833504353</c:v>
                </c:pt>
                <c:pt idx="1938">
                  <c:v>2023.8205528620542</c:v>
                </c:pt>
                <c:pt idx="1939">
                  <c:v>2023.0123704376665</c:v>
                </c:pt>
                <c:pt idx="1940">
                  <c:v>2023.4496337068929</c:v>
                </c:pt>
                <c:pt idx="1941">
                  <c:v>2023.1653906378676</c:v>
                </c:pt>
                <c:pt idx="1942">
                  <c:v>2023.1317694210884</c:v>
                </c:pt>
                <c:pt idx="1943">
                  <c:v>2023.3534662984625</c:v>
                </c:pt>
                <c:pt idx="1944">
                  <c:v>2023.454899528329</c:v>
                </c:pt>
                <c:pt idx="1945">
                  <c:v>2022.7035559985225</c:v>
                </c:pt>
                <c:pt idx="1946">
                  <c:v>2024.7622905278545</c:v>
                </c:pt>
                <c:pt idx="1947">
                  <c:v>2023.4870803769575</c:v>
                </c:pt>
                <c:pt idx="1948">
                  <c:v>2023.1850101993002</c:v>
                </c:pt>
                <c:pt idx="1949">
                  <c:v>2023.1524786853079</c:v>
                </c:pt>
                <c:pt idx="1950">
                  <c:v>2023.2526702120272</c:v>
                </c:pt>
                <c:pt idx="1951">
                  <c:v>2024.2218704173656</c:v>
                </c:pt>
                <c:pt idx="1952">
                  <c:v>2023.8700787607306</c:v>
                </c:pt>
                <c:pt idx="1953">
                  <c:v>2022.94260832959</c:v>
                </c:pt>
                <c:pt idx="1954">
                  <c:v>2022.7407192958401</c:v>
                </c:pt>
                <c:pt idx="1955">
                  <c:v>2022.6005504640054</c:v>
                </c:pt>
                <c:pt idx="1956">
                  <c:v>2023.3611411522245</c:v>
                </c:pt>
                <c:pt idx="1957">
                  <c:v>2022.9001430255394</c:v>
                </c:pt>
                <c:pt idx="1958">
                  <c:v>2023.1934636146675</c:v>
                </c:pt>
                <c:pt idx="1959">
                  <c:v>2023.2457979115084</c:v>
                </c:pt>
                <c:pt idx="1960">
                  <c:v>2022.9206458455296</c:v>
                </c:pt>
                <c:pt idx="1961">
                  <c:v>2023.6095174553077</c:v>
                </c:pt>
                <c:pt idx="1962">
                  <c:v>2023.5212889179372</c:v>
                </c:pt>
                <c:pt idx="1963">
                  <c:v>2023.789347909591</c:v>
                </c:pt>
                <c:pt idx="1964">
                  <c:v>2022.6952173678662</c:v>
                </c:pt>
                <c:pt idx="1965">
                  <c:v>2023.079345220757</c:v>
                </c:pt>
                <c:pt idx="1966">
                  <c:v>2023.3735934458552</c:v>
                </c:pt>
                <c:pt idx="1967">
                  <c:v>2023.1984795105511</c:v>
                </c:pt>
                <c:pt idx="1968">
                  <c:v>2022.866145595829</c:v>
                </c:pt>
                <c:pt idx="1969">
                  <c:v>2025.1741442015489</c:v>
                </c:pt>
                <c:pt idx="1970">
                  <c:v>2022.9923473697556</c:v>
                </c:pt>
                <c:pt idx="1971">
                  <c:v>2024.7168399001089</c:v>
                </c:pt>
                <c:pt idx="1972">
                  <c:v>2023.2625538755608</c:v>
                </c:pt>
                <c:pt idx="1973">
                  <c:v>2022.5964758321059</c:v>
                </c:pt>
                <c:pt idx="1974">
                  <c:v>2023.9987785585124</c:v>
                </c:pt>
                <c:pt idx="1975">
                  <c:v>2023.0117809740921</c:v>
                </c:pt>
                <c:pt idx="1976">
                  <c:v>2025.3160388832425</c:v>
                </c:pt>
                <c:pt idx="1977">
                  <c:v>2024.8393778879235</c:v>
                </c:pt>
                <c:pt idx="1978">
                  <c:v>2024.7456808729257</c:v>
                </c:pt>
                <c:pt idx="1979">
                  <c:v>2023.9967085115461</c:v>
                </c:pt>
                <c:pt idx="1980">
                  <c:v>2025.4960946861738</c:v>
                </c:pt>
                <c:pt idx="1981">
                  <c:v>2025.4130978962753</c:v>
                </c:pt>
                <c:pt idx="1982">
                  <c:v>2024.7980155412492</c:v>
                </c:pt>
                <c:pt idx="1983">
                  <c:v>2022.9615122786659</c:v>
                </c:pt>
                <c:pt idx="1984">
                  <c:v>2023.4016292422418</c:v>
                </c:pt>
                <c:pt idx="1985">
                  <c:v>2022.9990875062163</c:v>
                </c:pt>
                <c:pt idx="1986">
                  <c:v>2024.9102288248755</c:v>
                </c:pt>
                <c:pt idx="1987">
                  <c:v>2023.0785807859929</c:v>
                </c:pt>
                <c:pt idx="1988">
                  <c:v>2023.3396833250167</c:v>
                </c:pt>
                <c:pt idx="1989">
                  <c:v>2024.1631881304374</c:v>
                </c:pt>
                <c:pt idx="1990">
                  <c:v>2023.3656475305104</c:v>
                </c:pt>
                <c:pt idx="1991">
                  <c:v>2023.1691007663333</c:v>
                </c:pt>
                <c:pt idx="1992">
                  <c:v>2022.9313130159885</c:v>
                </c:pt>
                <c:pt idx="1993">
                  <c:v>2022.8546018633376</c:v>
                </c:pt>
                <c:pt idx="1994">
                  <c:v>2025.1142437058227</c:v>
                </c:pt>
                <c:pt idx="1995">
                  <c:v>2023.3995805227664</c:v>
                </c:pt>
                <c:pt idx="1996">
                  <c:v>2023.3453301942891</c:v>
                </c:pt>
                <c:pt idx="1997">
                  <c:v>2024.9325833910868</c:v>
                </c:pt>
                <c:pt idx="1998">
                  <c:v>2025.7582591855219</c:v>
                </c:pt>
                <c:pt idx="1999">
                  <c:v>2022.7304476736815</c:v>
                </c:pt>
                <c:pt idx="2000">
                  <c:v>2023.2838708984814</c:v>
                </c:pt>
                <c:pt idx="2001">
                  <c:v>2022.6447204527628</c:v>
                </c:pt>
                <c:pt idx="2002">
                  <c:v>2023.3981031187773</c:v>
                </c:pt>
                <c:pt idx="2003">
                  <c:v>2023.1784028258708</c:v>
                </c:pt>
                <c:pt idx="2004">
                  <c:v>2022.832749520295</c:v>
                </c:pt>
                <c:pt idx="2005">
                  <c:v>2025.1680001346824</c:v>
                </c:pt>
                <c:pt idx="2006">
                  <c:v>2023.1207063594738</c:v>
                </c:pt>
                <c:pt idx="2007">
                  <c:v>2022.7481505915757</c:v>
                </c:pt>
                <c:pt idx="2008">
                  <c:v>2024.2485810269704</c:v>
                </c:pt>
                <c:pt idx="2009">
                  <c:v>2025.580596494028</c:v>
                </c:pt>
                <c:pt idx="2010">
                  <c:v>2022.9981958022245</c:v>
                </c:pt>
                <c:pt idx="2011">
                  <c:v>2024.4747619993227</c:v>
                </c:pt>
                <c:pt idx="2012">
                  <c:v>2023.4982709219335</c:v>
                </c:pt>
                <c:pt idx="2013">
                  <c:v>2023.5335499474616</c:v>
                </c:pt>
                <c:pt idx="2014">
                  <c:v>2023.2412543451869</c:v>
                </c:pt>
                <c:pt idx="2015">
                  <c:v>2023.2652618360958</c:v>
                </c:pt>
                <c:pt idx="2016">
                  <c:v>2023.2178367786578</c:v>
                </c:pt>
                <c:pt idx="2017">
                  <c:v>2024.5331334703947</c:v>
                </c:pt>
                <c:pt idx="2018">
                  <c:v>2022.618255740872</c:v>
                </c:pt>
                <c:pt idx="2019">
                  <c:v>2024.3856994039304</c:v>
                </c:pt>
                <c:pt idx="2020">
                  <c:v>2023.4316868444694</c:v>
                </c:pt>
                <c:pt idx="2021">
                  <c:v>2025.6434342850919</c:v>
                </c:pt>
                <c:pt idx="2022">
                  <c:v>2023.536606832143</c:v>
                </c:pt>
                <c:pt idx="2023">
                  <c:v>2023.1601711279275</c:v>
                </c:pt>
                <c:pt idx="2024">
                  <c:v>2023.3398436840303</c:v>
                </c:pt>
                <c:pt idx="2025">
                  <c:v>2023.279430496983</c:v>
                </c:pt>
                <c:pt idx="2026">
                  <c:v>2023.3684444066214</c:v>
                </c:pt>
                <c:pt idx="2027">
                  <c:v>2024.9511629909673</c:v>
                </c:pt>
                <c:pt idx="2028">
                  <c:v>2023.7980877737753</c:v>
                </c:pt>
                <c:pt idx="2029">
                  <c:v>2023.2540494638915</c:v>
                </c:pt>
                <c:pt idx="2030">
                  <c:v>2023.4976790084124</c:v>
                </c:pt>
                <c:pt idx="2031">
                  <c:v>2022.9740474517328</c:v>
                </c:pt>
                <c:pt idx="2032">
                  <c:v>2022.7930022534863</c:v>
                </c:pt>
                <c:pt idx="2033">
                  <c:v>2023.1589866872803</c:v>
                </c:pt>
                <c:pt idx="2034">
                  <c:v>2023.5542914883822</c:v>
                </c:pt>
                <c:pt idx="2035">
                  <c:v>2023.7876196463412</c:v>
                </c:pt>
                <c:pt idx="2036">
                  <c:v>2023.5541612120271</c:v>
                </c:pt>
                <c:pt idx="2037">
                  <c:v>2024.2387083517026</c:v>
                </c:pt>
                <c:pt idx="2038">
                  <c:v>2022.6094576206242</c:v>
                </c:pt>
                <c:pt idx="2039">
                  <c:v>2023.5361327061805</c:v>
                </c:pt>
                <c:pt idx="2040">
                  <c:v>2022.9070800352522</c:v>
                </c:pt>
                <c:pt idx="2041">
                  <c:v>2022.92566222614</c:v>
                </c:pt>
                <c:pt idx="2042">
                  <c:v>2022.8579652817264</c:v>
                </c:pt>
                <c:pt idx="2043">
                  <c:v>2024.9401679020839</c:v>
                </c:pt>
                <c:pt idx="2044">
                  <c:v>2023.5540813544028</c:v>
                </c:pt>
                <c:pt idx="2045">
                  <c:v>2023.3462820029529</c:v>
                </c:pt>
                <c:pt idx="2046">
                  <c:v>2023.4874503544288</c:v>
                </c:pt>
                <c:pt idx="2047">
                  <c:v>2023.7192676641873</c:v>
                </c:pt>
                <c:pt idx="2048">
                  <c:v>2022.8985611687108</c:v>
                </c:pt>
                <c:pt idx="2049">
                  <c:v>2022.8935106783522</c:v>
                </c:pt>
                <c:pt idx="2050">
                  <c:v>2024.2566156126518</c:v>
                </c:pt>
                <c:pt idx="2051">
                  <c:v>2025.0263811483528</c:v>
                </c:pt>
                <c:pt idx="2052">
                  <c:v>2022.7911027780194</c:v>
                </c:pt>
                <c:pt idx="2053">
                  <c:v>2023.1728487797488</c:v>
                </c:pt>
                <c:pt idx="2054">
                  <c:v>2024.6358606003096</c:v>
                </c:pt>
                <c:pt idx="2055">
                  <c:v>2022.9540359614621</c:v>
                </c:pt>
                <c:pt idx="2056">
                  <c:v>2022.9793901320177</c:v>
                </c:pt>
                <c:pt idx="2057">
                  <c:v>2023.2763035992293</c:v>
                </c:pt>
                <c:pt idx="2058">
                  <c:v>2023.2792865103979</c:v>
                </c:pt>
                <c:pt idx="2059">
                  <c:v>2023.5236895299672</c:v>
                </c:pt>
                <c:pt idx="2060">
                  <c:v>2023.2303766838713</c:v>
                </c:pt>
                <c:pt idx="2061">
                  <c:v>2023.0217222864519</c:v>
                </c:pt>
                <c:pt idx="2062">
                  <c:v>2023.3596866088437</c:v>
                </c:pt>
                <c:pt idx="2063">
                  <c:v>2024.7039105580859</c:v>
                </c:pt>
                <c:pt idx="2064">
                  <c:v>2022.8689706160549</c:v>
                </c:pt>
                <c:pt idx="2065">
                  <c:v>2023.3250535596455</c:v>
                </c:pt>
                <c:pt idx="2066">
                  <c:v>2024.8795682934856</c:v>
                </c:pt>
                <c:pt idx="2067">
                  <c:v>2023.1855614726649</c:v>
                </c:pt>
                <c:pt idx="2068">
                  <c:v>2023.2208179274651</c:v>
                </c:pt>
                <c:pt idx="2069">
                  <c:v>2023.1496531903099</c:v>
                </c:pt>
                <c:pt idx="2070">
                  <c:v>2023.0589845685222</c:v>
                </c:pt>
                <c:pt idx="2071">
                  <c:v>2025.1203011040404</c:v>
                </c:pt>
                <c:pt idx="2072">
                  <c:v>2023.3790773233732</c:v>
                </c:pt>
                <c:pt idx="2073">
                  <c:v>2023.2162096662398</c:v>
                </c:pt>
                <c:pt idx="2074">
                  <c:v>2023.9955256328701</c:v>
                </c:pt>
                <c:pt idx="2075">
                  <c:v>2022.9620994073041</c:v>
                </c:pt>
                <c:pt idx="2076">
                  <c:v>2023.1234535936073</c:v>
                </c:pt>
                <c:pt idx="2077">
                  <c:v>2022.884453917228</c:v>
                </c:pt>
                <c:pt idx="2078">
                  <c:v>2025.1082454635562</c:v>
                </c:pt>
                <c:pt idx="2079">
                  <c:v>2025.3973876371504</c:v>
                </c:pt>
                <c:pt idx="2080">
                  <c:v>2024.835694474715</c:v>
                </c:pt>
                <c:pt idx="2081">
                  <c:v>2023.0161385835136</c:v>
                </c:pt>
                <c:pt idx="2082">
                  <c:v>2025.6041139904271</c:v>
                </c:pt>
                <c:pt idx="2083">
                  <c:v>2022.9859262691721</c:v>
                </c:pt>
                <c:pt idx="2084">
                  <c:v>2023.2161358719234</c:v>
                </c:pt>
                <c:pt idx="2085">
                  <c:v>2023.0580983283894</c:v>
                </c:pt>
                <c:pt idx="2086">
                  <c:v>2022.7210982465244</c:v>
                </c:pt>
                <c:pt idx="2087">
                  <c:v>2023.0355063722261</c:v>
                </c:pt>
                <c:pt idx="2088">
                  <c:v>2024.4693416204902</c:v>
                </c:pt>
                <c:pt idx="2089">
                  <c:v>2025.3173814060383</c:v>
                </c:pt>
                <c:pt idx="2090">
                  <c:v>2023.1879229333665</c:v>
                </c:pt>
                <c:pt idx="2091">
                  <c:v>2022.8406463148362</c:v>
                </c:pt>
                <c:pt idx="2092">
                  <c:v>2023.1343770251463</c:v>
                </c:pt>
                <c:pt idx="2093">
                  <c:v>2023.8139192968827</c:v>
                </c:pt>
                <c:pt idx="2094">
                  <c:v>2023.5436938046694</c:v>
                </c:pt>
                <c:pt idx="2095">
                  <c:v>2025.132322172984</c:v>
                </c:pt>
                <c:pt idx="2096">
                  <c:v>2023.4285109727539</c:v>
                </c:pt>
                <c:pt idx="2097">
                  <c:v>2022.7805533906387</c:v>
                </c:pt>
                <c:pt idx="2098">
                  <c:v>2023.5229891527138</c:v>
                </c:pt>
                <c:pt idx="2099">
                  <c:v>2022.747513893808</c:v>
                </c:pt>
                <c:pt idx="2100">
                  <c:v>2022.9600972313447</c:v>
                </c:pt>
                <c:pt idx="2101">
                  <c:v>2022.9686441707186</c:v>
                </c:pt>
                <c:pt idx="2102">
                  <c:v>2022.7610409385816</c:v>
                </c:pt>
                <c:pt idx="2103">
                  <c:v>2025.0314805987205</c:v>
                </c:pt>
                <c:pt idx="2104">
                  <c:v>2025.1258570327504</c:v>
                </c:pt>
                <c:pt idx="2105">
                  <c:v>2023.7224403527623</c:v>
                </c:pt>
                <c:pt idx="2106">
                  <c:v>2022.997410049825</c:v>
                </c:pt>
                <c:pt idx="2107">
                  <c:v>2023.1445627221512</c:v>
                </c:pt>
                <c:pt idx="2108">
                  <c:v>2023.5512427671119</c:v>
                </c:pt>
                <c:pt idx="2109">
                  <c:v>2023.1563744713478</c:v>
                </c:pt>
                <c:pt idx="2110">
                  <c:v>2022.8363492758428</c:v>
                </c:pt>
                <c:pt idx="2111">
                  <c:v>2024.6666429390905</c:v>
                </c:pt>
                <c:pt idx="2112">
                  <c:v>2022.9859058153015</c:v>
                </c:pt>
                <c:pt idx="2113">
                  <c:v>2024.5055738089395</c:v>
                </c:pt>
                <c:pt idx="2114">
                  <c:v>2025.2438969094455</c:v>
                </c:pt>
                <c:pt idx="2115">
                  <c:v>2023.1733250364396</c:v>
                </c:pt>
                <c:pt idx="2116">
                  <c:v>2022.8477894329092</c:v>
                </c:pt>
                <c:pt idx="2117">
                  <c:v>2024.4879419288943</c:v>
                </c:pt>
                <c:pt idx="2118">
                  <c:v>2025.7730650372921</c:v>
                </c:pt>
                <c:pt idx="2119">
                  <c:v>2024.5494580568757</c:v>
                </c:pt>
                <c:pt idx="2120">
                  <c:v>2023.3902261094061</c:v>
                </c:pt>
                <c:pt idx="2121">
                  <c:v>2023.0175211028418</c:v>
                </c:pt>
                <c:pt idx="2122">
                  <c:v>2023.5898981360494</c:v>
                </c:pt>
                <c:pt idx="2123">
                  <c:v>2025.1248956481056</c:v>
                </c:pt>
                <c:pt idx="2124">
                  <c:v>2023.1172570426127</c:v>
                </c:pt>
                <c:pt idx="2125">
                  <c:v>2023.5919783503616</c:v>
                </c:pt>
                <c:pt idx="2126">
                  <c:v>2022.7898492977733</c:v>
                </c:pt>
                <c:pt idx="2127">
                  <c:v>2023.3454403596015</c:v>
                </c:pt>
                <c:pt idx="2128">
                  <c:v>2024.3887654819093</c:v>
                </c:pt>
                <c:pt idx="2129">
                  <c:v>2022.8958583705614</c:v>
                </c:pt>
                <c:pt idx="2130">
                  <c:v>2022.9917657921073</c:v>
                </c:pt>
                <c:pt idx="2131">
                  <c:v>2023.4984259783485</c:v>
                </c:pt>
                <c:pt idx="2132">
                  <c:v>2025.712813830449</c:v>
                </c:pt>
                <c:pt idx="2133">
                  <c:v>2023.3366525866154</c:v>
                </c:pt>
                <c:pt idx="2134">
                  <c:v>2023.1114324373439</c:v>
                </c:pt>
                <c:pt idx="2135">
                  <c:v>2023.5576474346105</c:v>
                </c:pt>
                <c:pt idx="2136">
                  <c:v>2022.5802628053659</c:v>
                </c:pt>
                <c:pt idx="2137">
                  <c:v>2022.7539083055349</c:v>
                </c:pt>
                <c:pt idx="2138">
                  <c:v>2023.0466052924205</c:v>
                </c:pt>
                <c:pt idx="2139">
                  <c:v>2023.5313495671726</c:v>
                </c:pt>
                <c:pt idx="2140">
                  <c:v>2025.3409676312078</c:v>
                </c:pt>
                <c:pt idx="2141">
                  <c:v>2024.9222668881612</c:v>
                </c:pt>
                <c:pt idx="2142">
                  <c:v>2023.7063422369056</c:v>
                </c:pt>
                <c:pt idx="2143">
                  <c:v>2023.1696023985237</c:v>
                </c:pt>
                <c:pt idx="2144">
                  <c:v>2023.1461419916827</c:v>
                </c:pt>
                <c:pt idx="2145">
                  <c:v>2024.4476186024954</c:v>
                </c:pt>
                <c:pt idx="2146">
                  <c:v>2025.3219956278515</c:v>
                </c:pt>
                <c:pt idx="2147">
                  <c:v>2023.4210618871962</c:v>
                </c:pt>
                <c:pt idx="2148">
                  <c:v>2024.2831680713768</c:v>
                </c:pt>
                <c:pt idx="2149">
                  <c:v>2023.7835313785415</c:v>
                </c:pt>
                <c:pt idx="2150">
                  <c:v>2023.379131477845</c:v>
                </c:pt>
                <c:pt idx="2151">
                  <c:v>2023.2590838167655</c:v>
                </c:pt>
                <c:pt idx="2152">
                  <c:v>2025.4025755573198</c:v>
                </c:pt>
                <c:pt idx="2153">
                  <c:v>2023.136602894514</c:v>
                </c:pt>
                <c:pt idx="2154">
                  <c:v>2023.4773296801595</c:v>
                </c:pt>
                <c:pt idx="2155">
                  <c:v>2023.3493039632992</c:v>
                </c:pt>
                <c:pt idx="2156">
                  <c:v>2024.5977633445054</c:v>
                </c:pt>
                <c:pt idx="2157">
                  <c:v>2024.3621214566274</c:v>
                </c:pt>
                <c:pt idx="2158">
                  <c:v>2023.4117340386113</c:v>
                </c:pt>
                <c:pt idx="2159">
                  <c:v>2024.6075030181632</c:v>
                </c:pt>
                <c:pt idx="2160">
                  <c:v>2023.1129913271641</c:v>
                </c:pt>
                <c:pt idx="2161">
                  <c:v>2023.340808405276</c:v>
                </c:pt>
                <c:pt idx="2162">
                  <c:v>2023.1908504484857</c:v>
                </c:pt>
                <c:pt idx="2163">
                  <c:v>2024.3599830249818</c:v>
                </c:pt>
                <c:pt idx="2164">
                  <c:v>2024.7857959246383</c:v>
                </c:pt>
                <c:pt idx="2165">
                  <c:v>2024.6229532486113</c:v>
                </c:pt>
                <c:pt idx="2166">
                  <c:v>2024.9622604171948</c:v>
                </c:pt>
                <c:pt idx="2167">
                  <c:v>2023.6883921079329</c:v>
                </c:pt>
                <c:pt idx="2168">
                  <c:v>2022.8651499940927</c:v>
                </c:pt>
                <c:pt idx="2169">
                  <c:v>2023.6803267190337</c:v>
                </c:pt>
                <c:pt idx="2170">
                  <c:v>2022.8827942354044</c:v>
                </c:pt>
                <c:pt idx="2171">
                  <c:v>2023.705136780932</c:v>
                </c:pt>
                <c:pt idx="2172">
                  <c:v>2023.4122764965346</c:v>
                </c:pt>
                <c:pt idx="2173">
                  <c:v>2024.0405593525422</c:v>
                </c:pt>
                <c:pt idx="2174">
                  <c:v>2025.1444943030417</c:v>
                </c:pt>
                <c:pt idx="2175">
                  <c:v>2022.9508124158785</c:v>
                </c:pt>
                <c:pt idx="2176">
                  <c:v>2022.7331607289154</c:v>
                </c:pt>
                <c:pt idx="2177">
                  <c:v>2025.0272313111373</c:v>
                </c:pt>
                <c:pt idx="2178">
                  <c:v>2023.0378886934047</c:v>
                </c:pt>
                <c:pt idx="2179">
                  <c:v>2024.8293982570349</c:v>
                </c:pt>
                <c:pt idx="2180">
                  <c:v>2025.0327148048443</c:v>
                </c:pt>
                <c:pt idx="2181">
                  <c:v>2024.7095535611163</c:v>
                </c:pt>
                <c:pt idx="2182">
                  <c:v>2024.5124667927134</c:v>
                </c:pt>
                <c:pt idx="2183">
                  <c:v>2023.1936231302066</c:v>
                </c:pt>
                <c:pt idx="2184">
                  <c:v>2022.9789101516055</c:v>
                </c:pt>
                <c:pt idx="2185">
                  <c:v>2024.7166525412842</c:v>
                </c:pt>
                <c:pt idx="2186">
                  <c:v>2023.0745590329568</c:v>
                </c:pt>
                <c:pt idx="2187">
                  <c:v>2022.9282302093143</c:v>
                </c:pt>
                <c:pt idx="2188">
                  <c:v>2023.1855990453005</c:v>
                </c:pt>
                <c:pt idx="2189">
                  <c:v>2023.10567704704</c:v>
                </c:pt>
                <c:pt idx="2190">
                  <c:v>2023.2504848248332</c:v>
                </c:pt>
                <c:pt idx="2191">
                  <c:v>2025.961636916478</c:v>
                </c:pt>
                <c:pt idx="2192">
                  <c:v>2025.1623120729316</c:v>
                </c:pt>
                <c:pt idx="2193">
                  <c:v>2024.4203612484387</c:v>
                </c:pt>
                <c:pt idx="2194">
                  <c:v>2023.205297168711</c:v>
                </c:pt>
                <c:pt idx="2195">
                  <c:v>2023.2991622871898</c:v>
                </c:pt>
                <c:pt idx="2196">
                  <c:v>2025.0225055790602</c:v>
                </c:pt>
                <c:pt idx="2197">
                  <c:v>2022.8202007805628</c:v>
                </c:pt>
                <c:pt idx="2198">
                  <c:v>2023.1177077443797</c:v>
                </c:pt>
                <c:pt idx="2199">
                  <c:v>2024.9889816201448</c:v>
                </c:pt>
                <c:pt idx="2200">
                  <c:v>2023.1506623098339</c:v>
                </c:pt>
                <c:pt idx="2201">
                  <c:v>2025.6043715318704</c:v>
                </c:pt>
                <c:pt idx="2202">
                  <c:v>2024.9531384982376</c:v>
                </c:pt>
                <c:pt idx="2203">
                  <c:v>2023.0031952274462</c:v>
                </c:pt>
                <c:pt idx="2204">
                  <c:v>2022.8486658715117</c:v>
                </c:pt>
                <c:pt idx="2205">
                  <c:v>2023.3017478958834</c:v>
                </c:pt>
                <c:pt idx="2206">
                  <c:v>2022.998262908997</c:v>
                </c:pt>
                <c:pt idx="2207">
                  <c:v>2023.2010478766097</c:v>
                </c:pt>
                <c:pt idx="2208">
                  <c:v>2023.2077131432525</c:v>
                </c:pt>
                <c:pt idx="2209">
                  <c:v>2024.5449116881352</c:v>
                </c:pt>
                <c:pt idx="2210">
                  <c:v>2023.4425443141392</c:v>
                </c:pt>
                <c:pt idx="2211">
                  <c:v>2025.1223873666283</c:v>
                </c:pt>
                <c:pt idx="2212">
                  <c:v>2023.3426741948385</c:v>
                </c:pt>
                <c:pt idx="2213">
                  <c:v>2025.1962499786041</c:v>
                </c:pt>
                <c:pt idx="2214">
                  <c:v>2023.0547679835006</c:v>
                </c:pt>
                <c:pt idx="2215">
                  <c:v>2024.4796263472804</c:v>
                </c:pt>
                <c:pt idx="2216">
                  <c:v>2022.8320905231699</c:v>
                </c:pt>
                <c:pt idx="2217">
                  <c:v>2022.943664541639</c:v>
                </c:pt>
                <c:pt idx="2218">
                  <c:v>2024.6869158035283</c:v>
                </c:pt>
                <c:pt idx="2219">
                  <c:v>2022.9792154148602</c:v>
                </c:pt>
                <c:pt idx="2220">
                  <c:v>2022.9798127481231</c:v>
                </c:pt>
                <c:pt idx="2221">
                  <c:v>2022.9894629186274</c:v>
                </c:pt>
                <c:pt idx="2222">
                  <c:v>2023.3151197472378</c:v>
                </c:pt>
                <c:pt idx="2223">
                  <c:v>2023.4301942755692</c:v>
                </c:pt>
                <c:pt idx="2224">
                  <c:v>2023.2356827798721</c:v>
                </c:pt>
                <c:pt idx="2225">
                  <c:v>2024.9620437361182</c:v>
                </c:pt>
                <c:pt idx="2226">
                  <c:v>2023.5437445872712</c:v>
                </c:pt>
                <c:pt idx="2227">
                  <c:v>2023.5673594782372</c:v>
                </c:pt>
                <c:pt idx="2228">
                  <c:v>2023.670426936294</c:v>
                </c:pt>
                <c:pt idx="2229">
                  <c:v>2023.298506849909</c:v>
                </c:pt>
                <c:pt idx="2230">
                  <c:v>2023.1056845373878</c:v>
                </c:pt>
                <c:pt idx="2231">
                  <c:v>2022.9185334790491</c:v>
                </c:pt>
                <c:pt idx="2232">
                  <c:v>2023.645157907446</c:v>
                </c:pt>
                <c:pt idx="2233">
                  <c:v>2025.8077600884026</c:v>
                </c:pt>
                <c:pt idx="2234">
                  <c:v>2023.0745971943245</c:v>
                </c:pt>
                <c:pt idx="2235">
                  <c:v>2023.0683046268227</c:v>
                </c:pt>
                <c:pt idx="2236">
                  <c:v>2023.276485781184</c:v>
                </c:pt>
                <c:pt idx="2237">
                  <c:v>2024.3561985157596</c:v>
                </c:pt>
                <c:pt idx="2238">
                  <c:v>2022.8859521061988</c:v>
                </c:pt>
                <c:pt idx="2239">
                  <c:v>2023.5209143405043</c:v>
                </c:pt>
                <c:pt idx="2240">
                  <c:v>2023.1938167138503</c:v>
                </c:pt>
                <c:pt idx="2241">
                  <c:v>2025.1526092908828</c:v>
                </c:pt>
                <c:pt idx="2242">
                  <c:v>2023.6403726539097</c:v>
                </c:pt>
                <c:pt idx="2243">
                  <c:v>2023.350596482567</c:v>
                </c:pt>
                <c:pt idx="2244">
                  <c:v>2024.9770760220997</c:v>
                </c:pt>
                <c:pt idx="2245">
                  <c:v>2024.5282295296124</c:v>
                </c:pt>
                <c:pt idx="2246">
                  <c:v>2024.925780941473</c:v>
                </c:pt>
                <c:pt idx="2247">
                  <c:v>2022.9017439251945</c:v>
                </c:pt>
                <c:pt idx="2248">
                  <c:v>2022.7269118668542</c:v>
                </c:pt>
                <c:pt idx="2249">
                  <c:v>2025.3502333079916</c:v>
                </c:pt>
                <c:pt idx="2250">
                  <c:v>2023.3429190321733</c:v>
                </c:pt>
                <c:pt idx="2251">
                  <c:v>2024.9373820255262</c:v>
                </c:pt>
                <c:pt idx="2252">
                  <c:v>2022.7417416224725</c:v>
                </c:pt>
                <c:pt idx="2253">
                  <c:v>2025.2493608380905</c:v>
                </c:pt>
                <c:pt idx="2254">
                  <c:v>2022.8650059404733</c:v>
                </c:pt>
                <c:pt idx="2255">
                  <c:v>2023.1473853426633</c:v>
                </c:pt>
                <c:pt idx="2256">
                  <c:v>2024.6452646763048</c:v>
                </c:pt>
                <c:pt idx="2257">
                  <c:v>2022.8965347141777</c:v>
                </c:pt>
                <c:pt idx="2258">
                  <c:v>2025.258018810179</c:v>
                </c:pt>
                <c:pt idx="2259">
                  <c:v>2023.5913550597543</c:v>
                </c:pt>
                <c:pt idx="2260">
                  <c:v>2023.2723313827898</c:v>
                </c:pt>
                <c:pt idx="2261">
                  <c:v>2023.3153349721435</c:v>
                </c:pt>
                <c:pt idx="2262">
                  <c:v>2024.433104451851</c:v>
                </c:pt>
                <c:pt idx="2263">
                  <c:v>2025.0976048853399</c:v>
                </c:pt>
                <c:pt idx="2264">
                  <c:v>2022.7195917089823</c:v>
                </c:pt>
                <c:pt idx="2265">
                  <c:v>2024.8202702373289</c:v>
                </c:pt>
                <c:pt idx="2266">
                  <c:v>2025.1088712198364</c:v>
                </c:pt>
                <c:pt idx="2267">
                  <c:v>2022.9992436671091</c:v>
                </c:pt>
                <c:pt idx="2268">
                  <c:v>2023.2131697812727</c:v>
                </c:pt>
                <c:pt idx="2269">
                  <c:v>2022.8126067223955</c:v>
                </c:pt>
                <c:pt idx="2270">
                  <c:v>2023.1790298875858</c:v>
                </c:pt>
                <c:pt idx="2271">
                  <c:v>2023.324440652058</c:v>
                </c:pt>
                <c:pt idx="2272">
                  <c:v>2025.5247292964714</c:v>
                </c:pt>
                <c:pt idx="2273">
                  <c:v>2023.153966160271</c:v>
                </c:pt>
                <c:pt idx="2274">
                  <c:v>2023.334718428212</c:v>
                </c:pt>
                <c:pt idx="2275">
                  <c:v>2024.9125805294557</c:v>
                </c:pt>
                <c:pt idx="2276">
                  <c:v>2024.3313914569978</c:v>
                </c:pt>
                <c:pt idx="2277">
                  <c:v>2024.7043203785774</c:v>
                </c:pt>
                <c:pt idx="2278">
                  <c:v>2024.5875461683224</c:v>
                </c:pt>
                <c:pt idx="2279">
                  <c:v>2023.3408193229322</c:v>
                </c:pt>
                <c:pt idx="2280">
                  <c:v>2023.0630545492495</c:v>
                </c:pt>
                <c:pt idx="2281">
                  <c:v>2023.2675590405663</c:v>
                </c:pt>
                <c:pt idx="2282">
                  <c:v>2023.3680349321407</c:v>
                </c:pt>
                <c:pt idx="2283">
                  <c:v>2025.5723529609857</c:v>
                </c:pt>
                <c:pt idx="2284">
                  <c:v>2023.2994881195109</c:v>
                </c:pt>
                <c:pt idx="2285">
                  <c:v>2023.0841589573738</c:v>
                </c:pt>
                <c:pt idx="2286">
                  <c:v>2022.7394123132576</c:v>
                </c:pt>
                <c:pt idx="2287">
                  <c:v>2024.4726865707023</c:v>
                </c:pt>
                <c:pt idx="2288">
                  <c:v>2022.8817775882978</c:v>
                </c:pt>
                <c:pt idx="2289">
                  <c:v>2023.2172347519311</c:v>
                </c:pt>
                <c:pt idx="2290">
                  <c:v>2024.8288014338302</c:v>
                </c:pt>
                <c:pt idx="2291">
                  <c:v>2024.3036985185081</c:v>
                </c:pt>
                <c:pt idx="2292">
                  <c:v>2022.9932239314323</c:v>
                </c:pt>
                <c:pt idx="2293">
                  <c:v>2023.3769096579638</c:v>
                </c:pt>
                <c:pt idx="2294">
                  <c:v>2023.1034707329929</c:v>
                </c:pt>
                <c:pt idx="2295">
                  <c:v>2023.1454773801922</c:v>
                </c:pt>
                <c:pt idx="2296">
                  <c:v>2022.7954139933142</c:v>
                </c:pt>
                <c:pt idx="2297">
                  <c:v>2023.3138274298117</c:v>
                </c:pt>
                <c:pt idx="2298">
                  <c:v>2023.3171090483484</c:v>
                </c:pt>
                <c:pt idx="2299">
                  <c:v>2024.95992412993</c:v>
                </c:pt>
                <c:pt idx="2300">
                  <c:v>2022.9316030048158</c:v>
                </c:pt>
                <c:pt idx="2301">
                  <c:v>2024.674544393419</c:v>
                </c:pt>
                <c:pt idx="2302">
                  <c:v>2023.3018290912812</c:v>
                </c:pt>
                <c:pt idx="2303">
                  <c:v>2023.338971121387</c:v>
                </c:pt>
                <c:pt idx="2304">
                  <c:v>2023.4935374272609</c:v>
                </c:pt>
                <c:pt idx="2305">
                  <c:v>2022.9611887571873</c:v>
                </c:pt>
                <c:pt idx="2306">
                  <c:v>2025.760329069509</c:v>
                </c:pt>
                <c:pt idx="2307">
                  <c:v>2024.6164382602599</c:v>
                </c:pt>
                <c:pt idx="2308">
                  <c:v>2023.0402667100755</c:v>
                </c:pt>
                <c:pt idx="2309">
                  <c:v>2023.2074534670157</c:v>
                </c:pt>
                <c:pt idx="2310">
                  <c:v>2024.2247770653812</c:v>
                </c:pt>
                <c:pt idx="2311">
                  <c:v>2025.1846694341039</c:v>
                </c:pt>
                <c:pt idx="2312">
                  <c:v>2025.2364947741542</c:v>
                </c:pt>
                <c:pt idx="2313">
                  <c:v>2023.2933374664603</c:v>
                </c:pt>
                <c:pt idx="2314">
                  <c:v>2023.4844623498193</c:v>
                </c:pt>
                <c:pt idx="2315">
                  <c:v>2023.0427882796344</c:v>
                </c:pt>
                <c:pt idx="2316">
                  <c:v>2023.3125448945934</c:v>
                </c:pt>
                <c:pt idx="2317">
                  <c:v>2025.2474646635208</c:v>
                </c:pt>
                <c:pt idx="2318">
                  <c:v>2025.1518137734738</c:v>
                </c:pt>
                <c:pt idx="2319">
                  <c:v>2025.1012091598607</c:v>
                </c:pt>
                <c:pt idx="2320">
                  <c:v>2024.4290883836973</c:v>
                </c:pt>
                <c:pt idx="2321">
                  <c:v>2023.2026255000396</c:v>
                </c:pt>
                <c:pt idx="2322">
                  <c:v>2023.0369844809977</c:v>
                </c:pt>
                <c:pt idx="2323">
                  <c:v>2023.295515989028</c:v>
                </c:pt>
                <c:pt idx="2324">
                  <c:v>2024.6786089348352</c:v>
                </c:pt>
                <c:pt idx="2325">
                  <c:v>2024.5430295280823</c:v>
                </c:pt>
                <c:pt idx="2326">
                  <c:v>2024.3654333842546</c:v>
                </c:pt>
                <c:pt idx="2327">
                  <c:v>2023.6139399486433</c:v>
                </c:pt>
                <c:pt idx="2328">
                  <c:v>2023.3047022792334</c:v>
                </c:pt>
                <c:pt idx="2329">
                  <c:v>2024.8361339217643</c:v>
                </c:pt>
                <c:pt idx="2330">
                  <c:v>2023.3771768654076</c:v>
                </c:pt>
                <c:pt idx="2331">
                  <c:v>2022.9429971773791</c:v>
                </c:pt>
                <c:pt idx="2332">
                  <c:v>2023.3762196458542</c:v>
                </c:pt>
                <c:pt idx="2333">
                  <c:v>2023.4252411287546</c:v>
                </c:pt>
                <c:pt idx="2334">
                  <c:v>2023.0092841510079</c:v>
                </c:pt>
                <c:pt idx="2335">
                  <c:v>2024.7394337796604</c:v>
                </c:pt>
                <c:pt idx="2336">
                  <c:v>2025.1190726649918</c:v>
                </c:pt>
                <c:pt idx="2337">
                  <c:v>2023.0504907608495</c:v>
                </c:pt>
                <c:pt idx="2338">
                  <c:v>2023.3871056807836</c:v>
                </c:pt>
                <c:pt idx="2339">
                  <c:v>2024.2215372669159</c:v>
                </c:pt>
                <c:pt idx="2340">
                  <c:v>2023.2011687298582</c:v>
                </c:pt>
                <c:pt idx="2341">
                  <c:v>2023.9893779516308</c:v>
                </c:pt>
                <c:pt idx="2342">
                  <c:v>2024.5260090758536</c:v>
                </c:pt>
                <c:pt idx="2343">
                  <c:v>2024.8728887321181</c:v>
                </c:pt>
                <c:pt idx="2344">
                  <c:v>2023.2052023408942</c:v>
                </c:pt>
                <c:pt idx="2345">
                  <c:v>2022.929228819246</c:v>
                </c:pt>
                <c:pt idx="2346">
                  <c:v>2024.9566877429181</c:v>
                </c:pt>
                <c:pt idx="2347">
                  <c:v>2024.207937844282</c:v>
                </c:pt>
                <c:pt idx="2348">
                  <c:v>2022.8525378113327</c:v>
                </c:pt>
                <c:pt idx="2349">
                  <c:v>2023.0730506152006</c:v>
                </c:pt>
                <c:pt idx="2350">
                  <c:v>2023.1549895777164</c:v>
                </c:pt>
                <c:pt idx="2351">
                  <c:v>2023.2970146890245</c:v>
                </c:pt>
                <c:pt idx="2352">
                  <c:v>2023.3746938609902</c:v>
                </c:pt>
                <c:pt idx="2353">
                  <c:v>2022.9593023679149</c:v>
                </c:pt>
                <c:pt idx="2354">
                  <c:v>2023.0739726574698</c:v>
                </c:pt>
                <c:pt idx="2355">
                  <c:v>2023.3374924826662</c:v>
                </c:pt>
                <c:pt idx="2356">
                  <c:v>2024.2501073265867</c:v>
                </c:pt>
                <c:pt idx="2357">
                  <c:v>2025.0873949813406</c:v>
                </c:pt>
                <c:pt idx="2358">
                  <c:v>2024.7546576116958</c:v>
                </c:pt>
                <c:pt idx="2359">
                  <c:v>2024.5394749349714</c:v>
                </c:pt>
                <c:pt idx="2360">
                  <c:v>2023.0154469555357</c:v>
                </c:pt>
                <c:pt idx="2361">
                  <c:v>2025.5575065900684</c:v>
                </c:pt>
                <c:pt idx="2362">
                  <c:v>2023.147028517496</c:v>
                </c:pt>
                <c:pt idx="2363">
                  <c:v>2024.2224334568157</c:v>
                </c:pt>
                <c:pt idx="2364">
                  <c:v>2022.8226719406648</c:v>
                </c:pt>
                <c:pt idx="2365">
                  <c:v>2023.1690516142528</c:v>
                </c:pt>
                <c:pt idx="2366">
                  <c:v>2022.9189277070614</c:v>
                </c:pt>
                <c:pt idx="2367">
                  <c:v>2024.7447208424942</c:v>
                </c:pt>
                <c:pt idx="2368">
                  <c:v>2023.2651718551508</c:v>
                </c:pt>
                <c:pt idx="2369">
                  <c:v>2024.0104611381596</c:v>
                </c:pt>
                <c:pt idx="2370">
                  <c:v>2023.0656775458554</c:v>
                </c:pt>
                <c:pt idx="2371">
                  <c:v>2025.0867086835985</c:v>
                </c:pt>
                <c:pt idx="2372">
                  <c:v>2024.805070250331</c:v>
                </c:pt>
                <c:pt idx="2373">
                  <c:v>2023.6449143917264</c:v>
                </c:pt>
                <c:pt idx="2374">
                  <c:v>2024.9859191324597</c:v>
                </c:pt>
                <c:pt idx="2375">
                  <c:v>2024.783034043402</c:v>
                </c:pt>
                <c:pt idx="2376">
                  <c:v>2022.9629787085398</c:v>
                </c:pt>
                <c:pt idx="2377">
                  <c:v>2023.5786562173312</c:v>
                </c:pt>
                <c:pt idx="2378">
                  <c:v>2022.9874518872898</c:v>
                </c:pt>
                <c:pt idx="2379">
                  <c:v>2023.8154498128033</c:v>
                </c:pt>
                <c:pt idx="2380">
                  <c:v>2022.6188332193215</c:v>
                </c:pt>
                <c:pt idx="2381">
                  <c:v>2024.5651607329019</c:v>
                </c:pt>
                <c:pt idx="2382">
                  <c:v>2022.70049329313</c:v>
                </c:pt>
                <c:pt idx="2383">
                  <c:v>2023.1196010986039</c:v>
                </c:pt>
                <c:pt idx="2384">
                  <c:v>2023.4163357771433</c:v>
                </c:pt>
                <c:pt idx="2385">
                  <c:v>2023.3260812238157</c:v>
                </c:pt>
                <c:pt idx="2386">
                  <c:v>2022.5410758148057</c:v>
                </c:pt>
                <c:pt idx="2387">
                  <c:v>2023.3868263602915</c:v>
                </c:pt>
                <c:pt idx="2388">
                  <c:v>2024.1278324305558</c:v>
                </c:pt>
                <c:pt idx="2389">
                  <c:v>2025.0462877249861</c:v>
                </c:pt>
                <c:pt idx="2390">
                  <c:v>2023.0002137205156</c:v>
                </c:pt>
                <c:pt idx="2391">
                  <c:v>2023.2461022959499</c:v>
                </c:pt>
                <c:pt idx="2392">
                  <c:v>2023.1628002146069</c:v>
                </c:pt>
                <c:pt idx="2393">
                  <c:v>2024.9898802478078</c:v>
                </c:pt>
                <c:pt idx="2394">
                  <c:v>2023.975032402383</c:v>
                </c:pt>
                <c:pt idx="2395">
                  <c:v>2022.875978234016</c:v>
                </c:pt>
                <c:pt idx="2396">
                  <c:v>2024.6661746548282</c:v>
                </c:pt>
                <c:pt idx="2397">
                  <c:v>2023.0023272960455</c:v>
                </c:pt>
                <c:pt idx="2398">
                  <c:v>2023.7152317776704</c:v>
                </c:pt>
                <c:pt idx="2399">
                  <c:v>2023.2349013956998</c:v>
                </c:pt>
                <c:pt idx="2400">
                  <c:v>2025.2834048371014</c:v>
                </c:pt>
                <c:pt idx="2401">
                  <c:v>2025.2452355188927</c:v>
                </c:pt>
                <c:pt idx="2402">
                  <c:v>2023.3853476987845</c:v>
                </c:pt>
                <c:pt idx="2403">
                  <c:v>2024.3955589918623</c:v>
                </c:pt>
                <c:pt idx="2404">
                  <c:v>2024.6351604695778</c:v>
                </c:pt>
                <c:pt idx="2405">
                  <c:v>2023.6255041434415</c:v>
                </c:pt>
                <c:pt idx="2406">
                  <c:v>2022.8554537102393</c:v>
                </c:pt>
                <c:pt idx="2407">
                  <c:v>2024.6821978926989</c:v>
                </c:pt>
                <c:pt idx="2408">
                  <c:v>2023.1389420139872</c:v>
                </c:pt>
                <c:pt idx="2409">
                  <c:v>2022.9843673855037</c:v>
                </c:pt>
                <c:pt idx="2410">
                  <c:v>2023.1907663703169</c:v>
                </c:pt>
                <c:pt idx="2411">
                  <c:v>2023.2323275665444</c:v>
                </c:pt>
                <c:pt idx="2412">
                  <c:v>2023.2013274478966</c:v>
                </c:pt>
                <c:pt idx="2413">
                  <c:v>2024.4650731641505</c:v>
                </c:pt>
                <c:pt idx="2414">
                  <c:v>2025.5524176383688</c:v>
                </c:pt>
                <c:pt idx="2415">
                  <c:v>2025.0342508511621</c:v>
                </c:pt>
                <c:pt idx="2416">
                  <c:v>2024.5075593874953</c:v>
                </c:pt>
                <c:pt idx="2417">
                  <c:v>2023.2927412418562</c:v>
                </c:pt>
                <c:pt idx="2418">
                  <c:v>2023.1295781252436</c:v>
                </c:pt>
                <c:pt idx="2419">
                  <c:v>2022.8137935524585</c:v>
                </c:pt>
                <c:pt idx="2420">
                  <c:v>2024.4793758175481</c:v>
                </c:pt>
                <c:pt idx="2421">
                  <c:v>2023.1516327758811</c:v>
                </c:pt>
                <c:pt idx="2422">
                  <c:v>2024.5096098010795</c:v>
                </c:pt>
                <c:pt idx="2423">
                  <c:v>2023.3731603159824</c:v>
                </c:pt>
                <c:pt idx="2424">
                  <c:v>2023.1304006370888</c:v>
                </c:pt>
                <c:pt idx="2425">
                  <c:v>2023.1067991382813</c:v>
                </c:pt>
                <c:pt idx="2426">
                  <c:v>2025.0411212923248</c:v>
                </c:pt>
                <c:pt idx="2427">
                  <c:v>2023.0305717833678</c:v>
                </c:pt>
                <c:pt idx="2428">
                  <c:v>2022.8302544353344</c:v>
                </c:pt>
                <c:pt idx="2429">
                  <c:v>2025.1116908974652</c:v>
                </c:pt>
                <c:pt idx="2430">
                  <c:v>2023.0594429972873</c:v>
                </c:pt>
                <c:pt idx="2431">
                  <c:v>2024.4409528557328</c:v>
                </c:pt>
                <c:pt idx="2432">
                  <c:v>2023.3339232833623</c:v>
                </c:pt>
                <c:pt idx="2433">
                  <c:v>2023.5983404084186</c:v>
                </c:pt>
                <c:pt idx="2434">
                  <c:v>2022.7624991803075</c:v>
                </c:pt>
                <c:pt idx="2435">
                  <c:v>2023.2385270679749</c:v>
                </c:pt>
                <c:pt idx="2436">
                  <c:v>2023.4515375510593</c:v>
                </c:pt>
                <c:pt idx="2437">
                  <c:v>2025.0371480467359</c:v>
                </c:pt>
                <c:pt idx="2438">
                  <c:v>2023.3542426043778</c:v>
                </c:pt>
                <c:pt idx="2439">
                  <c:v>2022.7582458324214</c:v>
                </c:pt>
                <c:pt idx="2440">
                  <c:v>2024.826583983624</c:v>
                </c:pt>
                <c:pt idx="2441">
                  <c:v>2024.8504846023509</c:v>
                </c:pt>
                <c:pt idx="2442">
                  <c:v>2022.864762149263</c:v>
                </c:pt>
                <c:pt idx="2443">
                  <c:v>2023.2534046320529</c:v>
                </c:pt>
                <c:pt idx="2444">
                  <c:v>2024.8594886745702</c:v>
                </c:pt>
                <c:pt idx="2445">
                  <c:v>2023.6431111006768</c:v>
                </c:pt>
                <c:pt idx="2446">
                  <c:v>2022.8122285207223</c:v>
                </c:pt>
                <c:pt idx="2447">
                  <c:v>2025.3803693575956</c:v>
                </c:pt>
                <c:pt idx="2448">
                  <c:v>2023.5263398128232</c:v>
                </c:pt>
                <c:pt idx="2449">
                  <c:v>2022.7892275447875</c:v>
                </c:pt>
                <c:pt idx="2450">
                  <c:v>2023.5249938388649</c:v>
                </c:pt>
                <c:pt idx="2451">
                  <c:v>2023.0226060598854</c:v>
                </c:pt>
                <c:pt idx="2452">
                  <c:v>2023.355333665083</c:v>
                </c:pt>
                <c:pt idx="2453">
                  <c:v>2024.325313047603</c:v>
                </c:pt>
                <c:pt idx="2454">
                  <c:v>2023.2540126053732</c:v>
                </c:pt>
                <c:pt idx="2455">
                  <c:v>2023.2667012138179</c:v>
                </c:pt>
                <c:pt idx="2456">
                  <c:v>2023.4877945123501</c:v>
                </c:pt>
                <c:pt idx="2457">
                  <c:v>2022.6176942839609</c:v>
                </c:pt>
                <c:pt idx="2458">
                  <c:v>2023.1427639340225</c:v>
                </c:pt>
                <c:pt idx="2459">
                  <c:v>2024.6569437475075</c:v>
                </c:pt>
                <c:pt idx="2460">
                  <c:v>2025.5102069427851</c:v>
                </c:pt>
                <c:pt idx="2461">
                  <c:v>2022.5364398208501</c:v>
                </c:pt>
                <c:pt idx="2462">
                  <c:v>2023.3868487559516</c:v>
                </c:pt>
                <c:pt idx="2463">
                  <c:v>2024.958638973714</c:v>
                </c:pt>
                <c:pt idx="2464">
                  <c:v>2023.7512388126868</c:v>
                </c:pt>
                <c:pt idx="2465">
                  <c:v>2024.2068019358678</c:v>
                </c:pt>
                <c:pt idx="2466">
                  <c:v>2023.0839287172905</c:v>
                </c:pt>
                <c:pt idx="2467">
                  <c:v>2022.9873786393198</c:v>
                </c:pt>
                <c:pt idx="2468">
                  <c:v>2023.1930864411386</c:v>
                </c:pt>
                <c:pt idx="2469">
                  <c:v>2024.7705947647094</c:v>
                </c:pt>
                <c:pt idx="2470">
                  <c:v>2024.821890287717</c:v>
                </c:pt>
                <c:pt idx="2471">
                  <c:v>2023.0889909045429</c:v>
                </c:pt>
                <c:pt idx="2472">
                  <c:v>2022.9504836597976</c:v>
                </c:pt>
                <c:pt idx="2473">
                  <c:v>2023.6067333930941</c:v>
                </c:pt>
                <c:pt idx="2474">
                  <c:v>2023.0599498766169</c:v>
                </c:pt>
                <c:pt idx="2475">
                  <c:v>2022.7971491699825</c:v>
                </c:pt>
                <c:pt idx="2476">
                  <c:v>2022.9494140591478</c:v>
                </c:pt>
                <c:pt idx="2477">
                  <c:v>2025.5357140253509</c:v>
                </c:pt>
                <c:pt idx="2478">
                  <c:v>2023.5733628547591</c:v>
                </c:pt>
                <c:pt idx="2479">
                  <c:v>2024.4924860296353</c:v>
                </c:pt>
                <c:pt idx="2480">
                  <c:v>2023.2485818231735</c:v>
                </c:pt>
                <c:pt idx="2481">
                  <c:v>2024.6612964309136</c:v>
                </c:pt>
                <c:pt idx="2482">
                  <c:v>2022.8923737778587</c:v>
                </c:pt>
                <c:pt idx="2483">
                  <c:v>2022.592599927721</c:v>
                </c:pt>
                <c:pt idx="2484">
                  <c:v>2023.4230287701396</c:v>
                </c:pt>
                <c:pt idx="2485">
                  <c:v>2024.4503802966346</c:v>
                </c:pt>
                <c:pt idx="2486">
                  <c:v>2023.3441201988028</c:v>
                </c:pt>
                <c:pt idx="2487">
                  <c:v>2023.326629959631</c:v>
                </c:pt>
                <c:pt idx="2488">
                  <c:v>2025.4252049927111</c:v>
                </c:pt>
                <c:pt idx="2489">
                  <c:v>2022.635943255644</c:v>
                </c:pt>
                <c:pt idx="2490">
                  <c:v>2024.6988338653459</c:v>
                </c:pt>
                <c:pt idx="2491">
                  <c:v>2023.2624137935629</c:v>
                </c:pt>
                <c:pt idx="2492">
                  <c:v>2022.9900945764116</c:v>
                </c:pt>
                <c:pt idx="2493">
                  <c:v>2023.0121903405986</c:v>
                </c:pt>
                <c:pt idx="2494">
                  <c:v>2024.8623523239769</c:v>
                </c:pt>
                <c:pt idx="2495">
                  <c:v>2023.118805368174</c:v>
                </c:pt>
                <c:pt idx="2496">
                  <c:v>2024.9275638924089</c:v>
                </c:pt>
                <c:pt idx="2497">
                  <c:v>2024.3434493584875</c:v>
                </c:pt>
                <c:pt idx="2498">
                  <c:v>2023.1407166890119</c:v>
                </c:pt>
                <c:pt idx="2499">
                  <c:v>2023.0289411908609</c:v>
                </c:pt>
                <c:pt idx="2500">
                  <c:v>2023.6675110666431</c:v>
                </c:pt>
                <c:pt idx="2501">
                  <c:v>2023.7486827919822</c:v>
                </c:pt>
                <c:pt idx="2502">
                  <c:v>2023.0855994549438</c:v>
                </c:pt>
                <c:pt idx="2503">
                  <c:v>2023.098098754027</c:v>
                </c:pt>
                <c:pt idx="2504">
                  <c:v>2022.7639974597507</c:v>
                </c:pt>
                <c:pt idx="2505">
                  <c:v>2023.1989932417716</c:v>
                </c:pt>
                <c:pt idx="2506">
                  <c:v>2022.9277829010189</c:v>
                </c:pt>
                <c:pt idx="2507">
                  <c:v>2023.2522987774282</c:v>
                </c:pt>
                <c:pt idx="2508">
                  <c:v>2023.2544647963953</c:v>
                </c:pt>
                <c:pt idx="2509">
                  <c:v>2025.1586170503122</c:v>
                </c:pt>
                <c:pt idx="2510">
                  <c:v>2023.3140738467876</c:v>
                </c:pt>
                <c:pt idx="2511">
                  <c:v>2022.8664990355096</c:v>
                </c:pt>
                <c:pt idx="2512">
                  <c:v>2024.289340106046</c:v>
                </c:pt>
                <c:pt idx="2513">
                  <c:v>2023.2092250929875</c:v>
                </c:pt>
                <c:pt idx="2514">
                  <c:v>2024.9247401376572</c:v>
                </c:pt>
                <c:pt idx="2515">
                  <c:v>2023.5107276178774</c:v>
                </c:pt>
                <c:pt idx="2516">
                  <c:v>2023.0253389856721</c:v>
                </c:pt>
                <c:pt idx="2517">
                  <c:v>2023.4640286501153</c:v>
                </c:pt>
                <c:pt idx="2518">
                  <c:v>2023.1731353323532</c:v>
                </c:pt>
                <c:pt idx="2519">
                  <c:v>2023.3030771997867</c:v>
                </c:pt>
                <c:pt idx="2520">
                  <c:v>2025.4337559364221</c:v>
                </c:pt>
                <c:pt idx="2521">
                  <c:v>2023.1503011416212</c:v>
                </c:pt>
                <c:pt idx="2522">
                  <c:v>2024.8819388086069</c:v>
                </c:pt>
                <c:pt idx="2523">
                  <c:v>2023.9325512700475</c:v>
                </c:pt>
                <c:pt idx="2524">
                  <c:v>2022.6958166297741</c:v>
                </c:pt>
                <c:pt idx="2525">
                  <c:v>2024.6454844279199</c:v>
                </c:pt>
                <c:pt idx="2526">
                  <c:v>2023.2140680982775</c:v>
                </c:pt>
                <c:pt idx="2527">
                  <c:v>2023.0706590313328</c:v>
                </c:pt>
                <c:pt idx="2528">
                  <c:v>2023.1013249281043</c:v>
                </c:pt>
                <c:pt idx="2529">
                  <c:v>2023.9415597250731</c:v>
                </c:pt>
                <c:pt idx="2530">
                  <c:v>2023.2439832141292</c:v>
                </c:pt>
                <c:pt idx="2531">
                  <c:v>2022.8857852225099</c:v>
                </c:pt>
                <c:pt idx="2532">
                  <c:v>2022.7910221080747</c:v>
                </c:pt>
                <c:pt idx="2533">
                  <c:v>2025.1244969644144</c:v>
                </c:pt>
                <c:pt idx="2534">
                  <c:v>2023.0078126208225</c:v>
                </c:pt>
                <c:pt idx="2535">
                  <c:v>2023.2401378699392</c:v>
                </c:pt>
                <c:pt idx="2536">
                  <c:v>2025.2134143910828</c:v>
                </c:pt>
                <c:pt idx="2537">
                  <c:v>2023.6687475387359</c:v>
                </c:pt>
                <c:pt idx="2538">
                  <c:v>2023.5297734884293</c:v>
                </c:pt>
                <c:pt idx="2539">
                  <c:v>2022.7343443454104</c:v>
                </c:pt>
                <c:pt idx="2540">
                  <c:v>2023.4699613399271</c:v>
                </c:pt>
                <c:pt idx="2541">
                  <c:v>2025.0552188378024</c:v>
                </c:pt>
                <c:pt idx="2542">
                  <c:v>2023.7692046887826</c:v>
                </c:pt>
                <c:pt idx="2543">
                  <c:v>2024.5845586603957</c:v>
                </c:pt>
                <c:pt idx="2544">
                  <c:v>2023.4115833587921</c:v>
                </c:pt>
                <c:pt idx="2545">
                  <c:v>2023.3293982389669</c:v>
                </c:pt>
                <c:pt idx="2546">
                  <c:v>2023.1049528760423</c:v>
                </c:pt>
                <c:pt idx="2547">
                  <c:v>2023.2873078318794</c:v>
                </c:pt>
                <c:pt idx="2548">
                  <c:v>2023.4758786701093</c:v>
                </c:pt>
                <c:pt idx="2549">
                  <c:v>2022.7955035100254</c:v>
                </c:pt>
                <c:pt idx="2550">
                  <c:v>2023.7309317699755</c:v>
                </c:pt>
                <c:pt idx="2551">
                  <c:v>2023.1582362790596</c:v>
                </c:pt>
                <c:pt idx="2552">
                  <c:v>2023.1929270224682</c:v>
                </c:pt>
                <c:pt idx="2553">
                  <c:v>2025.3281845632318</c:v>
                </c:pt>
                <c:pt idx="2554">
                  <c:v>2022.8089514189455</c:v>
                </c:pt>
                <c:pt idx="2555">
                  <c:v>2023.3464618421306</c:v>
                </c:pt>
                <c:pt idx="2556">
                  <c:v>2024.9453794308579</c:v>
                </c:pt>
                <c:pt idx="2557">
                  <c:v>2022.8579298078066</c:v>
                </c:pt>
                <c:pt idx="2558">
                  <c:v>2023.5429013564572</c:v>
                </c:pt>
                <c:pt idx="2559">
                  <c:v>2023.4894842361125</c:v>
                </c:pt>
                <c:pt idx="2560">
                  <c:v>2025.3853063117633</c:v>
                </c:pt>
                <c:pt idx="2561">
                  <c:v>2024.6083712101765</c:v>
                </c:pt>
                <c:pt idx="2562">
                  <c:v>2025.1764718705754</c:v>
                </c:pt>
                <c:pt idx="2563">
                  <c:v>2025.1406532902654</c:v>
                </c:pt>
                <c:pt idx="2564">
                  <c:v>2022.7066248559884</c:v>
                </c:pt>
                <c:pt idx="2565">
                  <c:v>2024.7792878180123</c:v>
                </c:pt>
                <c:pt idx="2566">
                  <c:v>2023.6770597330085</c:v>
                </c:pt>
                <c:pt idx="2567">
                  <c:v>2023.1464316860722</c:v>
                </c:pt>
                <c:pt idx="2568">
                  <c:v>2023.311437466399</c:v>
                </c:pt>
                <c:pt idx="2569">
                  <c:v>2024.5953589167204</c:v>
                </c:pt>
                <c:pt idx="2570">
                  <c:v>2024.8165966804684</c:v>
                </c:pt>
                <c:pt idx="2571">
                  <c:v>2025.1731779015508</c:v>
                </c:pt>
                <c:pt idx="2572">
                  <c:v>2023.6058991273512</c:v>
                </c:pt>
                <c:pt idx="2573">
                  <c:v>2024.2733792518763</c:v>
                </c:pt>
                <c:pt idx="2574">
                  <c:v>2023.0697917172504</c:v>
                </c:pt>
                <c:pt idx="2575">
                  <c:v>2023.4603986457098</c:v>
                </c:pt>
                <c:pt idx="2576">
                  <c:v>2023.1307023315296</c:v>
                </c:pt>
                <c:pt idx="2577">
                  <c:v>2023.0009523736799</c:v>
                </c:pt>
                <c:pt idx="2578">
                  <c:v>2023.0537032033906</c:v>
                </c:pt>
                <c:pt idx="2579">
                  <c:v>2023.4052113956384</c:v>
                </c:pt>
                <c:pt idx="2580">
                  <c:v>2023.6641424902798</c:v>
                </c:pt>
                <c:pt idx="2581">
                  <c:v>2024.0611893911139</c:v>
                </c:pt>
                <c:pt idx="2582">
                  <c:v>2023.2341871291667</c:v>
                </c:pt>
                <c:pt idx="2583">
                  <c:v>2022.8809821512618</c:v>
                </c:pt>
                <c:pt idx="2584">
                  <c:v>2023.8607562874258</c:v>
                </c:pt>
                <c:pt idx="2585">
                  <c:v>2024.6299873765599</c:v>
                </c:pt>
                <c:pt idx="2586">
                  <c:v>2023.8694515616435</c:v>
                </c:pt>
                <c:pt idx="2587">
                  <c:v>2024.4240737808477</c:v>
                </c:pt>
                <c:pt idx="2588">
                  <c:v>2023.1644785601698</c:v>
                </c:pt>
                <c:pt idx="2589">
                  <c:v>2025.437802735765</c:v>
                </c:pt>
                <c:pt idx="2590">
                  <c:v>2023.1389936242288</c:v>
                </c:pt>
                <c:pt idx="2591">
                  <c:v>2022.6794187507739</c:v>
                </c:pt>
                <c:pt idx="2592">
                  <c:v>2023.0742868177063</c:v>
                </c:pt>
                <c:pt idx="2593">
                  <c:v>2024.5222129024041</c:v>
                </c:pt>
                <c:pt idx="2594">
                  <c:v>2023.4344745418721</c:v>
                </c:pt>
                <c:pt idx="2595">
                  <c:v>2025.3757268552999</c:v>
                </c:pt>
                <c:pt idx="2596">
                  <c:v>2023.5715287873045</c:v>
                </c:pt>
                <c:pt idx="2597">
                  <c:v>2023.2446231048693</c:v>
                </c:pt>
                <c:pt idx="2598">
                  <c:v>2023.4262099953419</c:v>
                </c:pt>
                <c:pt idx="2599">
                  <c:v>2023.2968891655426</c:v>
                </c:pt>
                <c:pt idx="2600">
                  <c:v>2023.2739808788133</c:v>
                </c:pt>
                <c:pt idx="2601">
                  <c:v>2022.7908282010587</c:v>
                </c:pt>
                <c:pt idx="2602">
                  <c:v>2025.0606495445227</c:v>
                </c:pt>
                <c:pt idx="2603">
                  <c:v>2024.9524788439171</c:v>
                </c:pt>
                <c:pt idx="2604">
                  <c:v>2023.3150802363912</c:v>
                </c:pt>
                <c:pt idx="2605">
                  <c:v>2023.438081646299</c:v>
                </c:pt>
                <c:pt idx="2606">
                  <c:v>2024.2604413274182</c:v>
                </c:pt>
                <c:pt idx="2607">
                  <c:v>2025.2125079648165</c:v>
                </c:pt>
                <c:pt idx="2608">
                  <c:v>2023.3298564476938</c:v>
                </c:pt>
                <c:pt idx="2609">
                  <c:v>2023.3791498200301</c:v>
                </c:pt>
                <c:pt idx="2610">
                  <c:v>2024.8397998543164</c:v>
                </c:pt>
                <c:pt idx="2611">
                  <c:v>2023.5358569735074</c:v>
                </c:pt>
                <c:pt idx="2612">
                  <c:v>2022.8431281160704</c:v>
                </c:pt>
                <c:pt idx="2613">
                  <c:v>2023.4556651071682</c:v>
                </c:pt>
                <c:pt idx="2614">
                  <c:v>2024.5798608227476</c:v>
                </c:pt>
                <c:pt idx="2615">
                  <c:v>2024.7741136257941</c:v>
                </c:pt>
                <c:pt idx="2616">
                  <c:v>2023.418623919848</c:v>
                </c:pt>
                <c:pt idx="2617">
                  <c:v>2023.2089357161537</c:v>
                </c:pt>
                <c:pt idx="2618">
                  <c:v>2024.9380865453043</c:v>
                </c:pt>
                <c:pt idx="2619">
                  <c:v>2024.5160137631726</c:v>
                </c:pt>
                <c:pt idx="2620">
                  <c:v>2025.3805322785674</c:v>
                </c:pt>
                <c:pt idx="2621">
                  <c:v>2023.3027074687509</c:v>
                </c:pt>
                <c:pt idx="2622">
                  <c:v>2023.0396870267712</c:v>
                </c:pt>
                <c:pt idx="2623">
                  <c:v>2023.6636706772827</c:v>
                </c:pt>
                <c:pt idx="2624">
                  <c:v>2023.1987367455847</c:v>
                </c:pt>
                <c:pt idx="2625">
                  <c:v>2023.2141018025507</c:v>
                </c:pt>
                <c:pt idx="2626">
                  <c:v>2023.2856402578859</c:v>
                </c:pt>
                <c:pt idx="2627">
                  <c:v>2022.7509189874888</c:v>
                </c:pt>
                <c:pt idx="2628">
                  <c:v>2023.063182769567</c:v>
                </c:pt>
                <c:pt idx="2629">
                  <c:v>2022.8648749861525</c:v>
                </c:pt>
                <c:pt idx="2630">
                  <c:v>2024.6110676088069</c:v>
                </c:pt>
                <c:pt idx="2631">
                  <c:v>2023.381728365998</c:v>
                </c:pt>
                <c:pt idx="2632">
                  <c:v>2025.1825849526808</c:v>
                </c:pt>
                <c:pt idx="2633">
                  <c:v>2024.5812972644051</c:v>
                </c:pt>
                <c:pt idx="2634">
                  <c:v>2024.6693403113363</c:v>
                </c:pt>
                <c:pt idx="2635">
                  <c:v>2023.3702967614161</c:v>
                </c:pt>
                <c:pt idx="2636">
                  <c:v>2024.9318334177906</c:v>
                </c:pt>
                <c:pt idx="2637">
                  <c:v>2023.5540204274589</c:v>
                </c:pt>
                <c:pt idx="2638">
                  <c:v>2023.022198291221</c:v>
                </c:pt>
                <c:pt idx="2639">
                  <c:v>2025.3135276952253</c:v>
                </c:pt>
                <c:pt idx="2640">
                  <c:v>2023.3409101658353</c:v>
                </c:pt>
                <c:pt idx="2641">
                  <c:v>2024.4319407955988</c:v>
                </c:pt>
                <c:pt idx="2642">
                  <c:v>2023.1848187449775</c:v>
                </c:pt>
                <c:pt idx="2643">
                  <c:v>2024.9916969300496</c:v>
                </c:pt>
                <c:pt idx="2644">
                  <c:v>2023.3155222492803</c:v>
                </c:pt>
                <c:pt idx="2645">
                  <c:v>2025.0921194020495</c:v>
                </c:pt>
                <c:pt idx="2646">
                  <c:v>2023.0091654606631</c:v>
                </c:pt>
                <c:pt idx="2647">
                  <c:v>2023.1253124018867</c:v>
                </c:pt>
                <c:pt idx="2648">
                  <c:v>2023.1391530224273</c:v>
                </c:pt>
                <c:pt idx="2649">
                  <c:v>2024.894611462558</c:v>
                </c:pt>
                <c:pt idx="2650">
                  <c:v>2022.7334400472496</c:v>
                </c:pt>
                <c:pt idx="2651">
                  <c:v>2023.079303897712</c:v>
                </c:pt>
                <c:pt idx="2652">
                  <c:v>2024.8314050956787</c:v>
                </c:pt>
                <c:pt idx="2653">
                  <c:v>2024.7459203029312</c:v>
                </c:pt>
                <c:pt idx="2654">
                  <c:v>2023.669599524015</c:v>
                </c:pt>
                <c:pt idx="2655">
                  <c:v>2024.6046352889366</c:v>
                </c:pt>
                <c:pt idx="2656">
                  <c:v>2023.2802148433391</c:v>
                </c:pt>
                <c:pt idx="2657">
                  <c:v>2023.6404782745351</c:v>
                </c:pt>
                <c:pt idx="2658">
                  <c:v>2023.165867346398</c:v>
                </c:pt>
                <c:pt idx="2659">
                  <c:v>2023.7616056545005</c:v>
                </c:pt>
                <c:pt idx="2660">
                  <c:v>2022.8349456428703</c:v>
                </c:pt>
                <c:pt idx="2661">
                  <c:v>2023.3890704916175</c:v>
                </c:pt>
                <c:pt idx="2662">
                  <c:v>2024.7447403890505</c:v>
                </c:pt>
                <c:pt idx="2663">
                  <c:v>2023.488241204328</c:v>
                </c:pt>
                <c:pt idx="2664">
                  <c:v>2025.9894492364383</c:v>
                </c:pt>
                <c:pt idx="2665">
                  <c:v>2023.3631632327806</c:v>
                </c:pt>
                <c:pt idx="2666">
                  <c:v>2023.2866346710698</c:v>
                </c:pt>
                <c:pt idx="2667">
                  <c:v>2024.8828118345978</c:v>
                </c:pt>
                <c:pt idx="2668">
                  <c:v>2022.8897116414478</c:v>
                </c:pt>
                <c:pt idx="2669">
                  <c:v>2023.0876049244623</c:v>
                </c:pt>
                <c:pt idx="2670">
                  <c:v>2023.1765607725624</c:v>
                </c:pt>
                <c:pt idx="2671">
                  <c:v>2023.5832565220758</c:v>
                </c:pt>
                <c:pt idx="2672">
                  <c:v>2023.2470278119358</c:v>
                </c:pt>
                <c:pt idx="2673">
                  <c:v>2023.1151130836488</c:v>
                </c:pt>
                <c:pt idx="2674">
                  <c:v>2023.4289462445677</c:v>
                </c:pt>
                <c:pt idx="2675">
                  <c:v>2022.8659628998248</c:v>
                </c:pt>
                <c:pt idx="2676">
                  <c:v>2023.0706479635435</c:v>
                </c:pt>
                <c:pt idx="2677">
                  <c:v>2024.5136272003838</c:v>
                </c:pt>
                <c:pt idx="2678">
                  <c:v>2022.6918083515875</c:v>
                </c:pt>
                <c:pt idx="2679">
                  <c:v>2022.9493830353056</c:v>
                </c:pt>
                <c:pt idx="2680">
                  <c:v>2025.3212761673522</c:v>
                </c:pt>
                <c:pt idx="2681">
                  <c:v>2025.5893977262569</c:v>
                </c:pt>
                <c:pt idx="2682">
                  <c:v>2023.0069962052182</c:v>
                </c:pt>
                <c:pt idx="2683">
                  <c:v>2023.5151648269155</c:v>
                </c:pt>
                <c:pt idx="2684">
                  <c:v>2023.1168718013644</c:v>
                </c:pt>
                <c:pt idx="2685">
                  <c:v>2023.3681578546291</c:v>
                </c:pt>
                <c:pt idx="2686">
                  <c:v>2022.97665556786</c:v>
                </c:pt>
                <c:pt idx="2687">
                  <c:v>2025.2878477764625</c:v>
                </c:pt>
                <c:pt idx="2688">
                  <c:v>2024.2037552067093</c:v>
                </c:pt>
                <c:pt idx="2689">
                  <c:v>2025.0875998932222</c:v>
                </c:pt>
                <c:pt idx="2690">
                  <c:v>2022.7755661855256</c:v>
                </c:pt>
                <c:pt idx="2691">
                  <c:v>2023.2922469833738</c:v>
                </c:pt>
                <c:pt idx="2692">
                  <c:v>2022.9836314599779</c:v>
                </c:pt>
                <c:pt idx="2693">
                  <c:v>2022.8284809904371</c:v>
                </c:pt>
                <c:pt idx="2694">
                  <c:v>2023.0728142029529</c:v>
                </c:pt>
                <c:pt idx="2695">
                  <c:v>2023.3392073098819</c:v>
                </c:pt>
                <c:pt idx="2696">
                  <c:v>2024.8863553528715</c:v>
                </c:pt>
                <c:pt idx="2697">
                  <c:v>2024.876861554993</c:v>
                </c:pt>
                <c:pt idx="2698">
                  <c:v>2023.0123479849733</c:v>
                </c:pt>
                <c:pt idx="2699">
                  <c:v>2023.010381988114</c:v>
                </c:pt>
                <c:pt idx="2700">
                  <c:v>2023.730019598408</c:v>
                </c:pt>
                <c:pt idx="2701">
                  <c:v>2022.9261244371053</c:v>
                </c:pt>
                <c:pt idx="2702">
                  <c:v>2024.4267892158784</c:v>
                </c:pt>
                <c:pt idx="2703">
                  <c:v>2023.0172089245643</c:v>
                </c:pt>
                <c:pt idx="2704">
                  <c:v>2023.0569650679518</c:v>
                </c:pt>
                <c:pt idx="2705">
                  <c:v>2022.5850794243313</c:v>
                </c:pt>
                <c:pt idx="2706">
                  <c:v>2022.8565444834198</c:v>
                </c:pt>
                <c:pt idx="2707">
                  <c:v>2023.1815200774736</c:v>
                </c:pt>
                <c:pt idx="2708">
                  <c:v>2023.8606909214616</c:v>
                </c:pt>
                <c:pt idx="2709">
                  <c:v>2024.7539871081194</c:v>
                </c:pt>
                <c:pt idx="2710">
                  <c:v>2023.3500240674025</c:v>
                </c:pt>
                <c:pt idx="2711">
                  <c:v>2022.9974080113691</c:v>
                </c:pt>
                <c:pt idx="2712">
                  <c:v>2023.2122046141039</c:v>
                </c:pt>
                <c:pt idx="2713">
                  <c:v>2024.204498877695</c:v>
                </c:pt>
                <c:pt idx="2714">
                  <c:v>2025.135756616168</c:v>
                </c:pt>
                <c:pt idx="2715">
                  <c:v>2022.8959670629899</c:v>
                </c:pt>
                <c:pt idx="2716">
                  <c:v>2024.4735343565046</c:v>
                </c:pt>
                <c:pt idx="2717">
                  <c:v>2023.6321814251764</c:v>
                </c:pt>
                <c:pt idx="2718">
                  <c:v>2023.611576737555</c:v>
                </c:pt>
                <c:pt idx="2719">
                  <c:v>2023.1580602188387</c:v>
                </c:pt>
                <c:pt idx="2720">
                  <c:v>2023.5214251356467</c:v>
                </c:pt>
                <c:pt idx="2721">
                  <c:v>2023.2551501139089</c:v>
                </c:pt>
                <c:pt idx="2722">
                  <c:v>2023.6296520042563</c:v>
                </c:pt>
                <c:pt idx="2723">
                  <c:v>2023.3701791796232</c:v>
                </c:pt>
                <c:pt idx="2724">
                  <c:v>2024.5495624695761</c:v>
                </c:pt>
                <c:pt idx="2725">
                  <c:v>2023.0963634322597</c:v>
                </c:pt>
                <c:pt idx="2726">
                  <c:v>2023.226672679863</c:v>
                </c:pt>
                <c:pt idx="2727">
                  <c:v>2023.0363322822766</c:v>
                </c:pt>
                <c:pt idx="2728">
                  <c:v>2022.9710668512437</c:v>
                </c:pt>
                <c:pt idx="2729">
                  <c:v>2023.5055345459241</c:v>
                </c:pt>
                <c:pt idx="2730">
                  <c:v>2022.6215739008358</c:v>
                </c:pt>
                <c:pt idx="2731">
                  <c:v>2022.8123241860656</c:v>
                </c:pt>
                <c:pt idx="2732">
                  <c:v>2022.9039765026575</c:v>
                </c:pt>
                <c:pt idx="2733">
                  <c:v>2023.2720318231854</c:v>
                </c:pt>
                <c:pt idx="2734">
                  <c:v>2022.7948793031101</c:v>
                </c:pt>
                <c:pt idx="2735">
                  <c:v>2022.9901507198367</c:v>
                </c:pt>
                <c:pt idx="2736">
                  <c:v>2024.8080368171311</c:v>
                </c:pt>
                <c:pt idx="2737">
                  <c:v>2023.0457613807905</c:v>
                </c:pt>
                <c:pt idx="2738">
                  <c:v>2023.28156885878</c:v>
                </c:pt>
                <c:pt idx="2739">
                  <c:v>2023.1176419015108</c:v>
                </c:pt>
                <c:pt idx="2740">
                  <c:v>2022.9565302433905</c:v>
                </c:pt>
                <c:pt idx="2741">
                  <c:v>2024.3943644148353</c:v>
                </c:pt>
                <c:pt idx="2742">
                  <c:v>2025.5650012902554</c:v>
                </c:pt>
                <c:pt idx="2743">
                  <c:v>2024.6080056012263</c:v>
                </c:pt>
                <c:pt idx="2744">
                  <c:v>2023.206171164574</c:v>
                </c:pt>
                <c:pt idx="2745">
                  <c:v>2023.4915360051955</c:v>
                </c:pt>
                <c:pt idx="2746">
                  <c:v>2023.1460027578803</c:v>
                </c:pt>
                <c:pt idx="2747">
                  <c:v>2023.0866898742668</c:v>
                </c:pt>
                <c:pt idx="2748">
                  <c:v>2023.0036998206033</c:v>
                </c:pt>
                <c:pt idx="2749">
                  <c:v>2022.814952674282</c:v>
                </c:pt>
                <c:pt idx="2750">
                  <c:v>2022.9376782380989</c:v>
                </c:pt>
                <c:pt idx="2751">
                  <c:v>2023.2226077906537</c:v>
                </c:pt>
                <c:pt idx="2752">
                  <c:v>2023.2953782040249</c:v>
                </c:pt>
                <c:pt idx="2753">
                  <c:v>2025.124424210816</c:v>
                </c:pt>
                <c:pt idx="2754">
                  <c:v>2023.5034311648847</c:v>
                </c:pt>
                <c:pt idx="2755">
                  <c:v>2023.0459007510442</c:v>
                </c:pt>
                <c:pt idx="2756">
                  <c:v>2024.950510133122</c:v>
                </c:pt>
                <c:pt idx="2757">
                  <c:v>2025.5255973568328</c:v>
                </c:pt>
                <c:pt idx="2758">
                  <c:v>2024.2916646274043</c:v>
                </c:pt>
                <c:pt idx="2759">
                  <c:v>2023.1625748440558</c:v>
                </c:pt>
                <c:pt idx="2760">
                  <c:v>2023.1945218564526</c:v>
                </c:pt>
                <c:pt idx="2761">
                  <c:v>2023.1900330830615</c:v>
                </c:pt>
                <c:pt idx="2762">
                  <c:v>2023.6698651800696</c:v>
                </c:pt>
                <c:pt idx="2763">
                  <c:v>2025.1297053440082</c:v>
                </c:pt>
                <c:pt idx="2764">
                  <c:v>2023.4666303720612</c:v>
                </c:pt>
                <c:pt idx="2765">
                  <c:v>2023.178740496455</c:v>
                </c:pt>
                <c:pt idx="2766">
                  <c:v>2024.8413852401925</c:v>
                </c:pt>
                <c:pt idx="2767">
                  <c:v>2023.0637680430782</c:v>
                </c:pt>
                <c:pt idx="2768">
                  <c:v>2022.887885491152</c:v>
                </c:pt>
                <c:pt idx="2769">
                  <c:v>2024.7297419984477</c:v>
                </c:pt>
                <c:pt idx="2770">
                  <c:v>2023.7801565348364</c:v>
                </c:pt>
                <c:pt idx="2771">
                  <c:v>2022.8027276518028</c:v>
                </c:pt>
                <c:pt idx="2772">
                  <c:v>2024.8366849865677</c:v>
                </c:pt>
                <c:pt idx="2773">
                  <c:v>2024.6696331165765</c:v>
                </c:pt>
                <c:pt idx="2774">
                  <c:v>2025.3652569180699</c:v>
                </c:pt>
                <c:pt idx="2775">
                  <c:v>2022.7655551300475</c:v>
                </c:pt>
                <c:pt idx="2776">
                  <c:v>2024.7198326434493</c:v>
                </c:pt>
                <c:pt idx="2777">
                  <c:v>2025.1353043554432</c:v>
                </c:pt>
                <c:pt idx="2778">
                  <c:v>2025.4377903004997</c:v>
                </c:pt>
                <c:pt idx="2779">
                  <c:v>2022.8563454500779</c:v>
                </c:pt>
                <c:pt idx="2780">
                  <c:v>2022.9435077333003</c:v>
                </c:pt>
                <c:pt idx="2781">
                  <c:v>2022.8504444163507</c:v>
                </c:pt>
                <c:pt idx="2782">
                  <c:v>2023.5955600571688</c:v>
                </c:pt>
                <c:pt idx="2783">
                  <c:v>2024.8394023544922</c:v>
                </c:pt>
                <c:pt idx="2784">
                  <c:v>2022.7329264622831</c:v>
                </c:pt>
                <c:pt idx="2785">
                  <c:v>2023.0514621179718</c:v>
                </c:pt>
                <c:pt idx="2786">
                  <c:v>2023.5111921159173</c:v>
                </c:pt>
                <c:pt idx="2787">
                  <c:v>2023.2128772819563</c:v>
                </c:pt>
                <c:pt idx="2788">
                  <c:v>2023.0771248405956</c:v>
                </c:pt>
                <c:pt idx="2789">
                  <c:v>2023.4848223730694</c:v>
                </c:pt>
                <c:pt idx="2790">
                  <c:v>2023.3121613715157</c:v>
                </c:pt>
                <c:pt idx="2791">
                  <c:v>2023.0704882045145</c:v>
                </c:pt>
                <c:pt idx="2792">
                  <c:v>2024.6367256026742</c:v>
                </c:pt>
                <c:pt idx="2793">
                  <c:v>2023.859277021568</c:v>
                </c:pt>
                <c:pt idx="2794">
                  <c:v>2023.313558607015</c:v>
                </c:pt>
                <c:pt idx="2795">
                  <c:v>2025.0862031453332</c:v>
                </c:pt>
                <c:pt idx="2796">
                  <c:v>2023.2001708507644</c:v>
                </c:pt>
                <c:pt idx="2797">
                  <c:v>2024.6910291079585</c:v>
                </c:pt>
                <c:pt idx="2798">
                  <c:v>2023.218409653181</c:v>
                </c:pt>
                <c:pt idx="2799">
                  <c:v>2023.8254417748653</c:v>
                </c:pt>
                <c:pt idx="2800">
                  <c:v>2022.9369812641849</c:v>
                </c:pt>
                <c:pt idx="2801">
                  <c:v>2023.8703732266849</c:v>
                </c:pt>
                <c:pt idx="2802">
                  <c:v>2023.2656827230517</c:v>
                </c:pt>
                <c:pt idx="2803">
                  <c:v>2023.0888291817294</c:v>
                </c:pt>
                <c:pt idx="2804">
                  <c:v>2022.6588825809613</c:v>
                </c:pt>
                <c:pt idx="2805">
                  <c:v>2024.6532747826705</c:v>
                </c:pt>
                <c:pt idx="2806">
                  <c:v>2025.1362208327816</c:v>
                </c:pt>
                <c:pt idx="2807">
                  <c:v>2022.8634871479746</c:v>
                </c:pt>
                <c:pt idx="2808">
                  <c:v>2023.2406185133559</c:v>
                </c:pt>
                <c:pt idx="2809">
                  <c:v>2024.793027771402</c:v>
                </c:pt>
                <c:pt idx="2810">
                  <c:v>2023.0635261508503</c:v>
                </c:pt>
                <c:pt idx="2811">
                  <c:v>2023.4727580466624</c:v>
                </c:pt>
                <c:pt idx="2812">
                  <c:v>2023.997549173931</c:v>
                </c:pt>
                <c:pt idx="2813">
                  <c:v>2024.7483080024829</c:v>
                </c:pt>
                <c:pt idx="2814">
                  <c:v>2022.967936919664</c:v>
                </c:pt>
                <c:pt idx="2815">
                  <c:v>2023.0353825832763</c:v>
                </c:pt>
                <c:pt idx="2816">
                  <c:v>2022.9534876892151</c:v>
                </c:pt>
                <c:pt idx="2817">
                  <c:v>2022.9032694059035</c:v>
                </c:pt>
                <c:pt idx="2818">
                  <c:v>2023.9995538829498</c:v>
                </c:pt>
                <c:pt idx="2819">
                  <c:v>2023.8095188940351</c:v>
                </c:pt>
                <c:pt idx="2820">
                  <c:v>2024.6349563808121</c:v>
                </c:pt>
                <c:pt idx="2821">
                  <c:v>2024.9622035413556</c:v>
                </c:pt>
                <c:pt idx="2822">
                  <c:v>2023.4750288837195</c:v>
                </c:pt>
                <c:pt idx="2823">
                  <c:v>2022.6494881424328</c:v>
                </c:pt>
                <c:pt idx="2824">
                  <c:v>2024.7073878626647</c:v>
                </c:pt>
                <c:pt idx="2825">
                  <c:v>2022.8864333927181</c:v>
                </c:pt>
                <c:pt idx="2826">
                  <c:v>2022.9701304378561</c:v>
                </c:pt>
                <c:pt idx="2827">
                  <c:v>2025.4549031366746</c:v>
                </c:pt>
                <c:pt idx="2828">
                  <c:v>2022.9333211483595</c:v>
                </c:pt>
                <c:pt idx="2829">
                  <c:v>2024.9533864348284</c:v>
                </c:pt>
                <c:pt idx="2830">
                  <c:v>2023.1485603512288</c:v>
                </c:pt>
                <c:pt idx="2831">
                  <c:v>2022.8972989569359</c:v>
                </c:pt>
                <c:pt idx="2832">
                  <c:v>2024.1330959622571</c:v>
                </c:pt>
                <c:pt idx="2833">
                  <c:v>2023.428338489734</c:v>
                </c:pt>
                <c:pt idx="2834">
                  <c:v>2023.0123166659132</c:v>
                </c:pt>
                <c:pt idx="2835">
                  <c:v>2023.3259182361758</c:v>
                </c:pt>
                <c:pt idx="2836">
                  <c:v>2022.827491539332</c:v>
                </c:pt>
                <c:pt idx="2837">
                  <c:v>2024.7428439026883</c:v>
                </c:pt>
                <c:pt idx="2838">
                  <c:v>2023.324690066522</c:v>
                </c:pt>
                <c:pt idx="2839">
                  <c:v>2023.5198210768081</c:v>
                </c:pt>
                <c:pt idx="2840">
                  <c:v>2023.2321881867788</c:v>
                </c:pt>
                <c:pt idx="2841">
                  <c:v>2023.9389302767324</c:v>
                </c:pt>
                <c:pt idx="2842">
                  <c:v>2024.2989535783306</c:v>
                </c:pt>
                <c:pt idx="2843">
                  <c:v>2024.7422208130381</c:v>
                </c:pt>
                <c:pt idx="2844">
                  <c:v>2023.0011285992132</c:v>
                </c:pt>
                <c:pt idx="2845">
                  <c:v>2023.5157902275305</c:v>
                </c:pt>
                <c:pt idx="2846">
                  <c:v>2023.7992532381356</c:v>
                </c:pt>
                <c:pt idx="2847">
                  <c:v>2022.9517133431139</c:v>
                </c:pt>
                <c:pt idx="2848">
                  <c:v>2024.4691720326464</c:v>
                </c:pt>
                <c:pt idx="2849">
                  <c:v>2024.3161185849799</c:v>
                </c:pt>
                <c:pt idx="2850">
                  <c:v>2024.5619880300089</c:v>
                </c:pt>
                <c:pt idx="2851">
                  <c:v>2023.9142373033324</c:v>
                </c:pt>
                <c:pt idx="2852">
                  <c:v>2023.6965232172467</c:v>
                </c:pt>
                <c:pt idx="2853">
                  <c:v>2025.8593300470588</c:v>
                </c:pt>
                <c:pt idx="2854">
                  <c:v>2022.7893571905843</c:v>
                </c:pt>
                <c:pt idx="2855">
                  <c:v>2022.9873035045446</c:v>
                </c:pt>
                <c:pt idx="2856">
                  <c:v>2023.399816191795</c:v>
                </c:pt>
                <c:pt idx="2857">
                  <c:v>2023.3432536110436</c:v>
                </c:pt>
                <c:pt idx="2858">
                  <c:v>2023.3301598765963</c:v>
                </c:pt>
                <c:pt idx="2859">
                  <c:v>2025.1145497515508</c:v>
                </c:pt>
                <c:pt idx="2860">
                  <c:v>2022.7910487054485</c:v>
                </c:pt>
                <c:pt idx="2861">
                  <c:v>2024.6451774763414</c:v>
                </c:pt>
                <c:pt idx="2862">
                  <c:v>2023.0224076168527</c:v>
                </c:pt>
                <c:pt idx="2863">
                  <c:v>2024.7569590485609</c:v>
                </c:pt>
                <c:pt idx="2864">
                  <c:v>2023.1118624352753</c:v>
                </c:pt>
                <c:pt idx="2865">
                  <c:v>2023.358245249264</c:v>
                </c:pt>
                <c:pt idx="2866">
                  <c:v>2023.3322400419345</c:v>
                </c:pt>
                <c:pt idx="2867">
                  <c:v>2025.4909997453021</c:v>
                </c:pt>
                <c:pt idx="2868">
                  <c:v>2022.8190833626318</c:v>
                </c:pt>
                <c:pt idx="2869">
                  <c:v>2023.3979977959232</c:v>
                </c:pt>
                <c:pt idx="2870">
                  <c:v>2025.3517661528065</c:v>
                </c:pt>
                <c:pt idx="2871">
                  <c:v>2023.1940368692647</c:v>
                </c:pt>
                <c:pt idx="2872">
                  <c:v>2024.3764447295052</c:v>
                </c:pt>
                <c:pt idx="2873">
                  <c:v>2023.5605406959992</c:v>
                </c:pt>
                <c:pt idx="2874">
                  <c:v>2023.7291689988956</c:v>
                </c:pt>
                <c:pt idx="2875">
                  <c:v>2024.320964895365</c:v>
                </c:pt>
                <c:pt idx="2876">
                  <c:v>2022.9074780193016</c:v>
                </c:pt>
                <c:pt idx="2877">
                  <c:v>2023.5346131686188</c:v>
                </c:pt>
                <c:pt idx="2878">
                  <c:v>2023.0882894285219</c:v>
                </c:pt>
                <c:pt idx="2879">
                  <c:v>2022.8440475972163</c:v>
                </c:pt>
                <c:pt idx="2880">
                  <c:v>2023.3328043173731</c:v>
                </c:pt>
                <c:pt idx="2881">
                  <c:v>2024.577141197075</c:v>
                </c:pt>
                <c:pt idx="2882">
                  <c:v>2023.3400477153696</c:v>
                </c:pt>
                <c:pt idx="2883">
                  <c:v>2023.1849219435915</c:v>
                </c:pt>
                <c:pt idx="2884">
                  <c:v>2022.8393554879406</c:v>
                </c:pt>
                <c:pt idx="2885">
                  <c:v>2023.1371220210885</c:v>
                </c:pt>
                <c:pt idx="2886">
                  <c:v>2023.4500617560768</c:v>
                </c:pt>
                <c:pt idx="2887">
                  <c:v>2024.6397862430508</c:v>
                </c:pt>
                <c:pt idx="2888">
                  <c:v>2023.6605338600032</c:v>
                </c:pt>
                <c:pt idx="2889">
                  <c:v>2023.0872407813363</c:v>
                </c:pt>
                <c:pt idx="2890">
                  <c:v>2022.8885594469034</c:v>
                </c:pt>
                <c:pt idx="2891">
                  <c:v>2023.1305702120862</c:v>
                </c:pt>
                <c:pt idx="2892">
                  <c:v>2024.7564990493186</c:v>
                </c:pt>
                <c:pt idx="2893">
                  <c:v>2023.313231768288</c:v>
                </c:pt>
                <c:pt idx="2894">
                  <c:v>2024.5559430124611</c:v>
                </c:pt>
                <c:pt idx="2895">
                  <c:v>2022.8344991278805</c:v>
                </c:pt>
                <c:pt idx="2896">
                  <c:v>2025.1093368117577</c:v>
                </c:pt>
                <c:pt idx="2897">
                  <c:v>2024.6254394479085</c:v>
                </c:pt>
                <c:pt idx="2898">
                  <c:v>2024.6464613051178</c:v>
                </c:pt>
                <c:pt idx="2899">
                  <c:v>2023.4506573043057</c:v>
                </c:pt>
                <c:pt idx="2900">
                  <c:v>2023.8024638935383</c:v>
                </c:pt>
                <c:pt idx="2901">
                  <c:v>2024.7526076582174</c:v>
                </c:pt>
                <c:pt idx="2902">
                  <c:v>2022.7441254388334</c:v>
                </c:pt>
                <c:pt idx="2903">
                  <c:v>2022.6110662548369</c:v>
                </c:pt>
                <c:pt idx="2904">
                  <c:v>2023.2997997862785</c:v>
                </c:pt>
                <c:pt idx="2905">
                  <c:v>2022.8731510241907</c:v>
                </c:pt>
                <c:pt idx="2906">
                  <c:v>2023.1301456779318</c:v>
                </c:pt>
                <c:pt idx="2907">
                  <c:v>2023.1477618165584</c:v>
                </c:pt>
                <c:pt idx="2908">
                  <c:v>2023.1237201360591</c:v>
                </c:pt>
                <c:pt idx="2909">
                  <c:v>2023.3718701564881</c:v>
                </c:pt>
                <c:pt idx="2910">
                  <c:v>2023.5312115470385</c:v>
                </c:pt>
                <c:pt idx="2911">
                  <c:v>2023.3409132122877</c:v>
                </c:pt>
                <c:pt idx="2912">
                  <c:v>2023.1226973259652</c:v>
                </c:pt>
                <c:pt idx="2913">
                  <c:v>2025.2880697755008</c:v>
                </c:pt>
                <c:pt idx="2914">
                  <c:v>2022.8212075754482</c:v>
                </c:pt>
                <c:pt idx="2915">
                  <c:v>2023.6721474374901</c:v>
                </c:pt>
                <c:pt idx="2916">
                  <c:v>2023.2407272290516</c:v>
                </c:pt>
                <c:pt idx="2917">
                  <c:v>2022.8170327728458</c:v>
                </c:pt>
                <c:pt idx="2918">
                  <c:v>2023.3158768159478</c:v>
                </c:pt>
                <c:pt idx="2919">
                  <c:v>2023.3935322152497</c:v>
                </c:pt>
                <c:pt idx="2920">
                  <c:v>2024.4814302602488</c:v>
                </c:pt>
                <c:pt idx="2921">
                  <c:v>2023.7697001107276</c:v>
                </c:pt>
                <c:pt idx="2922">
                  <c:v>2023.1336615121893</c:v>
                </c:pt>
                <c:pt idx="2923">
                  <c:v>2022.8875762008054</c:v>
                </c:pt>
                <c:pt idx="2924">
                  <c:v>2023.2851749356764</c:v>
                </c:pt>
                <c:pt idx="2925">
                  <c:v>2023.2206652092557</c:v>
                </c:pt>
                <c:pt idx="2926">
                  <c:v>2023.441629073046</c:v>
                </c:pt>
                <c:pt idx="2927">
                  <c:v>2022.9939977991608</c:v>
                </c:pt>
                <c:pt idx="2928">
                  <c:v>2023.6993529029894</c:v>
                </c:pt>
                <c:pt idx="2929">
                  <c:v>2022.7751817982282</c:v>
                </c:pt>
                <c:pt idx="2930">
                  <c:v>2023.234088661716</c:v>
                </c:pt>
                <c:pt idx="2931">
                  <c:v>2022.8538483506534</c:v>
                </c:pt>
                <c:pt idx="2932">
                  <c:v>2024.8648462075994</c:v>
                </c:pt>
                <c:pt idx="2933">
                  <c:v>2024.7288219719208</c:v>
                </c:pt>
                <c:pt idx="2934">
                  <c:v>2023.1691215643782</c:v>
                </c:pt>
                <c:pt idx="2935">
                  <c:v>2024.9304368645214</c:v>
                </c:pt>
                <c:pt idx="2936">
                  <c:v>2023.4364240964476</c:v>
                </c:pt>
                <c:pt idx="2937">
                  <c:v>2025.6065889826691</c:v>
                </c:pt>
                <c:pt idx="2938">
                  <c:v>2025.1851613342938</c:v>
                </c:pt>
                <c:pt idx="2939">
                  <c:v>2023.6286459959881</c:v>
                </c:pt>
                <c:pt idx="2940">
                  <c:v>2023.2606847406387</c:v>
                </c:pt>
                <c:pt idx="2941">
                  <c:v>2023.0161567074151</c:v>
                </c:pt>
                <c:pt idx="2942">
                  <c:v>2023.1649769412816</c:v>
                </c:pt>
                <c:pt idx="2943">
                  <c:v>2023.5121434889111</c:v>
                </c:pt>
                <c:pt idx="2944">
                  <c:v>2022.926755709298</c:v>
                </c:pt>
                <c:pt idx="2945">
                  <c:v>2022.9495499655468</c:v>
                </c:pt>
                <c:pt idx="2946">
                  <c:v>2022.9990868698674</c:v>
                </c:pt>
                <c:pt idx="2947">
                  <c:v>2024.6970635458745</c:v>
                </c:pt>
                <c:pt idx="2948">
                  <c:v>2023.0351970189738</c:v>
                </c:pt>
                <c:pt idx="2949">
                  <c:v>2022.8576523031427</c:v>
                </c:pt>
                <c:pt idx="2950">
                  <c:v>2023.4272133658205</c:v>
                </c:pt>
                <c:pt idx="2951">
                  <c:v>2024.6542832637974</c:v>
                </c:pt>
                <c:pt idx="2952">
                  <c:v>2023.0939681736527</c:v>
                </c:pt>
                <c:pt idx="2953">
                  <c:v>2022.6371958837321</c:v>
                </c:pt>
                <c:pt idx="2954">
                  <c:v>2023.837018868802</c:v>
                </c:pt>
                <c:pt idx="2955">
                  <c:v>2023.201377018057</c:v>
                </c:pt>
                <c:pt idx="2956">
                  <c:v>2022.5690532811132</c:v>
                </c:pt>
                <c:pt idx="2957">
                  <c:v>2024.9007206876524</c:v>
                </c:pt>
                <c:pt idx="2958">
                  <c:v>2024.2191269762345</c:v>
                </c:pt>
                <c:pt idx="2959">
                  <c:v>2024.5480667982424</c:v>
                </c:pt>
                <c:pt idx="2960">
                  <c:v>2025.2472579819805</c:v>
                </c:pt>
                <c:pt idx="2961">
                  <c:v>2023.108919095303</c:v>
                </c:pt>
                <c:pt idx="2962">
                  <c:v>2022.7521013412543</c:v>
                </c:pt>
                <c:pt idx="2963">
                  <c:v>2023.2450282591483</c:v>
                </c:pt>
                <c:pt idx="2964">
                  <c:v>2023.3424410941257</c:v>
                </c:pt>
                <c:pt idx="2965">
                  <c:v>2022.9635442125357</c:v>
                </c:pt>
                <c:pt idx="2966">
                  <c:v>2022.6645672698191</c:v>
                </c:pt>
                <c:pt idx="2967">
                  <c:v>2023.1006956084009</c:v>
                </c:pt>
                <c:pt idx="2968">
                  <c:v>2024.3748784985903</c:v>
                </c:pt>
                <c:pt idx="2969">
                  <c:v>2023.6145418799424</c:v>
                </c:pt>
                <c:pt idx="2970">
                  <c:v>2023.1283254052489</c:v>
                </c:pt>
                <c:pt idx="2971">
                  <c:v>2024.6089033542744</c:v>
                </c:pt>
                <c:pt idx="2972">
                  <c:v>2023.2966916460457</c:v>
                </c:pt>
                <c:pt idx="2973">
                  <c:v>2022.9764894099583</c:v>
                </c:pt>
                <c:pt idx="2974">
                  <c:v>2023.344979725307</c:v>
                </c:pt>
                <c:pt idx="2975">
                  <c:v>2024.5553933706867</c:v>
                </c:pt>
                <c:pt idx="2976">
                  <c:v>2023.0923564587874</c:v>
                </c:pt>
                <c:pt idx="2977">
                  <c:v>2023.0306149558999</c:v>
                </c:pt>
                <c:pt idx="2978">
                  <c:v>2024.8784405234744</c:v>
                </c:pt>
                <c:pt idx="2979">
                  <c:v>2024.412219577461</c:v>
                </c:pt>
                <c:pt idx="2980">
                  <c:v>2022.973055466498</c:v>
                </c:pt>
                <c:pt idx="2981">
                  <c:v>2023.0604764632101</c:v>
                </c:pt>
                <c:pt idx="2982">
                  <c:v>2023.1397731594334</c:v>
                </c:pt>
                <c:pt idx="2983">
                  <c:v>2024.9156676065311</c:v>
                </c:pt>
                <c:pt idx="2984">
                  <c:v>2023.4840005811061</c:v>
                </c:pt>
                <c:pt idx="2985">
                  <c:v>2025.0670814088328</c:v>
                </c:pt>
                <c:pt idx="2986">
                  <c:v>2023.0856745704871</c:v>
                </c:pt>
                <c:pt idx="2987">
                  <c:v>2023.0334269443763</c:v>
                </c:pt>
                <c:pt idx="2988">
                  <c:v>2023.1564131055072</c:v>
                </c:pt>
                <c:pt idx="2989">
                  <c:v>2023.055213291437</c:v>
                </c:pt>
                <c:pt idx="2990">
                  <c:v>2023.2260794875685</c:v>
                </c:pt>
                <c:pt idx="2991">
                  <c:v>2023.0760808801406</c:v>
                </c:pt>
                <c:pt idx="2992">
                  <c:v>2022.9976973398202</c:v>
                </c:pt>
                <c:pt idx="2993">
                  <c:v>2023.0610779024069</c:v>
                </c:pt>
                <c:pt idx="2994">
                  <c:v>2022.7172403885279</c:v>
                </c:pt>
                <c:pt idx="2995">
                  <c:v>2025.3589443113053</c:v>
                </c:pt>
                <c:pt idx="2996">
                  <c:v>2024.9705558298347</c:v>
                </c:pt>
                <c:pt idx="2997">
                  <c:v>2023.2902463716212</c:v>
                </c:pt>
                <c:pt idx="2998">
                  <c:v>2025.0538599935426</c:v>
                </c:pt>
                <c:pt idx="2999">
                  <c:v>2024.6416018991565</c:v>
                </c:pt>
                <c:pt idx="3000">
                  <c:v>2022.914566961746</c:v>
                </c:pt>
                <c:pt idx="3001">
                  <c:v>2024.9118169640276</c:v>
                </c:pt>
                <c:pt idx="3002">
                  <c:v>2025.4069815089433</c:v>
                </c:pt>
                <c:pt idx="3003">
                  <c:v>2022.5935156075925</c:v>
                </c:pt>
                <c:pt idx="3004">
                  <c:v>2023.37650689004</c:v>
                </c:pt>
                <c:pt idx="3005">
                  <c:v>2023.2997703979702</c:v>
                </c:pt>
                <c:pt idx="3006">
                  <c:v>2024.4935630032073</c:v>
                </c:pt>
                <c:pt idx="3007">
                  <c:v>2023.5555368605326</c:v>
                </c:pt>
                <c:pt idx="3008">
                  <c:v>2023.3149345621935</c:v>
                </c:pt>
                <c:pt idx="3009">
                  <c:v>2025.4140610151692</c:v>
                </c:pt>
                <c:pt idx="3010">
                  <c:v>2024.4841966129113</c:v>
                </c:pt>
                <c:pt idx="3011">
                  <c:v>2025.1100952460461</c:v>
                </c:pt>
                <c:pt idx="3012">
                  <c:v>2023.7806350096837</c:v>
                </c:pt>
                <c:pt idx="3013">
                  <c:v>2023.4787505772097</c:v>
                </c:pt>
                <c:pt idx="3014">
                  <c:v>2023.183968733694</c:v>
                </c:pt>
                <c:pt idx="3015">
                  <c:v>2025.7614105412179</c:v>
                </c:pt>
                <c:pt idx="3016">
                  <c:v>2024.4843103416842</c:v>
                </c:pt>
                <c:pt idx="3017">
                  <c:v>2024.8408644162928</c:v>
                </c:pt>
                <c:pt idx="3018">
                  <c:v>2024.2526145591376</c:v>
                </c:pt>
                <c:pt idx="3019">
                  <c:v>2024.4562972640917</c:v>
                </c:pt>
                <c:pt idx="3020">
                  <c:v>2022.6940122477017</c:v>
                </c:pt>
                <c:pt idx="3021">
                  <c:v>2023.2422100154904</c:v>
                </c:pt>
                <c:pt idx="3022">
                  <c:v>2024.6490093488358</c:v>
                </c:pt>
                <c:pt idx="3023">
                  <c:v>2025.1344580139466</c:v>
                </c:pt>
                <c:pt idx="3024">
                  <c:v>2022.8821217522604</c:v>
                </c:pt>
                <c:pt idx="3025">
                  <c:v>2023.2468371788066</c:v>
                </c:pt>
                <c:pt idx="3026">
                  <c:v>2023.2751148056493</c:v>
                </c:pt>
                <c:pt idx="3027">
                  <c:v>2023.1930974391696</c:v>
                </c:pt>
                <c:pt idx="3028">
                  <c:v>2024.7391921440019</c:v>
                </c:pt>
                <c:pt idx="3029">
                  <c:v>2022.8666660091717</c:v>
                </c:pt>
                <c:pt idx="3030">
                  <c:v>2023.2259952112145</c:v>
                </c:pt>
                <c:pt idx="3031">
                  <c:v>2022.9563565550341</c:v>
                </c:pt>
                <c:pt idx="3032">
                  <c:v>2022.9893630034019</c:v>
                </c:pt>
                <c:pt idx="3033">
                  <c:v>2023.5491230216826</c:v>
                </c:pt>
                <c:pt idx="3034">
                  <c:v>2022.6403872752633</c:v>
                </c:pt>
                <c:pt idx="3035">
                  <c:v>2024.6835967407887</c:v>
                </c:pt>
                <c:pt idx="3036">
                  <c:v>2024.4864079666731</c:v>
                </c:pt>
                <c:pt idx="3037">
                  <c:v>2023.4837221163</c:v>
                </c:pt>
                <c:pt idx="3038">
                  <c:v>2022.9748343768269</c:v>
                </c:pt>
                <c:pt idx="3039">
                  <c:v>2026.0457436840077</c:v>
                </c:pt>
                <c:pt idx="3040">
                  <c:v>2023.5033618637208</c:v>
                </c:pt>
                <c:pt idx="3041">
                  <c:v>2024.2737774507386</c:v>
                </c:pt>
                <c:pt idx="3042">
                  <c:v>2022.9553119171535</c:v>
                </c:pt>
                <c:pt idx="3043">
                  <c:v>2023.1387430933546</c:v>
                </c:pt>
                <c:pt idx="3044">
                  <c:v>2025.2393898930832</c:v>
                </c:pt>
                <c:pt idx="3045">
                  <c:v>2024.125757149096</c:v>
                </c:pt>
                <c:pt idx="3046">
                  <c:v>2023.217444652226</c:v>
                </c:pt>
                <c:pt idx="3047">
                  <c:v>2022.7380960564387</c:v>
                </c:pt>
                <c:pt idx="3048">
                  <c:v>2023.3180798531328</c:v>
                </c:pt>
                <c:pt idx="3049">
                  <c:v>2025.8265352776341</c:v>
                </c:pt>
                <c:pt idx="3050">
                  <c:v>2023.0465881952875</c:v>
                </c:pt>
                <c:pt idx="3051">
                  <c:v>2023.2426071031771</c:v>
                </c:pt>
                <c:pt idx="3052">
                  <c:v>2024.5452302323581</c:v>
                </c:pt>
                <c:pt idx="3053">
                  <c:v>2023.075031211356</c:v>
                </c:pt>
                <c:pt idx="3054">
                  <c:v>2023.2302459813793</c:v>
                </c:pt>
                <c:pt idx="3055">
                  <c:v>2023.1830468394257</c:v>
                </c:pt>
                <c:pt idx="3056">
                  <c:v>2024.3286704009774</c:v>
                </c:pt>
                <c:pt idx="3057">
                  <c:v>2022.8337528399857</c:v>
                </c:pt>
                <c:pt idx="3058">
                  <c:v>2024.7201533353143</c:v>
                </c:pt>
                <c:pt idx="3059">
                  <c:v>2022.5800295747072</c:v>
                </c:pt>
                <c:pt idx="3060">
                  <c:v>2022.8047773959806</c:v>
                </c:pt>
                <c:pt idx="3061">
                  <c:v>2023.3446017824006</c:v>
                </c:pt>
                <c:pt idx="3062">
                  <c:v>2023.099954159843</c:v>
                </c:pt>
                <c:pt idx="3063">
                  <c:v>2023.4146491337963</c:v>
                </c:pt>
                <c:pt idx="3064">
                  <c:v>2024.3823091434033</c:v>
                </c:pt>
                <c:pt idx="3065">
                  <c:v>2022.9481458226903</c:v>
                </c:pt>
                <c:pt idx="3066">
                  <c:v>2024.940603791754</c:v>
                </c:pt>
                <c:pt idx="3067">
                  <c:v>2023.3841290354771</c:v>
                </c:pt>
                <c:pt idx="3068">
                  <c:v>2023.6501413322089</c:v>
                </c:pt>
                <c:pt idx="3069">
                  <c:v>2023.18107052087</c:v>
                </c:pt>
                <c:pt idx="3070">
                  <c:v>2025.1801284712562</c:v>
                </c:pt>
                <c:pt idx="3071">
                  <c:v>2023.2372124787978</c:v>
                </c:pt>
                <c:pt idx="3072">
                  <c:v>2024.8713807600238</c:v>
                </c:pt>
                <c:pt idx="3073">
                  <c:v>2022.7069870610637</c:v>
                </c:pt>
                <c:pt idx="3074">
                  <c:v>2024.8845574079564</c:v>
                </c:pt>
                <c:pt idx="3075">
                  <c:v>2024.2060441137364</c:v>
                </c:pt>
                <c:pt idx="3076">
                  <c:v>2023.2280659686687</c:v>
                </c:pt>
                <c:pt idx="3077">
                  <c:v>2025.3460077917532</c:v>
                </c:pt>
                <c:pt idx="3078">
                  <c:v>2023.0494599312781</c:v>
                </c:pt>
                <c:pt idx="3079">
                  <c:v>2022.9000195553531</c:v>
                </c:pt>
                <c:pt idx="3080">
                  <c:v>2023.0069809782849</c:v>
                </c:pt>
                <c:pt idx="3081">
                  <c:v>2024.8580909772706</c:v>
                </c:pt>
                <c:pt idx="3082">
                  <c:v>2024.5864893049616</c:v>
                </c:pt>
                <c:pt idx="3083">
                  <c:v>2023.0591970746623</c:v>
                </c:pt>
                <c:pt idx="3084">
                  <c:v>2023.0348464628307</c:v>
                </c:pt>
                <c:pt idx="3085">
                  <c:v>2024.893572456202</c:v>
                </c:pt>
                <c:pt idx="3086">
                  <c:v>2023.4789518327209</c:v>
                </c:pt>
                <c:pt idx="3087">
                  <c:v>2023.239190344286</c:v>
                </c:pt>
                <c:pt idx="3088">
                  <c:v>2023.2335580391068</c:v>
                </c:pt>
                <c:pt idx="3089">
                  <c:v>2024.8614294716626</c:v>
                </c:pt>
                <c:pt idx="3090">
                  <c:v>2023.2627100972732</c:v>
                </c:pt>
                <c:pt idx="3091">
                  <c:v>2023.217201345313</c:v>
                </c:pt>
                <c:pt idx="3092">
                  <c:v>2022.8967399911421</c:v>
                </c:pt>
                <c:pt idx="3093">
                  <c:v>2023.6845740898596</c:v>
                </c:pt>
                <c:pt idx="3094">
                  <c:v>2022.7379266209443</c:v>
                </c:pt>
                <c:pt idx="3095">
                  <c:v>2022.9899025857399</c:v>
                </c:pt>
                <c:pt idx="3096">
                  <c:v>2023.1180339184566</c:v>
                </c:pt>
                <c:pt idx="3097">
                  <c:v>2022.9075456667695</c:v>
                </c:pt>
                <c:pt idx="3098">
                  <c:v>2024.6558421255781</c:v>
                </c:pt>
                <c:pt idx="3099">
                  <c:v>2023.1083291127838</c:v>
                </c:pt>
                <c:pt idx="3100">
                  <c:v>2022.8193252444257</c:v>
                </c:pt>
                <c:pt idx="3101">
                  <c:v>2025.0362337084073</c:v>
                </c:pt>
                <c:pt idx="3102">
                  <c:v>2023.4420008942836</c:v>
                </c:pt>
                <c:pt idx="3103">
                  <c:v>2023.4544128766145</c:v>
                </c:pt>
                <c:pt idx="3104">
                  <c:v>2023.0265704677588</c:v>
                </c:pt>
                <c:pt idx="3105">
                  <c:v>2023.1995198997054</c:v>
                </c:pt>
                <c:pt idx="3106">
                  <c:v>2023.0638954143153</c:v>
                </c:pt>
                <c:pt idx="3107">
                  <c:v>2023.2926022807453</c:v>
                </c:pt>
                <c:pt idx="3108">
                  <c:v>2023.1307405005264</c:v>
                </c:pt>
                <c:pt idx="3109">
                  <c:v>2023.1192088645835</c:v>
                </c:pt>
                <c:pt idx="3110">
                  <c:v>2023.3873155908789</c:v>
                </c:pt>
                <c:pt idx="3111">
                  <c:v>2023.0126331719089</c:v>
                </c:pt>
                <c:pt idx="3112">
                  <c:v>2023.0731836729981</c:v>
                </c:pt>
                <c:pt idx="3113">
                  <c:v>2023.3281480523008</c:v>
                </c:pt>
                <c:pt idx="3114">
                  <c:v>2022.7932813311686</c:v>
                </c:pt>
                <c:pt idx="3115">
                  <c:v>2024.9955048431329</c:v>
                </c:pt>
                <c:pt idx="3116">
                  <c:v>2023.3578424519019</c:v>
                </c:pt>
                <c:pt idx="3117">
                  <c:v>2022.8294356067508</c:v>
                </c:pt>
                <c:pt idx="3118">
                  <c:v>2023.1252624198598</c:v>
                </c:pt>
                <c:pt idx="3119">
                  <c:v>2023.1394744269203</c:v>
                </c:pt>
                <c:pt idx="3120">
                  <c:v>2023.6487271036738</c:v>
                </c:pt>
                <c:pt idx="3121">
                  <c:v>2023.5137942056801</c:v>
                </c:pt>
                <c:pt idx="3122">
                  <c:v>2023.0383899445467</c:v>
                </c:pt>
                <c:pt idx="3123">
                  <c:v>2023.2812200317942</c:v>
                </c:pt>
                <c:pt idx="3124">
                  <c:v>2023.2377473921697</c:v>
                </c:pt>
                <c:pt idx="3125">
                  <c:v>2024.4848551512707</c:v>
                </c:pt>
                <c:pt idx="3126">
                  <c:v>2023.018573436867</c:v>
                </c:pt>
                <c:pt idx="3127">
                  <c:v>2024.6379528295768</c:v>
                </c:pt>
                <c:pt idx="3128">
                  <c:v>2025.1005705083473</c:v>
                </c:pt>
                <c:pt idx="3129">
                  <c:v>2024.6614331144958</c:v>
                </c:pt>
                <c:pt idx="3130">
                  <c:v>2024.9718240653483</c:v>
                </c:pt>
                <c:pt idx="3131">
                  <c:v>2023.2026425911661</c:v>
                </c:pt>
                <c:pt idx="3132">
                  <c:v>2024.9535179171917</c:v>
                </c:pt>
                <c:pt idx="3133">
                  <c:v>2025.3452740528369</c:v>
                </c:pt>
                <c:pt idx="3134">
                  <c:v>2023.0279013837737</c:v>
                </c:pt>
                <c:pt idx="3135">
                  <c:v>2023.4924798503489</c:v>
                </c:pt>
                <c:pt idx="3136">
                  <c:v>2023.494402668018</c:v>
                </c:pt>
                <c:pt idx="3137">
                  <c:v>2023.0527579222387</c:v>
                </c:pt>
                <c:pt idx="3138">
                  <c:v>2025.2002044719547</c:v>
                </c:pt>
                <c:pt idx="3139">
                  <c:v>2024.5563888358495</c:v>
                </c:pt>
                <c:pt idx="3140">
                  <c:v>2023.0578070911261</c:v>
                </c:pt>
                <c:pt idx="3141">
                  <c:v>2023.729447192178</c:v>
                </c:pt>
                <c:pt idx="3142">
                  <c:v>2023.0288295010967</c:v>
                </c:pt>
                <c:pt idx="3143">
                  <c:v>2023.1736735778563</c:v>
                </c:pt>
                <c:pt idx="3144">
                  <c:v>2022.8547904487486</c:v>
                </c:pt>
                <c:pt idx="3145">
                  <c:v>2024.6805957511031</c:v>
                </c:pt>
                <c:pt idx="3146">
                  <c:v>2023.196322372565</c:v>
                </c:pt>
                <c:pt idx="3147">
                  <c:v>2022.9893663049361</c:v>
                </c:pt>
                <c:pt idx="3148">
                  <c:v>2024.792505794926</c:v>
                </c:pt>
                <c:pt idx="3149">
                  <c:v>2024.894917490893</c:v>
                </c:pt>
                <c:pt idx="3150">
                  <c:v>2023.3768793113645</c:v>
                </c:pt>
                <c:pt idx="3151">
                  <c:v>2022.9427972095752</c:v>
                </c:pt>
                <c:pt idx="3152">
                  <c:v>2022.994530893111</c:v>
                </c:pt>
                <c:pt idx="3153">
                  <c:v>2023.3028170308166</c:v>
                </c:pt>
                <c:pt idx="3154">
                  <c:v>2023.540781382957</c:v>
                </c:pt>
                <c:pt idx="3155">
                  <c:v>2022.7571210568844</c:v>
                </c:pt>
                <c:pt idx="3156">
                  <c:v>2022.7803466886473</c:v>
                </c:pt>
                <c:pt idx="3157">
                  <c:v>2024.526749677314</c:v>
                </c:pt>
                <c:pt idx="3158">
                  <c:v>2022.7190324421085</c:v>
                </c:pt>
                <c:pt idx="3159">
                  <c:v>2023.1438214374541</c:v>
                </c:pt>
                <c:pt idx="3160">
                  <c:v>2025.1125583413962</c:v>
                </c:pt>
                <c:pt idx="3161">
                  <c:v>2023.043617200628</c:v>
                </c:pt>
                <c:pt idx="3162">
                  <c:v>2022.9684216561795</c:v>
                </c:pt>
                <c:pt idx="3163">
                  <c:v>2025.0086160551534</c:v>
                </c:pt>
                <c:pt idx="3164">
                  <c:v>2024.9944948744792</c:v>
                </c:pt>
                <c:pt idx="3165">
                  <c:v>2023.1509766600141</c:v>
                </c:pt>
                <c:pt idx="3166">
                  <c:v>2024.3885398564848</c:v>
                </c:pt>
                <c:pt idx="3167">
                  <c:v>2024.2503644596336</c:v>
                </c:pt>
                <c:pt idx="3168">
                  <c:v>2022.8592236068059</c:v>
                </c:pt>
                <c:pt idx="3169">
                  <c:v>2024.5915306565996</c:v>
                </c:pt>
                <c:pt idx="3170">
                  <c:v>2023.0322925880778</c:v>
                </c:pt>
                <c:pt idx="3171">
                  <c:v>2022.9546423608626</c:v>
                </c:pt>
                <c:pt idx="3172">
                  <c:v>2024.9515715016685</c:v>
                </c:pt>
                <c:pt idx="3173">
                  <c:v>2022.6860249299248</c:v>
                </c:pt>
                <c:pt idx="3174">
                  <c:v>2024.4576904139549</c:v>
                </c:pt>
                <c:pt idx="3175">
                  <c:v>2022.8157833016671</c:v>
                </c:pt>
                <c:pt idx="3176">
                  <c:v>2023.2145442148101</c:v>
                </c:pt>
                <c:pt idx="3177">
                  <c:v>2023.2104530834604</c:v>
                </c:pt>
                <c:pt idx="3178">
                  <c:v>2023.3553125104361</c:v>
                </c:pt>
                <c:pt idx="3179">
                  <c:v>2025.1415500351818</c:v>
                </c:pt>
                <c:pt idx="3180">
                  <c:v>2023.0747466465145</c:v>
                </c:pt>
                <c:pt idx="3181">
                  <c:v>2024.6945073599472</c:v>
                </c:pt>
                <c:pt idx="3182">
                  <c:v>2024.6303309546447</c:v>
                </c:pt>
                <c:pt idx="3183">
                  <c:v>2024.5717613527902</c:v>
                </c:pt>
                <c:pt idx="3184">
                  <c:v>2025.8916180433448</c:v>
                </c:pt>
                <c:pt idx="3185">
                  <c:v>2023.3178088001343</c:v>
                </c:pt>
                <c:pt idx="3186">
                  <c:v>2023.0049447109855</c:v>
                </c:pt>
                <c:pt idx="3187">
                  <c:v>2023.690084506668</c:v>
                </c:pt>
                <c:pt idx="3188">
                  <c:v>2024.5819234960652</c:v>
                </c:pt>
                <c:pt idx="3189">
                  <c:v>2024.9735791424328</c:v>
                </c:pt>
                <c:pt idx="3190">
                  <c:v>2023.098010802828</c:v>
                </c:pt>
                <c:pt idx="3191">
                  <c:v>2022.9719387362293</c:v>
                </c:pt>
                <c:pt idx="3192">
                  <c:v>2023.4919714547673</c:v>
                </c:pt>
                <c:pt idx="3193">
                  <c:v>2022.7818539412265</c:v>
                </c:pt>
                <c:pt idx="3194">
                  <c:v>2022.8809625942988</c:v>
                </c:pt>
                <c:pt idx="3195">
                  <c:v>2023.5628866492102</c:v>
                </c:pt>
                <c:pt idx="3196">
                  <c:v>2023.182843626395</c:v>
                </c:pt>
                <c:pt idx="3197">
                  <c:v>2022.9292738829233</c:v>
                </c:pt>
                <c:pt idx="3198">
                  <c:v>2024.2867728876215</c:v>
                </c:pt>
                <c:pt idx="3199">
                  <c:v>2023.6602401495779</c:v>
                </c:pt>
                <c:pt idx="3200">
                  <c:v>2023.4056301463743</c:v>
                </c:pt>
                <c:pt idx="3201">
                  <c:v>2022.8160110825474</c:v>
                </c:pt>
                <c:pt idx="3202">
                  <c:v>2022.8538272701899</c:v>
                </c:pt>
                <c:pt idx="3203">
                  <c:v>2024.2502537741141</c:v>
                </c:pt>
                <c:pt idx="3204">
                  <c:v>2022.914561507291</c:v>
                </c:pt>
                <c:pt idx="3205">
                  <c:v>2023.2034042053554</c:v>
                </c:pt>
                <c:pt idx="3206">
                  <c:v>2024.6658903039238</c:v>
                </c:pt>
                <c:pt idx="3207">
                  <c:v>2023.1094676449009</c:v>
                </c:pt>
                <c:pt idx="3208">
                  <c:v>2024.442951250066</c:v>
                </c:pt>
                <c:pt idx="3209">
                  <c:v>2023.4578851514241</c:v>
                </c:pt>
                <c:pt idx="3210">
                  <c:v>2024.2487110285333</c:v>
                </c:pt>
                <c:pt idx="3211">
                  <c:v>2023.2602627789727</c:v>
                </c:pt>
                <c:pt idx="3212">
                  <c:v>2023.219291465422</c:v>
                </c:pt>
                <c:pt idx="3213">
                  <c:v>2022.8431116911217</c:v>
                </c:pt>
                <c:pt idx="3214">
                  <c:v>2022.8752894033728</c:v>
                </c:pt>
                <c:pt idx="3215">
                  <c:v>2022.8710947834213</c:v>
                </c:pt>
                <c:pt idx="3216">
                  <c:v>2023.1941195202053</c:v>
                </c:pt>
                <c:pt idx="3217">
                  <c:v>2023.5475125993928</c:v>
                </c:pt>
                <c:pt idx="3218">
                  <c:v>2022.896496262176</c:v>
                </c:pt>
                <c:pt idx="3219">
                  <c:v>2025.0058348399664</c:v>
                </c:pt>
                <c:pt idx="3220">
                  <c:v>2023.0351237655827</c:v>
                </c:pt>
                <c:pt idx="3221">
                  <c:v>2023.4994612131684</c:v>
                </c:pt>
                <c:pt idx="3222">
                  <c:v>2023.0775209520261</c:v>
                </c:pt>
                <c:pt idx="3223">
                  <c:v>2022.7157588237822</c:v>
                </c:pt>
                <c:pt idx="3224">
                  <c:v>2023.6844931945077</c:v>
                </c:pt>
                <c:pt idx="3225">
                  <c:v>2022.7953692262433</c:v>
                </c:pt>
                <c:pt idx="3226">
                  <c:v>2025.0203066626384</c:v>
                </c:pt>
                <c:pt idx="3227">
                  <c:v>2023.2087958000961</c:v>
                </c:pt>
                <c:pt idx="3228">
                  <c:v>2025.1146603549535</c:v>
                </c:pt>
                <c:pt idx="3229">
                  <c:v>2023.0932928742939</c:v>
                </c:pt>
                <c:pt idx="3230">
                  <c:v>2023.361440624001</c:v>
                </c:pt>
                <c:pt idx="3231">
                  <c:v>2025.085245188623</c:v>
                </c:pt>
                <c:pt idx="3232">
                  <c:v>2023.2860896809996</c:v>
                </c:pt>
                <c:pt idx="3233">
                  <c:v>2024.2737690618633</c:v>
                </c:pt>
                <c:pt idx="3234">
                  <c:v>2023.4346766708982</c:v>
                </c:pt>
                <c:pt idx="3235">
                  <c:v>2022.8301365400498</c:v>
                </c:pt>
                <c:pt idx="3236">
                  <c:v>2024.8906603963201</c:v>
                </c:pt>
                <c:pt idx="3237">
                  <c:v>2023.60851310518</c:v>
                </c:pt>
                <c:pt idx="3238">
                  <c:v>2023.0915856703161</c:v>
                </c:pt>
                <c:pt idx="3239">
                  <c:v>2023.6599752459456</c:v>
                </c:pt>
                <c:pt idx="3240">
                  <c:v>2025.1643874827428</c:v>
                </c:pt>
                <c:pt idx="3241">
                  <c:v>2023.1571383111188</c:v>
                </c:pt>
                <c:pt idx="3242">
                  <c:v>2023.3283280401913</c:v>
                </c:pt>
                <c:pt idx="3243">
                  <c:v>2023.4298714577162</c:v>
                </c:pt>
                <c:pt idx="3244">
                  <c:v>2024.7660536393639</c:v>
                </c:pt>
                <c:pt idx="3245">
                  <c:v>2022.7562485696585</c:v>
                </c:pt>
                <c:pt idx="3246">
                  <c:v>2023.8289217703602</c:v>
                </c:pt>
                <c:pt idx="3247">
                  <c:v>2023.0355668318125</c:v>
                </c:pt>
                <c:pt idx="3248">
                  <c:v>2022.9477944288976</c:v>
                </c:pt>
                <c:pt idx="3249">
                  <c:v>2024.3550122161055</c:v>
                </c:pt>
                <c:pt idx="3250">
                  <c:v>2024.272613410523</c:v>
                </c:pt>
                <c:pt idx="3251">
                  <c:v>2025.5290492688951</c:v>
                </c:pt>
                <c:pt idx="3252">
                  <c:v>2025.3272587434915</c:v>
                </c:pt>
                <c:pt idx="3253">
                  <c:v>2022.8811567422611</c:v>
                </c:pt>
                <c:pt idx="3254">
                  <c:v>2023.2530023651225</c:v>
                </c:pt>
                <c:pt idx="3255">
                  <c:v>2023.2040581351264</c:v>
                </c:pt>
                <c:pt idx="3256">
                  <c:v>2022.8081151208266</c:v>
                </c:pt>
                <c:pt idx="3257">
                  <c:v>2023.307103741631</c:v>
                </c:pt>
                <c:pt idx="3258">
                  <c:v>2025.2579913443133</c:v>
                </c:pt>
                <c:pt idx="3259">
                  <c:v>2022.8696390072196</c:v>
                </c:pt>
                <c:pt idx="3260">
                  <c:v>2023.9612639915915</c:v>
                </c:pt>
                <c:pt idx="3261">
                  <c:v>2022.8604681462343</c:v>
                </c:pt>
                <c:pt idx="3262">
                  <c:v>2024.6883075639068</c:v>
                </c:pt>
                <c:pt idx="3263">
                  <c:v>2025.2579847822196</c:v>
                </c:pt>
                <c:pt idx="3264">
                  <c:v>2023.1922102674037</c:v>
                </c:pt>
                <c:pt idx="3265">
                  <c:v>2023.0200420739066</c:v>
                </c:pt>
                <c:pt idx="3266">
                  <c:v>2023.2735737875716</c:v>
                </c:pt>
                <c:pt idx="3267">
                  <c:v>2024.1664481056998</c:v>
                </c:pt>
                <c:pt idx="3268">
                  <c:v>2022.5775689771738</c:v>
                </c:pt>
                <c:pt idx="3269">
                  <c:v>2023.3540885412947</c:v>
                </c:pt>
                <c:pt idx="3270">
                  <c:v>2023.4723368194282</c:v>
                </c:pt>
                <c:pt idx="3271">
                  <c:v>2022.9723319665109</c:v>
                </c:pt>
                <c:pt idx="3272">
                  <c:v>2022.8871897099764</c:v>
                </c:pt>
                <c:pt idx="3273">
                  <c:v>2022.6489826146258</c:v>
                </c:pt>
                <c:pt idx="3274">
                  <c:v>2025.0739846146332</c:v>
                </c:pt>
                <c:pt idx="3275">
                  <c:v>2023.0499031539409</c:v>
                </c:pt>
                <c:pt idx="3276">
                  <c:v>2024.763752128013</c:v>
                </c:pt>
                <c:pt idx="3277">
                  <c:v>2023.5243164381393</c:v>
                </c:pt>
                <c:pt idx="3278">
                  <c:v>2024.734620270345</c:v>
                </c:pt>
                <c:pt idx="3279">
                  <c:v>2022.9600315308387</c:v>
                </c:pt>
                <c:pt idx="3280">
                  <c:v>2023.5713656909909</c:v>
                </c:pt>
                <c:pt idx="3281">
                  <c:v>2023.5519895565728</c:v>
                </c:pt>
                <c:pt idx="3282">
                  <c:v>2022.8892344451338</c:v>
                </c:pt>
                <c:pt idx="3283">
                  <c:v>2023.0862843418442</c:v>
                </c:pt>
                <c:pt idx="3284">
                  <c:v>2025.0842095925343</c:v>
                </c:pt>
                <c:pt idx="3285">
                  <c:v>2022.9483470532014</c:v>
                </c:pt>
                <c:pt idx="3286">
                  <c:v>2025.3667933052282</c:v>
                </c:pt>
                <c:pt idx="3287">
                  <c:v>2023.3303390460139</c:v>
                </c:pt>
                <c:pt idx="3288">
                  <c:v>2023.2142008050441</c:v>
                </c:pt>
                <c:pt idx="3289">
                  <c:v>2023.6498147909426</c:v>
                </c:pt>
                <c:pt idx="3290">
                  <c:v>2023.2361691474855</c:v>
                </c:pt>
                <c:pt idx="3291">
                  <c:v>2025.3396040388484</c:v>
                </c:pt>
                <c:pt idx="3292">
                  <c:v>2023.5995210892845</c:v>
                </c:pt>
                <c:pt idx="3293">
                  <c:v>2024.6455647233606</c:v>
                </c:pt>
                <c:pt idx="3294">
                  <c:v>2022.8820215170242</c:v>
                </c:pt>
                <c:pt idx="3295">
                  <c:v>2022.8710722157891</c:v>
                </c:pt>
                <c:pt idx="3296">
                  <c:v>2024.3389770378749</c:v>
                </c:pt>
                <c:pt idx="3297">
                  <c:v>2024.7647727031999</c:v>
                </c:pt>
                <c:pt idx="3298">
                  <c:v>2022.9449667981382</c:v>
                </c:pt>
                <c:pt idx="3299">
                  <c:v>2025.1080286072579</c:v>
                </c:pt>
                <c:pt idx="3300">
                  <c:v>2024.8034714567784</c:v>
                </c:pt>
                <c:pt idx="3301">
                  <c:v>2022.5785427709943</c:v>
                </c:pt>
                <c:pt idx="3302">
                  <c:v>2023.1595322032044</c:v>
                </c:pt>
                <c:pt idx="3303">
                  <c:v>2024.2422789017937</c:v>
                </c:pt>
                <c:pt idx="3304">
                  <c:v>2023.0656558023941</c:v>
                </c:pt>
                <c:pt idx="3305">
                  <c:v>2022.8901802180721</c:v>
                </c:pt>
                <c:pt idx="3306">
                  <c:v>2023.0764530386618</c:v>
                </c:pt>
                <c:pt idx="3307">
                  <c:v>2023.29213172501</c:v>
                </c:pt>
                <c:pt idx="3308">
                  <c:v>2025.3841767731656</c:v>
                </c:pt>
                <c:pt idx="3309">
                  <c:v>2022.6895902693514</c:v>
                </c:pt>
                <c:pt idx="3310">
                  <c:v>2025.5683473934635</c:v>
                </c:pt>
                <c:pt idx="3311">
                  <c:v>2023.2227034869975</c:v>
                </c:pt>
                <c:pt idx="3312">
                  <c:v>2025.2197727308137</c:v>
                </c:pt>
                <c:pt idx="3313">
                  <c:v>2023.3646932994848</c:v>
                </c:pt>
                <c:pt idx="3314">
                  <c:v>2025.3626300714704</c:v>
                </c:pt>
                <c:pt idx="3315">
                  <c:v>2023.677090334553</c:v>
                </c:pt>
                <c:pt idx="3316">
                  <c:v>2023.3230235106284</c:v>
                </c:pt>
                <c:pt idx="3317">
                  <c:v>2023.3247088054507</c:v>
                </c:pt>
                <c:pt idx="3318">
                  <c:v>2023.3683462307615</c:v>
                </c:pt>
                <c:pt idx="3319">
                  <c:v>2023.8819526595682</c:v>
                </c:pt>
                <c:pt idx="3320">
                  <c:v>2024.756658280987</c:v>
                </c:pt>
                <c:pt idx="3321">
                  <c:v>2023.4399557710576</c:v>
                </c:pt>
                <c:pt idx="3322">
                  <c:v>2023.1455922567488</c:v>
                </c:pt>
                <c:pt idx="3323">
                  <c:v>2023.4190516794999</c:v>
                </c:pt>
                <c:pt idx="3324">
                  <c:v>2023.5310883512193</c:v>
                </c:pt>
                <c:pt idx="3325">
                  <c:v>2024.6347412291091</c:v>
                </c:pt>
                <c:pt idx="3326">
                  <c:v>2023.5604320036985</c:v>
                </c:pt>
                <c:pt idx="3327">
                  <c:v>2023.1492583167949</c:v>
                </c:pt>
                <c:pt idx="3328">
                  <c:v>2023.2850223551686</c:v>
                </c:pt>
                <c:pt idx="3329">
                  <c:v>2023.5126200320524</c:v>
                </c:pt>
                <c:pt idx="3330">
                  <c:v>2023.4780510031342</c:v>
                </c:pt>
                <c:pt idx="3331">
                  <c:v>2023.0120982608059</c:v>
                </c:pt>
                <c:pt idx="3332">
                  <c:v>2022.8895862172083</c:v>
                </c:pt>
                <c:pt idx="3333">
                  <c:v>2024.7889432668246</c:v>
                </c:pt>
                <c:pt idx="3334">
                  <c:v>2022.8227907884079</c:v>
                </c:pt>
                <c:pt idx="3335">
                  <c:v>2023.0172035406565</c:v>
                </c:pt>
                <c:pt idx="3336">
                  <c:v>2024.3412965399727</c:v>
                </c:pt>
                <c:pt idx="3337">
                  <c:v>2022.9491783700994</c:v>
                </c:pt>
                <c:pt idx="3338">
                  <c:v>2025.1095782313039</c:v>
                </c:pt>
                <c:pt idx="3339">
                  <c:v>2023.4959579959941</c:v>
                </c:pt>
                <c:pt idx="3340">
                  <c:v>2022.8017756643753</c:v>
                </c:pt>
                <c:pt idx="3341">
                  <c:v>2023.0203934263684</c:v>
                </c:pt>
                <c:pt idx="3342">
                  <c:v>2023.0885033202019</c:v>
                </c:pt>
                <c:pt idx="3343">
                  <c:v>2022.7036088960758</c:v>
                </c:pt>
                <c:pt idx="3344">
                  <c:v>2023.2594037411918</c:v>
                </c:pt>
                <c:pt idx="3345">
                  <c:v>2024.8193253253021</c:v>
                </c:pt>
                <c:pt idx="3346">
                  <c:v>2024.439050754831</c:v>
                </c:pt>
                <c:pt idx="3347">
                  <c:v>2022.9627601483642</c:v>
                </c:pt>
                <c:pt idx="3348">
                  <c:v>2022.9122223700203</c:v>
                </c:pt>
                <c:pt idx="3349">
                  <c:v>2024.5877103881476</c:v>
                </c:pt>
                <c:pt idx="3350">
                  <c:v>2023.2455689725591</c:v>
                </c:pt>
                <c:pt idx="3351">
                  <c:v>2025.3094764568264</c:v>
                </c:pt>
                <c:pt idx="3352">
                  <c:v>2024.6944435764121</c:v>
                </c:pt>
                <c:pt idx="3353">
                  <c:v>2024.7146764400397</c:v>
                </c:pt>
                <c:pt idx="3354">
                  <c:v>2023.4796634329703</c:v>
                </c:pt>
                <c:pt idx="3355">
                  <c:v>2023.2430687821607</c:v>
                </c:pt>
                <c:pt idx="3356">
                  <c:v>2022.882191976596</c:v>
                </c:pt>
                <c:pt idx="3357">
                  <c:v>2022.5954468020884</c:v>
                </c:pt>
                <c:pt idx="3358">
                  <c:v>2023.3530672960781</c:v>
                </c:pt>
                <c:pt idx="3359">
                  <c:v>2022.90145211768</c:v>
                </c:pt>
                <c:pt idx="3360">
                  <c:v>2025.2930204816853</c:v>
                </c:pt>
                <c:pt idx="3361">
                  <c:v>2023.0422031752075</c:v>
                </c:pt>
                <c:pt idx="3362">
                  <c:v>2023.514435677519</c:v>
                </c:pt>
                <c:pt idx="3363">
                  <c:v>2023.5332494352945</c:v>
                </c:pt>
                <c:pt idx="3364">
                  <c:v>2025.5706438402549</c:v>
                </c:pt>
                <c:pt idx="3365">
                  <c:v>2022.8820330945646</c:v>
                </c:pt>
                <c:pt idx="3366">
                  <c:v>2024.5373664183323</c:v>
                </c:pt>
                <c:pt idx="3367">
                  <c:v>2025.1234296904879</c:v>
                </c:pt>
                <c:pt idx="3368">
                  <c:v>2023.2333766209572</c:v>
                </c:pt>
                <c:pt idx="3369">
                  <c:v>2022.9045562725403</c:v>
                </c:pt>
                <c:pt idx="3370">
                  <c:v>2025.1147968711236</c:v>
                </c:pt>
                <c:pt idx="3371">
                  <c:v>2024.6848748807863</c:v>
                </c:pt>
                <c:pt idx="3372">
                  <c:v>2022.87110099913</c:v>
                </c:pt>
                <c:pt idx="3373">
                  <c:v>2023.1393001477502</c:v>
                </c:pt>
                <c:pt idx="3374">
                  <c:v>2023.5395547978633</c:v>
                </c:pt>
                <c:pt idx="3375">
                  <c:v>2023.1994903353836</c:v>
                </c:pt>
                <c:pt idx="3376">
                  <c:v>2025.2054346540531</c:v>
                </c:pt>
                <c:pt idx="3377">
                  <c:v>2022.8460042068316</c:v>
                </c:pt>
                <c:pt idx="3378">
                  <c:v>2023.6924926668801</c:v>
                </c:pt>
                <c:pt idx="3379">
                  <c:v>2024.5751331501149</c:v>
                </c:pt>
                <c:pt idx="3380">
                  <c:v>2023.0972114109466</c:v>
                </c:pt>
                <c:pt idx="3381">
                  <c:v>2023.2953612156357</c:v>
                </c:pt>
                <c:pt idx="3382">
                  <c:v>2023.5230578328897</c:v>
                </c:pt>
                <c:pt idx="3383">
                  <c:v>2025.2388353715703</c:v>
                </c:pt>
                <c:pt idx="3384">
                  <c:v>2023.2734032024744</c:v>
                </c:pt>
                <c:pt idx="3385">
                  <c:v>2023.3049053422073</c:v>
                </c:pt>
                <c:pt idx="3386">
                  <c:v>2025.1633765658071</c:v>
                </c:pt>
                <c:pt idx="3387">
                  <c:v>2023.8253166756483</c:v>
                </c:pt>
                <c:pt idx="3388">
                  <c:v>2024.4043036148212</c:v>
                </c:pt>
                <c:pt idx="3389">
                  <c:v>2023.3170282494598</c:v>
                </c:pt>
                <c:pt idx="3390">
                  <c:v>2024.9897485786748</c:v>
                </c:pt>
                <c:pt idx="3391">
                  <c:v>2022.72110700198</c:v>
                </c:pt>
                <c:pt idx="3392">
                  <c:v>2022.9252520550176</c:v>
                </c:pt>
                <c:pt idx="3393">
                  <c:v>2024.4886009214688</c:v>
                </c:pt>
                <c:pt idx="3394">
                  <c:v>2023.3088918708438</c:v>
                </c:pt>
                <c:pt idx="3395">
                  <c:v>2024.8711189425746</c:v>
                </c:pt>
                <c:pt idx="3396">
                  <c:v>2023.4309114179155</c:v>
                </c:pt>
                <c:pt idx="3397">
                  <c:v>2023.29879302781</c:v>
                </c:pt>
                <c:pt idx="3398">
                  <c:v>2023.5512969398965</c:v>
                </c:pt>
                <c:pt idx="3399">
                  <c:v>2023.1946791375353</c:v>
                </c:pt>
                <c:pt idx="3400">
                  <c:v>2023.1706771724546</c:v>
                </c:pt>
                <c:pt idx="3401">
                  <c:v>2022.7259305804275</c:v>
                </c:pt>
                <c:pt idx="3402">
                  <c:v>2023.3997488377818</c:v>
                </c:pt>
                <c:pt idx="3403">
                  <c:v>2025.165388729147</c:v>
                </c:pt>
                <c:pt idx="3404">
                  <c:v>2022.765859139686</c:v>
                </c:pt>
                <c:pt idx="3405">
                  <c:v>2025.1721246117297</c:v>
                </c:pt>
                <c:pt idx="3406">
                  <c:v>2023.4115923862526</c:v>
                </c:pt>
                <c:pt idx="3407">
                  <c:v>2023.5903501328239</c:v>
                </c:pt>
                <c:pt idx="3408">
                  <c:v>2025.4869401454296</c:v>
                </c:pt>
                <c:pt idx="3409">
                  <c:v>2022.8375558584708</c:v>
                </c:pt>
                <c:pt idx="3410">
                  <c:v>2023.2517890934139</c:v>
                </c:pt>
                <c:pt idx="3411">
                  <c:v>2025.2779923425016</c:v>
                </c:pt>
                <c:pt idx="3412">
                  <c:v>2023.4213276612049</c:v>
                </c:pt>
                <c:pt idx="3413">
                  <c:v>2025.2823721241309</c:v>
                </c:pt>
                <c:pt idx="3414">
                  <c:v>2023.6691895813374</c:v>
                </c:pt>
                <c:pt idx="3415">
                  <c:v>2023.5970175224581</c:v>
                </c:pt>
                <c:pt idx="3416">
                  <c:v>2022.9686290952693</c:v>
                </c:pt>
                <c:pt idx="3417">
                  <c:v>2023.1999132086983</c:v>
                </c:pt>
                <c:pt idx="3418">
                  <c:v>2022.9733889591903</c:v>
                </c:pt>
                <c:pt idx="3419">
                  <c:v>2022.8239272990813</c:v>
                </c:pt>
                <c:pt idx="3420">
                  <c:v>2023.6811810765407</c:v>
                </c:pt>
                <c:pt idx="3421">
                  <c:v>2023.1967004830822</c:v>
                </c:pt>
                <c:pt idx="3422">
                  <c:v>2022.837131972824</c:v>
                </c:pt>
                <c:pt idx="3423">
                  <c:v>2022.8810522061995</c:v>
                </c:pt>
                <c:pt idx="3424">
                  <c:v>2022.8100435391164</c:v>
                </c:pt>
                <c:pt idx="3425">
                  <c:v>2023.8071207868263</c:v>
                </c:pt>
                <c:pt idx="3426">
                  <c:v>2024.7111045691581</c:v>
                </c:pt>
                <c:pt idx="3427">
                  <c:v>2025.3734693453639</c:v>
                </c:pt>
                <c:pt idx="3428">
                  <c:v>2023.3338285300351</c:v>
                </c:pt>
                <c:pt idx="3429">
                  <c:v>2023.6094844851032</c:v>
                </c:pt>
                <c:pt idx="3430">
                  <c:v>2023.9147939662059</c:v>
                </c:pt>
                <c:pt idx="3431">
                  <c:v>2023.2394720764373</c:v>
                </c:pt>
                <c:pt idx="3432">
                  <c:v>2023.8650372555026</c:v>
                </c:pt>
                <c:pt idx="3433">
                  <c:v>2025.3770340841379</c:v>
                </c:pt>
                <c:pt idx="3434">
                  <c:v>2023.0331382029779</c:v>
                </c:pt>
                <c:pt idx="3435">
                  <c:v>2023.3670763030589</c:v>
                </c:pt>
                <c:pt idx="3436">
                  <c:v>2024.6028837354622</c:v>
                </c:pt>
                <c:pt idx="3437">
                  <c:v>2023.8300310824509</c:v>
                </c:pt>
                <c:pt idx="3438">
                  <c:v>2023.4727497730166</c:v>
                </c:pt>
                <c:pt idx="3439">
                  <c:v>2023.1684557984458</c:v>
                </c:pt>
                <c:pt idx="3440">
                  <c:v>2025.234401428874</c:v>
                </c:pt>
                <c:pt idx="3441">
                  <c:v>2022.8576142223271</c:v>
                </c:pt>
                <c:pt idx="3442">
                  <c:v>2023.1290893552618</c:v>
                </c:pt>
                <c:pt idx="3443">
                  <c:v>2022.5518654443065</c:v>
                </c:pt>
                <c:pt idx="3444">
                  <c:v>2024.4985561107671</c:v>
                </c:pt>
                <c:pt idx="3445">
                  <c:v>2023.0936823983532</c:v>
                </c:pt>
                <c:pt idx="3446">
                  <c:v>2023.4248269644208</c:v>
                </c:pt>
                <c:pt idx="3447">
                  <c:v>2023.4369982571645</c:v>
                </c:pt>
                <c:pt idx="3448">
                  <c:v>2024.5991774471411</c:v>
                </c:pt>
                <c:pt idx="3449">
                  <c:v>2022.9576198349719</c:v>
                </c:pt>
                <c:pt idx="3450">
                  <c:v>2025.3939664808252</c:v>
                </c:pt>
                <c:pt idx="3451">
                  <c:v>2026.1171775937498</c:v>
                </c:pt>
                <c:pt idx="3452">
                  <c:v>2023.3035406776637</c:v>
                </c:pt>
                <c:pt idx="3453">
                  <c:v>2023.4825755506706</c:v>
                </c:pt>
                <c:pt idx="3454">
                  <c:v>2022.9200433741421</c:v>
                </c:pt>
                <c:pt idx="3455">
                  <c:v>2023.0714070185049</c:v>
                </c:pt>
                <c:pt idx="3456">
                  <c:v>2024.4771056940158</c:v>
                </c:pt>
                <c:pt idx="3457">
                  <c:v>2023.0067493385473</c:v>
                </c:pt>
                <c:pt idx="3458">
                  <c:v>2024.3097260856412</c:v>
                </c:pt>
                <c:pt idx="3459">
                  <c:v>2022.9788874730361</c:v>
                </c:pt>
                <c:pt idx="3460">
                  <c:v>2023.1898343131711</c:v>
                </c:pt>
                <c:pt idx="3461">
                  <c:v>2023.4563322671459</c:v>
                </c:pt>
                <c:pt idx="3462">
                  <c:v>2023.2576500401476</c:v>
                </c:pt>
                <c:pt idx="3463">
                  <c:v>2022.8388716737345</c:v>
                </c:pt>
                <c:pt idx="3464">
                  <c:v>2024.6626288351324</c:v>
                </c:pt>
                <c:pt idx="3465">
                  <c:v>2023.1005544519646</c:v>
                </c:pt>
                <c:pt idx="3466">
                  <c:v>2024.8202098758472</c:v>
                </c:pt>
                <c:pt idx="3467">
                  <c:v>2023.2528199570677</c:v>
                </c:pt>
                <c:pt idx="3468">
                  <c:v>2025.1377951999316</c:v>
                </c:pt>
                <c:pt idx="3469">
                  <c:v>2023.4649721608305</c:v>
                </c:pt>
                <c:pt idx="3470">
                  <c:v>2022.9512612479457</c:v>
                </c:pt>
                <c:pt idx="3471">
                  <c:v>2024.3637475749485</c:v>
                </c:pt>
                <c:pt idx="3472">
                  <c:v>2023.480723667217</c:v>
                </c:pt>
                <c:pt idx="3473">
                  <c:v>2025.1026502556874</c:v>
                </c:pt>
                <c:pt idx="3474">
                  <c:v>2024.4809591725559</c:v>
                </c:pt>
                <c:pt idx="3475">
                  <c:v>2023.1444671081558</c:v>
                </c:pt>
                <c:pt idx="3476">
                  <c:v>2023.1062605247037</c:v>
                </c:pt>
                <c:pt idx="3477">
                  <c:v>2023.2028205006279</c:v>
                </c:pt>
                <c:pt idx="3478">
                  <c:v>2025.4168816323217</c:v>
                </c:pt>
                <c:pt idx="3479">
                  <c:v>2024.9230455604325</c:v>
                </c:pt>
                <c:pt idx="3480">
                  <c:v>2023.5995022267045</c:v>
                </c:pt>
                <c:pt idx="3481">
                  <c:v>2022.8200046327074</c:v>
                </c:pt>
                <c:pt idx="3482">
                  <c:v>2023.7566262523796</c:v>
                </c:pt>
                <c:pt idx="3483">
                  <c:v>2023.0705246853383</c:v>
                </c:pt>
                <c:pt idx="3484">
                  <c:v>2023.197827354046</c:v>
                </c:pt>
                <c:pt idx="3485">
                  <c:v>2024.342700633008</c:v>
                </c:pt>
                <c:pt idx="3486">
                  <c:v>2023.6329448973277</c:v>
                </c:pt>
                <c:pt idx="3487">
                  <c:v>2024.62197224587</c:v>
                </c:pt>
                <c:pt idx="3488">
                  <c:v>2025.3993745676862</c:v>
                </c:pt>
                <c:pt idx="3489">
                  <c:v>2022.9422375978904</c:v>
                </c:pt>
                <c:pt idx="3490">
                  <c:v>2022.796874947913</c:v>
                </c:pt>
                <c:pt idx="3491">
                  <c:v>2024.6269122665769</c:v>
                </c:pt>
                <c:pt idx="3492">
                  <c:v>2022.6814063545055</c:v>
                </c:pt>
                <c:pt idx="3493">
                  <c:v>2023.218410547782</c:v>
                </c:pt>
                <c:pt idx="3494">
                  <c:v>2022.7221707097772</c:v>
                </c:pt>
                <c:pt idx="3495">
                  <c:v>2022.8355591162826</c:v>
                </c:pt>
                <c:pt idx="3496">
                  <c:v>2024.5701859217079</c:v>
                </c:pt>
                <c:pt idx="3497">
                  <c:v>2022.7668657723957</c:v>
                </c:pt>
                <c:pt idx="3498">
                  <c:v>2025.0793223023527</c:v>
                </c:pt>
                <c:pt idx="3499">
                  <c:v>2024.4068067258024</c:v>
                </c:pt>
                <c:pt idx="3500">
                  <c:v>2023.3985094849836</c:v>
                </c:pt>
                <c:pt idx="3501">
                  <c:v>2023.0526028514309</c:v>
                </c:pt>
                <c:pt idx="3502">
                  <c:v>2023.3257591444083</c:v>
                </c:pt>
                <c:pt idx="3503">
                  <c:v>2023.0847590765829</c:v>
                </c:pt>
                <c:pt idx="3504">
                  <c:v>2024.9553418642906</c:v>
                </c:pt>
                <c:pt idx="3505">
                  <c:v>2023.5698515497131</c:v>
                </c:pt>
                <c:pt idx="3506">
                  <c:v>2023.1135865029644</c:v>
                </c:pt>
                <c:pt idx="3507">
                  <c:v>2022.9391829195247</c:v>
                </c:pt>
                <c:pt idx="3508">
                  <c:v>2025.941529801785</c:v>
                </c:pt>
                <c:pt idx="3509">
                  <c:v>2023.4569752087086</c:v>
                </c:pt>
                <c:pt idx="3510">
                  <c:v>2023.0065728417412</c:v>
                </c:pt>
                <c:pt idx="3511">
                  <c:v>2023.2257077571162</c:v>
                </c:pt>
                <c:pt idx="3512">
                  <c:v>2022.8035345039093</c:v>
                </c:pt>
                <c:pt idx="3513">
                  <c:v>2024.9498869003146</c:v>
                </c:pt>
                <c:pt idx="3514">
                  <c:v>2025.0424595729107</c:v>
                </c:pt>
                <c:pt idx="3515">
                  <c:v>2024.7571950882566</c:v>
                </c:pt>
                <c:pt idx="3516">
                  <c:v>2024.8161706730007</c:v>
                </c:pt>
                <c:pt idx="3517">
                  <c:v>2022.9509277597463</c:v>
                </c:pt>
                <c:pt idx="3518">
                  <c:v>2023.3864289568855</c:v>
                </c:pt>
                <c:pt idx="3519">
                  <c:v>2023.0945687215674</c:v>
                </c:pt>
                <c:pt idx="3520">
                  <c:v>2023.2912487359879</c:v>
                </c:pt>
                <c:pt idx="3521">
                  <c:v>2024.2215236479317</c:v>
                </c:pt>
                <c:pt idx="3522">
                  <c:v>2023.0390586912565</c:v>
                </c:pt>
                <c:pt idx="3523">
                  <c:v>2025.2416982647542</c:v>
                </c:pt>
                <c:pt idx="3524">
                  <c:v>2022.9836572378676</c:v>
                </c:pt>
                <c:pt idx="3525">
                  <c:v>2025.1482173253528</c:v>
                </c:pt>
                <c:pt idx="3526">
                  <c:v>2024.9791050497797</c:v>
                </c:pt>
                <c:pt idx="3527">
                  <c:v>2024.1178892642067</c:v>
                </c:pt>
                <c:pt idx="3528">
                  <c:v>2023.1197802227687</c:v>
                </c:pt>
                <c:pt idx="3529">
                  <c:v>2024.7021000460347</c:v>
                </c:pt>
                <c:pt idx="3530">
                  <c:v>2025.2316315733067</c:v>
                </c:pt>
                <c:pt idx="3531">
                  <c:v>2025.715002617836</c:v>
                </c:pt>
                <c:pt idx="3532">
                  <c:v>2023.1330834278181</c:v>
                </c:pt>
                <c:pt idx="3533">
                  <c:v>2024.4885464550052</c:v>
                </c:pt>
                <c:pt idx="3534">
                  <c:v>2023.6280411745652</c:v>
                </c:pt>
                <c:pt idx="3535">
                  <c:v>2022.7524339296326</c:v>
                </c:pt>
                <c:pt idx="3536">
                  <c:v>2022.5851944797259</c:v>
                </c:pt>
                <c:pt idx="3537">
                  <c:v>2023.0584080461533</c:v>
                </c:pt>
                <c:pt idx="3538">
                  <c:v>2023.1639567215605</c:v>
                </c:pt>
                <c:pt idx="3539">
                  <c:v>2023.3764195830488</c:v>
                </c:pt>
                <c:pt idx="3540">
                  <c:v>2024.4404615937378</c:v>
                </c:pt>
                <c:pt idx="3541">
                  <c:v>2025.6691771453372</c:v>
                </c:pt>
                <c:pt idx="3542">
                  <c:v>2022.7355968821623</c:v>
                </c:pt>
                <c:pt idx="3543">
                  <c:v>2023.6056859151345</c:v>
                </c:pt>
                <c:pt idx="3544">
                  <c:v>2023.1859503794283</c:v>
                </c:pt>
                <c:pt idx="3545">
                  <c:v>2022.7037688156095</c:v>
                </c:pt>
                <c:pt idx="3546">
                  <c:v>2023.1732337091125</c:v>
                </c:pt>
                <c:pt idx="3547">
                  <c:v>2022.9878039886989</c:v>
                </c:pt>
                <c:pt idx="3548">
                  <c:v>2023.3227178967857</c:v>
                </c:pt>
                <c:pt idx="3549">
                  <c:v>2022.6285986320058</c:v>
                </c:pt>
                <c:pt idx="3550">
                  <c:v>2023.0892835432562</c:v>
                </c:pt>
                <c:pt idx="3551">
                  <c:v>2022.7126392830328</c:v>
                </c:pt>
                <c:pt idx="3552">
                  <c:v>2023.695802919894</c:v>
                </c:pt>
                <c:pt idx="3553">
                  <c:v>2022.9361660212883</c:v>
                </c:pt>
                <c:pt idx="3554">
                  <c:v>2023.6401819110463</c:v>
                </c:pt>
                <c:pt idx="3555">
                  <c:v>2024.7681873172289</c:v>
                </c:pt>
                <c:pt idx="3556">
                  <c:v>2023.2601319999583</c:v>
                </c:pt>
                <c:pt idx="3557">
                  <c:v>2023.3326500508792</c:v>
                </c:pt>
                <c:pt idx="3558">
                  <c:v>2023.3731231469942</c:v>
                </c:pt>
                <c:pt idx="3559">
                  <c:v>2024.825897168058</c:v>
                </c:pt>
                <c:pt idx="3560">
                  <c:v>2022.8416657140119</c:v>
                </c:pt>
                <c:pt idx="3561">
                  <c:v>2023.1268003225537</c:v>
                </c:pt>
                <c:pt idx="3562">
                  <c:v>2024.7852652993113</c:v>
                </c:pt>
                <c:pt idx="3563">
                  <c:v>2023.4817782401501</c:v>
                </c:pt>
                <c:pt idx="3564">
                  <c:v>2023.3499880223621</c:v>
                </c:pt>
                <c:pt idx="3565">
                  <c:v>2023.1476079925708</c:v>
                </c:pt>
                <c:pt idx="3566">
                  <c:v>2025.1643156006155</c:v>
                </c:pt>
                <c:pt idx="3567">
                  <c:v>2023.2204960604961</c:v>
                </c:pt>
                <c:pt idx="3568">
                  <c:v>2023.264910922891</c:v>
                </c:pt>
                <c:pt idx="3569">
                  <c:v>2024.6774822264463</c:v>
                </c:pt>
                <c:pt idx="3570">
                  <c:v>2023.3448884712529</c:v>
                </c:pt>
                <c:pt idx="3571">
                  <c:v>2022.9853185310903</c:v>
                </c:pt>
                <c:pt idx="3572">
                  <c:v>2023.3858360227555</c:v>
                </c:pt>
                <c:pt idx="3573">
                  <c:v>2022.7454765845141</c:v>
                </c:pt>
                <c:pt idx="3574">
                  <c:v>2023.4372304712997</c:v>
                </c:pt>
                <c:pt idx="3575">
                  <c:v>2024.5508549358076</c:v>
                </c:pt>
                <c:pt idx="3576">
                  <c:v>2023.1941697341017</c:v>
                </c:pt>
                <c:pt idx="3577">
                  <c:v>2024.9145414095067</c:v>
                </c:pt>
                <c:pt idx="3578">
                  <c:v>2023.3508110280088</c:v>
                </c:pt>
                <c:pt idx="3579">
                  <c:v>2022.960996653861</c:v>
                </c:pt>
                <c:pt idx="3580">
                  <c:v>2023.2094629588482</c:v>
                </c:pt>
                <c:pt idx="3581">
                  <c:v>2023.2611734385844</c:v>
                </c:pt>
                <c:pt idx="3582">
                  <c:v>2024.0406738708464</c:v>
                </c:pt>
                <c:pt idx="3583">
                  <c:v>2023.0851228210065</c:v>
                </c:pt>
                <c:pt idx="3584">
                  <c:v>2023.3476909199442</c:v>
                </c:pt>
                <c:pt idx="3585">
                  <c:v>2022.7413408579278</c:v>
                </c:pt>
                <c:pt idx="3586">
                  <c:v>2025.0462650626123</c:v>
                </c:pt>
                <c:pt idx="3587">
                  <c:v>2022.9510536437606</c:v>
                </c:pt>
                <c:pt idx="3588">
                  <c:v>2024.674900110846</c:v>
                </c:pt>
                <c:pt idx="3589">
                  <c:v>2022.5521597094826</c:v>
                </c:pt>
                <c:pt idx="3590">
                  <c:v>2023.2566637697669</c:v>
                </c:pt>
                <c:pt idx="3591">
                  <c:v>2023.2522977387182</c:v>
                </c:pt>
                <c:pt idx="3592">
                  <c:v>2023.9097555445485</c:v>
                </c:pt>
                <c:pt idx="3593">
                  <c:v>2023.1732900202735</c:v>
                </c:pt>
                <c:pt idx="3594">
                  <c:v>2023.2152295892886</c:v>
                </c:pt>
                <c:pt idx="3595">
                  <c:v>2022.852691234634</c:v>
                </c:pt>
                <c:pt idx="3596">
                  <c:v>2023.2058546883097</c:v>
                </c:pt>
                <c:pt idx="3597">
                  <c:v>2023.1619661536542</c:v>
                </c:pt>
                <c:pt idx="3598">
                  <c:v>2022.7666008192191</c:v>
                </c:pt>
                <c:pt idx="3599">
                  <c:v>2024.8158024998495</c:v>
                </c:pt>
                <c:pt idx="3600">
                  <c:v>2022.9048363927998</c:v>
                </c:pt>
                <c:pt idx="3601">
                  <c:v>2023.4135975593117</c:v>
                </c:pt>
                <c:pt idx="3602">
                  <c:v>2023.8187297537556</c:v>
                </c:pt>
                <c:pt idx="3603">
                  <c:v>2023.5269978175133</c:v>
                </c:pt>
                <c:pt idx="3604">
                  <c:v>2022.9574113849806</c:v>
                </c:pt>
                <c:pt idx="3605">
                  <c:v>2023.2194378869115</c:v>
                </c:pt>
                <c:pt idx="3606">
                  <c:v>2023.7091874685332</c:v>
                </c:pt>
                <c:pt idx="3607">
                  <c:v>2023.345847077527</c:v>
                </c:pt>
                <c:pt idx="3608">
                  <c:v>2023.1983482486135</c:v>
                </c:pt>
                <c:pt idx="3609">
                  <c:v>2023.4567131358165</c:v>
                </c:pt>
                <c:pt idx="3610">
                  <c:v>2025.3244036195008</c:v>
                </c:pt>
                <c:pt idx="3611">
                  <c:v>2022.9870891064518</c:v>
                </c:pt>
                <c:pt idx="3612">
                  <c:v>2024.910091922332</c:v>
                </c:pt>
                <c:pt idx="3613">
                  <c:v>2024.7175940845311</c:v>
                </c:pt>
                <c:pt idx="3614">
                  <c:v>2024.5077965224361</c:v>
                </c:pt>
                <c:pt idx="3615">
                  <c:v>2024.4248145093661</c:v>
                </c:pt>
                <c:pt idx="3616">
                  <c:v>2023.3940280939964</c:v>
                </c:pt>
                <c:pt idx="3617">
                  <c:v>2023.0448564671865</c:v>
                </c:pt>
                <c:pt idx="3618">
                  <c:v>2024.6831783900702</c:v>
                </c:pt>
                <c:pt idx="3619">
                  <c:v>2023.5918266846513</c:v>
                </c:pt>
                <c:pt idx="3620">
                  <c:v>2023.3866102023662</c:v>
                </c:pt>
                <c:pt idx="3621">
                  <c:v>2025.3968119802714</c:v>
                </c:pt>
                <c:pt idx="3622">
                  <c:v>2023.2923410903154</c:v>
                </c:pt>
                <c:pt idx="3623">
                  <c:v>2023.4889142920474</c:v>
                </c:pt>
                <c:pt idx="3624">
                  <c:v>2022.9765253018682</c:v>
                </c:pt>
                <c:pt idx="3625">
                  <c:v>2024.7221265266892</c:v>
                </c:pt>
                <c:pt idx="3626">
                  <c:v>2022.8034619040279</c:v>
                </c:pt>
                <c:pt idx="3627">
                  <c:v>2023.9856673591585</c:v>
                </c:pt>
                <c:pt idx="3628">
                  <c:v>2023.0227358099858</c:v>
                </c:pt>
                <c:pt idx="3629">
                  <c:v>2024.1976177658958</c:v>
                </c:pt>
                <c:pt idx="3630">
                  <c:v>2022.6790757372785</c:v>
                </c:pt>
                <c:pt idx="3631">
                  <c:v>2024.479199786477</c:v>
                </c:pt>
                <c:pt idx="3632">
                  <c:v>2023.1929941489816</c:v>
                </c:pt>
                <c:pt idx="3633">
                  <c:v>2023.0684824878142</c:v>
                </c:pt>
                <c:pt idx="3634">
                  <c:v>2022.8418393983975</c:v>
                </c:pt>
                <c:pt idx="3635">
                  <c:v>2022.9164885431539</c:v>
                </c:pt>
                <c:pt idx="3636">
                  <c:v>2023.3781606230443</c:v>
                </c:pt>
                <c:pt idx="3637">
                  <c:v>2023.926446915332</c:v>
                </c:pt>
                <c:pt idx="3638">
                  <c:v>2024.5948203732553</c:v>
                </c:pt>
                <c:pt idx="3639">
                  <c:v>2023.4934165322504</c:v>
                </c:pt>
                <c:pt idx="3640">
                  <c:v>2023.1916191439127</c:v>
                </c:pt>
                <c:pt idx="3641">
                  <c:v>2022.7163219426989</c:v>
                </c:pt>
                <c:pt idx="3642">
                  <c:v>2023.247465512211</c:v>
                </c:pt>
                <c:pt idx="3643">
                  <c:v>2022.9673878016074</c:v>
                </c:pt>
                <c:pt idx="3644">
                  <c:v>2023.1201010499519</c:v>
                </c:pt>
                <c:pt idx="3645">
                  <c:v>2023.3398541298866</c:v>
                </c:pt>
                <c:pt idx="3646">
                  <c:v>2022.6933495156914</c:v>
                </c:pt>
                <c:pt idx="3647">
                  <c:v>2023.2059878649786</c:v>
                </c:pt>
                <c:pt idx="3648">
                  <c:v>2023.5670951505595</c:v>
                </c:pt>
                <c:pt idx="3649">
                  <c:v>2023.2184915949265</c:v>
                </c:pt>
                <c:pt idx="3650">
                  <c:v>2023.4855493382724</c:v>
                </c:pt>
                <c:pt idx="3651">
                  <c:v>2023.3221317031312</c:v>
                </c:pt>
                <c:pt idx="3652">
                  <c:v>2025.0087001898316</c:v>
                </c:pt>
                <c:pt idx="3653">
                  <c:v>2022.9935225564857</c:v>
                </c:pt>
                <c:pt idx="3654">
                  <c:v>2023.5034109762864</c:v>
                </c:pt>
                <c:pt idx="3655">
                  <c:v>2023.6274505770939</c:v>
                </c:pt>
                <c:pt idx="3656">
                  <c:v>2025.3403229937621</c:v>
                </c:pt>
                <c:pt idx="3657">
                  <c:v>2024.475661718019</c:v>
                </c:pt>
                <c:pt idx="3658">
                  <c:v>2023.4313277067706</c:v>
                </c:pt>
                <c:pt idx="3659">
                  <c:v>2023.3752505540224</c:v>
                </c:pt>
                <c:pt idx="3660">
                  <c:v>2023.0982358406357</c:v>
                </c:pt>
                <c:pt idx="3661">
                  <c:v>2023.5563773252261</c:v>
                </c:pt>
                <c:pt idx="3662">
                  <c:v>2022.6482358017411</c:v>
                </c:pt>
                <c:pt idx="3663">
                  <c:v>2022.7876156961836</c:v>
                </c:pt>
                <c:pt idx="3664">
                  <c:v>2023.1024427827681</c:v>
                </c:pt>
                <c:pt idx="3665">
                  <c:v>2023.8626636513086</c:v>
                </c:pt>
                <c:pt idx="3666">
                  <c:v>2023.2190708011926</c:v>
                </c:pt>
                <c:pt idx="3667">
                  <c:v>2023.0452614729504</c:v>
                </c:pt>
                <c:pt idx="3668">
                  <c:v>2022.8675906439287</c:v>
                </c:pt>
                <c:pt idx="3669">
                  <c:v>2023.1453297160144</c:v>
                </c:pt>
                <c:pt idx="3670">
                  <c:v>2025.0687594691913</c:v>
                </c:pt>
                <c:pt idx="3671">
                  <c:v>2022.941204952632</c:v>
                </c:pt>
                <c:pt idx="3672">
                  <c:v>2023.0296619071489</c:v>
                </c:pt>
                <c:pt idx="3673">
                  <c:v>2025.1787504833483</c:v>
                </c:pt>
                <c:pt idx="3674">
                  <c:v>2025.7549207306988</c:v>
                </c:pt>
                <c:pt idx="3675">
                  <c:v>2024.8914251025865</c:v>
                </c:pt>
                <c:pt idx="3676">
                  <c:v>2023.0676640170277</c:v>
                </c:pt>
                <c:pt idx="3677">
                  <c:v>2023.2258329077574</c:v>
                </c:pt>
                <c:pt idx="3678">
                  <c:v>2023.2810652441469</c:v>
                </c:pt>
                <c:pt idx="3679">
                  <c:v>2024.6107011937565</c:v>
                </c:pt>
                <c:pt idx="3680">
                  <c:v>2022.9720381698842</c:v>
                </c:pt>
                <c:pt idx="3681">
                  <c:v>2023.0853688563125</c:v>
                </c:pt>
                <c:pt idx="3682">
                  <c:v>2023.1726644395935</c:v>
                </c:pt>
                <c:pt idx="3683">
                  <c:v>2025.6092435148455</c:v>
                </c:pt>
                <c:pt idx="3684">
                  <c:v>2023.0634626682959</c:v>
                </c:pt>
                <c:pt idx="3685">
                  <c:v>2022.9421175852499</c:v>
                </c:pt>
                <c:pt idx="3686">
                  <c:v>2023.0362729035151</c:v>
                </c:pt>
                <c:pt idx="3687">
                  <c:v>2024.7710621880326</c:v>
                </c:pt>
                <c:pt idx="3688">
                  <c:v>2024.8366909127653</c:v>
                </c:pt>
                <c:pt idx="3689">
                  <c:v>2022.9199926095139</c:v>
                </c:pt>
                <c:pt idx="3690">
                  <c:v>2022.9124203770498</c:v>
                </c:pt>
                <c:pt idx="3691">
                  <c:v>2022.7093744538599</c:v>
                </c:pt>
                <c:pt idx="3692">
                  <c:v>2025.5618448748721</c:v>
                </c:pt>
                <c:pt idx="3693">
                  <c:v>2024.4489890982568</c:v>
                </c:pt>
                <c:pt idx="3694">
                  <c:v>2023.1953787230834</c:v>
                </c:pt>
                <c:pt idx="3695">
                  <c:v>2024.8490655830878</c:v>
                </c:pt>
                <c:pt idx="3696">
                  <c:v>2023.2534487441349</c:v>
                </c:pt>
                <c:pt idx="3697">
                  <c:v>2023.0977595297991</c:v>
                </c:pt>
                <c:pt idx="3698">
                  <c:v>2023.2904827956183</c:v>
                </c:pt>
                <c:pt idx="3699">
                  <c:v>2022.7803824280027</c:v>
                </c:pt>
                <c:pt idx="3700">
                  <c:v>2022.7507801468523</c:v>
                </c:pt>
                <c:pt idx="3701">
                  <c:v>2025.0382264779889</c:v>
                </c:pt>
                <c:pt idx="3702">
                  <c:v>2025.1191902110509</c:v>
                </c:pt>
                <c:pt idx="3703">
                  <c:v>2023.2362424684213</c:v>
                </c:pt>
                <c:pt idx="3704">
                  <c:v>2023.3215811138855</c:v>
                </c:pt>
                <c:pt idx="3705">
                  <c:v>2025.1396234313484</c:v>
                </c:pt>
                <c:pt idx="3706">
                  <c:v>2023.1762458848691</c:v>
                </c:pt>
                <c:pt idx="3707">
                  <c:v>2024.4809969936175</c:v>
                </c:pt>
                <c:pt idx="3708">
                  <c:v>2023.430110246758</c:v>
                </c:pt>
                <c:pt idx="3709">
                  <c:v>2023.1860049797531</c:v>
                </c:pt>
                <c:pt idx="3710">
                  <c:v>2023.1867923196764</c:v>
                </c:pt>
                <c:pt idx="3711">
                  <c:v>2023.0224610885739</c:v>
                </c:pt>
                <c:pt idx="3712">
                  <c:v>2023.2030116220315</c:v>
                </c:pt>
                <c:pt idx="3713">
                  <c:v>2023.1689843281808</c:v>
                </c:pt>
                <c:pt idx="3714">
                  <c:v>2022.9628505731546</c:v>
                </c:pt>
                <c:pt idx="3715">
                  <c:v>2023.1984567594668</c:v>
                </c:pt>
                <c:pt idx="3716">
                  <c:v>2023.1890768192434</c:v>
                </c:pt>
                <c:pt idx="3717">
                  <c:v>2023.510429991353</c:v>
                </c:pt>
                <c:pt idx="3718">
                  <c:v>2022.8959007410469</c:v>
                </c:pt>
                <c:pt idx="3719">
                  <c:v>2024.7982534561352</c:v>
                </c:pt>
                <c:pt idx="3720">
                  <c:v>2022.9848281179045</c:v>
                </c:pt>
                <c:pt idx="3721">
                  <c:v>2022.6885292700847</c:v>
                </c:pt>
                <c:pt idx="3722">
                  <c:v>2025.8287534887429</c:v>
                </c:pt>
                <c:pt idx="3723">
                  <c:v>2023.3103710483038</c:v>
                </c:pt>
                <c:pt idx="3724">
                  <c:v>2023.1144428604966</c:v>
                </c:pt>
                <c:pt idx="3725">
                  <c:v>2024.794618875336</c:v>
                </c:pt>
                <c:pt idx="3726">
                  <c:v>2022.7818541174795</c:v>
                </c:pt>
                <c:pt idx="3727">
                  <c:v>2023.1220462032909</c:v>
                </c:pt>
                <c:pt idx="3728">
                  <c:v>2022.863660376594</c:v>
                </c:pt>
                <c:pt idx="3729">
                  <c:v>2024.3394708200219</c:v>
                </c:pt>
                <c:pt idx="3730">
                  <c:v>2022.8740393400428</c:v>
                </c:pt>
                <c:pt idx="3731">
                  <c:v>2024.4673200798029</c:v>
                </c:pt>
                <c:pt idx="3732">
                  <c:v>2023.1994574056914</c:v>
                </c:pt>
                <c:pt idx="3733">
                  <c:v>2025.1153054472027</c:v>
                </c:pt>
                <c:pt idx="3734">
                  <c:v>2022.6464619999995</c:v>
                </c:pt>
                <c:pt idx="3735">
                  <c:v>2023.3751734084635</c:v>
                </c:pt>
                <c:pt idx="3736">
                  <c:v>2022.9878810541745</c:v>
                </c:pt>
                <c:pt idx="3737">
                  <c:v>2022.8382266478129</c:v>
                </c:pt>
                <c:pt idx="3738">
                  <c:v>2025.6443096544817</c:v>
                </c:pt>
                <c:pt idx="3739">
                  <c:v>2025.162461511947</c:v>
                </c:pt>
                <c:pt idx="3740">
                  <c:v>2023.6852827566859</c:v>
                </c:pt>
                <c:pt idx="3741">
                  <c:v>2023.1956532410095</c:v>
                </c:pt>
                <c:pt idx="3742">
                  <c:v>2023.5296157643259</c:v>
                </c:pt>
                <c:pt idx="3743">
                  <c:v>2022.9586397240039</c:v>
                </c:pt>
                <c:pt idx="3744">
                  <c:v>2023.1243528856864</c:v>
                </c:pt>
                <c:pt idx="3745">
                  <c:v>2024.7056278585699</c:v>
                </c:pt>
                <c:pt idx="3746">
                  <c:v>2023.0735155342397</c:v>
                </c:pt>
                <c:pt idx="3747">
                  <c:v>2023.1173931345586</c:v>
                </c:pt>
                <c:pt idx="3748">
                  <c:v>2024.6179303911758</c:v>
                </c:pt>
                <c:pt idx="3749">
                  <c:v>2023.4468835178268</c:v>
                </c:pt>
                <c:pt idx="3750">
                  <c:v>2023.3634795273692</c:v>
                </c:pt>
                <c:pt idx="3751">
                  <c:v>2022.7402114095225</c:v>
                </c:pt>
                <c:pt idx="3752">
                  <c:v>2025.174987737023</c:v>
                </c:pt>
                <c:pt idx="3753">
                  <c:v>2023.2418761266254</c:v>
                </c:pt>
                <c:pt idx="3754">
                  <c:v>2024.5700847910045</c:v>
                </c:pt>
                <c:pt idx="3755">
                  <c:v>2023.1653264725385</c:v>
                </c:pt>
                <c:pt idx="3756">
                  <c:v>2023.0601338637646</c:v>
                </c:pt>
                <c:pt idx="3757">
                  <c:v>2023.3788102298629</c:v>
                </c:pt>
                <c:pt idx="3758">
                  <c:v>2023.4489951244279</c:v>
                </c:pt>
                <c:pt idx="3759">
                  <c:v>2022.7955360053704</c:v>
                </c:pt>
                <c:pt idx="3760">
                  <c:v>2023.1377126883633</c:v>
                </c:pt>
                <c:pt idx="3761">
                  <c:v>2022.8714241538482</c:v>
                </c:pt>
                <c:pt idx="3762">
                  <c:v>2023.2982490144682</c:v>
                </c:pt>
                <c:pt idx="3763">
                  <c:v>2024.9698094082405</c:v>
                </c:pt>
                <c:pt idx="3764">
                  <c:v>2024.8595951718589</c:v>
                </c:pt>
                <c:pt idx="3765">
                  <c:v>2025.4597864565635</c:v>
                </c:pt>
                <c:pt idx="3766">
                  <c:v>2023.2017081665147</c:v>
                </c:pt>
                <c:pt idx="3767">
                  <c:v>2022.5865155930828</c:v>
                </c:pt>
                <c:pt idx="3768">
                  <c:v>2023.7805874011644</c:v>
                </c:pt>
                <c:pt idx="3769">
                  <c:v>2024.8024543183367</c:v>
                </c:pt>
                <c:pt idx="3770">
                  <c:v>2022.9931024210275</c:v>
                </c:pt>
                <c:pt idx="3771">
                  <c:v>2025.4455282028719</c:v>
                </c:pt>
                <c:pt idx="3772">
                  <c:v>2023.2003488771941</c:v>
                </c:pt>
                <c:pt idx="3773">
                  <c:v>2023.1252316280543</c:v>
                </c:pt>
                <c:pt idx="3774">
                  <c:v>2024.8992519078924</c:v>
                </c:pt>
                <c:pt idx="3775">
                  <c:v>2022.9267074596785</c:v>
                </c:pt>
                <c:pt idx="3776">
                  <c:v>2023.0505896101029</c:v>
                </c:pt>
                <c:pt idx="3777">
                  <c:v>2023.0046498743882</c:v>
                </c:pt>
                <c:pt idx="3778">
                  <c:v>2023.2342773692283</c:v>
                </c:pt>
                <c:pt idx="3779">
                  <c:v>2023.0481540249116</c:v>
                </c:pt>
                <c:pt idx="3780">
                  <c:v>2024.4234064091936</c:v>
                </c:pt>
                <c:pt idx="3781">
                  <c:v>2023.2187356883662</c:v>
                </c:pt>
                <c:pt idx="3782">
                  <c:v>2023.1615505202192</c:v>
                </c:pt>
                <c:pt idx="3783">
                  <c:v>2023.4781688584858</c:v>
                </c:pt>
                <c:pt idx="3784">
                  <c:v>2023.3613946975672</c:v>
                </c:pt>
                <c:pt idx="3785">
                  <c:v>2023.3396659790794</c:v>
                </c:pt>
                <c:pt idx="3786">
                  <c:v>2022.9339715311091</c:v>
                </c:pt>
                <c:pt idx="3787">
                  <c:v>2024.8155403460723</c:v>
                </c:pt>
                <c:pt idx="3788">
                  <c:v>2023.243996234009</c:v>
                </c:pt>
                <c:pt idx="3789">
                  <c:v>2022.8547082645077</c:v>
                </c:pt>
                <c:pt idx="3790">
                  <c:v>2025.3102433689339</c:v>
                </c:pt>
                <c:pt idx="3791">
                  <c:v>2025.1323789598462</c:v>
                </c:pt>
                <c:pt idx="3792">
                  <c:v>2023.0880651863845</c:v>
                </c:pt>
                <c:pt idx="3793">
                  <c:v>2022.5992160425503</c:v>
                </c:pt>
                <c:pt idx="3794">
                  <c:v>2024.3055426210367</c:v>
                </c:pt>
                <c:pt idx="3795">
                  <c:v>2023.4530104932239</c:v>
                </c:pt>
                <c:pt idx="3796">
                  <c:v>2023.4854799552882</c:v>
                </c:pt>
                <c:pt idx="3797">
                  <c:v>2022.9399180132382</c:v>
                </c:pt>
                <c:pt idx="3798">
                  <c:v>2024.5668917664859</c:v>
                </c:pt>
                <c:pt idx="3799">
                  <c:v>2025.3155172403594</c:v>
                </c:pt>
                <c:pt idx="3800">
                  <c:v>2023.2415133382974</c:v>
                </c:pt>
                <c:pt idx="3801">
                  <c:v>2024.667461800964</c:v>
                </c:pt>
                <c:pt idx="3802">
                  <c:v>2022.8314651298035</c:v>
                </c:pt>
                <c:pt idx="3803">
                  <c:v>2024.7316704036632</c:v>
                </c:pt>
                <c:pt idx="3804">
                  <c:v>2024.6350832014</c:v>
                </c:pt>
                <c:pt idx="3805">
                  <c:v>2022.8587700382643</c:v>
                </c:pt>
                <c:pt idx="3806">
                  <c:v>2022.8645395173742</c:v>
                </c:pt>
                <c:pt idx="3807">
                  <c:v>2022.8100154290166</c:v>
                </c:pt>
                <c:pt idx="3808">
                  <c:v>2022.9832075538102</c:v>
                </c:pt>
                <c:pt idx="3809">
                  <c:v>2022.9470311794228</c:v>
                </c:pt>
                <c:pt idx="3810">
                  <c:v>2022.7025711322253</c:v>
                </c:pt>
                <c:pt idx="3811">
                  <c:v>2022.7435959056752</c:v>
                </c:pt>
                <c:pt idx="3812">
                  <c:v>2023.4219916708898</c:v>
                </c:pt>
                <c:pt idx="3813">
                  <c:v>2023.0554586131468</c:v>
                </c:pt>
                <c:pt idx="3814">
                  <c:v>2023.7539500504176</c:v>
                </c:pt>
                <c:pt idx="3815">
                  <c:v>2023.1911843725079</c:v>
                </c:pt>
                <c:pt idx="3816">
                  <c:v>2024.8524643678984</c:v>
                </c:pt>
                <c:pt idx="3817">
                  <c:v>2022.9045118854372</c:v>
                </c:pt>
                <c:pt idx="3818">
                  <c:v>2024.950833532245</c:v>
                </c:pt>
                <c:pt idx="3819">
                  <c:v>2024.1718791716555</c:v>
                </c:pt>
                <c:pt idx="3820">
                  <c:v>2025.2146739869331</c:v>
                </c:pt>
                <c:pt idx="3821">
                  <c:v>2024.9107150627206</c:v>
                </c:pt>
                <c:pt idx="3822">
                  <c:v>2023.2805764617142</c:v>
                </c:pt>
                <c:pt idx="3823">
                  <c:v>2023.0152511599908</c:v>
                </c:pt>
                <c:pt idx="3824">
                  <c:v>2023.3232970182219</c:v>
                </c:pt>
                <c:pt idx="3825">
                  <c:v>2023.167727094627</c:v>
                </c:pt>
                <c:pt idx="3826">
                  <c:v>2024.849101028791</c:v>
                </c:pt>
                <c:pt idx="3827">
                  <c:v>2024.33754536436</c:v>
                </c:pt>
                <c:pt idx="3828">
                  <c:v>2022.8019822571616</c:v>
                </c:pt>
                <c:pt idx="3829">
                  <c:v>2024.8758103684077</c:v>
                </c:pt>
                <c:pt idx="3830">
                  <c:v>2023.0130968204135</c:v>
                </c:pt>
                <c:pt idx="3831">
                  <c:v>2023.1277807917943</c:v>
                </c:pt>
                <c:pt idx="3832">
                  <c:v>2024.1979484987498</c:v>
                </c:pt>
                <c:pt idx="3833">
                  <c:v>2025.0349639137692</c:v>
                </c:pt>
                <c:pt idx="3834">
                  <c:v>2022.8173878913422</c:v>
                </c:pt>
                <c:pt idx="3835">
                  <c:v>2024.795523774628</c:v>
                </c:pt>
                <c:pt idx="3836">
                  <c:v>2023.3236092536947</c:v>
                </c:pt>
                <c:pt idx="3837">
                  <c:v>2023.7435995798387</c:v>
                </c:pt>
                <c:pt idx="3838">
                  <c:v>2023.1207997675051</c:v>
                </c:pt>
                <c:pt idx="3839">
                  <c:v>2025.6102936292673</c:v>
                </c:pt>
                <c:pt idx="3840">
                  <c:v>2024.611809925367</c:v>
                </c:pt>
                <c:pt idx="3841">
                  <c:v>2023.3246618331214</c:v>
                </c:pt>
                <c:pt idx="3842">
                  <c:v>2022.8570988955282</c:v>
                </c:pt>
                <c:pt idx="3843">
                  <c:v>2022.7059520090236</c:v>
                </c:pt>
                <c:pt idx="3844">
                  <c:v>2023.28622661195</c:v>
                </c:pt>
                <c:pt idx="3845">
                  <c:v>2023.0824619211198</c:v>
                </c:pt>
                <c:pt idx="3846">
                  <c:v>2025.054274017486</c:v>
                </c:pt>
                <c:pt idx="3847">
                  <c:v>2023.0413915559143</c:v>
                </c:pt>
                <c:pt idx="3848">
                  <c:v>2023.2280041423976</c:v>
                </c:pt>
                <c:pt idx="3849">
                  <c:v>2024.7195789459272</c:v>
                </c:pt>
                <c:pt idx="3850">
                  <c:v>2023.2031661813439</c:v>
                </c:pt>
                <c:pt idx="3851">
                  <c:v>2024.5089710174325</c:v>
                </c:pt>
                <c:pt idx="3852">
                  <c:v>2024.9163358960582</c:v>
                </c:pt>
                <c:pt idx="3853">
                  <c:v>2023.3167491895474</c:v>
                </c:pt>
                <c:pt idx="3854">
                  <c:v>2023.2591773925371</c:v>
                </c:pt>
                <c:pt idx="3855">
                  <c:v>2023.2162977410226</c:v>
                </c:pt>
                <c:pt idx="3856">
                  <c:v>2023.0964281081958</c:v>
                </c:pt>
                <c:pt idx="3857">
                  <c:v>2025.0281226026395</c:v>
                </c:pt>
                <c:pt idx="3858">
                  <c:v>2023.0597495307809</c:v>
                </c:pt>
                <c:pt idx="3859">
                  <c:v>2023.0321825751996</c:v>
                </c:pt>
                <c:pt idx="3860">
                  <c:v>2022.916421539288</c:v>
                </c:pt>
                <c:pt idx="3861">
                  <c:v>2023.0443751247681</c:v>
                </c:pt>
                <c:pt idx="3862">
                  <c:v>2023.1411088479585</c:v>
                </c:pt>
                <c:pt idx="3863">
                  <c:v>2023.1848754233658</c:v>
                </c:pt>
                <c:pt idx="3864">
                  <c:v>2023.4693841573019</c:v>
                </c:pt>
                <c:pt idx="3865">
                  <c:v>2025.6113659914943</c:v>
                </c:pt>
                <c:pt idx="3866">
                  <c:v>2023.6680715865848</c:v>
                </c:pt>
                <c:pt idx="3867">
                  <c:v>2023.0498884494632</c:v>
                </c:pt>
                <c:pt idx="3868">
                  <c:v>2025.1602489355439</c:v>
                </c:pt>
                <c:pt idx="3869">
                  <c:v>2023.5242889510109</c:v>
                </c:pt>
                <c:pt idx="3870">
                  <c:v>2023.2424933416737</c:v>
                </c:pt>
                <c:pt idx="3871">
                  <c:v>2023.0298864024903</c:v>
                </c:pt>
                <c:pt idx="3872">
                  <c:v>2024.1883597872736</c:v>
                </c:pt>
                <c:pt idx="3873">
                  <c:v>2025.3711684931507</c:v>
                </c:pt>
                <c:pt idx="3874">
                  <c:v>2022.6287311656256</c:v>
                </c:pt>
                <c:pt idx="3875">
                  <c:v>2023.7093584474108</c:v>
                </c:pt>
                <c:pt idx="3876">
                  <c:v>2023.5057826576774</c:v>
                </c:pt>
                <c:pt idx="3877">
                  <c:v>2023.2424862097214</c:v>
                </c:pt>
                <c:pt idx="3878">
                  <c:v>2024.9544888740743</c:v>
                </c:pt>
                <c:pt idx="3879">
                  <c:v>2023.3303498678652</c:v>
                </c:pt>
                <c:pt idx="3880">
                  <c:v>2024.2841742306923</c:v>
                </c:pt>
                <c:pt idx="3881">
                  <c:v>2022.9419919747058</c:v>
                </c:pt>
                <c:pt idx="3882">
                  <c:v>2022.8294507896831</c:v>
                </c:pt>
                <c:pt idx="3883">
                  <c:v>2023.3054395854169</c:v>
                </c:pt>
                <c:pt idx="3884">
                  <c:v>2023.2195783299239</c:v>
                </c:pt>
                <c:pt idx="3885">
                  <c:v>2023.5400741772482</c:v>
                </c:pt>
                <c:pt idx="3886">
                  <c:v>2023.3765259061574</c:v>
                </c:pt>
                <c:pt idx="3887">
                  <c:v>2022.8593689225092</c:v>
                </c:pt>
                <c:pt idx="3888">
                  <c:v>2022.9045875235322</c:v>
                </c:pt>
                <c:pt idx="3889">
                  <c:v>2022.8287999968852</c:v>
                </c:pt>
                <c:pt idx="3890">
                  <c:v>2023.5542621075865</c:v>
                </c:pt>
                <c:pt idx="3891">
                  <c:v>2025.447771541536</c:v>
                </c:pt>
                <c:pt idx="3892">
                  <c:v>2022.8955963870342</c:v>
                </c:pt>
                <c:pt idx="3893">
                  <c:v>2025.0899627024248</c:v>
                </c:pt>
                <c:pt idx="3894">
                  <c:v>2022.9258073378346</c:v>
                </c:pt>
                <c:pt idx="3895">
                  <c:v>2024.8211637577158</c:v>
                </c:pt>
                <c:pt idx="3896">
                  <c:v>2022.7494211019177</c:v>
                </c:pt>
                <c:pt idx="3897">
                  <c:v>2022.9975220060214</c:v>
                </c:pt>
                <c:pt idx="3898">
                  <c:v>2023.2007924265145</c:v>
                </c:pt>
                <c:pt idx="3899">
                  <c:v>2023.3205083857711</c:v>
                </c:pt>
                <c:pt idx="3900">
                  <c:v>2023.0486599132346</c:v>
                </c:pt>
                <c:pt idx="3901">
                  <c:v>2023.2132565492911</c:v>
                </c:pt>
                <c:pt idx="3902">
                  <c:v>2023.1588675683872</c:v>
                </c:pt>
                <c:pt idx="3903">
                  <c:v>2022.9811293007278</c:v>
                </c:pt>
                <c:pt idx="3904">
                  <c:v>2023.1549057216553</c:v>
                </c:pt>
                <c:pt idx="3905">
                  <c:v>2022.9843294239017</c:v>
                </c:pt>
                <c:pt idx="3906">
                  <c:v>2023.5976835025097</c:v>
                </c:pt>
                <c:pt idx="3907">
                  <c:v>2025.0150876130097</c:v>
                </c:pt>
                <c:pt idx="3908">
                  <c:v>2022.8958832815533</c:v>
                </c:pt>
                <c:pt idx="3909">
                  <c:v>2022.8456377736952</c:v>
                </c:pt>
                <c:pt idx="3910">
                  <c:v>2023.1905505226148</c:v>
                </c:pt>
                <c:pt idx="3911">
                  <c:v>2024.5109580678359</c:v>
                </c:pt>
                <c:pt idx="3912">
                  <c:v>2023.0983237090556</c:v>
                </c:pt>
                <c:pt idx="3913">
                  <c:v>2025.0898685828813</c:v>
                </c:pt>
                <c:pt idx="3914">
                  <c:v>2022.8632575514307</c:v>
                </c:pt>
                <c:pt idx="3915">
                  <c:v>2023.4873420759438</c:v>
                </c:pt>
                <c:pt idx="3916">
                  <c:v>2024.3017551182875</c:v>
                </c:pt>
                <c:pt idx="3917">
                  <c:v>2022.845635774662</c:v>
                </c:pt>
                <c:pt idx="3918">
                  <c:v>2025.0103866859647</c:v>
                </c:pt>
                <c:pt idx="3919">
                  <c:v>2024.7684114477531</c:v>
                </c:pt>
                <c:pt idx="3920">
                  <c:v>2024.9711289871439</c:v>
                </c:pt>
                <c:pt idx="3921">
                  <c:v>2022.9954761043732</c:v>
                </c:pt>
                <c:pt idx="3922">
                  <c:v>2023.1662009536037</c:v>
                </c:pt>
                <c:pt idx="3923">
                  <c:v>2023.1877430485615</c:v>
                </c:pt>
                <c:pt idx="3924">
                  <c:v>2025.1706478620893</c:v>
                </c:pt>
                <c:pt idx="3925">
                  <c:v>2022.942083729356</c:v>
                </c:pt>
                <c:pt idx="3926">
                  <c:v>2023.3122849877147</c:v>
                </c:pt>
                <c:pt idx="3927">
                  <c:v>2025.2624734272506</c:v>
                </c:pt>
                <c:pt idx="3928">
                  <c:v>2025.0184898866812</c:v>
                </c:pt>
                <c:pt idx="3929">
                  <c:v>2023.5345085308177</c:v>
                </c:pt>
                <c:pt idx="3930">
                  <c:v>2024.8258939017396</c:v>
                </c:pt>
                <c:pt idx="3931">
                  <c:v>2022.9374481518014</c:v>
                </c:pt>
                <c:pt idx="3932">
                  <c:v>2024.8585347615272</c:v>
                </c:pt>
                <c:pt idx="3933">
                  <c:v>2023.7219181644591</c:v>
                </c:pt>
                <c:pt idx="3934">
                  <c:v>2022.8766870300628</c:v>
                </c:pt>
                <c:pt idx="3935">
                  <c:v>2023.4952916263653</c:v>
                </c:pt>
                <c:pt idx="3936">
                  <c:v>2023.5449717361253</c:v>
                </c:pt>
                <c:pt idx="3937">
                  <c:v>2025.5835506958988</c:v>
                </c:pt>
                <c:pt idx="3938">
                  <c:v>2023.5863445949317</c:v>
                </c:pt>
                <c:pt idx="3939">
                  <c:v>2024.8755892564909</c:v>
                </c:pt>
                <c:pt idx="3940">
                  <c:v>2023.6119835149395</c:v>
                </c:pt>
                <c:pt idx="3941">
                  <c:v>2023.2661847839365</c:v>
                </c:pt>
                <c:pt idx="3942">
                  <c:v>2023.108665553013</c:v>
                </c:pt>
                <c:pt idx="3943">
                  <c:v>2024.0774546034022</c:v>
                </c:pt>
                <c:pt idx="3944">
                  <c:v>2023.2343113863178</c:v>
                </c:pt>
                <c:pt idx="3945">
                  <c:v>2023.469847651392</c:v>
                </c:pt>
                <c:pt idx="3946">
                  <c:v>2023.1738353592598</c:v>
                </c:pt>
                <c:pt idx="3947">
                  <c:v>2024.8816532831481</c:v>
                </c:pt>
                <c:pt idx="3948">
                  <c:v>2025.5121988400306</c:v>
                </c:pt>
                <c:pt idx="3949">
                  <c:v>2023.5719905739484</c:v>
                </c:pt>
                <c:pt idx="3950">
                  <c:v>2024.2282840785576</c:v>
                </c:pt>
                <c:pt idx="3951">
                  <c:v>2022.8948827919182</c:v>
                </c:pt>
                <c:pt idx="3952">
                  <c:v>2023.1407460220817</c:v>
                </c:pt>
                <c:pt idx="3953">
                  <c:v>2023.2999106222994</c:v>
                </c:pt>
                <c:pt idx="3954">
                  <c:v>2022.9875932158411</c:v>
                </c:pt>
                <c:pt idx="3955">
                  <c:v>2024.710683010429</c:v>
                </c:pt>
                <c:pt idx="3956">
                  <c:v>2023.2065912419109</c:v>
                </c:pt>
                <c:pt idx="3957">
                  <c:v>2023.3709981086961</c:v>
                </c:pt>
                <c:pt idx="3958">
                  <c:v>2022.9182229420719</c:v>
                </c:pt>
                <c:pt idx="3959">
                  <c:v>2023.1810128163938</c:v>
                </c:pt>
                <c:pt idx="3960">
                  <c:v>2025.4488416750896</c:v>
                </c:pt>
                <c:pt idx="3961">
                  <c:v>2022.7705658286347</c:v>
                </c:pt>
                <c:pt idx="3962">
                  <c:v>2023.01343014848</c:v>
                </c:pt>
                <c:pt idx="3963">
                  <c:v>2023.1667060902812</c:v>
                </c:pt>
                <c:pt idx="3964">
                  <c:v>2023.0611374512725</c:v>
                </c:pt>
                <c:pt idx="3965">
                  <c:v>2023.2943126816788</c:v>
                </c:pt>
                <c:pt idx="3966">
                  <c:v>2025.8109061344087</c:v>
                </c:pt>
                <c:pt idx="3967">
                  <c:v>2023.3485566586867</c:v>
                </c:pt>
                <c:pt idx="3968">
                  <c:v>2023.1627398703181</c:v>
                </c:pt>
                <c:pt idx="3969">
                  <c:v>2023.1466361834805</c:v>
                </c:pt>
                <c:pt idx="3970">
                  <c:v>2023.3889020510971</c:v>
                </c:pt>
                <c:pt idx="3971">
                  <c:v>2023.2056188838094</c:v>
                </c:pt>
                <c:pt idx="3972">
                  <c:v>2022.967187116385</c:v>
                </c:pt>
                <c:pt idx="3973">
                  <c:v>2022.9540579139111</c:v>
                </c:pt>
                <c:pt idx="3974">
                  <c:v>2022.8104282468505</c:v>
                </c:pt>
                <c:pt idx="3975">
                  <c:v>2024.2234423636046</c:v>
                </c:pt>
                <c:pt idx="3976">
                  <c:v>2024.5746386649821</c:v>
                </c:pt>
                <c:pt idx="3977">
                  <c:v>2023.2334390615999</c:v>
                </c:pt>
                <c:pt idx="3978">
                  <c:v>2024.3399951218248</c:v>
                </c:pt>
                <c:pt idx="3979">
                  <c:v>2022.6967777932616</c:v>
                </c:pt>
                <c:pt idx="3980">
                  <c:v>2022.9942775476391</c:v>
                </c:pt>
                <c:pt idx="3981">
                  <c:v>2022.9465854754681</c:v>
                </c:pt>
                <c:pt idx="3982">
                  <c:v>2024.6168090748861</c:v>
                </c:pt>
                <c:pt idx="3983">
                  <c:v>2025.3216824116798</c:v>
                </c:pt>
                <c:pt idx="3984">
                  <c:v>2023.0235330432545</c:v>
                </c:pt>
                <c:pt idx="3985">
                  <c:v>2022.8703206207713</c:v>
                </c:pt>
                <c:pt idx="3986">
                  <c:v>2024.4262516380456</c:v>
                </c:pt>
                <c:pt idx="3987">
                  <c:v>2023.4694932562161</c:v>
                </c:pt>
                <c:pt idx="3988">
                  <c:v>2022.8829362892452</c:v>
                </c:pt>
                <c:pt idx="3989">
                  <c:v>2023.5235844630085</c:v>
                </c:pt>
                <c:pt idx="3990">
                  <c:v>2022.6550177944848</c:v>
                </c:pt>
                <c:pt idx="3991">
                  <c:v>2023.251827443155</c:v>
                </c:pt>
                <c:pt idx="3992">
                  <c:v>2023.2209824170527</c:v>
                </c:pt>
                <c:pt idx="3993">
                  <c:v>2022.9521427979976</c:v>
                </c:pt>
                <c:pt idx="3994">
                  <c:v>2023.5426755467365</c:v>
                </c:pt>
                <c:pt idx="3995">
                  <c:v>2023.6697447613428</c:v>
                </c:pt>
                <c:pt idx="3996">
                  <c:v>2023.4887035770671</c:v>
                </c:pt>
                <c:pt idx="3997">
                  <c:v>2023.8881736392741</c:v>
                </c:pt>
                <c:pt idx="3998">
                  <c:v>2022.8194894511162</c:v>
                </c:pt>
                <c:pt idx="3999">
                  <c:v>2023.3796994302759</c:v>
                </c:pt>
              </c:numCache>
            </c:numRef>
          </c:xVal>
          <c:yVal>
            <c:numRef>
              <c:f>JCL!JCLy</c:f>
              <c:numCache>
                <c:formatCode>"$"#,##0.0;\ "$"\(#,##0.0\)</c:formatCode>
                <c:ptCount val="10000"/>
                <c:pt idx="0">
                  <c:v>1040.7459084187967</c:v>
                </c:pt>
                <c:pt idx="1">
                  <c:v>888.4592707422745</c:v>
                </c:pt>
                <c:pt idx="2">
                  <c:v>961.55320604377073</c:v>
                </c:pt>
                <c:pt idx="3">
                  <c:v>1139.9105028340007</c:v>
                </c:pt>
                <c:pt idx="4">
                  <c:v>823.01216795410573</c:v>
                </c:pt>
                <c:pt idx="5">
                  <c:v>833.30284289295776</c:v>
                </c:pt>
                <c:pt idx="6">
                  <c:v>981.43827480517302</c:v>
                </c:pt>
                <c:pt idx="7">
                  <c:v>936.43760508295406</c:v>
                </c:pt>
                <c:pt idx="8">
                  <c:v>1073.6667284693258</c:v>
                </c:pt>
                <c:pt idx="9">
                  <c:v>1363.2022592782216</c:v>
                </c:pt>
                <c:pt idx="10" formatCode="&quot;$&quot;#,##0.0">
                  <c:v>1054.8274871160243</c:v>
                </c:pt>
                <c:pt idx="11" formatCode="&quot;$&quot;#,##0.0">
                  <c:v>1182.0853430347127</c:v>
                </c:pt>
                <c:pt idx="12" formatCode="&quot;$&quot;#,##0.0">
                  <c:v>938.63731661408769</c:v>
                </c:pt>
                <c:pt idx="13" formatCode="&quot;$&quot;#,##0.0">
                  <c:v>790.11292581948749</c:v>
                </c:pt>
                <c:pt idx="14" formatCode="&quot;$&quot;#,##0.0">
                  <c:v>898.52889231870051</c:v>
                </c:pt>
                <c:pt idx="15" formatCode="&quot;$&quot;#,##0.0">
                  <c:v>868.11662538250073</c:v>
                </c:pt>
                <c:pt idx="16" formatCode="&quot;$&quot;#,##0.0">
                  <c:v>823.54331792273103</c:v>
                </c:pt>
                <c:pt idx="17" formatCode="&quot;$&quot;#,##0.0">
                  <c:v>887.25839269383607</c:v>
                </c:pt>
                <c:pt idx="18" formatCode="&quot;$&quot;#,##0.0">
                  <c:v>982.3221935538113</c:v>
                </c:pt>
                <c:pt idx="19" formatCode="&quot;$&quot;#,##0.0">
                  <c:v>892.22696699153187</c:v>
                </c:pt>
                <c:pt idx="20" formatCode="&quot;$&quot;#,##0.0">
                  <c:v>1142.6559742338027</c:v>
                </c:pt>
                <c:pt idx="21" formatCode="&quot;$&quot;#,##0.0">
                  <c:v>909.2713154075675</c:v>
                </c:pt>
                <c:pt idx="22" formatCode="&quot;$&quot;#,##0.0">
                  <c:v>870.94523452779902</c:v>
                </c:pt>
                <c:pt idx="23" formatCode="&quot;$&quot;#,##0.0">
                  <c:v>1092.6628029756926</c:v>
                </c:pt>
                <c:pt idx="24" formatCode="&quot;$&quot;#,##0.0">
                  <c:v>981.08431225474044</c:v>
                </c:pt>
                <c:pt idx="25" formatCode="&quot;$&quot;#,##0.0">
                  <c:v>933.73531855895476</c:v>
                </c:pt>
                <c:pt idx="26" formatCode="&quot;$&quot;#,##0.0">
                  <c:v>974.18556591997378</c:v>
                </c:pt>
                <c:pt idx="27" formatCode="&quot;$&quot;#,##0.0">
                  <c:v>880.99834357273403</c:v>
                </c:pt>
                <c:pt idx="28" formatCode="&quot;$&quot;#,##0.0">
                  <c:v>1138.6997531475342</c:v>
                </c:pt>
                <c:pt idx="29" formatCode="&quot;$&quot;#,##0.0">
                  <c:v>934.66961406334713</c:v>
                </c:pt>
                <c:pt idx="30" formatCode="&quot;$&quot;#,##0.0">
                  <c:v>891.87953112673506</c:v>
                </c:pt>
                <c:pt idx="31" formatCode="&quot;$&quot;#,##0.0">
                  <c:v>1203.6482986257656</c:v>
                </c:pt>
                <c:pt idx="32" formatCode="&quot;$&quot;#,##0.0">
                  <c:v>1080.1361618146134</c:v>
                </c:pt>
                <c:pt idx="33" formatCode="&quot;$&quot;#,##0.0">
                  <c:v>960.64820443209499</c:v>
                </c:pt>
                <c:pt idx="34" formatCode="&quot;$&quot;#,##0.0">
                  <c:v>926.25963450335246</c:v>
                </c:pt>
                <c:pt idx="35" formatCode="&quot;$&quot;#,##0.0">
                  <c:v>839.55099073973872</c:v>
                </c:pt>
                <c:pt idx="36" formatCode="&quot;$&quot;#,##0.0">
                  <c:v>1104.9114763538307</c:v>
                </c:pt>
                <c:pt idx="37" formatCode="&quot;$&quot;#,##0.0">
                  <c:v>883.39704131108488</c:v>
                </c:pt>
                <c:pt idx="38" formatCode="&quot;$&quot;#,##0.0">
                  <c:v>1035.4996141070335</c:v>
                </c:pt>
                <c:pt idx="39" formatCode="&quot;$&quot;#,##0.0">
                  <c:v>863.44224060522686</c:v>
                </c:pt>
                <c:pt idx="40" formatCode="&quot;$&quot;#,##0.0">
                  <c:v>1183.893139132115</c:v>
                </c:pt>
                <c:pt idx="41" formatCode="&quot;$&quot;#,##0.0">
                  <c:v>1165.9875486479998</c:v>
                </c:pt>
                <c:pt idx="42" formatCode="&quot;$&quot;#,##0.0">
                  <c:v>1186.5401651766133</c:v>
                </c:pt>
                <c:pt idx="43" formatCode="&quot;$&quot;#,##0.0">
                  <c:v>887.43727884839529</c:v>
                </c:pt>
                <c:pt idx="44" formatCode="&quot;$&quot;#,##0.0">
                  <c:v>879.91904970588496</c:v>
                </c:pt>
                <c:pt idx="45" formatCode="&quot;$&quot;#,##0.0">
                  <c:v>985.79248982442721</c:v>
                </c:pt>
                <c:pt idx="46" formatCode="&quot;$&quot;#,##0.0">
                  <c:v>892.31773695925619</c:v>
                </c:pt>
                <c:pt idx="47" formatCode="&quot;$&quot;#,##0.0">
                  <c:v>1005.2637097655694</c:v>
                </c:pt>
                <c:pt idx="48" formatCode="&quot;$&quot;#,##0.0">
                  <c:v>892.46335448356717</c:v>
                </c:pt>
                <c:pt idx="49" formatCode="&quot;$&quot;#,##0.0">
                  <c:v>870.31696582280881</c:v>
                </c:pt>
                <c:pt idx="50" formatCode="&quot;$&quot;#,##0.0">
                  <c:v>832.82802827433522</c:v>
                </c:pt>
                <c:pt idx="51" formatCode="&quot;$&quot;#,##0.0">
                  <c:v>798.61284006553808</c:v>
                </c:pt>
                <c:pt idx="52" formatCode="&quot;$&quot;#,##0.0">
                  <c:v>985.1726654977</c:v>
                </c:pt>
                <c:pt idx="53" formatCode="&quot;$&quot;#,##0.0">
                  <c:v>988.85138514282926</c:v>
                </c:pt>
                <c:pt idx="54" formatCode="&quot;$&quot;#,##0.0">
                  <c:v>861.79271845051255</c:v>
                </c:pt>
                <c:pt idx="55" formatCode="&quot;$&quot;#,##0.0">
                  <c:v>1055.1137307613117</c:v>
                </c:pt>
                <c:pt idx="56" formatCode="&quot;$&quot;#,##0.0">
                  <c:v>920.29592331267224</c:v>
                </c:pt>
                <c:pt idx="57" formatCode="&quot;$&quot;#,##0.0">
                  <c:v>1130.8391529375581</c:v>
                </c:pt>
                <c:pt idx="58" formatCode="&quot;$&quot;#,##0.0">
                  <c:v>956.38513360719128</c:v>
                </c:pt>
                <c:pt idx="59" formatCode="&quot;$&quot;#,##0.0">
                  <c:v>876.78113975940528</c:v>
                </c:pt>
                <c:pt idx="60" formatCode="&quot;$&quot;#,##0.0">
                  <c:v>918.78250907154234</c:v>
                </c:pt>
                <c:pt idx="61" formatCode="&quot;$&quot;#,##0.0">
                  <c:v>1139.9462389680768</c:v>
                </c:pt>
                <c:pt idx="62" formatCode="&quot;$&quot;#,##0.0">
                  <c:v>1064.7397326610328</c:v>
                </c:pt>
                <c:pt idx="63" formatCode="&quot;$&quot;#,##0.0">
                  <c:v>928.86763334679779</c:v>
                </c:pt>
                <c:pt idx="64" formatCode="&quot;$&quot;#,##0.0">
                  <c:v>904.91435848783613</c:v>
                </c:pt>
                <c:pt idx="65" formatCode="&quot;$&quot;#,##0.0">
                  <c:v>1145.7595184248614</c:v>
                </c:pt>
                <c:pt idx="66" formatCode="&quot;$&quot;#,##0.0">
                  <c:v>890.17691075859591</c:v>
                </c:pt>
                <c:pt idx="67" formatCode="&quot;$&quot;#,##0.0">
                  <c:v>985.36733672594403</c:v>
                </c:pt>
                <c:pt idx="68" formatCode="&quot;$&quot;#,##0.0">
                  <c:v>913.93178912019562</c:v>
                </c:pt>
                <c:pt idx="69" formatCode="&quot;$&quot;#,##0.0">
                  <c:v>869.62001178132471</c:v>
                </c:pt>
                <c:pt idx="70" formatCode="&quot;$&quot;#,##0.0">
                  <c:v>882.15337847989167</c:v>
                </c:pt>
                <c:pt idx="71" formatCode="&quot;$&quot;#,##0.0">
                  <c:v>895.16878687284259</c:v>
                </c:pt>
                <c:pt idx="72" formatCode="&quot;$&quot;#,##0.0">
                  <c:v>959.97290986782093</c:v>
                </c:pt>
                <c:pt idx="73" formatCode="&quot;$&quot;#,##0.0">
                  <c:v>981.57301502688563</c:v>
                </c:pt>
                <c:pt idx="74" formatCode="&quot;$&quot;#,##0.0">
                  <c:v>1141.2597090046918</c:v>
                </c:pt>
                <c:pt idx="75" formatCode="&quot;$&quot;#,##0.0">
                  <c:v>891.90566701089483</c:v>
                </c:pt>
                <c:pt idx="76" formatCode="&quot;$&quot;#,##0.0">
                  <c:v>963.22425707824823</c:v>
                </c:pt>
                <c:pt idx="77" formatCode="&quot;$&quot;#,##0.0">
                  <c:v>931.03888204688201</c:v>
                </c:pt>
                <c:pt idx="78" formatCode="&quot;$&quot;#,##0.0">
                  <c:v>1009.5567393653783</c:v>
                </c:pt>
                <c:pt idx="79" formatCode="&quot;$&quot;#,##0.0">
                  <c:v>918.7152222168894</c:v>
                </c:pt>
                <c:pt idx="80" formatCode="&quot;$&quot;#,##0.0">
                  <c:v>884.2378731468317</c:v>
                </c:pt>
                <c:pt idx="81" formatCode="&quot;$&quot;#,##0.0">
                  <c:v>900.52795683569661</c:v>
                </c:pt>
                <c:pt idx="82" formatCode="&quot;$&quot;#,##0.0">
                  <c:v>892.14160891480776</c:v>
                </c:pt>
                <c:pt idx="83" formatCode="&quot;$&quot;#,##0.0">
                  <c:v>847.21529992968283</c:v>
                </c:pt>
                <c:pt idx="84" formatCode="&quot;$&quot;#,##0.0">
                  <c:v>916.53325432046734</c:v>
                </c:pt>
                <c:pt idx="85" formatCode="&quot;$&quot;#,##0.0">
                  <c:v>989.04965582851867</c:v>
                </c:pt>
                <c:pt idx="86" formatCode="&quot;$&quot;#,##0.0">
                  <c:v>918.79111850117999</c:v>
                </c:pt>
                <c:pt idx="87" formatCode="&quot;$&quot;#,##0.0">
                  <c:v>893.97036798778652</c:v>
                </c:pt>
                <c:pt idx="88" formatCode="&quot;$&quot;#,##0.0">
                  <c:v>901.46433836386097</c:v>
                </c:pt>
                <c:pt idx="89" formatCode="&quot;$&quot;#,##0.0">
                  <c:v>822.64873672492445</c:v>
                </c:pt>
                <c:pt idx="90" formatCode="&quot;$&quot;#,##0.0">
                  <c:v>858.96020726392783</c:v>
                </c:pt>
                <c:pt idx="91" formatCode="&quot;$&quot;#,##0.0">
                  <c:v>1297.1731756037836</c:v>
                </c:pt>
                <c:pt idx="92" formatCode="&quot;$&quot;#,##0.0">
                  <c:v>911.91805979008404</c:v>
                </c:pt>
                <c:pt idx="93" formatCode="&quot;$&quot;#,##0.0">
                  <c:v>984.81756833149166</c:v>
                </c:pt>
                <c:pt idx="94" formatCode="&quot;$&quot;#,##0.0">
                  <c:v>902.47409007317708</c:v>
                </c:pt>
                <c:pt idx="95" formatCode="&quot;$&quot;#,##0.0">
                  <c:v>857.04207157219321</c:v>
                </c:pt>
                <c:pt idx="96" formatCode="&quot;$&quot;#,##0.0">
                  <c:v>1035.8644279099356</c:v>
                </c:pt>
                <c:pt idx="97" formatCode="&quot;$&quot;#,##0.0">
                  <c:v>1107.517215524357</c:v>
                </c:pt>
                <c:pt idx="98" formatCode="&quot;$&quot;#,##0.0">
                  <c:v>1075.847470052362</c:v>
                </c:pt>
                <c:pt idx="99" formatCode="&quot;$&quot;#,##0.0">
                  <c:v>1114.4988019667685</c:v>
                </c:pt>
                <c:pt idx="100" formatCode="&quot;$&quot;#,##0.0">
                  <c:v>886.1726647300801</c:v>
                </c:pt>
                <c:pt idx="101" formatCode="&quot;$&quot;#,##0.0">
                  <c:v>900.89089859748083</c:v>
                </c:pt>
                <c:pt idx="102" formatCode="&quot;$&quot;#,##0.0">
                  <c:v>831.29708784257366</c:v>
                </c:pt>
                <c:pt idx="103" formatCode="&quot;$&quot;#,##0.0">
                  <c:v>858.74827492332793</c:v>
                </c:pt>
                <c:pt idx="104" formatCode="&quot;$&quot;#,##0.0">
                  <c:v>934.57315748568681</c:v>
                </c:pt>
                <c:pt idx="105" formatCode="&quot;$&quot;#,##0.0">
                  <c:v>863.40811640939467</c:v>
                </c:pt>
                <c:pt idx="106" formatCode="&quot;$&quot;#,##0.0">
                  <c:v>1052.2937978417103</c:v>
                </c:pt>
                <c:pt idx="107" formatCode="&quot;$&quot;#,##0.0">
                  <c:v>936.70805118116152</c:v>
                </c:pt>
                <c:pt idx="108" formatCode="&quot;$&quot;#,##0.0">
                  <c:v>1014.2003257369861</c:v>
                </c:pt>
                <c:pt idx="109" formatCode="&quot;$&quot;#,##0.0">
                  <c:v>821.37971093143517</c:v>
                </c:pt>
                <c:pt idx="110" formatCode="&quot;$&quot;#,##0.0">
                  <c:v>839.3889604407583</c:v>
                </c:pt>
                <c:pt idx="111" formatCode="&quot;$&quot;#,##0.0">
                  <c:v>924.28341489692843</c:v>
                </c:pt>
                <c:pt idx="112" formatCode="&quot;$&quot;#,##0.0">
                  <c:v>834.69402332699997</c:v>
                </c:pt>
                <c:pt idx="113" formatCode="&quot;$&quot;#,##0.0">
                  <c:v>1180.0722874695598</c:v>
                </c:pt>
                <c:pt idx="114" formatCode="&quot;$&quot;#,##0.0">
                  <c:v>957.10027705925813</c:v>
                </c:pt>
                <c:pt idx="115" formatCode="&quot;$&quot;#,##0.0">
                  <c:v>1095.5893667177929</c:v>
                </c:pt>
                <c:pt idx="116" formatCode="&quot;$&quot;#,##0.0">
                  <c:v>1211.9974575770796</c:v>
                </c:pt>
                <c:pt idx="117" formatCode="&quot;$&quot;#,##0.0">
                  <c:v>1084.2914053353088</c:v>
                </c:pt>
                <c:pt idx="118" formatCode="&quot;$&quot;#,##0.0">
                  <c:v>817.74463507710061</c:v>
                </c:pt>
                <c:pt idx="119" formatCode="&quot;$&quot;#,##0.0">
                  <c:v>867.77017545072067</c:v>
                </c:pt>
                <c:pt idx="120" formatCode="&quot;$&quot;#,##0.0">
                  <c:v>1111.4743552781638</c:v>
                </c:pt>
                <c:pt idx="121" formatCode="&quot;$&quot;#,##0.0">
                  <c:v>931.89118687533517</c:v>
                </c:pt>
                <c:pt idx="122" formatCode="&quot;$&quot;#,##0.0">
                  <c:v>890.35324981674296</c:v>
                </c:pt>
                <c:pt idx="123" formatCode="&quot;$&quot;#,##0.0">
                  <c:v>1001.0497689179347</c:v>
                </c:pt>
                <c:pt idx="124" formatCode="&quot;$&quot;#,##0.0">
                  <c:v>855.16932530719407</c:v>
                </c:pt>
                <c:pt idx="125" formatCode="&quot;$&quot;#,##0.0">
                  <c:v>961.38219640313798</c:v>
                </c:pt>
                <c:pt idx="126" formatCode="&quot;$&quot;#,##0.0">
                  <c:v>868.59007152040385</c:v>
                </c:pt>
                <c:pt idx="127" formatCode="&quot;$&quot;#,##0.0">
                  <c:v>913.82607078827436</c:v>
                </c:pt>
                <c:pt idx="128" formatCode="&quot;$&quot;#,##0.0">
                  <c:v>887.80196035643201</c:v>
                </c:pt>
                <c:pt idx="129" formatCode="&quot;$&quot;#,##0.0">
                  <c:v>933.71124071852728</c:v>
                </c:pt>
                <c:pt idx="130" formatCode="&quot;$&quot;#,##0.0">
                  <c:v>872.52238490850391</c:v>
                </c:pt>
                <c:pt idx="131" formatCode="&quot;$&quot;#,##0.0">
                  <c:v>873.33459328617664</c:v>
                </c:pt>
                <c:pt idx="132" formatCode="&quot;$&quot;#,##0.0">
                  <c:v>877.60960508417202</c:v>
                </c:pt>
                <c:pt idx="133" formatCode="&quot;$&quot;#,##0.0">
                  <c:v>1074.0804610459477</c:v>
                </c:pt>
                <c:pt idx="134" formatCode="&quot;$&quot;#,##0.0">
                  <c:v>886.30712048517796</c:v>
                </c:pt>
                <c:pt idx="135" formatCode="&quot;$&quot;#,##0.0">
                  <c:v>1237.3828922985797</c:v>
                </c:pt>
                <c:pt idx="136" formatCode="&quot;$&quot;#,##0.0">
                  <c:v>832.72445836108773</c:v>
                </c:pt>
                <c:pt idx="137" formatCode="&quot;$&quot;#,##0.0">
                  <c:v>908.31953969809581</c:v>
                </c:pt>
                <c:pt idx="138" formatCode="&quot;$&quot;#,##0.0">
                  <c:v>958.36147884256366</c:v>
                </c:pt>
                <c:pt idx="139" formatCode="&quot;$&quot;#,##0.0">
                  <c:v>861.1567682607739</c:v>
                </c:pt>
                <c:pt idx="140" formatCode="&quot;$&quot;#,##0.0">
                  <c:v>800.63760602752996</c:v>
                </c:pt>
                <c:pt idx="141" formatCode="&quot;$&quot;#,##0.0">
                  <c:v>1121.2683393818097</c:v>
                </c:pt>
                <c:pt idx="142" formatCode="&quot;$&quot;#,##0.0">
                  <c:v>917.60803973284328</c:v>
                </c:pt>
                <c:pt idx="143" formatCode="&quot;$&quot;#,##0.0">
                  <c:v>1021.1952565564561</c:v>
                </c:pt>
                <c:pt idx="144" formatCode="&quot;$&quot;#,##0.0">
                  <c:v>1029.7749141058764</c:v>
                </c:pt>
                <c:pt idx="145" formatCode="&quot;$&quot;#,##0.0">
                  <c:v>1165.7228380982597</c:v>
                </c:pt>
                <c:pt idx="146" formatCode="&quot;$&quot;#,##0.0">
                  <c:v>1150.1533894909235</c:v>
                </c:pt>
                <c:pt idx="147" formatCode="&quot;$&quot;#,##0.0">
                  <c:v>833.42648258083761</c:v>
                </c:pt>
                <c:pt idx="148" formatCode="&quot;$&quot;#,##0.0">
                  <c:v>1115.7224412578757</c:v>
                </c:pt>
                <c:pt idx="149" formatCode="&quot;$&quot;#,##0.0">
                  <c:v>1024.9683147733699</c:v>
                </c:pt>
                <c:pt idx="150" formatCode="&quot;$&quot;#,##0.0">
                  <c:v>887.21656705808016</c:v>
                </c:pt>
                <c:pt idx="151" formatCode="&quot;$&quot;#,##0.0">
                  <c:v>956.84884127292776</c:v>
                </c:pt>
                <c:pt idx="152" formatCode="&quot;$&quot;#,##0.0">
                  <c:v>879.90168511803734</c:v>
                </c:pt>
                <c:pt idx="153" formatCode="&quot;$&quot;#,##0.0">
                  <c:v>901.77154411372521</c:v>
                </c:pt>
                <c:pt idx="154" formatCode="&quot;$&quot;#,##0.0">
                  <c:v>1141.8392816840101</c:v>
                </c:pt>
                <c:pt idx="155" formatCode="&quot;$&quot;#,##0.0">
                  <c:v>957.28504190790761</c:v>
                </c:pt>
                <c:pt idx="156" formatCode="&quot;$&quot;#,##0.0">
                  <c:v>948.71400810722196</c:v>
                </c:pt>
                <c:pt idx="157" formatCode="&quot;$&quot;#,##0.0">
                  <c:v>924.18790016999492</c:v>
                </c:pt>
                <c:pt idx="158" formatCode="&quot;$&quot;#,##0.0">
                  <c:v>938.9591081193995</c:v>
                </c:pt>
                <c:pt idx="159" formatCode="&quot;$&quot;#,##0.0">
                  <c:v>1043.6784241940711</c:v>
                </c:pt>
                <c:pt idx="160" formatCode="&quot;$&quot;#,##0.0">
                  <c:v>1109.4386079978672</c:v>
                </c:pt>
                <c:pt idx="161" formatCode="&quot;$&quot;#,##0.0">
                  <c:v>806.99313658294216</c:v>
                </c:pt>
                <c:pt idx="162" formatCode="&quot;$&quot;#,##0.0">
                  <c:v>1125.3035607002059</c:v>
                </c:pt>
                <c:pt idx="163" formatCode="&quot;$&quot;#,##0.0">
                  <c:v>908.54707204022077</c:v>
                </c:pt>
                <c:pt idx="164" formatCode="&quot;$&quot;#,##0.0">
                  <c:v>1155.4896710103308</c:v>
                </c:pt>
                <c:pt idx="165" formatCode="&quot;$&quot;#,##0.0">
                  <c:v>998.93162812547155</c:v>
                </c:pt>
                <c:pt idx="166" formatCode="&quot;$&quot;#,##0.0">
                  <c:v>840.46175596410626</c:v>
                </c:pt>
                <c:pt idx="167" formatCode="&quot;$&quot;#,##0.0">
                  <c:v>887.81080791890815</c:v>
                </c:pt>
                <c:pt idx="168" formatCode="&quot;$&quot;#,##0.0">
                  <c:v>1042.4367826340954</c:v>
                </c:pt>
                <c:pt idx="169" formatCode="&quot;$&quot;#,##0.0">
                  <c:v>1023.2446824395901</c:v>
                </c:pt>
                <c:pt idx="170" formatCode="&quot;$&quot;#,##0.0">
                  <c:v>848.85840594918091</c:v>
                </c:pt>
                <c:pt idx="171" formatCode="&quot;$&quot;#,##0.0">
                  <c:v>818.38685241809367</c:v>
                </c:pt>
                <c:pt idx="172" formatCode="&quot;$&quot;#,##0.0">
                  <c:v>862.99651239394871</c:v>
                </c:pt>
                <c:pt idx="173" formatCode="&quot;$&quot;#,##0.0">
                  <c:v>938.30907679580855</c:v>
                </c:pt>
                <c:pt idx="174" formatCode="&quot;$&quot;#,##0.0">
                  <c:v>1018.5949937071366</c:v>
                </c:pt>
                <c:pt idx="175" formatCode="&quot;$&quot;#,##0.0">
                  <c:v>877.19652975467613</c:v>
                </c:pt>
                <c:pt idx="176" formatCode="&quot;$&quot;#,##0.0">
                  <c:v>1219.9919759136314</c:v>
                </c:pt>
                <c:pt idx="177" formatCode="&quot;$&quot;#,##0.0">
                  <c:v>950.48346168198179</c:v>
                </c:pt>
                <c:pt idx="178" formatCode="&quot;$&quot;#,##0.0">
                  <c:v>960.88298032412297</c:v>
                </c:pt>
                <c:pt idx="179" formatCode="&quot;$&quot;#,##0.0">
                  <c:v>927.49315747977914</c:v>
                </c:pt>
                <c:pt idx="180" formatCode="&quot;$&quot;#,##0.0">
                  <c:v>901.80422197782298</c:v>
                </c:pt>
                <c:pt idx="181" formatCode="&quot;$&quot;#,##0.0">
                  <c:v>991.65798983913351</c:v>
                </c:pt>
                <c:pt idx="182" formatCode="&quot;$&quot;#,##0.0">
                  <c:v>923.6972444907608</c:v>
                </c:pt>
                <c:pt idx="183" formatCode="&quot;$&quot;#,##0.0">
                  <c:v>891.82902546810885</c:v>
                </c:pt>
                <c:pt idx="184" formatCode="&quot;$&quot;#,##0.0">
                  <c:v>981.79882576230273</c:v>
                </c:pt>
                <c:pt idx="185" formatCode="&quot;$&quot;#,##0.0">
                  <c:v>1034.2898816784088</c:v>
                </c:pt>
                <c:pt idx="186" formatCode="&quot;$&quot;#,##0.0">
                  <c:v>1199.2115083068863</c:v>
                </c:pt>
                <c:pt idx="187" formatCode="&quot;$&quot;#,##0.0">
                  <c:v>873.16454958730719</c:v>
                </c:pt>
                <c:pt idx="188" formatCode="&quot;$&quot;#,##0.0">
                  <c:v>885.75660209933926</c:v>
                </c:pt>
                <c:pt idx="189" formatCode="&quot;$&quot;#,##0.0">
                  <c:v>876.58731917667933</c:v>
                </c:pt>
                <c:pt idx="190" formatCode="&quot;$&quot;#,##0.0">
                  <c:v>889.12690131609747</c:v>
                </c:pt>
                <c:pt idx="191" formatCode="&quot;$&quot;#,##0.0">
                  <c:v>869.22296077349552</c:v>
                </c:pt>
                <c:pt idx="192" formatCode="&quot;$&quot;#,##0.0">
                  <c:v>907.27343538138678</c:v>
                </c:pt>
                <c:pt idx="193" formatCode="&quot;$&quot;#,##0.0">
                  <c:v>864.4699337086621</c:v>
                </c:pt>
                <c:pt idx="194" formatCode="&quot;$&quot;#,##0.0">
                  <c:v>1087.6214500038802</c:v>
                </c:pt>
                <c:pt idx="195" formatCode="&quot;$&quot;#,##0.0">
                  <c:v>1086.4169800222817</c:v>
                </c:pt>
                <c:pt idx="196" formatCode="&quot;$&quot;#,##0.0">
                  <c:v>1042.8918601491253</c:v>
                </c:pt>
                <c:pt idx="197" formatCode="&quot;$&quot;#,##0.0">
                  <c:v>844.14780631329995</c:v>
                </c:pt>
                <c:pt idx="198" formatCode="&quot;$&quot;#,##0.0">
                  <c:v>892.75994044753497</c:v>
                </c:pt>
                <c:pt idx="199" formatCode="&quot;$&quot;#,##0.0">
                  <c:v>956.91314600700093</c:v>
                </c:pt>
                <c:pt idx="200" formatCode="&quot;$&quot;#,##0.0">
                  <c:v>926.5164464113949</c:v>
                </c:pt>
                <c:pt idx="201" formatCode="&quot;$&quot;#,##0.0">
                  <c:v>1089.2025543556088</c:v>
                </c:pt>
                <c:pt idx="202" formatCode="&quot;$&quot;#,##0.0">
                  <c:v>891.38180535531069</c:v>
                </c:pt>
                <c:pt idx="203" formatCode="&quot;$&quot;#,##0.0">
                  <c:v>1084.2022739975664</c:v>
                </c:pt>
                <c:pt idx="204" formatCode="&quot;$&quot;#,##0.0">
                  <c:v>835.37738467989129</c:v>
                </c:pt>
                <c:pt idx="205" formatCode="&quot;$&quot;#,##0.0">
                  <c:v>884.19537281285886</c:v>
                </c:pt>
                <c:pt idx="206" formatCode="&quot;$&quot;#,##0.0">
                  <c:v>1063.0887540650945</c:v>
                </c:pt>
                <c:pt idx="207" formatCode="&quot;$&quot;#,##0.0">
                  <c:v>828.32183566582557</c:v>
                </c:pt>
                <c:pt idx="208" formatCode="&quot;$&quot;#,##0.0">
                  <c:v>838.13855898880865</c:v>
                </c:pt>
                <c:pt idx="209" formatCode="&quot;$&quot;#,##0.0">
                  <c:v>866.36031937313578</c:v>
                </c:pt>
                <c:pt idx="210" formatCode="&quot;$&quot;#,##0.0">
                  <c:v>853.54091991005475</c:v>
                </c:pt>
                <c:pt idx="211" formatCode="&quot;$&quot;#,##0.0">
                  <c:v>945.81212974779351</c:v>
                </c:pt>
                <c:pt idx="212" formatCode="&quot;$&quot;#,##0.0">
                  <c:v>931.25015106882768</c:v>
                </c:pt>
                <c:pt idx="213" formatCode="&quot;$&quot;#,##0.0">
                  <c:v>830.55089826855237</c:v>
                </c:pt>
                <c:pt idx="214" formatCode="&quot;$&quot;#,##0.0">
                  <c:v>888.85463787627521</c:v>
                </c:pt>
                <c:pt idx="215" formatCode="&quot;$&quot;#,##0.0">
                  <c:v>842.77037504439545</c:v>
                </c:pt>
                <c:pt idx="216" formatCode="&quot;$&quot;#,##0.0">
                  <c:v>839.59953777239912</c:v>
                </c:pt>
                <c:pt idx="217" formatCode="&quot;$&quot;#,##0.0">
                  <c:v>787.22679595583497</c:v>
                </c:pt>
                <c:pt idx="218" formatCode="&quot;$&quot;#,##0.0">
                  <c:v>871.80679157254372</c:v>
                </c:pt>
                <c:pt idx="219" formatCode="&quot;$&quot;#,##0.0">
                  <c:v>968.22678586420943</c:v>
                </c:pt>
                <c:pt idx="220" formatCode="&quot;$&quot;#,##0.0">
                  <c:v>1080.9638375551203</c:v>
                </c:pt>
                <c:pt idx="221" formatCode="&quot;$&quot;#,##0.0">
                  <c:v>879.20374822488918</c:v>
                </c:pt>
                <c:pt idx="222" formatCode="&quot;$&quot;#,##0.0">
                  <c:v>827.63332038779936</c:v>
                </c:pt>
                <c:pt idx="223" formatCode="&quot;$&quot;#,##0.0">
                  <c:v>923.11125981856856</c:v>
                </c:pt>
                <c:pt idx="224" formatCode="&quot;$&quot;#,##0.0">
                  <c:v>1073.4140607265874</c:v>
                </c:pt>
                <c:pt idx="225" formatCode="&quot;$&quot;#,##0.0">
                  <c:v>1135.3508491150174</c:v>
                </c:pt>
                <c:pt idx="226" formatCode="&quot;$&quot;#,##0.0">
                  <c:v>1149.0444051788286</c:v>
                </c:pt>
                <c:pt idx="227" formatCode="&quot;$&quot;#,##0.0">
                  <c:v>895.15825244536416</c:v>
                </c:pt>
                <c:pt idx="228" formatCode="&quot;$&quot;#,##0.0">
                  <c:v>896.73159072282522</c:v>
                </c:pt>
                <c:pt idx="229" formatCode="&quot;$&quot;#,##0.0">
                  <c:v>918.22943603870317</c:v>
                </c:pt>
                <c:pt idx="230" formatCode="&quot;$&quot;#,##0.0">
                  <c:v>1038.5282226331017</c:v>
                </c:pt>
                <c:pt idx="231" formatCode="&quot;$&quot;#,##0.0">
                  <c:v>869.7619282137307</c:v>
                </c:pt>
                <c:pt idx="232" formatCode="&quot;$&quot;#,##0.0">
                  <c:v>893.40230138261472</c:v>
                </c:pt>
                <c:pt idx="233" formatCode="&quot;$&quot;#,##0.0">
                  <c:v>948.697956375226</c:v>
                </c:pt>
                <c:pt idx="234" formatCode="&quot;$&quot;#,##0.0">
                  <c:v>901.4302156397963</c:v>
                </c:pt>
                <c:pt idx="235" formatCode="&quot;$&quot;#,##0.0">
                  <c:v>906.48024808522382</c:v>
                </c:pt>
                <c:pt idx="236" formatCode="&quot;$&quot;#,##0.0">
                  <c:v>1010.3292201164317</c:v>
                </c:pt>
                <c:pt idx="237" formatCode="&quot;$&quot;#,##0.0">
                  <c:v>1003.6495679992454</c:v>
                </c:pt>
                <c:pt idx="238" formatCode="&quot;$&quot;#,##0.0">
                  <c:v>941.25484973793164</c:v>
                </c:pt>
                <c:pt idx="239" formatCode="&quot;$&quot;#,##0.0">
                  <c:v>871.04888037467663</c:v>
                </c:pt>
                <c:pt idx="240" formatCode="&quot;$&quot;#,##0.0">
                  <c:v>895.56566284702785</c:v>
                </c:pt>
                <c:pt idx="241" formatCode="&quot;$&quot;#,##0.0">
                  <c:v>929.06712252452496</c:v>
                </c:pt>
                <c:pt idx="242" formatCode="&quot;$&quot;#,##0.0">
                  <c:v>880.98955647289051</c:v>
                </c:pt>
                <c:pt idx="243" formatCode="&quot;$&quot;#,##0.0">
                  <c:v>874.56765473355313</c:v>
                </c:pt>
                <c:pt idx="244" formatCode="&quot;$&quot;#,##0.0">
                  <c:v>881.23322349012221</c:v>
                </c:pt>
                <c:pt idx="245" formatCode="&quot;$&quot;#,##0.0">
                  <c:v>975.56332399318967</c:v>
                </c:pt>
                <c:pt idx="246" formatCode="&quot;$&quot;#,##0.0">
                  <c:v>895.9679129606028</c:v>
                </c:pt>
                <c:pt idx="247" formatCode="&quot;$&quot;#,##0.0">
                  <c:v>905.79193943300311</c:v>
                </c:pt>
                <c:pt idx="248" formatCode="&quot;$&quot;#,##0.0">
                  <c:v>804.27010981628678</c:v>
                </c:pt>
                <c:pt idx="249" formatCode="&quot;$&quot;#,##0.0">
                  <c:v>949.56018276024395</c:v>
                </c:pt>
                <c:pt idx="250" formatCode="&quot;$&quot;#,##0.0">
                  <c:v>830.68054873712492</c:v>
                </c:pt>
                <c:pt idx="251" formatCode="&quot;$&quot;#,##0.0">
                  <c:v>921.05942892964458</c:v>
                </c:pt>
                <c:pt idx="252" formatCode="&quot;$&quot;#,##0.0">
                  <c:v>951.05169355249939</c:v>
                </c:pt>
                <c:pt idx="253" formatCode="&quot;$&quot;#,##0.0">
                  <c:v>992.78653816961003</c:v>
                </c:pt>
                <c:pt idx="254" formatCode="&quot;$&quot;#,##0.0">
                  <c:v>968.67833945634322</c:v>
                </c:pt>
                <c:pt idx="255" formatCode="&quot;$&quot;#,##0.0">
                  <c:v>1156.2538189408745</c:v>
                </c:pt>
                <c:pt idx="256" formatCode="&quot;$&quot;#,##0.0">
                  <c:v>951.4518212161239</c:v>
                </c:pt>
                <c:pt idx="257" formatCode="&quot;$&quot;#,##0.0">
                  <c:v>968.06034978951664</c:v>
                </c:pt>
                <c:pt idx="258" formatCode="&quot;$&quot;#,##0.0">
                  <c:v>1084.8304058439371</c:v>
                </c:pt>
                <c:pt idx="259" formatCode="&quot;$&quot;#,##0.0">
                  <c:v>1184.1072463713992</c:v>
                </c:pt>
                <c:pt idx="260" formatCode="&quot;$&quot;#,##0.0">
                  <c:v>805.11185208543372</c:v>
                </c:pt>
                <c:pt idx="261" formatCode="&quot;$&quot;#,##0.0">
                  <c:v>868.26724500483351</c:v>
                </c:pt>
                <c:pt idx="262" formatCode="&quot;$&quot;#,##0.0">
                  <c:v>961.6681139424395</c:v>
                </c:pt>
                <c:pt idx="263" formatCode="&quot;$&quot;#,##0.0">
                  <c:v>1004.0124538421824</c:v>
                </c:pt>
                <c:pt idx="264" formatCode="&quot;$&quot;#,##0.0">
                  <c:v>993.38280050352421</c:v>
                </c:pt>
                <c:pt idx="265" formatCode="&quot;$&quot;#,##0.0">
                  <c:v>911.01341217042511</c:v>
                </c:pt>
                <c:pt idx="266" formatCode="&quot;$&quot;#,##0.0">
                  <c:v>1004.2574999234835</c:v>
                </c:pt>
                <c:pt idx="267" formatCode="&quot;$&quot;#,##0.0">
                  <c:v>799.89211091941047</c:v>
                </c:pt>
                <c:pt idx="268" formatCode="&quot;$&quot;#,##0.0">
                  <c:v>981.77738201993714</c:v>
                </c:pt>
                <c:pt idx="269" formatCode="&quot;$&quot;#,##0.0">
                  <c:v>868.03722186810899</c:v>
                </c:pt>
                <c:pt idx="270" formatCode="&quot;$&quot;#,##0.0">
                  <c:v>944.20260396436925</c:v>
                </c:pt>
                <c:pt idx="271" formatCode="&quot;$&quot;#,##0.0">
                  <c:v>910.58499931752499</c:v>
                </c:pt>
                <c:pt idx="272" formatCode="&quot;$&quot;#,##0.0">
                  <c:v>1113.6051914833499</c:v>
                </c:pt>
                <c:pt idx="273" formatCode="&quot;$&quot;#,##0.0">
                  <c:v>878.44220356395704</c:v>
                </c:pt>
                <c:pt idx="274" formatCode="&quot;$&quot;#,##0.0">
                  <c:v>973.74190617977706</c:v>
                </c:pt>
                <c:pt idx="275" formatCode="&quot;$&quot;#,##0.0">
                  <c:v>903.72153220799692</c:v>
                </c:pt>
                <c:pt idx="276" formatCode="&quot;$&quot;#,##0.0">
                  <c:v>894.78953095848806</c:v>
                </c:pt>
                <c:pt idx="277" formatCode="&quot;$&quot;#,##0.0">
                  <c:v>987.08039702558824</c:v>
                </c:pt>
                <c:pt idx="278" formatCode="&quot;$&quot;#,##0.0">
                  <c:v>992.96825193438372</c:v>
                </c:pt>
                <c:pt idx="279" formatCode="&quot;$&quot;#,##0.0">
                  <c:v>817.81014522849807</c:v>
                </c:pt>
                <c:pt idx="280" formatCode="&quot;$&quot;#,##0.0">
                  <c:v>950.48135472912088</c:v>
                </c:pt>
                <c:pt idx="281" formatCode="&quot;$&quot;#,##0.0">
                  <c:v>930.17304766338577</c:v>
                </c:pt>
                <c:pt idx="282" formatCode="&quot;$&quot;#,##0.0">
                  <c:v>892.99922865008637</c:v>
                </c:pt>
                <c:pt idx="283" formatCode="&quot;$&quot;#,##0.0">
                  <c:v>943.13461334477677</c:v>
                </c:pt>
                <c:pt idx="284" formatCode="&quot;$&quot;#,##0.0">
                  <c:v>1100.3441032325013</c:v>
                </c:pt>
                <c:pt idx="285" formatCode="&quot;$&quot;#,##0.0">
                  <c:v>914.66815644668429</c:v>
                </c:pt>
                <c:pt idx="286" formatCode="&quot;$&quot;#,##0.0">
                  <c:v>914.46818049291926</c:v>
                </c:pt>
                <c:pt idx="287" formatCode="&quot;$&quot;#,##0.0">
                  <c:v>822.53053201425507</c:v>
                </c:pt>
                <c:pt idx="288" formatCode="&quot;$&quot;#,##0.0">
                  <c:v>959.49800746570747</c:v>
                </c:pt>
                <c:pt idx="289" formatCode="&quot;$&quot;#,##0.0">
                  <c:v>883.66092620938048</c:v>
                </c:pt>
                <c:pt idx="290" formatCode="&quot;$&quot;#,##0.0">
                  <c:v>920.58561056399662</c:v>
                </c:pt>
                <c:pt idx="291" formatCode="&quot;$&quot;#,##0.0">
                  <c:v>803.30709133953928</c:v>
                </c:pt>
                <c:pt idx="292" formatCode="&quot;$&quot;#,##0.0">
                  <c:v>981.89728623959877</c:v>
                </c:pt>
                <c:pt idx="293" formatCode="&quot;$&quot;#,##0.0">
                  <c:v>815.24049592796405</c:v>
                </c:pt>
                <c:pt idx="294" formatCode="&quot;$&quot;#,##0.0">
                  <c:v>830.12113526486144</c:v>
                </c:pt>
                <c:pt idx="295" formatCode="&quot;$&quot;#,##0.0">
                  <c:v>1005.7536417878505</c:v>
                </c:pt>
                <c:pt idx="296" formatCode="&quot;$&quot;#,##0.0">
                  <c:v>877.04493391111123</c:v>
                </c:pt>
                <c:pt idx="297" formatCode="&quot;$&quot;#,##0.0">
                  <c:v>901.92224727230587</c:v>
                </c:pt>
                <c:pt idx="298" formatCode="&quot;$&quot;#,##0.0">
                  <c:v>950.12920515218411</c:v>
                </c:pt>
                <c:pt idx="299" formatCode="&quot;$&quot;#,##0.0">
                  <c:v>962.99246367318165</c:v>
                </c:pt>
                <c:pt idx="300" formatCode="&quot;$&quot;#,##0.0">
                  <c:v>923.31527477759744</c:v>
                </c:pt>
                <c:pt idx="301" formatCode="&quot;$&quot;#,##0.0">
                  <c:v>864.67571763741933</c:v>
                </c:pt>
                <c:pt idx="302" formatCode="&quot;$&quot;#,##0.0">
                  <c:v>897.99151352911201</c:v>
                </c:pt>
                <c:pt idx="303" formatCode="&quot;$&quot;#,##0.0">
                  <c:v>881.59380519077672</c:v>
                </c:pt>
                <c:pt idx="304" formatCode="&quot;$&quot;#,##0.0">
                  <c:v>1121.8192308127977</c:v>
                </c:pt>
                <c:pt idx="305" formatCode="&quot;$&quot;#,##0.0">
                  <c:v>857.52262494212209</c:v>
                </c:pt>
                <c:pt idx="306" formatCode="&quot;$&quot;#,##0.0">
                  <c:v>897.1523888582368</c:v>
                </c:pt>
                <c:pt idx="307" formatCode="&quot;$&quot;#,##0.0">
                  <c:v>919.97183005458612</c:v>
                </c:pt>
                <c:pt idx="308" formatCode="&quot;$&quot;#,##0.0">
                  <c:v>878.63311146909825</c:v>
                </c:pt>
                <c:pt idx="309" formatCode="&quot;$&quot;#,##0.0">
                  <c:v>860.68318733563558</c:v>
                </c:pt>
                <c:pt idx="310" formatCode="&quot;$&quot;#,##0.0">
                  <c:v>882.6685509259114</c:v>
                </c:pt>
                <c:pt idx="311" formatCode="&quot;$&quot;#,##0.0">
                  <c:v>965.94877786818142</c:v>
                </c:pt>
                <c:pt idx="312" formatCode="&quot;$&quot;#,##0.0">
                  <c:v>1079.4869938928323</c:v>
                </c:pt>
                <c:pt idx="313" formatCode="&quot;$&quot;#,##0.0">
                  <c:v>884.51962521635676</c:v>
                </c:pt>
                <c:pt idx="314" formatCode="&quot;$&quot;#,##0.0">
                  <c:v>861.28150025888328</c:v>
                </c:pt>
                <c:pt idx="315" formatCode="&quot;$&quot;#,##0.0">
                  <c:v>1093.0907442164319</c:v>
                </c:pt>
                <c:pt idx="316" formatCode="&quot;$&quot;#,##0.0">
                  <c:v>953.24071427269121</c:v>
                </c:pt>
                <c:pt idx="317" formatCode="&quot;$&quot;#,##0.0">
                  <c:v>940.53124991662082</c:v>
                </c:pt>
                <c:pt idx="318" formatCode="&quot;$&quot;#,##0.0">
                  <c:v>927.97757356583372</c:v>
                </c:pt>
                <c:pt idx="319" formatCode="&quot;$&quot;#,##0.0">
                  <c:v>861.33478589153458</c:v>
                </c:pt>
                <c:pt idx="320" formatCode="&quot;$&quot;#,##0.0">
                  <c:v>901.87700874887582</c:v>
                </c:pt>
                <c:pt idx="321" formatCode="&quot;$&quot;#,##0.0">
                  <c:v>903.69578278145013</c:v>
                </c:pt>
                <c:pt idx="322" formatCode="&quot;$&quot;#,##0.0">
                  <c:v>897.59231525880944</c:v>
                </c:pt>
                <c:pt idx="323" formatCode="&quot;$&quot;#,##0.0">
                  <c:v>863.9245840943978</c:v>
                </c:pt>
                <c:pt idx="324" formatCode="&quot;$&quot;#,##0.0">
                  <c:v>1139.7718094297281</c:v>
                </c:pt>
                <c:pt idx="325" formatCode="&quot;$&quot;#,##0.0">
                  <c:v>842.36410543136265</c:v>
                </c:pt>
                <c:pt idx="326" formatCode="&quot;$&quot;#,##0.0">
                  <c:v>940.09886236203215</c:v>
                </c:pt>
                <c:pt idx="327" formatCode="&quot;$&quot;#,##0.0">
                  <c:v>1168.3240730443363</c:v>
                </c:pt>
                <c:pt idx="328" formatCode="&quot;$&quot;#,##0.0">
                  <c:v>1099.0153805764437</c:v>
                </c:pt>
                <c:pt idx="329" formatCode="&quot;$&quot;#,##0.0">
                  <c:v>943.28042037385455</c:v>
                </c:pt>
                <c:pt idx="330" formatCode="&quot;$&quot;#,##0.0">
                  <c:v>1165.7507096538393</c:v>
                </c:pt>
                <c:pt idx="331" formatCode="&quot;$&quot;#,##0.0">
                  <c:v>890.45722975312879</c:v>
                </c:pt>
                <c:pt idx="332" formatCode="&quot;$&quot;#,##0.0">
                  <c:v>922.16296232379125</c:v>
                </c:pt>
                <c:pt idx="333" formatCode="&quot;$&quot;#,##0.0">
                  <c:v>925.7086830102744</c:v>
                </c:pt>
                <c:pt idx="334" formatCode="&quot;$&quot;#,##0.0">
                  <c:v>1238.7271065138493</c:v>
                </c:pt>
                <c:pt idx="335" formatCode="&quot;$&quot;#,##0.0">
                  <c:v>974.52248518943156</c:v>
                </c:pt>
                <c:pt idx="336" formatCode="&quot;$&quot;#,##0.0">
                  <c:v>875.36572471652801</c:v>
                </c:pt>
                <c:pt idx="337" formatCode="&quot;$&quot;#,##0.0">
                  <c:v>1022.6056784305973</c:v>
                </c:pt>
                <c:pt idx="338" formatCode="&quot;$&quot;#,##0.0">
                  <c:v>890.41174196978636</c:v>
                </c:pt>
                <c:pt idx="339" formatCode="&quot;$&quot;#,##0.0">
                  <c:v>1104.1026704198487</c:v>
                </c:pt>
                <c:pt idx="340" formatCode="&quot;$&quot;#,##0.0">
                  <c:v>1151.2134034180956</c:v>
                </c:pt>
                <c:pt idx="341" formatCode="&quot;$&quot;#,##0.0">
                  <c:v>907.40225820541718</c:v>
                </c:pt>
                <c:pt idx="342" formatCode="&quot;$&quot;#,##0.0">
                  <c:v>973.18980081889129</c:v>
                </c:pt>
                <c:pt idx="343" formatCode="&quot;$&quot;#,##0.0">
                  <c:v>1123.2389892937747</c:v>
                </c:pt>
                <c:pt idx="344" formatCode="&quot;$&quot;#,##0.0">
                  <c:v>880.98899785208914</c:v>
                </c:pt>
                <c:pt idx="345" formatCode="&quot;$&quot;#,##0.0">
                  <c:v>870.95976851055423</c:v>
                </c:pt>
                <c:pt idx="346" formatCode="&quot;$&quot;#,##0.0">
                  <c:v>1242.9757619641184</c:v>
                </c:pt>
                <c:pt idx="347" formatCode="&quot;$&quot;#,##0.0">
                  <c:v>836.46343528240345</c:v>
                </c:pt>
                <c:pt idx="348" formatCode="&quot;$&quot;#,##0.0">
                  <c:v>869.41644254893652</c:v>
                </c:pt>
                <c:pt idx="349" formatCode="&quot;$&quot;#,##0.0">
                  <c:v>880.78874929702192</c:v>
                </c:pt>
                <c:pt idx="350" formatCode="&quot;$&quot;#,##0.0">
                  <c:v>919.92827916349006</c:v>
                </c:pt>
                <c:pt idx="351" formatCode="&quot;$&quot;#,##0.0">
                  <c:v>1124.9521593199925</c:v>
                </c:pt>
                <c:pt idx="352" formatCode="&quot;$&quot;#,##0.0">
                  <c:v>1170.7108768789165</c:v>
                </c:pt>
                <c:pt idx="353" formatCode="&quot;$&quot;#,##0.0">
                  <c:v>927.02544811712266</c:v>
                </c:pt>
                <c:pt idx="354" formatCode="&quot;$&quot;#,##0.0">
                  <c:v>915.99166660242133</c:v>
                </c:pt>
                <c:pt idx="355" formatCode="&quot;$&quot;#,##0.0">
                  <c:v>907.19714872299426</c:v>
                </c:pt>
                <c:pt idx="356" formatCode="&quot;$&quot;#,##0.0">
                  <c:v>1019.2741382052606</c:v>
                </c:pt>
                <c:pt idx="357" formatCode="&quot;$&quot;#,##0.0">
                  <c:v>918.2714522965648</c:v>
                </c:pt>
                <c:pt idx="358" formatCode="&quot;$&quot;#,##0.0">
                  <c:v>1145.5385068246424</c:v>
                </c:pt>
                <c:pt idx="359" formatCode="&quot;$&quot;#,##0.0">
                  <c:v>1051.5213349188141</c:v>
                </c:pt>
                <c:pt idx="360" formatCode="&quot;$&quot;#,##0.0">
                  <c:v>901.94018583926641</c:v>
                </c:pt>
                <c:pt idx="361" formatCode="&quot;$&quot;#,##0.0">
                  <c:v>891.36807334989976</c:v>
                </c:pt>
                <c:pt idx="362" formatCode="&quot;$&quot;#,##0.0">
                  <c:v>1120.0215683639567</c:v>
                </c:pt>
                <c:pt idx="363" formatCode="&quot;$&quot;#,##0.0">
                  <c:v>1261.5292730911187</c:v>
                </c:pt>
                <c:pt idx="364" formatCode="&quot;$&quot;#,##0.0">
                  <c:v>955.73141501352484</c:v>
                </c:pt>
                <c:pt idx="365" formatCode="&quot;$&quot;#,##0.0">
                  <c:v>1233.3490277166779</c:v>
                </c:pt>
                <c:pt idx="366" formatCode="&quot;$&quot;#,##0.0">
                  <c:v>1024.6522695305382</c:v>
                </c:pt>
                <c:pt idx="367" formatCode="&quot;$&quot;#,##0.0">
                  <c:v>1190.4945355326108</c:v>
                </c:pt>
                <c:pt idx="368" formatCode="&quot;$&quot;#,##0.0">
                  <c:v>956.64830348614362</c:v>
                </c:pt>
                <c:pt idx="369" formatCode="&quot;$&quot;#,##0.0">
                  <c:v>938.10278418408643</c:v>
                </c:pt>
                <c:pt idx="370" formatCode="&quot;$&quot;#,##0.0">
                  <c:v>962.86478527896475</c:v>
                </c:pt>
                <c:pt idx="371" formatCode="&quot;$&quot;#,##0.0">
                  <c:v>917.13695237331729</c:v>
                </c:pt>
                <c:pt idx="372" formatCode="&quot;$&quot;#,##0.0">
                  <c:v>937.68749140608531</c:v>
                </c:pt>
                <c:pt idx="373" formatCode="&quot;$&quot;#,##0.0">
                  <c:v>1094.3318089498903</c:v>
                </c:pt>
                <c:pt idx="374" formatCode="&quot;$&quot;#,##0.0">
                  <c:v>1046.9712620071125</c:v>
                </c:pt>
                <c:pt idx="375" formatCode="&quot;$&quot;#,##0.0">
                  <c:v>921.61048903234814</c:v>
                </c:pt>
                <c:pt idx="376" formatCode="&quot;$&quot;#,##0.0">
                  <c:v>862.80531291331351</c:v>
                </c:pt>
                <c:pt idx="377" formatCode="&quot;$&quot;#,##0.0">
                  <c:v>1043.315053056911</c:v>
                </c:pt>
                <c:pt idx="378" formatCode="&quot;$&quot;#,##0.0">
                  <c:v>1008.8062155684252</c:v>
                </c:pt>
                <c:pt idx="379" formatCode="&quot;$&quot;#,##0.0">
                  <c:v>873.74572822800394</c:v>
                </c:pt>
                <c:pt idx="380" formatCode="&quot;$&quot;#,##0.0">
                  <c:v>947.88930101329584</c:v>
                </c:pt>
                <c:pt idx="381" formatCode="&quot;$&quot;#,##0.0">
                  <c:v>1053.7415048711368</c:v>
                </c:pt>
                <c:pt idx="382" formatCode="&quot;$&quot;#,##0.0">
                  <c:v>964.45189461011148</c:v>
                </c:pt>
                <c:pt idx="383" formatCode="&quot;$&quot;#,##0.0">
                  <c:v>898.22999732328151</c:v>
                </c:pt>
                <c:pt idx="384" formatCode="&quot;$&quot;#,##0.0">
                  <c:v>864.81114641851912</c:v>
                </c:pt>
                <c:pt idx="385" formatCode="&quot;$&quot;#,##0.0">
                  <c:v>944.19357282401882</c:v>
                </c:pt>
                <c:pt idx="386" formatCode="&quot;$&quot;#,##0.0">
                  <c:v>1064.9996117749645</c:v>
                </c:pt>
                <c:pt idx="387" formatCode="&quot;$&quot;#,##0.0">
                  <c:v>1271.8377700971487</c:v>
                </c:pt>
                <c:pt idx="388" formatCode="&quot;$&quot;#,##0.0">
                  <c:v>1040.0925075374466</c:v>
                </c:pt>
                <c:pt idx="389" formatCode="&quot;$&quot;#,##0.0">
                  <c:v>1229.4025555255525</c:v>
                </c:pt>
                <c:pt idx="390" formatCode="&quot;$&quot;#,##0.0">
                  <c:v>894.49555124007429</c:v>
                </c:pt>
                <c:pt idx="391" formatCode="&quot;$&quot;#,##0.0">
                  <c:v>1063.7185681139526</c:v>
                </c:pt>
                <c:pt idx="392" formatCode="&quot;$&quot;#,##0.0">
                  <c:v>858.84287641542119</c:v>
                </c:pt>
                <c:pt idx="393" formatCode="&quot;$&quot;#,##0.0">
                  <c:v>844.90174261493701</c:v>
                </c:pt>
                <c:pt idx="394" formatCode="&quot;$&quot;#,##0.0">
                  <c:v>909.62495974194724</c:v>
                </c:pt>
                <c:pt idx="395" formatCode="&quot;$&quot;#,##0.0">
                  <c:v>1068.8281339104271</c:v>
                </c:pt>
                <c:pt idx="396" formatCode="&quot;$&quot;#,##0.0">
                  <c:v>942.35763286999031</c:v>
                </c:pt>
                <c:pt idx="397" formatCode="&quot;$&quot;#,##0.0">
                  <c:v>933.52210981517123</c:v>
                </c:pt>
                <c:pt idx="398" formatCode="&quot;$&quot;#,##0.0">
                  <c:v>919.46895650667102</c:v>
                </c:pt>
                <c:pt idx="399" formatCode="&quot;$&quot;#,##0.0">
                  <c:v>1143.5540675208258</c:v>
                </c:pt>
                <c:pt idx="400" formatCode="&quot;$&quot;#,##0.0">
                  <c:v>850.74489969180638</c:v>
                </c:pt>
                <c:pt idx="401" formatCode="&quot;$&quot;#,##0.0">
                  <c:v>1014.6385864973379</c:v>
                </c:pt>
                <c:pt idx="402" formatCode="&quot;$&quot;#,##0.0">
                  <c:v>914.5661984001822</c:v>
                </c:pt>
                <c:pt idx="403" formatCode="&quot;$&quot;#,##0.0">
                  <c:v>1137.9737324298828</c:v>
                </c:pt>
                <c:pt idx="404" formatCode="&quot;$&quot;#,##0.0">
                  <c:v>1117.9680430963406</c:v>
                </c:pt>
                <c:pt idx="405" formatCode="&quot;$&quot;#,##0.0">
                  <c:v>869.68891265524439</c:v>
                </c:pt>
                <c:pt idx="406" formatCode="&quot;$&quot;#,##0.0">
                  <c:v>888.42642940663143</c:v>
                </c:pt>
                <c:pt idx="407" formatCode="&quot;$&quot;#,##0.0">
                  <c:v>1118.5910573002379</c:v>
                </c:pt>
                <c:pt idx="408" formatCode="&quot;$&quot;#,##0.0">
                  <c:v>1210.8279445193823</c:v>
                </c:pt>
                <c:pt idx="409" formatCode="&quot;$&quot;#,##0.0">
                  <c:v>1183.914030322396</c:v>
                </c:pt>
                <c:pt idx="410" formatCode="&quot;$&quot;#,##0.0">
                  <c:v>1050.4052280665792</c:v>
                </c:pt>
                <c:pt idx="411" formatCode="&quot;$&quot;#,##0.0">
                  <c:v>1044.2580611344324</c:v>
                </c:pt>
                <c:pt idx="412" formatCode="&quot;$&quot;#,##0.0">
                  <c:v>856.76151406767269</c:v>
                </c:pt>
                <c:pt idx="413" formatCode="&quot;$&quot;#,##0.0">
                  <c:v>895.87443314053996</c:v>
                </c:pt>
                <c:pt idx="414" formatCode="&quot;$&quot;#,##0.0">
                  <c:v>1008.413731939803</c:v>
                </c:pt>
                <c:pt idx="415" formatCode="&quot;$&quot;#,##0.0">
                  <c:v>997.6095135340272</c:v>
                </c:pt>
                <c:pt idx="416" formatCode="&quot;$&quot;#,##0.0">
                  <c:v>858.54062514926272</c:v>
                </c:pt>
                <c:pt idx="417" formatCode="&quot;$&quot;#,##0.0">
                  <c:v>1137.8574488937159</c:v>
                </c:pt>
                <c:pt idx="418" formatCode="&quot;$&quot;#,##0.0">
                  <c:v>856.09833440019383</c:v>
                </c:pt>
                <c:pt idx="419" formatCode="&quot;$&quot;#,##0.0">
                  <c:v>1084.091642073568</c:v>
                </c:pt>
                <c:pt idx="420" formatCode="&quot;$&quot;#,##0.0">
                  <c:v>920.7268381980532</c:v>
                </c:pt>
                <c:pt idx="421" formatCode="&quot;$&quot;#,##0.0">
                  <c:v>1074.4260573040588</c:v>
                </c:pt>
                <c:pt idx="422" formatCode="&quot;$&quot;#,##0.0">
                  <c:v>854.3164530025615</c:v>
                </c:pt>
                <c:pt idx="423" formatCode="&quot;$&quot;#,##0.0">
                  <c:v>1061.9626252335718</c:v>
                </c:pt>
                <c:pt idx="424" formatCode="&quot;$&quot;#,##0.0">
                  <c:v>837.0488194719394</c:v>
                </c:pt>
                <c:pt idx="425" formatCode="&quot;$&quot;#,##0.0">
                  <c:v>1086.6564113940688</c:v>
                </c:pt>
                <c:pt idx="426" formatCode="&quot;$&quot;#,##0.0">
                  <c:v>919.71001217956837</c:v>
                </c:pt>
                <c:pt idx="427" formatCode="&quot;$&quot;#,##0.0">
                  <c:v>1155.9539995582306</c:v>
                </c:pt>
                <c:pt idx="428" formatCode="&quot;$&quot;#,##0.0">
                  <c:v>839.00144522916059</c:v>
                </c:pt>
                <c:pt idx="429" formatCode="&quot;$&quot;#,##0.0">
                  <c:v>957.84490834957683</c:v>
                </c:pt>
                <c:pt idx="430" formatCode="&quot;$&quot;#,##0.0">
                  <c:v>1077.344668422513</c:v>
                </c:pt>
                <c:pt idx="431" formatCode="&quot;$&quot;#,##0.0">
                  <c:v>1058.8093598389248</c:v>
                </c:pt>
                <c:pt idx="432" formatCode="&quot;$&quot;#,##0.0">
                  <c:v>1123.9233587220256</c:v>
                </c:pt>
                <c:pt idx="433" formatCode="&quot;$&quot;#,##0.0">
                  <c:v>869.51641447708982</c:v>
                </c:pt>
                <c:pt idx="434" formatCode="&quot;$&quot;#,##0.0">
                  <c:v>991.72148428800824</c:v>
                </c:pt>
                <c:pt idx="435" formatCode="&quot;$&quot;#,##0.0">
                  <c:v>906.50116133080189</c:v>
                </c:pt>
                <c:pt idx="436" formatCode="&quot;$&quot;#,##0.0">
                  <c:v>880.93690832324512</c:v>
                </c:pt>
                <c:pt idx="437" formatCode="&quot;$&quot;#,##0.0">
                  <c:v>902.36989070324876</c:v>
                </c:pt>
                <c:pt idx="438" formatCode="&quot;$&quot;#,##0.0">
                  <c:v>1013.1930639998992</c:v>
                </c:pt>
                <c:pt idx="439" formatCode="&quot;$&quot;#,##0.0">
                  <c:v>906.24760336010615</c:v>
                </c:pt>
                <c:pt idx="440" formatCode="&quot;$&quot;#,##0.0">
                  <c:v>866.28854822095252</c:v>
                </c:pt>
                <c:pt idx="441" formatCode="&quot;$&quot;#,##0.0">
                  <c:v>935.19796013245366</c:v>
                </c:pt>
                <c:pt idx="442" formatCode="&quot;$&quot;#,##0.0">
                  <c:v>873.12557858502726</c:v>
                </c:pt>
                <c:pt idx="443" formatCode="&quot;$&quot;#,##0.0">
                  <c:v>972.36922003335042</c:v>
                </c:pt>
                <c:pt idx="444" formatCode="&quot;$&quot;#,##0.0">
                  <c:v>1062.8456876326279</c:v>
                </c:pt>
                <c:pt idx="445" formatCode="&quot;$&quot;#,##0.0">
                  <c:v>1029.0330750063774</c:v>
                </c:pt>
                <c:pt idx="446" formatCode="&quot;$&quot;#,##0.0">
                  <c:v>970.73941244951823</c:v>
                </c:pt>
                <c:pt idx="447" formatCode="&quot;$&quot;#,##0.0">
                  <c:v>912.40173851458678</c:v>
                </c:pt>
                <c:pt idx="448" formatCode="&quot;$&quot;#,##0.0">
                  <c:v>946.38290606223711</c:v>
                </c:pt>
                <c:pt idx="449" formatCode="&quot;$&quot;#,##0.0">
                  <c:v>907.83692532089037</c:v>
                </c:pt>
                <c:pt idx="450" formatCode="&quot;$&quot;#,##0.0">
                  <c:v>941.84390301637075</c:v>
                </c:pt>
                <c:pt idx="451" formatCode="&quot;$&quot;#,##0.0">
                  <c:v>1157.5860746398466</c:v>
                </c:pt>
                <c:pt idx="452" formatCode="&quot;$&quot;#,##0.0">
                  <c:v>875.60995646083688</c:v>
                </c:pt>
                <c:pt idx="453" formatCode="&quot;$&quot;#,##0.0">
                  <c:v>1138.506044738941</c:v>
                </c:pt>
                <c:pt idx="454" formatCode="&quot;$&quot;#,##0.0">
                  <c:v>922.01152087712558</c:v>
                </c:pt>
                <c:pt idx="455" formatCode="&quot;$&quot;#,##0.0">
                  <c:v>1195.7025957559501</c:v>
                </c:pt>
                <c:pt idx="456" formatCode="&quot;$&quot;#,##0.0">
                  <c:v>1099.9152135200532</c:v>
                </c:pt>
                <c:pt idx="457" formatCode="&quot;$&quot;#,##0.0">
                  <c:v>928.01098747886363</c:v>
                </c:pt>
                <c:pt idx="458" formatCode="&quot;$&quot;#,##0.0">
                  <c:v>850.79058337855292</c:v>
                </c:pt>
                <c:pt idx="459" formatCode="&quot;$&quot;#,##0.0">
                  <c:v>915.20926380108358</c:v>
                </c:pt>
                <c:pt idx="460" formatCode="&quot;$&quot;#,##0.0">
                  <c:v>936.51323852306632</c:v>
                </c:pt>
                <c:pt idx="461" formatCode="&quot;$&quot;#,##0.0">
                  <c:v>964.86063677326297</c:v>
                </c:pt>
                <c:pt idx="462" formatCode="&quot;$&quot;#,##0.0">
                  <c:v>1223.9008148551786</c:v>
                </c:pt>
                <c:pt idx="463" formatCode="&quot;$&quot;#,##0.0">
                  <c:v>966.13494621361633</c:v>
                </c:pt>
                <c:pt idx="464" formatCode="&quot;$&quot;#,##0.0">
                  <c:v>935.15803702203891</c:v>
                </c:pt>
                <c:pt idx="465" formatCode="&quot;$&quot;#,##0.0">
                  <c:v>1212.9200477300913</c:v>
                </c:pt>
                <c:pt idx="466" formatCode="&quot;$&quot;#,##0.0">
                  <c:v>1145.8935129630056</c:v>
                </c:pt>
                <c:pt idx="467" formatCode="&quot;$&quot;#,##0.0">
                  <c:v>969.90249475371297</c:v>
                </c:pt>
                <c:pt idx="468" formatCode="&quot;$&quot;#,##0.0">
                  <c:v>988.16020030025902</c:v>
                </c:pt>
                <c:pt idx="469" formatCode="&quot;$&quot;#,##0.0">
                  <c:v>845.05615190347282</c:v>
                </c:pt>
                <c:pt idx="470" formatCode="&quot;$&quot;#,##0.0">
                  <c:v>1032.0332906905508</c:v>
                </c:pt>
                <c:pt idx="471" formatCode="&quot;$&quot;#,##0.0">
                  <c:v>946.67576049749141</c:v>
                </c:pt>
                <c:pt idx="472" formatCode="&quot;$&quot;#,##0.0">
                  <c:v>854.63983363650618</c:v>
                </c:pt>
                <c:pt idx="473" formatCode="&quot;$&quot;#,##0.0">
                  <c:v>899.18236635459448</c:v>
                </c:pt>
                <c:pt idx="474" formatCode="&quot;$&quot;#,##0.0">
                  <c:v>905.39869033536229</c:v>
                </c:pt>
                <c:pt idx="475" formatCode="&quot;$&quot;#,##0.0">
                  <c:v>863.13563937985998</c:v>
                </c:pt>
                <c:pt idx="476" formatCode="&quot;$&quot;#,##0.0">
                  <c:v>1258.0605757290805</c:v>
                </c:pt>
                <c:pt idx="477" formatCode="&quot;$&quot;#,##0.0">
                  <c:v>897.83226858867158</c:v>
                </c:pt>
                <c:pt idx="478" formatCode="&quot;$&quot;#,##0.0">
                  <c:v>1155.0748088301984</c:v>
                </c:pt>
                <c:pt idx="479" formatCode="&quot;$&quot;#,##0.0">
                  <c:v>900.06977602086295</c:v>
                </c:pt>
                <c:pt idx="480" formatCode="&quot;$&quot;#,##0.0">
                  <c:v>947.84871040136397</c:v>
                </c:pt>
                <c:pt idx="481" formatCode="&quot;$&quot;#,##0.0">
                  <c:v>1272.7240723991836</c:v>
                </c:pt>
                <c:pt idx="482" formatCode="&quot;$&quot;#,##0.0">
                  <c:v>851.86336448709551</c:v>
                </c:pt>
                <c:pt idx="483" formatCode="&quot;$&quot;#,##0.0">
                  <c:v>913.15877972392184</c:v>
                </c:pt>
                <c:pt idx="484" formatCode="&quot;$&quot;#,##0.0">
                  <c:v>1014.2986124137655</c:v>
                </c:pt>
                <c:pt idx="485" formatCode="&quot;$&quot;#,##0.0">
                  <c:v>1180.5353702396183</c:v>
                </c:pt>
                <c:pt idx="486" formatCode="&quot;$&quot;#,##0.0">
                  <c:v>1076.8608315870422</c:v>
                </c:pt>
                <c:pt idx="487" formatCode="&quot;$&quot;#,##0.0">
                  <c:v>985.99836791431505</c:v>
                </c:pt>
                <c:pt idx="488" formatCode="&quot;$&quot;#,##0.0">
                  <c:v>898.26926574614856</c:v>
                </c:pt>
                <c:pt idx="489" formatCode="&quot;$&quot;#,##0.0">
                  <c:v>887.5750597290438</c:v>
                </c:pt>
                <c:pt idx="490" formatCode="&quot;$&quot;#,##0.0">
                  <c:v>855.24497968170203</c:v>
                </c:pt>
                <c:pt idx="491" formatCode="&quot;$&quot;#,##0.0">
                  <c:v>855.66812778111694</c:v>
                </c:pt>
                <c:pt idx="492" formatCode="&quot;$&quot;#,##0.0">
                  <c:v>903.02018696863172</c:v>
                </c:pt>
                <c:pt idx="493" formatCode="&quot;$&quot;#,##0.0">
                  <c:v>949.1041800165699</c:v>
                </c:pt>
                <c:pt idx="494" formatCode="&quot;$&quot;#,##0.0">
                  <c:v>1123.6519388761149</c:v>
                </c:pt>
                <c:pt idx="495" formatCode="&quot;$&quot;#,##0.0">
                  <c:v>1263.7792465147588</c:v>
                </c:pt>
                <c:pt idx="496" formatCode="&quot;$&quot;#,##0.0">
                  <c:v>853.5168168468191</c:v>
                </c:pt>
                <c:pt idx="497" formatCode="&quot;$&quot;#,##0.0">
                  <c:v>994.56364601022017</c:v>
                </c:pt>
                <c:pt idx="498" formatCode="&quot;$&quot;#,##0.0">
                  <c:v>937.73712816311149</c:v>
                </c:pt>
                <c:pt idx="499" formatCode="&quot;$&quot;#,##0.0">
                  <c:v>909.78683554919826</c:v>
                </c:pt>
                <c:pt idx="500" formatCode="&quot;$&quot;#,##0.0">
                  <c:v>874.48117249063682</c:v>
                </c:pt>
                <c:pt idx="501" formatCode="&quot;$&quot;#,##0.0">
                  <c:v>836.70320549203279</c:v>
                </c:pt>
                <c:pt idx="502" formatCode="&quot;$&quot;#,##0.0">
                  <c:v>949.80376386619014</c:v>
                </c:pt>
                <c:pt idx="503" formatCode="&quot;$&quot;#,##0.0">
                  <c:v>863.57584976570149</c:v>
                </c:pt>
                <c:pt idx="504" formatCode="&quot;$&quot;#,##0.0">
                  <c:v>1046.7842878609008</c:v>
                </c:pt>
                <c:pt idx="505" formatCode="&quot;$&quot;#,##0.0">
                  <c:v>1152.0979955956579</c:v>
                </c:pt>
                <c:pt idx="506" formatCode="&quot;$&quot;#,##0.0">
                  <c:v>1180.5779482303626</c:v>
                </c:pt>
                <c:pt idx="507" formatCode="&quot;$&quot;#,##0.0">
                  <c:v>943.64781118653445</c:v>
                </c:pt>
                <c:pt idx="508" formatCode="&quot;$&quot;#,##0.0">
                  <c:v>950.35292871705792</c:v>
                </c:pt>
                <c:pt idx="509" formatCode="&quot;$&quot;#,##0.0">
                  <c:v>952.80204996590783</c:v>
                </c:pt>
                <c:pt idx="510" formatCode="&quot;$&quot;#,##0.0">
                  <c:v>1094.4590519280575</c:v>
                </c:pt>
                <c:pt idx="511" formatCode="&quot;$&quot;#,##0.0">
                  <c:v>848.42681160043389</c:v>
                </c:pt>
                <c:pt idx="512" formatCode="&quot;$&quot;#,##0.0">
                  <c:v>822.2494968480986</c:v>
                </c:pt>
                <c:pt idx="513" formatCode="&quot;$&quot;#,##0.0">
                  <c:v>911.46599074946175</c:v>
                </c:pt>
                <c:pt idx="514" formatCode="&quot;$&quot;#,##0.0">
                  <c:v>1072.0571670220966</c:v>
                </c:pt>
                <c:pt idx="515" formatCode="&quot;$&quot;#,##0.0">
                  <c:v>926.33250743314375</c:v>
                </c:pt>
                <c:pt idx="516" formatCode="&quot;$&quot;#,##0.0">
                  <c:v>900.01094084607973</c:v>
                </c:pt>
                <c:pt idx="517" formatCode="&quot;$&quot;#,##0.0">
                  <c:v>983.68044909212335</c:v>
                </c:pt>
                <c:pt idx="518" formatCode="&quot;$&quot;#,##0.0">
                  <c:v>925.65299008830721</c:v>
                </c:pt>
                <c:pt idx="519" formatCode="&quot;$&quot;#,##0.0">
                  <c:v>1222.8706060877771</c:v>
                </c:pt>
                <c:pt idx="520" formatCode="&quot;$&quot;#,##0.0">
                  <c:v>986.44009106149929</c:v>
                </c:pt>
                <c:pt idx="521" formatCode="&quot;$&quot;#,##0.0">
                  <c:v>856.59133871815334</c:v>
                </c:pt>
                <c:pt idx="522" formatCode="&quot;$&quot;#,##0.0">
                  <c:v>840.84908758813697</c:v>
                </c:pt>
                <c:pt idx="523" formatCode="&quot;$&quot;#,##0.0">
                  <c:v>1048.9039094096061</c:v>
                </c:pt>
                <c:pt idx="524" formatCode="&quot;$&quot;#,##0.0">
                  <c:v>1001.8818924790819</c:v>
                </c:pt>
                <c:pt idx="525" formatCode="&quot;$&quot;#,##0.0">
                  <c:v>870.19073459056904</c:v>
                </c:pt>
                <c:pt idx="526" formatCode="&quot;$&quot;#,##0.0">
                  <c:v>927.56207073735948</c:v>
                </c:pt>
                <c:pt idx="527" formatCode="&quot;$&quot;#,##0.0">
                  <c:v>949.77396252776794</c:v>
                </c:pt>
                <c:pt idx="528" formatCode="&quot;$&quot;#,##0.0">
                  <c:v>967.57806028954042</c:v>
                </c:pt>
                <c:pt idx="529" formatCode="&quot;$&quot;#,##0.0">
                  <c:v>1128.2468581842299</c:v>
                </c:pt>
                <c:pt idx="530" formatCode="&quot;$&quot;#,##0.0">
                  <c:v>1079.7031889445057</c:v>
                </c:pt>
                <c:pt idx="531" formatCode="&quot;$&quot;#,##0.0">
                  <c:v>900.61611969236094</c:v>
                </c:pt>
                <c:pt idx="532" formatCode="&quot;$&quot;#,##0.0">
                  <c:v>1139.2770057211935</c:v>
                </c:pt>
                <c:pt idx="533" formatCode="&quot;$&quot;#,##0.0">
                  <c:v>948.17697065823472</c:v>
                </c:pt>
                <c:pt idx="534" formatCode="&quot;$&quot;#,##0.0">
                  <c:v>890.4642386004557</c:v>
                </c:pt>
                <c:pt idx="535" formatCode="&quot;$&quot;#,##0.0">
                  <c:v>905.70168364707831</c:v>
                </c:pt>
                <c:pt idx="536" formatCode="&quot;$&quot;#,##0.0">
                  <c:v>1103.6062981034295</c:v>
                </c:pt>
                <c:pt idx="537" formatCode="&quot;$&quot;#,##0.0">
                  <c:v>923.85744605774244</c:v>
                </c:pt>
                <c:pt idx="538" formatCode="&quot;$&quot;#,##0.0">
                  <c:v>888.66434543805076</c:v>
                </c:pt>
                <c:pt idx="539" formatCode="&quot;$&quot;#,##0.0">
                  <c:v>873.55413555385928</c:v>
                </c:pt>
                <c:pt idx="540" formatCode="&quot;$&quot;#,##0.0">
                  <c:v>1137.8066271146042</c:v>
                </c:pt>
                <c:pt idx="541" formatCode="&quot;$&quot;#,##0.0">
                  <c:v>838.02375293904868</c:v>
                </c:pt>
                <c:pt idx="542" formatCode="&quot;$&quot;#,##0.0">
                  <c:v>925.49219510509204</c:v>
                </c:pt>
                <c:pt idx="543" formatCode="&quot;$&quot;#,##0.0">
                  <c:v>912.72589134574798</c:v>
                </c:pt>
                <c:pt idx="544" formatCode="&quot;$&quot;#,##0.0">
                  <c:v>889.31278061224839</c:v>
                </c:pt>
                <c:pt idx="545" formatCode="&quot;$&quot;#,##0.0">
                  <c:v>1129.7330229965323</c:v>
                </c:pt>
                <c:pt idx="546" formatCode="&quot;$&quot;#,##0.0">
                  <c:v>930.35644212973011</c:v>
                </c:pt>
                <c:pt idx="547" formatCode="&quot;$&quot;#,##0.0">
                  <c:v>1135.7781129882615</c:v>
                </c:pt>
                <c:pt idx="548" formatCode="&quot;$&quot;#,##0.0">
                  <c:v>1035.8033127420447</c:v>
                </c:pt>
                <c:pt idx="549" formatCode="&quot;$&quot;#,##0.0">
                  <c:v>976.52522201597003</c:v>
                </c:pt>
                <c:pt idx="550" formatCode="&quot;$&quot;#,##0.0">
                  <c:v>871.52041994958381</c:v>
                </c:pt>
                <c:pt idx="551" formatCode="&quot;$&quot;#,##0.0">
                  <c:v>865.69375968517124</c:v>
                </c:pt>
                <c:pt idx="552" formatCode="&quot;$&quot;#,##0.0">
                  <c:v>890.83847524522275</c:v>
                </c:pt>
                <c:pt idx="553" formatCode="&quot;$&quot;#,##0.0">
                  <c:v>1131.4156296074561</c:v>
                </c:pt>
                <c:pt idx="554" formatCode="&quot;$&quot;#,##0.0">
                  <c:v>920.73448704797602</c:v>
                </c:pt>
                <c:pt idx="555" formatCode="&quot;$&quot;#,##0.0">
                  <c:v>834.08253476770722</c:v>
                </c:pt>
                <c:pt idx="556" formatCode="&quot;$&quot;#,##0.0">
                  <c:v>920.8101052014789</c:v>
                </c:pt>
                <c:pt idx="557" formatCode="&quot;$&quot;#,##0.0">
                  <c:v>1071.2386482058025</c:v>
                </c:pt>
                <c:pt idx="558" formatCode="&quot;$&quot;#,##0.0">
                  <c:v>1089.7633212626793</c:v>
                </c:pt>
                <c:pt idx="559" formatCode="&quot;$&quot;#,##0.0">
                  <c:v>1121.9563826127869</c:v>
                </c:pt>
                <c:pt idx="560" formatCode="&quot;$&quot;#,##0.0">
                  <c:v>1192.1497397299365</c:v>
                </c:pt>
                <c:pt idx="561" formatCode="&quot;$&quot;#,##0.0">
                  <c:v>969.24993377356157</c:v>
                </c:pt>
                <c:pt idx="562" formatCode="&quot;$&quot;#,##0.0">
                  <c:v>904.92920459685081</c:v>
                </c:pt>
                <c:pt idx="563" formatCode="&quot;$&quot;#,##0.0">
                  <c:v>901.59656672439189</c:v>
                </c:pt>
                <c:pt idx="564" formatCode="&quot;$&quot;#,##0.0">
                  <c:v>885.98362691598811</c:v>
                </c:pt>
                <c:pt idx="565" formatCode="&quot;$&quot;#,##0.0">
                  <c:v>1055.722003406539</c:v>
                </c:pt>
                <c:pt idx="566" formatCode="&quot;$&quot;#,##0.0">
                  <c:v>945.63481937435552</c:v>
                </c:pt>
                <c:pt idx="567" formatCode="&quot;$&quot;#,##0.0">
                  <c:v>917.25242316265917</c:v>
                </c:pt>
                <c:pt idx="568" formatCode="&quot;$&quot;#,##0.0">
                  <c:v>836.33361891369896</c:v>
                </c:pt>
                <c:pt idx="569" formatCode="&quot;$&quot;#,##0.0">
                  <c:v>877.09218833932425</c:v>
                </c:pt>
                <c:pt idx="570" formatCode="&quot;$&quot;#,##0.0">
                  <c:v>1100.9649347485481</c:v>
                </c:pt>
                <c:pt idx="571" formatCode="&quot;$&quot;#,##0.0">
                  <c:v>865.86761123323856</c:v>
                </c:pt>
                <c:pt idx="572" formatCode="&quot;$&quot;#,##0.0">
                  <c:v>835.89376943908508</c:v>
                </c:pt>
                <c:pt idx="573" formatCode="&quot;$&quot;#,##0.0">
                  <c:v>1066.9518238857208</c:v>
                </c:pt>
                <c:pt idx="574" formatCode="&quot;$&quot;#,##0.0">
                  <c:v>893.26943663552333</c:v>
                </c:pt>
                <c:pt idx="575" formatCode="&quot;$&quot;#,##0.0">
                  <c:v>1097.5258740630231</c:v>
                </c:pt>
                <c:pt idx="576" formatCode="&quot;$&quot;#,##0.0">
                  <c:v>1160.1008137235253</c:v>
                </c:pt>
                <c:pt idx="577" formatCode="&quot;$&quot;#,##0.0">
                  <c:v>838.91543194147675</c:v>
                </c:pt>
                <c:pt idx="578" formatCode="&quot;$&quot;#,##0.0">
                  <c:v>1036.2913037023347</c:v>
                </c:pt>
                <c:pt idx="579" formatCode="&quot;$&quot;#,##0.0">
                  <c:v>793.45993530287399</c:v>
                </c:pt>
                <c:pt idx="580" formatCode="&quot;$&quot;#,##0.0">
                  <c:v>914.33628628675899</c:v>
                </c:pt>
                <c:pt idx="581" formatCode="&quot;$&quot;#,##0.0">
                  <c:v>1157.7793788718911</c:v>
                </c:pt>
                <c:pt idx="582" formatCode="&quot;$&quot;#,##0.0">
                  <c:v>1113.7038218864964</c:v>
                </c:pt>
                <c:pt idx="583" formatCode="&quot;$&quot;#,##0.0">
                  <c:v>1064.2377061666314</c:v>
                </c:pt>
                <c:pt idx="584" formatCode="&quot;$&quot;#,##0.0">
                  <c:v>893.23822133851718</c:v>
                </c:pt>
                <c:pt idx="585" formatCode="&quot;$&quot;#,##0.0">
                  <c:v>904.91362227368745</c:v>
                </c:pt>
                <c:pt idx="586" formatCode="&quot;$&quot;#,##0.0">
                  <c:v>1104.8960894407467</c:v>
                </c:pt>
                <c:pt idx="587" formatCode="&quot;$&quot;#,##0.0">
                  <c:v>875.51045913028713</c:v>
                </c:pt>
                <c:pt idx="588" formatCode="&quot;$&quot;#,##0.0">
                  <c:v>847.64288174978924</c:v>
                </c:pt>
                <c:pt idx="589" formatCode="&quot;$&quot;#,##0.0">
                  <c:v>1049.4901740233552</c:v>
                </c:pt>
                <c:pt idx="590" formatCode="&quot;$&quot;#,##0.0">
                  <c:v>954.91803062792519</c:v>
                </c:pt>
                <c:pt idx="591" formatCode="&quot;$&quot;#,##0.0">
                  <c:v>1034.0025207171961</c:v>
                </c:pt>
                <c:pt idx="592" formatCode="&quot;$&quot;#,##0.0">
                  <c:v>1118.2241976178989</c:v>
                </c:pt>
                <c:pt idx="593" formatCode="&quot;$&quot;#,##0.0">
                  <c:v>901.98785526833524</c:v>
                </c:pt>
                <c:pt idx="594" formatCode="&quot;$&quot;#,##0.0">
                  <c:v>869.11186750906575</c:v>
                </c:pt>
                <c:pt idx="595" formatCode="&quot;$&quot;#,##0.0">
                  <c:v>886.56429907069685</c:v>
                </c:pt>
                <c:pt idx="596" formatCode="&quot;$&quot;#,##0.0">
                  <c:v>967.00020669532375</c:v>
                </c:pt>
                <c:pt idx="597" formatCode="&quot;$&quot;#,##0.0">
                  <c:v>909.65141183701553</c:v>
                </c:pt>
                <c:pt idx="598" formatCode="&quot;$&quot;#,##0.0">
                  <c:v>849.57549980270664</c:v>
                </c:pt>
                <c:pt idx="599" formatCode="&quot;$&quot;#,##0.0">
                  <c:v>1020.0790288591996</c:v>
                </c:pt>
                <c:pt idx="600" formatCode="&quot;$&quot;#,##0.0">
                  <c:v>887.87869065884468</c:v>
                </c:pt>
                <c:pt idx="601" formatCode="&quot;$&quot;#,##0.0">
                  <c:v>898.90385357223931</c:v>
                </c:pt>
                <c:pt idx="602" formatCode="&quot;$&quot;#,##0.0">
                  <c:v>920.00852279626019</c:v>
                </c:pt>
                <c:pt idx="603" formatCode="&quot;$&quot;#,##0.0">
                  <c:v>888.47475811173831</c:v>
                </c:pt>
                <c:pt idx="604" formatCode="&quot;$&quot;#,##0.0">
                  <c:v>820.58566575669533</c:v>
                </c:pt>
                <c:pt idx="605" formatCode="&quot;$&quot;#,##0.0">
                  <c:v>853.62594710526253</c:v>
                </c:pt>
                <c:pt idx="606" formatCode="&quot;$&quot;#,##0.0">
                  <c:v>823.96303734395065</c:v>
                </c:pt>
                <c:pt idx="607" formatCode="&quot;$&quot;#,##0.0">
                  <c:v>929.05844232817697</c:v>
                </c:pt>
                <c:pt idx="608" formatCode="&quot;$&quot;#,##0.0">
                  <c:v>895.08256352957335</c:v>
                </c:pt>
                <c:pt idx="609" formatCode="&quot;$&quot;#,##0.0">
                  <c:v>833.91465301762685</c:v>
                </c:pt>
                <c:pt idx="610" formatCode="&quot;$&quot;#,##0.0">
                  <c:v>863.69962719265379</c:v>
                </c:pt>
                <c:pt idx="611" formatCode="&quot;$&quot;#,##0.0">
                  <c:v>937.34319256877654</c:v>
                </c:pt>
                <c:pt idx="612" formatCode="&quot;$&quot;#,##0.0">
                  <c:v>895.81608753538137</c:v>
                </c:pt>
                <c:pt idx="613" formatCode="&quot;$&quot;#,##0.0">
                  <c:v>1116.3889074039691</c:v>
                </c:pt>
                <c:pt idx="614" formatCode="&quot;$&quot;#,##0.0">
                  <c:v>938.70510133004439</c:v>
                </c:pt>
                <c:pt idx="615" formatCode="&quot;$&quot;#,##0.0">
                  <c:v>955.82694138077738</c:v>
                </c:pt>
                <c:pt idx="616" formatCode="&quot;$&quot;#,##0.0">
                  <c:v>923.02358293820635</c:v>
                </c:pt>
                <c:pt idx="617" formatCode="&quot;$&quot;#,##0.0">
                  <c:v>1049.7549018857828</c:v>
                </c:pt>
                <c:pt idx="618" formatCode="&quot;$&quot;#,##0.0">
                  <c:v>806.24808257467816</c:v>
                </c:pt>
                <c:pt idx="619" formatCode="&quot;$&quot;#,##0.0">
                  <c:v>1123.001370455421</c:v>
                </c:pt>
                <c:pt idx="620" formatCode="&quot;$&quot;#,##0.0">
                  <c:v>1054.6477329013671</c:v>
                </c:pt>
                <c:pt idx="621" formatCode="&quot;$&quot;#,##0.0">
                  <c:v>903.87231040791892</c:v>
                </c:pt>
                <c:pt idx="622" formatCode="&quot;$&quot;#,##0.0">
                  <c:v>951.85445395991405</c:v>
                </c:pt>
                <c:pt idx="623" formatCode="&quot;$&quot;#,##0.0">
                  <c:v>908.06118882656358</c:v>
                </c:pt>
                <c:pt idx="624" formatCode="&quot;$&quot;#,##0.0">
                  <c:v>1064.2559115507008</c:v>
                </c:pt>
                <c:pt idx="625" formatCode="&quot;$&quot;#,##0.0">
                  <c:v>1157.9237654239498</c:v>
                </c:pt>
                <c:pt idx="626" formatCode="&quot;$&quot;#,##0.0">
                  <c:v>1146.4563098007548</c:v>
                </c:pt>
                <c:pt idx="627" formatCode="&quot;$&quot;#,##0.0">
                  <c:v>861.57874193749899</c:v>
                </c:pt>
                <c:pt idx="628" formatCode="&quot;$&quot;#,##0.0">
                  <c:v>1152.4276435169124</c:v>
                </c:pt>
                <c:pt idx="629" formatCode="&quot;$&quot;#,##0.0">
                  <c:v>932.98313328821189</c:v>
                </c:pt>
                <c:pt idx="630" formatCode="&quot;$&quot;#,##0.0">
                  <c:v>1077.2957335922933</c:v>
                </c:pt>
                <c:pt idx="631" formatCode="&quot;$&quot;#,##0.0">
                  <c:v>1121.5274282964265</c:v>
                </c:pt>
                <c:pt idx="632" formatCode="&quot;$&quot;#,##0.0">
                  <c:v>879.39800834003074</c:v>
                </c:pt>
                <c:pt idx="633" formatCode="&quot;$&quot;#,##0.0">
                  <c:v>898.78794479676674</c:v>
                </c:pt>
                <c:pt idx="634" formatCode="&quot;$&quot;#,##0.0">
                  <c:v>1097.0441611618514</c:v>
                </c:pt>
                <c:pt idx="635" formatCode="&quot;$&quot;#,##0.0">
                  <c:v>1039.3888632831529</c:v>
                </c:pt>
                <c:pt idx="636" formatCode="&quot;$&quot;#,##0.0">
                  <c:v>843.99425693637352</c:v>
                </c:pt>
                <c:pt idx="637" formatCode="&quot;$&quot;#,##0.0">
                  <c:v>810.0746948166011</c:v>
                </c:pt>
                <c:pt idx="638" formatCode="&quot;$&quot;#,##0.0">
                  <c:v>872.64878120720778</c:v>
                </c:pt>
                <c:pt idx="639" formatCode="&quot;$&quot;#,##0.0">
                  <c:v>964.4941446856609</c:v>
                </c:pt>
                <c:pt idx="640" formatCode="&quot;$&quot;#,##0.0">
                  <c:v>843.53095853428397</c:v>
                </c:pt>
                <c:pt idx="641" formatCode="&quot;$&quot;#,##0.0">
                  <c:v>954.63781764752559</c:v>
                </c:pt>
                <c:pt idx="642" formatCode="&quot;$&quot;#,##0.0">
                  <c:v>892.27013110224595</c:v>
                </c:pt>
                <c:pt idx="643" formatCode="&quot;$&quot;#,##0.0">
                  <c:v>822.5389490467843</c:v>
                </c:pt>
                <c:pt idx="644" formatCode="&quot;$&quot;#,##0.0">
                  <c:v>871.2333540555602</c:v>
                </c:pt>
                <c:pt idx="645" formatCode="&quot;$&quot;#,##0.0">
                  <c:v>882.66813832571438</c:v>
                </c:pt>
                <c:pt idx="646" formatCode="&quot;$&quot;#,##0.0">
                  <c:v>912.89975760884226</c:v>
                </c:pt>
                <c:pt idx="647" formatCode="&quot;$&quot;#,##0.0">
                  <c:v>856.18650321813186</c:v>
                </c:pt>
                <c:pt idx="648" formatCode="&quot;$&quot;#,##0.0">
                  <c:v>956.19257219264398</c:v>
                </c:pt>
                <c:pt idx="649" formatCode="&quot;$&quot;#,##0.0">
                  <c:v>920.46847911781492</c:v>
                </c:pt>
                <c:pt idx="650" formatCode="&quot;$&quot;#,##0.0">
                  <c:v>968.95461744250565</c:v>
                </c:pt>
                <c:pt idx="651" formatCode="&quot;$&quot;#,##0.0">
                  <c:v>848.90670321845187</c:v>
                </c:pt>
                <c:pt idx="652" formatCode="&quot;$&quot;#,##0.0">
                  <c:v>782.39002839770581</c:v>
                </c:pt>
                <c:pt idx="653" formatCode="&quot;$&quot;#,##0.0">
                  <c:v>907.23584810847262</c:v>
                </c:pt>
                <c:pt idx="654" formatCode="&quot;$&quot;#,##0.0">
                  <c:v>1000.2285752570031</c:v>
                </c:pt>
                <c:pt idx="655" formatCode="&quot;$&quot;#,##0.0">
                  <c:v>818.49706206973428</c:v>
                </c:pt>
                <c:pt idx="656" formatCode="&quot;$&quot;#,##0.0">
                  <c:v>812.17957269588885</c:v>
                </c:pt>
                <c:pt idx="657" formatCode="&quot;$&quot;#,##0.0">
                  <c:v>906.07458257349504</c:v>
                </c:pt>
                <c:pt idx="658" formatCode="&quot;$&quot;#,##0.0">
                  <c:v>925.91738757815676</c:v>
                </c:pt>
                <c:pt idx="659" formatCode="&quot;$&quot;#,##0.0">
                  <c:v>895.82792994426006</c:v>
                </c:pt>
                <c:pt idx="660" formatCode="&quot;$&quot;#,##0.0">
                  <c:v>830.89085222756955</c:v>
                </c:pt>
                <c:pt idx="661" formatCode="&quot;$&quot;#,##0.0">
                  <c:v>991.30676428268021</c:v>
                </c:pt>
                <c:pt idx="662" formatCode="&quot;$&quot;#,##0.0">
                  <c:v>1180.0061955484946</c:v>
                </c:pt>
                <c:pt idx="663" formatCode="&quot;$&quot;#,##0.0">
                  <c:v>1224.6684717219216</c:v>
                </c:pt>
                <c:pt idx="664" formatCode="&quot;$&quot;#,##0.0">
                  <c:v>892.16294358218954</c:v>
                </c:pt>
                <c:pt idx="665" formatCode="&quot;$&quot;#,##0.0">
                  <c:v>953.37480449428995</c:v>
                </c:pt>
                <c:pt idx="666" formatCode="&quot;$&quot;#,##0.0">
                  <c:v>954.80495135433762</c:v>
                </c:pt>
                <c:pt idx="667" formatCode="&quot;$&quot;#,##0.0">
                  <c:v>938.45460297139402</c:v>
                </c:pt>
                <c:pt idx="668" formatCode="&quot;$&quot;#,##0.0">
                  <c:v>864.41922978475236</c:v>
                </c:pt>
                <c:pt idx="669" formatCode="&quot;$&quot;#,##0.0">
                  <c:v>909.34960659630838</c:v>
                </c:pt>
                <c:pt idx="670" formatCode="&quot;$&quot;#,##0.0">
                  <c:v>901.11172543450925</c:v>
                </c:pt>
                <c:pt idx="671" formatCode="&quot;$&quot;#,##0.0">
                  <c:v>885.37227433175929</c:v>
                </c:pt>
                <c:pt idx="672" formatCode="&quot;$&quot;#,##0.0">
                  <c:v>1079.7756317852673</c:v>
                </c:pt>
                <c:pt idx="673" formatCode="&quot;$&quot;#,##0.0">
                  <c:v>886.63636430098097</c:v>
                </c:pt>
                <c:pt idx="674" formatCode="&quot;$&quot;#,##0.0">
                  <c:v>1001.2615085019553</c:v>
                </c:pt>
                <c:pt idx="675" formatCode="&quot;$&quot;#,##0.0">
                  <c:v>1191.9264663201877</c:v>
                </c:pt>
                <c:pt idx="676" formatCode="&quot;$&quot;#,##0.0">
                  <c:v>999.60066647519557</c:v>
                </c:pt>
                <c:pt idx="677" formatCode="&quot;$&quot;#,##0.0">
                  <c:v>852.02175974694728</c:v>
                </c:pt>
                <c:pt idx="678" formatCode="&quot;$&quot;#,##0.0">
                  <c:v>1156.243310488496</c:v>
                </c:pt>
                <c:pt idx="679" formatCode="&quot;$&quot;#,##0.0">
                  <c:v>947.52877271988223</c:v>
                </c:pt>
                <c:pt idx="680" formatCode="&quot;$&quot;#,##0.0">
                  <c:v>912.9268383668242</c:v>
                </c:pt>
                <c:pt idx="681" formatCode="&quot;$&quot;#,##0.0">
                  <c:v>939.87977316119725</c:v>
                </c:pt>
                <c:pt idx="682" formatCode="&quot;$&quot;#,##0.0">
                  <c:v>1044.7505145952171</c:v>
                </c:pt>
                <c:pt idx="683" formatCode="&quot;$&quot;#,##0.0">
                  <c:v>1021.1618609553811</c:v>
                </c:pt>
                <c:pt idx="684" formatCode="&quot;$&quot;#,##0.0">
                  <c:v>917.27464895021433</c:v>
                </c:pt>
                <c:pt idx="685" formatCode="&quot;$&quot;#,##0.0">
                  <c:v>845.74889139475965</c:v>
                </c:pt>
                <c:pt idx="686" formatCode="&quot;$&quot;#,##0.0">
                  <c:v>893.24053561057769</c:v>
                </c:pt>
                <c:pt idx="687" formatCode="&quot;$&quot;#,##0.0">
                  <c:v>933.73230158221656</c:v>
                </c:pt>
                <c:pt idx="688" formatCode="&quot;$&quot;#,##0.0">
                  <c:v>878.62180904107947</c:v>
                </c:pt>
                <c:pt idx="689" formatCode="&quot;$&quot;#,##0.0">
                  <c:v>885.94773950309775</c:v>
                </c:pt>
                <c:pt idx="690" formatCode="&quot;$&quot;#,##0.0">
                  <c:v>979.85523102406739</c:v>
                </c:pt>
                <c:pt idx="691" formatCode="&quot;$&quot;#,##0.0">
                  <c:v>1047.2743177186851</c:v>
                </c:pt>
                <c:pt idx="692" formatCode="&quot;$&quot;#,##0.0">
                  <c:v>958.40567521943024</c:v>
                </c:pt>
                <c:pt idx="693" formatCode="&quot;$&quot;#,##0.0">
                  <c:v>905.23733771026957</c:v>
                </c:pt>
                <c:pt idx="694" formatCode="&quot;$&quot;#,##0.0">
                  <c:v>974.70810863484746</c:v>
                </c:pt>
                <c:pt idx="695" formatCode="&quot;$&quot;#,##0.0">
                  <c:v>1101.4068623032376</c:v>
                </c:pt>
                <c:pt idx="696" formatCode="&quot;$&quot;#,##0.0">
                  <c:v>950.84008195262959</c:v>
                </c:pt>
                <c:pt idx="697" formatCode="&quot;$&quot;#,##0.0">
                  <c:v>889.55754681672988</c:v>
                </c:pt>
                <c:pt idx="698" formatCode="&quot;$&quot;#,##0.0">
                  <c:v>894.88416797372099</c:v>
                </c:pt>
                <c:pt idx="699" formatCode="&quot;$&quot;#,##0.0">
                  <c:v>848.70327659745635</c:v>
                </c:pt>
                <c:pt idx="700" formatCode="&quot;$&quot;#,##0.0">
                  <c:v>946.56936144890665</c:v>
                </c:pt>
                <c:pt idx="701" formatCode="&quot;$&quot;#,##0.0">
                  <c:v>986.31195306769803</c:v>
                </c:pt>
                <c:pt idx="702" formatCode="&quot;$&quot;#,##0.0">
                  <c:v>897.47406109765586</c:v>
                </c:pt>
                <c:pt idx="703" formatCode="&quot;$&quot;#,##0.0">
                  <c:v>1025.1231272194564</c:v>
                </c:pt>
                <c:pt idx="704" formatCode="&quot;$&quot;#,##0.0">
                  <c:v>948.11296244927541</c:v>
                </c:pt>
                <c:pt idx="705" formatCode="&quot;$&quot;#,##0.0">
                  <c:v>983.20453073072167</c:v>
                </c:pt>
                <c:pt idx="706" formatCode="&quot;$&quot;#,##0.0">
                  <c:v>1118.4144725362378</c:v>
                </c:pt>
                <c:pt idx="707" formatCode="&quot;$&quot;#,##0.0">
                  <c:v>988.44546007220526</c:v>
                </c:pt>
                <c:pt idx="708" formatCode="&quot;$&quot;#,##0.0">
                  <c:v>852.89805941250438</c:v>
                </c:pt>
                <c:pt idx="709" formatCode="&quot;$&quot;#,##0.0">
                  <c:v>891.41310566052675</c:v>
                </c:pt>
                <c:pt idx="710" formatCode="&quot;$&quot;#,##0.0">
                  <c:v>911.48297120606537</c:v>
                </c:pt>
                <c:pt idx="711" formatCode="&quot;$&quot;#,##0.0">
                  <c:v>880.8022634014485</c:v>
                </c:pt>
                <c:pt idx="712" formatCode="&quot;$&quot;#,##0.0">
                  <c:v>1066.6455120813328</c:v>
                </c:pt>
                <c:pt idx="713" formatCode="&quot;$&quot;#,##0.0">
                  <c:v>842.96072633128654</c:v>
                </c:pt>
                <c:pt idx="714" formatCode="&quot;$&quot;#,##0.0">
                  <c:v>1004.1664793572953</c:v>
                </c:pt>
                <c:pt idx="715" formatCode="&quot;$&quot;#,##0.0">
                  <c:v>916.06835788622664</c:v>
                </c:pt>
                <c:pt idx="716" formatCode="&quot;$&quot;#,##0.0">
                  <c:v>1057.0934732000346</c:v>
                </c:pt>
                <c:pt idx="717" formatCode="&quot;$&quot;#,##0.0">
                  <c:v>870.67498392483355</c:v>
                </c:pt>
                <c:pt idx="718" formatCode="&quot;$&quot;#,##0.0">
                  <c:v>1010.467565801731</c:v>
                </c:pt>
                <c:pt idx="719" formatCode="&quot;$&quot;#,##0.0">
                  <c:v>1248.7167001074993</c:v>
                </c:pt>
                <c:pt idx="720" formatCode="&quot;$&quot;#,##0.0">
                  <c:v>923.13968445926628</c:v>
                </c:pt>
                <c:pt idx="721" formatCode="&quot;$&quot;#,##0.0">
                  <c:v>839.3082111461589</c:v>
                </c:pt>
                <c:pt idx="722" formatCode="&quot;$&quot;#,##0.0">
                  <c:v>861.37337785305294</c:v>
                </c:pt>
                <c:pt idx="723" formatCode="&quot;$&quot;#,##0.0">
                  <c:v>1019.662930416852</c:v>
                </c:pt>
                <c:pt idx="724" formatCode="&quot;$&quot;#,##0.0">
                  <c:v>1122.3982472028629</c:v>
                </c:pt>
                <c:pt idx="725" formatCode="&quot;$&quot;#,##0.0">
                  <c:v>803.63512746023832</c:v>
                </c:pt>
                <c:pt idx="726" formatCode="&quot;$&quot;#,##0.0">
                  <c:v>1200.5258423828272</c:v>
                </c:pt>
                <c:pt idx="727" formatCode="&quot;$&quot;#,##0.0">
                  <c:v>1038.5541041101778</c:v>
                </c:pt>
                <c:pt idx="728" formatCode="&quot;$&quot;#,##0.0">
                  <c:v>1051.3353940016286</c:v>
                </c:pt>
                <c:pt idx="729" formatCode="&quot;$&quot;#,##0.0">
                  <c:v>1011.0191085989527</c:v>
                </c:pt>
                <c:pt idx="730" formatCode="&quot;$&quot;#,##0.0">
                  <c:v>891.83820855073202</c:v>
                </c:pt>
                <c:pt idx="731" formatCode="&quot;$&quot;#,##0.0">
                  <c:v>903.91667354220544</c:v>
                </c:pt>
                <c:pt idx="732" formatCode="&quot;$&quot;#,##0.0">
                  <c:v>868.26056047494717</c:v>
                </c:pt>
                <c:pt idx="733" formatCode="&quot;$&quot;#,##0.0">
                  <c:v>914.64162348662262</c:v>
                </c:pt>
                <c:pt idx="734" formatCode="&quot;$&quot;#,##0.0">
                  <c:v>906.97999714307184</c:v>
                </c:pt>
                <c:pt idx="735" formatCode="&quot;$&quot;#,##0.0">
                  <c:v>951.13576051938117</c:v>
                </c:pt>
                <c:pt idx="736" formatCode="&quot;$&quot;#,##0.0">
                  <c:v>836.6272134172001</c:v>
                </c:pt>
                <c:pt idx="737" formatCode="&quot;$&quot;#,##0.0">
                  <c:v>985.17007570858789</c:v>
                </c:pt>
                <c:pt idx="738" formatCode="&quot;$&quot;#,##0.0">
                  <c:v>1222.4044329379451</c:v>
                </c:pt>
                <c:pt idx="739" formatCode="&quot;$&quot;#,##0.0">
                  <c:v>1035.4187060304171</c:v>
                </c:pt>
                <c:pt idx="740" formatCode="&quot;$&quot;#,##0.0">
                  <c:v>1143.9959392670223</c:v>
                </c:pt>
                <c:pt idx="741" formatCode="&quot;$&quot;#,##0.0">
                  <c:v>885.99923315618719</c:v>
                </c:pt>
                <c:pt idx="742" formatCode="&quot;$&quot;#,##0.0">
                  <c:v>849.73870898925145</c:v>
                </c:pt>
                <c:pt idx="743" formatCode="&quot;$&quot;#,##0.0">
                  <c:v>894.73850267592786</c:v>
                </c:pt>
                <c:pt idx="744" formatCode="&quot;$&quot;#,##0.0">
                  <c:v>939.51298603939699</c:v>
                </c:pt>
                <c:pt idx="745" formatCode="&quot;$&quot;#,##0.0">
                  <c:v>940.30822244629553</c:v>
                </c:pt>
                <c:pt idx="746" formatCode="&quot;$&quot;#,##0.0">
                  <c:v>968.30568336969748</c:v>
                </c:pt>
                <c:pt idx="747" formatCode="&quot;$&quot;#,##0.0">
                  <c:v>831.6498440871494</c:v>
                </c:pt>
                <c:pt idx="748" formatCode="&quot;$&quot;#,##0.0">
                  <c:v>887.06878912953027</c:v>
                </c:pt>
                <c:pt idx="749" formatCode="&quot;$&quot;#,##0.0">
                  <c:v>1022.052588743644</c:v>
                </c:pt>
                <c:pt idx="750" formatCode="&quot;$&quot;#,##0.0">
                  <c:v>958.95333155715491</c:v>
                </c:pt>
                <c:pt idx="751" formatCode="&quot;$&quot;#,##0.0">
                  <c:v>839.7620988940298</c:v>
                </c:pt>
                <c:pt idx="752" formatCode="&quot;$&quot;#,##0.0">
                  <c:v>932.88266981913648</c:v>
                </c:pt>
                <c:pt idx="753" formatCode="&quot;$&quot;#,##0.0">
                  <c:v>925.670969230835</c:v>
                </c:pt>
                <c:pt idx="754" formatCode="&quot;$&quot;#,##0.0">
                  <c:v>897.60145253947985</c:v>
                </c:pt>
                <c:pt idx="755" formatCode="&quot;$&quot;#,##0.0">
                  <c:v>1113.1441926439625</c:v>
                </c:pt>
                <c:pt idx="756" formatCode="&quot;$&quot;#,##0.0">
                  <c:v>1072.8013615545203</c:v>
                </c:pt>
                <c:pt idx="757" formatCode="&quot;$&quot;#,##0.0">
                  <c:v>1027.2750160511118</c:v>
                </c:pt>
                <c:pt idx="758" formatCode="&quot;$&quot;#,##0.0">
                  <c:v>1172.6752851667882</c:v>
                </c:pt>
                <c:pt idx="759" formatCode="&quot;$&quot;#,##0.0">
                  <c:v>990.61992046479725</c:v>
                </c:pt>
                <c:pt idx="760" formatCode="&quot;$&quot;#,##0.0">
                  <c:v>1017.7424014803772</c:v>
                </c:pt>
                <c:pt idx="761" formatCode="&quot;$&quot;#,##0.0">
                  <c:v>1220.2127591999501</c:v>
                </c:pt>
                <c:pt idx="762" formatCode="&quot;$&quot;#,##0.0">
                  <c:v>930.24869530568049</c:v>
                </c:pt>
                <c:pt idx="763" formatCode="&quot;$&quot;#,##0.0">
                  <c:v>885.13013818156685</c:v>
                </c:pt>
                <c:pt idx="764" formatCode="&quot;$&quot;#,##0.0">
                  <c:v>995.03817321494978</c:v>
                </c:pt>
                <c:pt idx="765" formatCode="&quot;$&quot;#,##0.0">
                  <c:v>1246.681689170354</c:v>
                </c:pt>
                <c:pt idx="766" formatCode="&quot;$&quot;#,##0.0">
                  <c:v>1161.1451619202003</c:v>
                </c:pt>
                <c:pt idx="767" formatCode="&quot;$&quot;#,##0.0">
                  <c:v>934.49586206807044</c:v>
                </c:pt>
                <c:pt idx="768" formatCode="&quot;$&quot;#,##0.0">
                  <c:v>946.89364317726699</c:v>
                </c:pt>
                <c:pt idx="769" formatCode="&quot;$&quot;#,##0.0">
                  <c:v>846.0821023275978</c:v>
                </c:pt>
                <c:pt idx="770" formatCode="&quot;$&quot;#,##0.0">
                  <c:v>900.20900241803088</c:v>
                </c:pt>
                <c:pt idx="771" formatCode="&quot;$&quot;#,##0.0">
                  <c:v>1169.95282236719</c:v>
                </c:pt>
                <c:pt idx="772" formatCode="&quot;$&quot;#,##0.0">
                  <c:v>1115.145027469606</c:v>
                </c:pt>
                <c:pt idx="773" formatCode="&quot;$&quot;#,##0.0">
                  <c:v>964.37461674937788</c:v>
                </c:pt>
                <c:pt idx="774" formatCode="&quot;$&quot;#,##0.0">
                  <c:v>1106.0068825274836</c:v>
                </c:pt>
                <c:pt idx="775" formatCode="&quot;$&quot;#,##0.0">
                  <c:v>1122.28260676584</c:v>
                </c:pt>
                <c:pt idx="776" formatCode="&quot;$&quot;#,##0.0">
                  <c:v>919.69648400356994</c:v>
                </c:pt>
                <c:pt idx="777" formatCode="&quot;$&quot;#,##0.0">
                  <c:v>916.01720426354836</c:v>
                </c:pt>
                <c:pt idx="778" formatCode="&quot;$&quot;#,##0.0">
                  <c:v>907.09186219764968</c:v>
                </c:pt>
                <c:pt idx="779" formatCode="&quot;$&quot;#,##0.0">
                  <c:v>799.35872836289593</c:v>
                </c:pt>
                <c:pt idx="780" formatCode="&quot;$&quot;#,##0.0">
                  <c:v>942.95548192940771</c:v>
                </c:pt>
                <c:pt idx="781" formatCode="&quot;$&quot;#,##0.0">
                  <c:v>871.13859395351062</c:v>
                </c:pt>
                <c:pt idx="782" formatCode="&quot;$&quot;#,##0.0">
                  <c:v>988.87198901904071</c:v>
                </c:pt>
                <c:pt idx="783" formatCode="&quot;$&quot;#,##0.0">
                  <c:v>1147.9846668911823</c:v>
                </c:pt>
                <c:pt idx="784" formatCode="&quot;$&quot;#,##0.0">
                  <c:v>1113.2019878611525</c:v>
                </c:pt>
                <c:pt idx="785" formatCode="&quot;$&quot;#,##0.0">
                  <c:v>847.35668616251985</c:v>
                </c:pt>
                <c:pt idx="786" formatCode="&quot;$&quot;#,##0.0">
                  <c:v>971.21838950203278</c:v>
                </c:pt>
                <c:pt idx="787" formatCode="&quot;$&quot;#,##0.0">
                  <c:v>1164.8605188704873</c:v>
                </c:pt>
                <c:pt idx="788" formatCode="&quot;$&quot;#,##0.0">
                  <c:v>963.67883951952319</c:v>
                </c:pt>
                <c:pt idx="789" formatCode="&quot;$&quot;#,##0.0">
                  <c:v>1180.5014659122767</c:v>
                </c:pt>
                <c:pt idx="790" formatCode="&quot;$&quot;#,##0.0">
                  <c:v>1061.7606776159621</c:v>
                </c:pt>
                <c:pt idx="791" formatCode="&quot;$&quot;#,##0.0">
                  <c:v>908.91389900794775</c:v>
                </c:pt>
                <c:pt idx="792" formatCode="&quot;$&quot;#,##0.0">
                  <c:v>1164.5681896499425</c:v>
                </c:pt>
                <c:pt idx="793" formatCode="&quot;$&quot;#,##0.0">
                  <c:v>1030.2857245199314</c:v>
                </c:pt>
                <c:pt idx="794" formatCode="&quot;$&quot;#,##0.0">
                  <c:v>949.29283827265067</c:v>
                </c:pt>
                <c:pt idx="795" formatCode="&quot;$&quot;#,##0.0">
                  <c:v>942.58340887603765</c:v>
                </c:pt>
                <c:pt idx="796" formatCode="&quot;$&quot;#,##0.0">
                  <c:v>976.34239333659821</c:v>
                </c:pt>
                <c:pt idx="797" formatCode="&quot;$&quot;#,##0.0">
                  <c:v>883.02179473629496</c:v>
                </c:pt>
                <c:pt idx="798" formatCode="&quot;$&quot;#,##0.0">
                  <c:v>952.10121957840715</c:v>
                </c:pt>
                <c:pt idx="799" formatCode="&quot;$&quot;#,##0.0">
                  <c:v>955.6135754278896</c:v>
                </c:pt>
                <c:pt idx="800" formatCode="&quot;$&quot;#,##0.0">
                  <c:v>933.87602995039651</c:v>
                </c:pt>
                <c:pt idx="801" formatCode="&quot;$&quot;#,##0.0">
                  <c:v>896.46288938752855</c:v>
                </c:pt>
                <c:pt idx="802" formatCode="&quot;$&quot;#,##0.0">
                  <c:v>960.68241839308587</c:v>
                </c:pt>
                <c:pt idx="803" formatCode="&quot;$&quot;#,##0.0">
                  <c:v>871.48251780150065</c:v>
                </c:pt>
                <c:pt idx="804" formatCode="&quot;$&quot;#,##0.0">
                  <c:v>960.17248663610462</c:v>
                </c:pt>
                <c:pt idx="805" formatCode="&quot;$&quot;#,##0.0">
                  <c:v>1136.5361414635586</c:v>
                </c:pt>
                <c:pt idx="806" formatCode="&quot;$&quot;#,##0.0">
                  <c:v>978.0670936411625</c:v>
                </c:pt>
                <c:pt idx="807" formatCode="&quot;$&quot;#,##0.0">
                  <c:v>951.12969948362922</c:v>
                </c:pt>
                <c:pt idx="808" formatCode="&quot;$&quot;#,##0.0">
                  <c:v>1051.7671874193029</c:v>
                </c:pt>
                <c:pt idx="809" formatCode="&quot;$&quot;#,##0.0">
                  <c:v>955.84673802010377</c:v>
                </c:pt>
                <c:pt idx="810" formatCode="&quot;$&quot;#,##0.0">
                  <c:v>935.60380502742305</c:v>
                </c:pt>
                <c:pt idx="811" formatCode="&quot;$&quot;#,##0.0">
                  <c:v>929.42154936467273</c:v>
                </c:pt>
                <c:pt idx="812" formatCode="&quot;$&quot;#,##0.0">
                  <c:v>854.67116206236312</c:v>
                </c:pt>
                <c:pt idx="813" formatCode="&quot;$&quot;#,##0.0">
                  <c:v>922.62136994166508</c:v>
                </c:pt>
                <c:pt idx="814" formatCode="&quot;$&quot;#,##0.0">
                  <c:v>873.66059550761111</c:v>
                </c:pt>
                <c:pt idx="815" formatCode="&quot;$&quot;#,##0.0">
                  <c:v>1263.9279207178654</c:v>
                </c:pt>
                <c:pt idx="816" formatCode="&quot;$&quot;#,##0.0">
                  <c:v>892.9994697320866</c:v>
                </c:pt>
                <c:pt idx="817" formatCode="&quot;$&quot;#,##0.0">
                  <c:v>794.58826491146567</c:v>
                </c:pt>
                <c:pt idx="818" formatCode="&quot;$&quot;#,##0.0">
                  <c:v>1035.3285092671415</c:v>
                </c:pt>
                <c:pt idx="819" formatCode="&quot;$&quot;#,##0.0">
                  <c:v>956.24052367529566</c:v>
                </c:pt>
                <c:pt idx="820" formatCode="&quot;$&quot;#,##0.0">
                  <c:v>813.87129073010567</c:v>
                </c:pt>
                <c:pt idx="821" formatCode="&quot;$&quot;#,##0.0">
                  <c:v>884.7379397372066</c:v>
                </c:pt>
                <c:pt idx="822" formatCode="&quot;$&quot;#,##0.0">
                  <c:v>949.78441251730544</c:v>
                </c:pt>
                <c:pt idx="823" formatCode="&quot;$&quot;#,##0.0">
                  <c:v>888.11396539769771</c:v>
                </c:pt>
                <c:pt idx="824" formatCode="&quot;$&quot;#,##0.0">
                  <c:v>1092.0693929452373</c:v>
                </c:pt>
                <c:pt idx="825" formatCode="&quot;$&quot;#,##0.0">
                  <c:v>968.06972641092432</c:v>
                </c:pt>
                <c:pt idx="826" formatCode="&quot;$&quot;#,##0.0">
                  <c:v>945.78582054997332</c:v>
                </c:pt>
                <c:pt idx="827" formatCode="&quot;$&quot;#,##0.0">
                  <c:v>815.11789949568401</c:v>
                </c:pt>
                <c:pt idx="828" formatCode="&quot;$&quot;#,##0.0">
                  <c:v>855.16218307511417</c:v>
                </c:pt>
                <c:pt idx="829" formatCode="&quot;$&quot;#,##0.0">
                  <c:v>1176.5540920696089</c:v>
                </c:pt>
                <c:pt idx="830" formatCode="&quot;$&quot;#,##0.0">
                  <c:v>1037.7457745592565</c:v>
                </c:pt>
                <c:pt idx="831" formatCode="&quot;$&quot;#,##0.0">
                  <c:v>960.77779212338783</c:v>
                </c:pt>
                <c:pt idx="832" formatCode="&quot;$&quot;#,##0.0">
                  <c:v>1028.6810360022064</c:v>
                </c:pt>
                <c:pt idx="833" formatCode="&quot;$&quot;#,##0.0">
                  <c:v>915.13600062052171</c:v>
                </c:pt>
                <c:pt idx="834" formatCode="&quot;$&quot;#,##0.0">
                  <c:v>897.04778154819815</c:v>
                </c:pt>
                <c:pt idx="835" formatCode="&quot;$&quot;#,##0.0">
                  <c:v>919.43031319907391</c:v>
                </c:pt>
                <c:pt idx="836" formatCode="&quot;$&quot;#,##0.0">
                  <c:v>968.03111686669536</c:v>
                </c:pt>
                <c:pt idx="837" formatCode="&quot;$&quot;#,##0.0">
                  <c:v>981.84912924226649</c:v>
                </c:pt>
                <c:pt idx="838" formatCode="&quot;$&quot;#,##0.0">
                  <c:v>824.01365622911453</c:v>
                </c:pt>
                <c:pt idx="839" formatCode="&quot;$&quot;#,##0.0">
                  <c:v>1176.2953930378612</c:v>
                </c:pt>
                <c:pt idx="840" formatCode="&quot;$&quot;#,##0.0">
                  <c:v>917.99721757988959</c:v>
                </c:pt>
                <c:pt idx="841" formatCode="&quot;$&quot;#,##0.0">
                  <c:v>955.77962140886507</c:v>
                </c:pt>
                <c:pt idx="842" formatCode="&quot;$&quot;#,##0.0">
                  <c:v>1112.4630117351478</c:v>
                </c:pt>
                <c:pt idx="843" formatCode="&quot;$&quot;#,##0.0">
                  <c:v>928.20892282541786</c:v>
                </c:pt>
                <c:pt idx="844" formatCode="&quot;$&quot;#,##0.0">
                  <c:v>954.49004301365665</c:v>
                </c:pt>
                <c:pt idx="845" formatCode="&quot;$&quot;#,##0.0">
                  <c:v>845.7177346230784</c:v>
                </c:pt>
                <c:pt idx="846" formatCode="&quot;$&quot;#,##0.0">
                  <c:v>957.13376836332156</c:v>
                </c:pt>
                <c:pt idx="847" formatCode="&quot;$&quot;#,##0.0">
                  <c:v>882.39767661813516</c:v>
                </c:pt>
                <c:pt idx="848" formatCode="&quot;$&quot;#,##0.0">
                  <c:v>1092.1933152509014</c:v>
                </c:pt>
                <c:pt idx="849" formatCode="&quot;$&quot;#,##0.0">
                  <c:v>991.48982843192891</c:v>
                </c:pt>
                <c:pt idx="850" formatCode="&quot;$&quot;#,##0.0">
                  <c:v>858.06493053290865</c:v>
                </c:pt>
                <c:pt idx="851" formatCode="&quot;$&quot;#,##0.0">
                  <c:v>892.32107515118787</c:v>
                </c:pt>
                <c:pt idx="852" formatCode="&quot;$&quot;#,##0.0">
                  <c:v>959.58264808005788</c:v>
                </c:pt>
                <c:pt idx="853" formatCode="&quot;$&quot;#,##0.0">
                  <c:v>1014.0021808353594</c:v>
                </c:pt>
                <c:pt idx="854" formatCode="&quot;$&quot;#,##0.0">
                  <c:v>821.54200248089978</c:v>
                </c:pt>
                <c:pt idx="855" formatCode="&quot;$&quot;#,##0.0">
                  <c:v>1163.8530359632869</c:v>
                </c:pt>
                <c:pt idx="856" formatCode="&quot;$&quot;#,##0.0">
                  <c:v>1044.8782335357971</c:v>
                </c:pt>
                <c:pt idx="857" formatCode="&quot;$&quot;#,##0.0">
                  <c:v>950.79094962293254</c:v>
                </c:pt>
                <c:pt idx="858" formatCode="&quot;$&quot;#,##0.0">
                  <c:v>938.3789665728699</c:v>
                </c:pt>
                <c:pt idx="859" formatCode="&quot;$&quot;#,##0.0">
                  <c:v>841.21506570123222</c:v>
                </c:pt>
                <c:pt idx="860" formatCode="&quot;$&quot;#,##0.0">
                  <c:v>915.23521204825829</c:v>
                </c:pt>
                <c:pt idx="861" formatCode="&quot;$&quot;#,##0.0">
                  <c:v>1043.158563691888</c:v>
                </c:pt>
                <c:pt idx="862" formatCode="&quot;$&quot;#,##0.0">
                  <c:v>965.83868177737156</c:v>
                </c:pt>
                <c:pt idx="863" formatCode="&quot;$&quot;#,##0.0">
                  <c:v>1027.4341244208442</c:v>
                </c:pt>
                <c:pt idx="864" formatCode="&quot;$&quot;#,##0.0">
                  <c:v>873.85252072853575</c:v>
                </c:pt>
                <c:pt idx="865" formatCode="&quot;$&quot;#,##0.0">
                  <c:v>1080.702271061426</c:v>
                </c:pt>
                <c:pt idx="866" formatCode="&quot;$&quot;#,##0.0">
                  <c:v>995.90598574521448</c:v>
                </c:pt>
                <c:pt idx="867" formatCode="&quot;$&quot;#,##0.0">
                  <c:v>991.75003595666362</c:v>
                </c:pt>
                <c:pt idx="868" formatCode="&quot;$&quot;#,##0.0">
                  <c:v>1273.4960145367299</c:v>
                </c:pt>
                <c:pt idx="869" formatCode="&quot;$&quot;#,##0.0">
                  <c:v>923.79727288656431</c:v>
                </c:pt>
                <c:pt idx="870" formatCode="&quot;$&quot;#,##0.0">
                  <c:v>917.99191911231139</c:v>
                </c:pt>
                <c:pt idx="871" formatCode="&quot;$&quot;#,##0.0">
                  <c:v>1066.5864691244146</c:v>
                </c:pt>
                <c:pt idx="872" formatCode="&quot;$&quot;#,##0.0">
                  <c:v>1059.3598333536888</c:v>
                </c:pt>
                <c:pt idx="873" formatCode="&quot;$&quot;#,##0.0">
                  <c:v>966.2147588166855</c:v>
                </c:pt>
                <c:pt idx="874" formatCode="&quot;$&quot;#,##0.0">
                  <c:v>924.7430652368206</c:v>
                </c:pt>
                <c:pt idx="875" formatCode="&quot;$&quot;#,##0.0">
                  <c:v>908.59441685181059</c:v>
                </c:pt>
                <c:pt idx="876" formatCode="&quot;$&quot;#,##0.0">
                  <c:v>812.48562369827982</c:v>
                </c:pt>
                <c:pt idx="877" formatCode="&quot;$&quot;#,##0.0">
                  <c:v>758.29650343304229</c:v>
                </c:pt>
                <c:pt idx="878" formatCode="&quot;$&quot;#,##0.0">
                  <c:v>957.74898120239948</c:v>
                </c:pt>
                <c:pt idx="879" formatCode="&quot;$&quot;#,##0.0">
                  <c:v>914.1426292588252</c:v>
                </c:pt>
                <c:pt idx="880" formatCode="&quot;$&quot;#,##0.0">
                  <c:v>978.32393626855719</c:v>
                </c:pt>
                <c:pt idx="881" formatCode="&quot;$&quot;#,##0.0">
                  <c:v>1115.1474597349843</c:v>
                </c:pt>
                <c:pt idx="882" formatCode="&quot;$&quot;#,##0.0">
                  <c:v>1076.2352157425501</c:v>
                </c:pt>
                <c:pt idx="883" formatCode="&quot;$&quot;#,##0.0">
                  <c:v>886.74215048416806</c:v>
                </c:pt>
                <c:pt idx="884" formatCode="&quot;$&quot;#,##0.0">
                  <c:v>922.99972745068931</c:v>
                </c:pt>
                <c:pt idx="885" formatCode="&quot;$&quot;#,##0.0">
                  <c:v>899.54994000091745</c:v>
                </c:pt>
                <c:pt idx="886" formatCode="&quot;$&quot;#,##0.0">
                  <c:v>1034.4559478585363</c:v>
                </c:pt>
                <c:pt idx="887" formatCode="&quot;$&quot;#,##0.0">
                  <c:v>914.79216699141159</c:v>
                </c:pt>
                <c:pt idx="888" formatCode="&quot;$&quot;#,##0.0">
                  <c:v>883.91056432006781</c:v>
                </c:pt>
                <c:pt idx="889" formatCode="&quot;$&quot;#,##0.0">
                  <c:v>864.82436996630554</c:v>
                </c:pt>
                <c:pt idx="890" formatCode="&quot;$&quot;#,##0.0">
                  <c:v>827.26309462131735</c:v>
                </c:pt>
                <c:pt idx="891" formatCode="&quot;$&quot;#,##0.0">
                  <c:v>917.4805526511052</c:v>
                </c:pt>
                <c:pt idx="892" formatCode="&quot;$&quot;#,##0.0">
                  <c:v>931.9910209107062</c:v>
                </c:pt>
                <c:pt idx="893" formatCode="&quot;$&quot;#,##0.0">
                  <c:v>1070.6112736149901</c:v>
                </c:pt>
                <c:pt idx="894" formatCode="&quot;$&quot;#,##0.0">
                  <c:v>917.33540671891024</c:v>
                </c:pt>
                <c:pt idx="895" formatCode="&quot;$&quot;#,##0.0">
                  <c:v>889.67361586006803</c:v>
                </c:pt>
                <c:pt idx="896" formatCode="&quot;$&quot;#,##0.0">
                  <c:v>842.46108023708007</c:v>
                </c:pt>
                <c:pt idx="897" formatCode="&quot;$&quot;#,##0.0">
                  <c:v>985.18719084101031</c:v>
                </c:pt>
                <c:pt idx="898" formatCode="&quot;$&quot;#,##0.0">
                  <c:v>891.45913041791528</c:v>
                </c:pt>
                <c:pt idx="899" formatCode="&quot;$&quot;#,##0.0">
                  <c:v>923.78862757319882</c:v>
                </c:pt>
                <c:pt idx="900" formatCode="&quot;$&quot;#,##0.0">
                  <c:v>923.41778633126637</c:v>
                </c:pt>
                <c:pt idx="901" formatCode="&quot;$&quot;#,##0.0">
                  <c:v>853.95878105153884</c:v>
                </c:pt>
                <c:pt idx="902" formatCode="&quot;$&quot;#,##0.0">
                  <c:v>1246.2476432891335</c:v>
                </c:pt>
                <c:pt idx="903" formatCode="&quot;$&quot;#,##0.0">
                  <c:v>872.15543352050133</c:v>
                </c:pt>
                <c:pt idx="904" formatCode="&quot;$&quot;#,##0.0">
                  <c:v>967.5240104202345</c:v>
                </c:pt>
                <c:pt idx="905" formatCode="&quot;$&quot;#,##0.0">
                  <c:v>1033.1144960006454</c:v>
                </c:pt>
                <c:pt idx="906" formatCode="&quot;$&quot;#,##0.0">
                  <c:v>1088.9214922062097</c:v>
                </c:pt>
                <c:pt idx="907" formatCode="&quot;$&quot;#,##0.0">
                  <c:v>902.00734982215886</c:v>
                </c:pt>
                <c:pt idx="908" formatCode="&quot;$&quot;#,##0.0">
                  <c:v>986.73514391882861</c:v>
                </c:pt>
                <c:pt idx="909" formatCode="&quot;$&quot;#,##0.0">
                  <c:v>1035.6652228013415</c:v>
                </c:pt>
                <c:pt idx="910" formatCode="&quot;$&quot;#,##0.0">
                  <c:v>869.5176055768851</c:v>
                </c:pt>
                <c:pt idx="911" formatCode="&quot;$&quot;#,##0.0">
                  <c:v>930.10051580826826</c:v>
                </c:pt>
                <c:pt idx="912" formatCode="&quot;$&quot;#,##0.0">
                  <c:v>1134.4194494382448</c:v>
                </c:pt>
                <c:pt idx="913" formatCode="&quot;$&quot;#,##0.0">
                  <c:v>921.91444164521181</c:v>
                </c:pt>
                <c:pt idx="914" formatCode="&quot;$&quot;#,##0.0">
                  <c:v>942.3133190923179</c:v>
                </c:pt>
                <c:pt idx="915" formatCode="&quot;$&quot;#,##0.0">
                  <c:v>1131.4837994143143</c:v>
                </c:pt>
                <c:pt idx="916" formatCode="&quot;$&quot;#,##0.0">
                  <c:v>1003.1687079525352</c:v>
                </c:pt>
                <c:pt idx="917" formatCode="&quot;$&quot;#,##0.0">
                  <c:v>977.59345053176366</c:v>
                </c:pt>
                <c:pt idx="918" formatCode="&quot;$&quot;#,##0.0">
                  <c:v>1121.7528849191601</c:v>
                </c:pt>
                <c:pt idx="919" formatCode="&quot;$&quot;#,##0.0">
                  <c:v>1100.7410586804931</c:v>
                </c:pt>
                <c:pt idx="920" formatCode="&quot;$&quot;#,##0.0">
                  <c:v>1083.7170822459991</c:v>
                </c:pt>
                <c:pt idx="921" formatCode="&quot;$&quot;#,##0.0">
                  <c:v>841.80424125651382</c:v>
                </c:pt>
                <c:pt idx="922" formatCode="&quot;$&quot;#,##0.0">
                  <c:v>985.26067263865514</c:v>
                </c:pt>
                <c:pt idx="923" formatCode="&quot;$&quot;#,##0.0">
                  <c:v>898.76818649086522</c:v>
                </c:pt>
                <c:pt idx="924" formatCode="&quot;$&quot;#,##0.0">
                  <c:v>855.52049442295697</c:v>
                </c:pt>
                <c:pt idx="925" formatCode="&quot;$&quot;#,##0.0">
                  <c:v>878.25810554605118</c:v>
                </c:pt>
                <c:pt idx="926" formatCode="&quot;$&quot;#,##0.0">
                  <c:v>950.42412381531199</c:v>
                </c:pt>
                <c:pt idx="927" formatCode="&quot;$&quot;#,##0.0">
                  <c:v>1080.8943084196226</c:v>
                </c:pt>
                <c:pt idx="928" formatCode="&quot;$&quot;#,##0.0">
                  <c:v>866.52452239405295</c:v>
                </c:pt>
                <c:pt idx="929" formatCode="&quot;$&quot;#,##0.0">
                  <c:v>1166.2785764726625</c:v>
                </c:pt>
                <c:pt idx="930" formatCode="&quot;$&quot;#,##0.0">
                  <c:v>988.16717457997447</c:v>
                </c:pt>
                <c:pt idx="931" formatCode="&quot;$&quot;#,##0.0">
                  <c:v>895.39270787293879</c:v>
                </c:pt>
                <c:pt idx="932" formatCode="&quot;$&quot;#,##0.0">
                  <c:v>1005.5385978710042</c:v>
                </c:pt>
                <c:pt idx="933" formatCode="&quot;$&quot;#,##0.0">
                  <c:v>1120.2914479841834</c:v>
                </c:pt>
                <c:pt idx="934" formatCode="&quot;$&quot;#,##0.0">
                  <c:v>1003.2810035004924</c:v>
                </c:pt>
                <c:pt idx="935" formatCode="&quot;$&quot;#,##0.0">
                  <c:v>1121.2625455397883</c:v>
                </c:pt>
                <c:pt idx="936" formatCode="&quot;$&quot;#,##0.0">
                  <c:v>847.7083994238227</c:v>
                </c:pt>
                <c:pt idx="937" formatCode="&quot;$&quot;#,##0.0">
                  <c:v>1170.7181291955462</c:v>
                </c:pt>
                <c:pt idx="938" formatCode="&quot;$&quot;#,##0.0">
                  <c:v>963.07573067271289</c:v>
                </c:pt>
                <c:pt idx="939" formatCode="&quot;$&quot;#,##0.0">
                  <c:v>902.55210688870466</c:v>
                </c:pt>
                <c:pt idx="940" formatCode="&quot;$&quot;#,##0.0">
                  <c:v>1082.828841054036</c:v>
                </c:pt>
                <c:pt idx="941" formatCode="&quot;$&quot;#,##0.0">
                  <c:v>869.62229053753026</c:v>
                </c:pt>
                <c:pt idx="942" formatCode="&quot;$&quot;#,##0.0">
                  <c:v>897.70034496404799</c:v>
                </c:pt>
                <c:pt idx="943" formatCode="&quot;$&quot;#,##0.0">
                  <c:v>862.5328274341415</c:v>
                </c:pt>
                <c:pt idx="944" formatCode="&quot;$&quot;#,##0.0">
                  <c:v>938.13508176474443</c:v>
                </c:pt>
                <c:pt idx="945" formatCode="&quot;$&quot;#,##0.0">
                  <c:v>965.84985593221472</c:v>
                </c:pt>
                <c:pt idx="946" formatCode="&quot;$&quot;#,##0.0">
                  <c:v>872.69354283160772</c:v>
                </c:pt>
                <c:pt idx="947" formatCode="&quot;$&quot;#,##0.0">
                  <c:v>1059.0545140072902</c:v>
                </c:pt>
                <c:pt idx="948" formatCode="&quot;$&quot;#,##0.0">
                  <c:v>907.41159070226399</c:v>
                </c:pt>
                <c:pt idx="949" formatCode="&quot;$&quot;#,##0.0">
                  <c:v>953.66521305952506</c:v>
                </c:pt>
                <c:pt idx="950" formatCode="&quot;$&quot;#,##0.0">
                  <c:v>909.98406914568761</c:v>
                </c:pt>
                <c:pt idx="951" formatCode="&quot;$&quot;#,##0.0">
                  <c:v>848.64706679999563</c:v>
                </c:pt>
                <c:pt idx="952" formatCode="&quot;$&quot;#,##0.0">
                  <c:v>889.39171892987531</c:v>
                </c:pt>
                <c:pt idx="953" formatCode="&quot;$&quot;#,##0.0">
                  <c:v>898.90705894147152</c:v>
                </c:pt>
                <c:pt idx="954" formatCode="&quot;$&quot;#,##0.0">
                  <c:v>859.73751394798626</c:v>
                </c:pt>
                <c:pt idx="955" formatCode="&quot;$&quot;#,##0.0">
                  <c:v>1125.4928281696982</c:v>
                </c:pt>
                <c:pt idx="956" formatCode="&quot;$&quot;#,##0.0">
                  <c:v>912.12490662551465</c:v>
                </c:pt>
                <c:pt idx="957" formatCode="&quot;$&quot;#,##0.0">
                  <c:v>1163.4716166982801</c:v>
                </c:pt>
                <c:pt idx="958" formatCode="&quot;$&quot;#,##0.0">
                  <c:v>882.13049869606004</c:v>
                </c:pt>
                <c:pt idx="959" formatCode="&quot;$&quot;#,##0.0">
                  <c:v>1153.7234235538822</c:v>
                </c:pt>
                <c:pt idx="960" formatCode="&quot;$&quot;#,##0.0">
                  <c:v>1032.5712084228039</c:v>
                </c:pt>
                <c:pt idx="961" formatCode="&quot;$&quot;#,##0.0">
                  <c:v>931.15450478135278</c:v>
                </c:pt>
                <c:pt idx="962" formatCode="&quot;$&quot;#,##0.0">
                  <c:v>1074.7297596875665</c:v>
                </c:pt>
                <c:pt idx="963" formatCode="&quot;$&quot;#,##0.0">
                  <c:v>932.55974387990477</c:v>
                </c:pt>
                <c:pt idx="964" formatCode="&quot;$&quot;#,##0.0">
                  <c:v>871.21106084061387</c:v>
                </c:pt>
                <c:pt idx="965" formatCode="&quot;$&quot;#,##0.0">
                  <c:v>867.83737424082949</c:v>
                </c:pt>
                <c:pt idx="966" formatCode="&quot;$&quot;#,##0.0">
                  <c:v>982.07157030091923</c:v>
                </c:pt>
                <c:pt idx="967" formatCode="&quot;$&quot;#,##0.0">
                  <c:v>1106.2724579107135</c:v>
                </c:pt>
                <c:pt idx="968" formatCode="&quot;$&quot;#,##0.0">
                  <c:v>932.82823923635897</c:v>
                </c:pt>
                <c:pt idx="969" formatCode="&quot;$&quot;#,##0.0">
                  <c:v>894.91556853816007</c:v>
                </c:pt>
                <c:pt idx="970" formatCode="&quot;$&quot;#,##0.0">
                  <c:v>1061.0639931961307</c:v>
                </c:pt>
                <c:pt idx="971" formatCode="&quot;$&quot;#,##0.0">
                  <c:v>848.63235455360893</c:v>
                </c:pt>
                <c:pt idx="972" formatCode="&quot;$&quot;#,##0.0">
                  <c:v>1252.9420143887144</c:v>
                </c:pt>
                <c:pt idx="973" formatCode="&quot;$&quot;#,##0.0">
                  <c:v>1073.2316734433621</c:v>
                </c:pt>
                <c:pt idx="974" formatCode="&quot;$&quot;#,##0.0">
                  <c:v>855.92321708650877</c:v>
                </c:pt>
                <c:pt idx="975" formatCode="&quot;$&quot;#,##0.0">
                  <c:v>873.98816716899887</c:v>
                </c:pt>
                <c:pt idx="976" formatCode="&quot;$&quot;#,##0.0">
                  <c:v>933.18550003491453</c:v>
                </c:pt>
                <c:pt idx="977" formatCode="&quot;$&quot;#,##0.0">
                  <c:v>954.84127720621768</c:v>
                </c:pt>
                <c:pt idx="978" formatCode="&quot;$&quot;#,##0.0">
                  <c:v>969.42816844434185</c:v>
                </c:pt>
                <c:pt idx="979" formatCode="&quot;$&quot;#,##0.0">
                  <c:v>882.52610784568981</c:v>
                </c:pt>
                <c:pt idx="980" formatCode="&quot;$&quot;#,##0.0">
                  <c:v>924.56379519890038</c:v>
                </c:pt>
                <c:pt idx="981" formatCode="&quot;$&quot;#,##0.0">
                  <c:v>823.49521360560311</c:v>
                </c:pt>
                <c:pt idx="982" formatCode="&quot;$&quot;#,##0.0">
                  <c:v>1112.9468624962522</c:v>
                </c:pt>
                <c:pt idx="983" formatCode="&quot;$&quot;#,##0.0">
                  <c:v>1024.1570073105354</c:v>
                </c:pt>
                <c:pt idx="984" formatCode="&quot;$&quot;#,##0.0">
                  <c:v>1085.1673881482766</c:v>
                </c:pt>
                <c:pt idx="985" formatCode="&quot;$&quot;#,##0.0">
                  <c:v>1202.5702707245775</c:v>
                </c:pt>
                <c:pt idx="986" formatCode="&quot;$&quot;#,##0.0">
                  <c:v>887.03910913884499</c:v>
                </c:pt>
                <c:pt idx="987" formatCode="&quot;$&quot;#,##0.0">
                  <c:v>1047.2374551668988</c:v>
                </c:pt>
                <c:pt idx="988" formatCode="&quot;$&quot;#,##0.0">
                  <c:v>1212.1463930914365</c:v>
                </c:pt>
                <c:pt idx="989" formatCode="&quot;$&quot;#,##0.0">
                  <c:v>902.50024000669237</c:v>
                </c:pt>
                <c:pt idx="990" formatCode="&quot;$&quot;#,##0.0">
                  <c:v>1024.8316869020393</c:v>
                </c:pt>
                <c:pt idx="991" formatCode="&quot;$&quot;#,##0.0">
                  <c:v>1105.3925658554506</c:v>
                </c:pt>
                <c:pt idx="992" formatCode="&quot;$&quot;#,##0.0">
                  <c:v>1184.349116450891</c:v>
                </c:pt>
                <c:pt idx="993" formatCode="&quot;$&quot;#,##0.0">
                  <c:v>1304.5444285999338</c:v>
                </c:pt>
                <c:pt idx="994" formatCode="&quot;$&quot;#,##0.0">
                  <c:v>1156.4648168576109</c:v>
                </c:pt>
                <c:pt idx="995" formatCode="&quot;$&quot;#,##0.0">
                  <c:v>882.09143056163612</c:v>
                </c:pt>
                <c:pt idx="996" formatCode="&quot;$&quot;#,##0.0">
                  <c:v>1234.8850101961298</c:v>
                </c:pt>
                <c:pt idx="997" formatCode="&quot;$&quot;#,##0.0">
                  <c:v>958.67117471806921</c:v>
                </c:pt>
                <c:pt idx="998" formatCode="&quot;$&quot;#,##0.0">
                  <c:v>994.48583249477178</c:v>
                </c:pt>
                <c:pt idx="999" formatCode="&quot;$&quot;#,##0.0">
                  <c:v>974.45594010015793</c:v>
                </c:pt>
                <c:pt idx="1000" formatCode="General">
                  <c:v>889.68237035789195</c:v>
                </c:pt>
                <c:pt idx="1001" formatCode="General">
                  <c:v>766.83753449961785</c:v>
                </c:pt>
                <c:pt idx="1002" formatCode="General">
                  <c:v>893.31615743946918</c:v>
                </c:pt>
                <c:pt idx="1003" formatCode="General">
                  <c:v>870.13540984964538</c:v>
                </c:pt>
                <c:pt idx="1004" formatCode="General">
                  <c:v>898.52867427156366</c:v>
                </c:pt>
                <c:pt idx="1005" formatCode="General">
                  <c:v>965.78951392535066</c:v>
                </c:pt>
                <c:pt idx="1006" formatCode="General">
                  <c:v>893.16638877427329</c:v>
                </c:pt>
                <c:pt idx="1007" formatCode="General">
                  <c:v>927.86052243662334</c:v>
                </c:pt>
                <c:pt idx="1008" formatCode="General">
                  <c:v>939.55361219066526</c:v>
                </c:pt>
                <c:pt idx="1009" formatCode="General">
                  <c:v>855.74926155508649</c:v>
                </c:pt>
                <c:pt idx="1010" formatCode="General">
                  <c:v>867.39693669718918</c:v>
                </c:pt>
                <c:pt idx="1011" formatCode="General">
                  <c:v>858.70265917224663</c:v>
                </c:pt>
                <c:pt idx="1012" formatCode="General">
                  <c:v>1185.0310937354529</c:v>
                </c:pt>
                <c:pt idx="1013" formatCode="General">
                  <c:v>902.54009624008654</c:v>
                </c:pt>
                <c:pt idx="1014" formatCode="General">
                  <c:v>1073.7483448618689</c:v>
                </c:pt>
                <c:pt idx="1015" formatCode="General">
                  <c:v>963.27087023742672</c:v>
                </c:pt>
                <c:pt idx="1016" formatCode="General">
                  <c:v>956.86831787511244</c:v>
                </c:pt>
                <c:pt idx="1017" formatCode="General">
                  <c:v>938.3386037046422</c:v>
                </c:pt>
                <c:pt idx="1018" formatCode="General">
                  <c:v>834.50466457918355</c:v>
                </c:pt>
                <c:pt idx="1019" formatCode="General">
                  <c:v>879.38610273893858</c:v>
                </c:pt>
                <c:pt idx="1020" formatCode="General">
                  <c:v>873.0328443876997</c:v>
                </c:pt>
                <c:pt idx="1021" formatCode="General">
                  <c:v>1017.3038141728086</c:v>
                </c:pt>
                <c:pt idx="1022" formatCode="General">
                  <c:v>1057.796135978125</c:v>
                </c:pt>
                <c:pt idx="1023" formatCode="General">
                  <c:v>1157.8232129867076</c:v>
                </c:pt>
                <c:pt idx="1024" formatCode="General">
                  <c:v>908.23971157722372</c:v>
                </c:pt>
                <c:pt idx="1025" formatCode="General">
                  <c:v>897.06967995575792</c:v>
                </c:pt>
                <c:pt idx="1026" formatCode="General">
                  <c:v>917.04652996902928</c:v>
                </c:pt>
                <c:pt idx="1027" formatCode="General">
                  <c:v>816.4023709552439</c:v>
                </c:pt>
                <c:pt idx="1028" formatCode="General">
                  <c:v>939.09370645928311</c:v>
                </c:pt>
                <c:pt idx="1029" formatCode="General">
                  <c:v>870.47949628527647</c:v>
                </c:pt>
                <c:pt idx="1030" formatCode="General">
                  <c:v>1290.0013986838269</c:v>
                </c:pt>
                <c:pt idx="1031" formatCode="General">
                  <c:v>895.12269355923172</c:v>
                </c:pt>
                <c:pt idx="1032" formatCode="General">
                  <c:v>907.00349376404495</c:v>
                </c:pt>
                <c:pt idx="1033" formatCode="General">
                  <c:v>942.94270744427638</c:v>
                </c:pt>
                <c:pt idx="1034" formatCode="General">
                  <c:v>929.37957517505936</c:v>
                </c:pt>
                <c:pt idx="1035" formatCode="General">
                  <c:v>922.98228489458552</c:v>
                </c:pt>
                <c:pt idx="1036" formatCode="General">
                  <c:v>953.66087190292444</c:v>
                </c:pt>
                <c:pt idx="1037" formatCode="General">
                  <c:v>1149.6951245088924</c:v>
                </c:pt>
                <c:pt idx="1038" formatCode="General">
                  <c:v>1009.0457085719067</c:v>
                </c:pt>
                <c:pt idx="1039" formatCode="General">
                  <c:v>914.61681993835487</c:v>
                </c:pt>
                <c:pt idx="1040" formatCode="General">
                  <c:v>1019.4353612331134</c:v>
                </c:pt>
                <c:pt idx="1041" formatCode="General">
                  <c:v>1103.4373784366305</c:v>
                </c:pt>
                <c:pt idx="1042" formatCode="General">
                  <c:v>887.80312019566736</c:v>
                </c:pt>
                <c:pt idx="1043" formatCode="General">
                  <c:v>1187.8136704947651</c:v>
                </c:pt>
                <c:pt idx="1044" formatCode="General">
                  <c:v>1119.0965706325119</c:v>
                </c:pt>
                <c:pt idx="1045" formatCode="General">
                  <c:v>871.56639013922506</c:v>
                </c:pt>
                <c:pt idx="1046" formatCode="General">
                  <c:v>1146.243702090916</c:v>
                </c:pt>
                <c:pt idx="1047" formatCode="General">
                  <c:v>1028.899237541186</c:v>
                </c:pt>
                <c:pt idx="1048" formatCode="General">
                  <c:v>1074.7020568441387</c:v>
                </c:pt>
                <c:pt idx="1049" formatCode="General">
                  <c:v>942.72096324126403</c:v>
                </c:pt>
                <c:pt idx="1050" formatCode="General">
                  <c:v>919.24868390301742</c:v>
                </c:pt>
                <c:pt idx="1051" formatCode="General">
                  <c:v>1138.4565638952172</c:v>
                </c:pt>
                <c:pt idx="1052" formatCode="General">
                  <c:v>955.8800544367391</c:v>
                </c:pt>
                <c:pt idx="1053" formatCode="General">
                  <c:v>886.08919736007965</c:v>
                </c:pt>
                <c:pt idx="1054" formatCode="General">
                  <c:v>1212.6294405568267</c:v>
                </c:pt>
                <c:pt idx="1055" formatCode="General">
                  <c:v>974.42377639011363</c:v>
                </c:pt>
                <c:pt idx="1056" formatCode="General">
                  <c:v>840.12831011202036</c:v>
                </c:pt>
                <c:pt idx="1057" formatCode="General">
                  <c:v>875.06998936253956</c:v>
                </c:pt>
                <c:pt idx="1058" formatCode="General">
                  <c:v>859.26493946672986</c:v>
                </c:pt>
                <c:pt idx="1059" formatCode="General">
                  <c:v>956.17033438168039</c:v>
                </c:pt>
                <c:pt idx="1060" formatCode="General">
                  <c:v>893.58262382922669</c:v>
                </c:pt>
                <c:pt idx="1061" formatCode="General">
                  <c:v>905.66341682146663</c:v>
                </c:pt>
                <c:pt idx="1062" formatCode="General">
                  <c:v>1083.6022288741829</c:v>
                </c:pt>
                <c:pt idx="1063" formatCode="General">
                  <c:v>1245.5698200257038</c:v>
                </c:pt>
                <c:pt idx="1064" formatCode="General">
                  <c:v>1113.4452895894942</c:v>
                </c:pt>
                <c:pt idx="1065" formatCode="General">
                  <c:v>900.26703958943506</c:v>
                </c:pt>
                <c:pt idx="1066" formatCode="General">
                  <c:v>955.63691549770692</c:v>
                </c:pt>
                <c:pt idx="1067" formatCode="General">
                  <c:v>859.29256632640784</c:v>
                </c:pt>
                <c:pt idx="1068" formatCode="General">
                  <c:v>919.42392193619764</c:v>
                </c:pt>
                <c:pt idx="1069" formatCode="General">
                  <c:v>1017.5389979565851</c:v>
                </c:pt>
                <c:pt idx="1070" formatCode="General">
                  <c:v>855.8329821517525</c:v>
                </c:pt>
                <c:pt idx="1071" formatCode="General">
                  <c:v>911.19202267980927</c:v>
                </c:pt>
                <c:pt idx="1072" formatCode="General">
                  <c:v>1094.1201161334598</c:v>
                </c:pt>
                <c:pt idx="1073" formatCode="General">
                  <c:v>905.13423500059457</c:v>
                </c:pt>
                <c:pt idx="1074" formatCode="General">
                  <c:v>923.27470233666702</c:v>
                </c:pt>
                <c:pt idx="1075" formatCode="General">
                  <c:v>857.51182386680875</c:v>
                </c:pt>
                <c:pt idx="1076" formatCode="General">
                  <c:v>1160.0768173232191</c:v>
                </c:pt>
                <c:pt idx="1077" formatCode="General">
                  <c:v>1141.1222753190198</c:v>
                </c:pt>
                <c:pt idx="1078" formatCode="General">
                  <c:v>897.05465092110353</c:v>
                </c:pt>
                <c:pt idx="1079" formatCode="General">
                  <c:v>1132.2289526387549</c:v>
                </c:pt>
                <c:pt idx="1080" formatCode="General">
                  <c:v>858.59263592938328</c:v>
                </c:pt>
                <c:pt idx="1081" formatCode="General">
                  <c:v>901.34148382737226</c:v>
                </c:pt>
                <c:pt idx="1082" formatCode="General">
                  <c:v>901.60923452177246</c:v>
                </c:pt>
                <c:pt idx="1083" formatCode="General">
                  <c:v>844.30294603166385</c:v>
                </c:pt>
                <c:pt idx="1084" formatCode="General">
                  <c:v>1034.7237857212149</c:v>
                </c:pt>
                <c:pt idx="1085" formatCode="General">
                  <c:v>878.53439445154572</c:v>
                </c:pt>
                <c:pt idx="1086" formatCode="General">
                  <c:v>915.12844017293332</c:v>
                </c:pt>
                <c:pt idx="1087" formatCode="General">
                  <c:v>940.13871222970215</c:v>
                </c:pt>
                <c:pt idx="1088" formatCode="General">
                  <c:v>1101.2076983246448</c:v>
                </c:pt>
                <c:pt idx="1089" formatCode="General">
                  <c:v>951.67432577289037</c:v>
                </c:pt>
                <c:pt idx="1090" formatCode="General">
                  <c:v>1116.1907856069686</c:v>
                </c:pt>
                <c:pt idx="1091" formatCode="General">
                  <c:v>896.98571997864019</c:v>
                </c:pt>
                <c:pt idx="1092" formatCode="General">
                  <c:v>1149.5166892232926</c:v>
                </c:pt>
                <c:pt idx="1093" formatCode="General">
                  <c:v>937.46088784746485</c:v>
                </c:pt>
                <c:pt idx="1094" formatCode="General">
                  <c:v>931.44474197553222</c:v>
                </c:pt>
                <c:pt idx="1095" formatCode="General">
                  <c:v>924.67532756467517</c:v>
                </c:pt>
                <c:pt idx="1096" formatCode="General">
                  <c:v>832.97422213868458</c:v>
                </c:pt>
                <c:pt idx="1097" formatCode="General">
                  <c:v>811.3452213805291</c:v>
                </c:pt>
                <c:pt idx="1098" formatCode="General">
                  <c:v>1051.6046874319395</c:v>
                </c:pt>
                <c:pt idx="1099" formatCode="General">
                  <c:v>897.07224144315001</c:v>
                </c:pt>
                <c:pt idx="1100" formatCode="General">
                  <c:v>927.29586578754743</c:v>
                </c:pt>
                <c:pt idx="1101" formatCode="General">
                  <c:v>878.39706775618322</c:v>
                </c:pt>
                <c:pt idx="1102" formatCode="General">
                  <c:v>956.08616354401136</c:v>
                </c:pt>
                <c:pt idx="1103" formatCode="General">
                  <c:v>1133.8205406501743</c:v>
                </c:pt>
                <c:pt idx="1104" formatCode="General">
                  <c:v>945.86552641716889</c:v>
                </c:pt>
                <c:pt idx="1105" formatCode="General">
                  <c:v>871.81570331007913</c:v>
                </c:pt>
                <c:pt idx="1106" formatCode="General">
                  <c:v>1122.3919806022907</c:v>
                </c:pt>
                <c:pt idx="1107" formatCode="General">
                  <c:v>908.60598862507754</c:v>
                </c:pt>
                <c:pt idx="1108" formatCode="General">
                  <c:v>863.35914269978434</c:v>
                </c:pt>
                <c:pt idx="1109" formatCode="General">
                  <c:v>1063.7365700821399</c:v>
                </c:pt>
                <c:pt idx="1110" formatCode="General">
                  <c:v>1166.3441791336866</c:v>
                </c:pt>
                <c:pt idx="1111" formatCode="General">
                  <c:v>1087.7643743633057</c:v>
                </c:pt>
                <c:pt idx="1112" formatCode="General">
                  <c:v>1243.6596196669816</c:v>
                </c:pt>
                <c:pt idx="1113" formatCode="General">
                  <c:v>898.50462503677636</c:v>
                </c:pt>
                <c:pt idx="1114" formatCode="General">
                  <c:v>926.04188178728123</c:v>
                </c:pt>
                <c:pt idx="1115" formatCode="General">
                  <c:v>904.68768326340887</c:v>
                </c:pt>
                <c:pt idx="1116" formatCode="General">
                  <c:v>876.72523556796818</c:v>
                </c:pt>
                <c:pt idx="1117" formatCode="General">
                  <c:v>833.53972079807522</c:v>
                </c:pt>
                <c:pt idx="1118" formatCode="General">
                  <c:v>1048.9045747588357</c:v>
                </c:pt>
                <c:pt idx="1119" formatCode="General">
                  <c:v>978.35645510228767</c:v>
                </c:pt>
                <c:pt idx="1120" formatCode="General">
                  <c:v>913.64641700771665</c:v>
                </c:pt>
                <c:pt idx="1121" formatCode="General">
                  <c:v>872.37546637681339</c:v>
                </c:pt>
                <c:pt idx="1122" formatCode="General">
                  <c:v>945.10368962308394</c:v>
                </c:pt>
                <c:pt idx="1123" formatCode="General">
                  <c:v>927.05059397493403</c:v>
                </c:pt>
                <c:pt idx="1124" formatCode="General">
                  <c:v>1112.1427179590867</c:v>
                </c:pt>
                <c:pt idx="1125" formatCode="General">
                  <c:v>1066.6154787450148</c:v>
                </c:pt>
                <c:pt idx="1126" formatCode="General">
                  <c:v>1117.7838892077762</c:v>
                </c:pt>
                <c:pt idx="1127" formatCode="General">
                  <c:v>1208.3266458282246</c:v>
                </c:pt>
                <c:pt idx="1128" formatCode="General">
                  <c:v>901.68252677677162</c:v>
                </c:pt>
                <c:pt idx="1129" formatCode="General">
                  <c:v>1160.4133165418198</c:v>
                </c:pt>
                <c:pt idx="1130" formatCode="General">
                  <c:v>903.73399671772586</c:v>
                </c:pt>
                <c:pt idx="1131" formatCode="General">
                  <c:v>818.11066856238608</c:v>
                </c:pt>
                <c:pt idx="1132" formatCode="General">
                  <c:v>937.3386968865068</c:v>
                </c:pt>
                <c:pt idx="1133" formatCode="General">
                  <c:v>1133.2335240375728</c:v>
                </c:pt>
                <c:pt idx="1134" formatCode="General">
                  <c:v>827.38431097393095</c:v>
                </c:pt>
                <c:pt idx="1135" formatCode="General">
                  <c:v>918.04209426623709</c:v>
                </c:pt>
                <c:pt idx="1136" formatCode="General">
                  <c:v>1164.4220630386449</c:v>
                </c:pt>
                <c:pt idx="1137" formatCode="General">
                  <c:v>904.52875828581443</c:v>
                </c:pt>
                <c:pt idx="1138" formatCode="General">
                  <c:v>1110.2289877207572</c:v>
                </c:pt>
                <c:pt idx="1139" formatCode="General">
                  <c:v>919.97681417143656</c:v>
                </c:pt>
                <c:pt idx="1140" formatCode="General">
                  <c:v>878.87211485376633</c:v>
                </c:pt>
                <c:pt idx="1141" formatCode="General">
                  <c:v>1008.273791250699</c:v>
                </c:pt>
                <c:pt idx="1142" formatCode="General">
                  <c:v>882.37354237632303</c:v>
                </c:pt>
                <c:pt idx="1143" formatCode="General">
                  <c:v>1161.4572286830326</c:v>
                </c:pt>
                <c:pt idx="1144" formatCode="General">
                  <c:v>873.5563409315389</c:v>
                </c:pt>
                <c:pt idx="1145" formatCode="General">
                  <c:v>942.31655775713989</c:v>
                </c:pt>
                <c:pt idx="1146" formatCode="General">
                  <c:v>1151.1684123917642</c:v>
                </c:pt>
                <c:pt idx="1147" formatCode="General">
                  <c:v>1114.3297685352513</c:v>
                </c:pt>
                <c:pt idx="1148" formatCode="General">
                  <c:v>872.68268539419648</c:v>
                </c:pt>
                <c:pt idx="1149" formatCode="General">
                  <c:v>1150.7808020525556</c:v>
                </c:pt>
                <c:pt idx="1150" formatCode="General">
                  <c:v>991.95703188408606</c:v>
                </c:pt>
                <c:pt idx="1151" formatCode="General">
                  <c:v>947.6852180388538</c:v>
                </c:pt>
                <c:pt idx="1152" formatCode="General">
                  <c:v>962.52825554575793</c:v>
                </c:pt>
                <c:pt idx="1153" formatCode="General">
                  <c:v>890.32684611976822</c:v>
                </c:pt>
                <c:pt idx="1154" formatCode="General">
                  <c:v>909.51962043306617</c:v>
                </c:pt>
                <c:pt idx="1155" formatCode="General">
                  <c:v>899.50881534712698</c:v>
                </c:pt>
                <c:pt idx="1156" formatCode="General">
                  <c:v>869.94988826306087</c:v>
                </c:pt>
                <c:pt idx="1157" formatCode="General">
                  <c:v>825.76308362446366</c:v>
                </c:pt>
                <c:pt idx="1158" formatCode="General">
                  <c:v>916.1606501289483</c:v>
                </c:pt>
                <c:pt idx="1159" formatCode="General">
                  <c:v>937.02454361600383</c:v>
                </c:pt>
                <c:pt idx="1160" formatCode="General">
                  <c:v>1133.0513149340402</c:v>
                </c:pt>
                <c:pt idx="1161" formatCode="General">
                  <c:v>1139.5578764872021</c:v>
                </c:pt>
                <c:pt idx="1162" formatCode="General">
                  <c:v>932.53377581971597</c:v>
                </c:pt>
                <c:pt idx="1163" formatCode="General">
                  <c:v>884.7408957214717</c:v>
                </c:pt>
                <c:pt idx="1164" formatCode="General">
                  <c:v>895.49194250280834</c:v>
                </c:pt>
                <c:pt idx="1165" formatCode="General">
                  <c:v>929.18512198101257</c:v>
                </c:pt>
                <c:pt idx="1166" formatCode="General">
                  <c:v>926.43683837772608</c:v>
                </c:pt>
                <c:pt idx="1167" formatCode="General">
                  <c:v>947.91711943285043</c:v>
                </c:pt>
                <c:pt idx="1168" formatCode="General">
                  <c:v>1173.5012150501607</c:v>
                </c:pt>
                <c:pt idx="1169" formatCode="General">
                  <c:v>891.04924301673179</c:v>
                </c:pt>
                <c:pt idx="1170" formatCode="General">
                  <c:v>1007.6448655008192</c:v>
                </c:pt>
                <c:pt idx="1171" formatCode="General">
                  <c:v>1033.939017578464</c:v>
                </c:pt>
                <c:pt idx="1172" formatCode="General">
                  <c:v>871.48399008842023</c:v>
                </c:pt>
                <c:pt idx="1173" formatCode="General">
                  <c:v>1021.0636442053254</c:v>
                </c:pt>
                <c:pt idx="1174" formatCode="General">
                  <c:v>896.83168890042282</c:v>
                </c:pt>
                <c:pt idx="1175" formatCode="General">
                  <c:v>888.84021694060891</c:v>
                </c:pt>
                <c:pt idx="1176" formatCode="General">
                  <c:v>1092.6310830238933</c:v>
                </c:pt>
                <c:pt idx="1177" formatCode="General">
                  <c:v>969.10956225774567</c:v>
                </c:pt>
                <c:pt idx="1178" formatCode="General">
                  <c:v>1111.5610461754572</c:v>
                </c:pt>
                <c:pt idx="1179" formatCode="General">
                  <c:v>948.06635839443129</c:v>
                </c:pt>
                <c:pt idx="1180" formatCode="General">
                  <c:v>896.71586130940386</c:v>
                </c:pt>
                <c:pt idx="1181" formatCode="General">
                  <c:v>991.109745267314</c:v>
                </c:pt>
                <c:pt idx="1182" formatCode="General">
                  <c:v>975.16527130412089</c:v>
                </c:pt>
                <c:pt idx="1183" formatCode="General">
                  <c:v>1108.8058939113096</c:v>
                </c:pt>
                <c:pt idx="1184" formatCode="General">
                  <c:v>984.57921349294361</c:v>
                </c:pt>
                <c:pt idx="1185" formatCode="General">
                  <c:v>873.817565519965</c:v>
                </c:pt>
                <c:pt idx="1186" formatCode="General">
                  <c:v>873.14893993136411</c:v>
                </c:pt>
                <c:pt idx="1187" formatCode="General">
                  <c:v>908.37285195520553</c:v>
                </c:pt>
                <c:pt idx="1188" formatCode="General">
                  <c:v>990.91317772360583</c:v>
                </c:pt>
                <c:pt idx="1189" formatCode="General">
                  <c:v>912.72132115318038</c:v>
                </c:pt>
                <c:pt idx="1190" formatCode="General">
                  <c:v>960.61886771882791</c:v>
                </c:pt>
                <c:pt idx="1191" formatCode="General">
                  <c:v>911.5664498098497</c:v>
                </c:pt>
                <c:pt idx="1192" formatCode="General">
                  <c:v>1183.2203989037346</c:v>
                </c:pt>
                <c:pt idx="1193" formatCode="General">
                  <c:v>851.30192217723288</c:v>
                </c:pt>
                <c:pt idx="1194" formatCode="General">
                  <c:v>978.58641414275496</c:v>
                </c:pt>
                <c:pt idx="1195" formatCode="General">
                  <c:v>940.085235026502</c:v>
                </c:pt>
                <c:pt idx="1196" formatCode="General">
                  <c:v>868.29466648580672</c:v>
                </c:pt>
                <c:pt idx="1197" formatCode="General">
                  <c:v>892.49212282092265</c:v>
                </c:pt>
                <c:pt idx="1198" formatCode="General">
                  <c:v>1055.3790307078168</c:v>
                </c:pt>
                <c:pt idx="1199" formatCode="General">
                  <c:v>1168.6198850454541</c:v>
                </c:pt>
                <c:pt idx="1200" formatCode="General">
                  <c:v>910.94751422472052</c:v>
                </c:pt>
                <c:pt idx="1201" formatCode="General">
                  <c:v>1108.4629662685977</c:v>
                </c:pt>
                <c:pt idx="1202" formatCode="General">
                  <c:v>951.00034218438157</c:v>
                </c:pt>
                <c:pt idx="1203" formatCode="General">
                  <c:v>1059.4795339165717</c:v>
                </c:pt>
                <c:pt idx="1204" formatCode="General">
                  <c:v>828.55021776788874</c:v>
                </c:pt>
                <c:pt idx="1205" formatCode="General">
                  <c:v>973.44555912980638</c:v>
                </c:pt>
                <c:pt idx="1206" formatCode="General">
                  <c:v>852.54402399989874</c:v>
                </c:pt>
                <c:pt idx="1207" formatCode="General">
                  <c:v>1016.8104122853559</c:v>
                </c:pt>
                <c:pt idx="1208" formatCode="General">
                  <c:v>1196.3832689751944</c:v>
                </c:pt>
                <c:pt idx="1209" formatCode="General">
                  <c:v>968.07409210671722</c:v>
                </c:pt>
                <c:pt idx="1210" formatCode="General">
                  <c:v>919.46612597947785</c:v>
                </c:pt>
                <c:pt idx="1211" formatCode="General">
                  <c:v>1100.8788275915852</c:v>
                </c:pt>
                <c:pt idx="1212" formatCode="General">
                  <c:v>1191.4670831406975</c:v>
                </c:pt>
                <c:pt idx="1213" formatCode="General">
                  <c:v>881.77920441426784</c:v>
                </c:pt>
                <c:pt idx="1214" formatCode="General">
                  <c:v>943.73940542058881</c:v>
                </c:pt>
                <c:pt idx="1215" formatCode="General">
                  <c:v>940.11599834734204</c:v>
                </c:pt>
                <c:pt idx="1216" formatCode="General">
                  <c:v>1168.8247667495953</c:v>
                </c:pt>
                <c:pt idx="1217" formatCode="General">
                  <c:v>950.56436010014704</c:v>
                </c:pt>
                <c:pt idx="1218" formatCode="General">
                  <c:v>914.43737486569739</c:v>
                </c:pt>
                <c:pt idx="1219" formatCode="General">
                  <c:v>1217.3203501978562</c:v>
                </c:pt>
                <c:pt idx="1220" formatCode="General">
                  <c:v>1063.4608855039244</c:v>
                </c:pt>
                <c:pt idx="1221" formatCode="General">
                  <c:v>1119.1036613399838</c:v>
                </c:pt>
                <c:pt idx="1222" formatCode="General">
                  <c:v>900.98402276367403</c:v>
                </c:pt>
                <c:pt idx="1223" formatCode="General">
                  <c:v>939.28154650258944</c:v>
                </c:pt>
                <c:pt idx="1224" formatCode="General">
                  <c:v>970.26291585585955</c:v>
                </c:pt>
                <c:pt idx="1225" formatCode="General">
                  <c:v>894.35165064281728</c:v>
                </c:pt>
                <c:pt idx="1226" formatCode="General">
                  <c:v>911.65776524170701</c:v>
                </c:pt>
                <c:pt idx="1227" formatCode="General">
                  <c:v>1067.6482600305837</c:v>
                </c:pt>
                <c:pt idx="1228" formatCode="General">
                  <c:v>938.56729478950137</c:v>
                </c:pt>
                <c:pt idx="1229" formatCode="General">
                  <c:v>889.33510635688901</c:v>
                </c:pt>
                <c:pt idx="1230" formatCode="General">
                  <c:v>954.31895859545614</c:v>
                </c:pt>
                <c:pt idx="1231" formatCode="General">
                  <c:v>949.04212053208062</c:v>
                </c:pt>
                <c:pt idx="1232" formatCode="General">
                  <c:v>1007.7482577481173</c:v>
                </c:pt>
                <c:pt idx="1233" formatCode="General">
                  <c:v>897.86888620866625</c:v>
                </c:pt>
                <c:pt idx="1234" formatCode="General">
                  <c:v>978.59990574817982</c:v>
                </c:pt>
                <c:pt idx="1235" formatCode="General">
                  <c:v>907.66754750827749</c:v>
                </c:pt>
                <c:pt idx="1236" formatCode="General">
                  <c:v>900.34642030732186</c:v>
                </c:pt>
                <c:pt idx="1237" formatCode="General">
                  <c:v>1255.4728494577259</c:v>
                </c:pt>
                <c:pt idx="1238" formatCode="General">
                  <c:v>1189.9364253370275</c:v>
                </c:pt>
                <c:pt idx="1239" formatCode="General">
                  <c:v>972.35102127653386</c:v>
                </c:pt>
                <c:pt idx="1240" formatCode="General">
                  <c:v>1041.355109118369</c:v>
                </c:pt>
                <c:pt idx="1241" formatCode="General">
                  <c:v>901.0514568136241</c:v>
                </c:pt>
                <c:pt idx="1242" formatCode="General">
                  <c:v>909.57324923112355</c:v>
                </c:pt>
                <c:pt idx="1243" formatCode="General">
                  <c:v>900.84907501264695</c:v>
                </c:pt>
                <c:pt idx="1244" formatCode="General">
                  <c:v>1120.9271710225257</c:v>
                </c:pt>
                <c:pt idx="1245" formatCode="General">
                  <c:v>1100.3948800593098</c:v>
                </c:pt>
                <c:pt idx="1246" formatCode="General">
                  <c:v>984.5097350756655</c:v>
                </c:pt>
                <c:pt idx="1247" formatCode="General">
                  <c:v>876.08893103965227</c:v>
                </c:pt>
                <c:pt idx="1248" formatCode="General">
                  <c:v>1185.1783091240793</c:v>
                </c:pt>
                <c:pt idx="1249" formatCode="General">
                  <c:v>967.38519127381414</c:v>
                </c:pt>
                <c:pt idx="1250" formatCode="General">
                  <c:v>955.56439363359289</c:v>
                </c:pt>
                <c:pt idx="1251" formatCode="General">
                  <c:v>1038.8948650439324</c:v>
                </c:pt>
                <c:pt idx="1252" formatCode="General">
                  <c:v>1072.6826616988296</c:v>
                </c:pt>
                <c:pt idx="1253" formatCode="General">
                  <c:v>866.91437587737164</c:v>
                </c:pt>
                <c:pt idx="1254" formatCode="General">
                  <c:v>1039.9531124774783</c:v>
                </c:pt>
                <c:pt idx="1255" formatCode="General">
                  <c:v>911.36233943437696</c:v>
                </c:pt>
                <c:pt idx="1256" formatCode="General">
                  <c:v>900.13236949438954</c:v>
                </c:pt>
                <c:pt idx="1257" formatCode="General">
                  <c:v>869.03544708929905</c:v>
                </c:pt>
                <c:pt idx="1258" formatCode="General">
                  <c:v>983.48390058628445</c:v>
                </c:pt>
                <c:pt idx="1259" formatCode="General">
                  <c:v>847.60753688005298</c:v>
                </c:pt>
                <c:pt idx="1260" formatCode="General">
                  <c:v>858.47310684005777</c:v>
                </c:pt>
                <c:pt idx="1261" formatCode="General">
                  <c:v>885.61669999176377</c:v>
                </c:pt>
                <c:pt idx="1262" formatCode="General">
                  <c:v>1273.817825843008</c:v>
                </c:pt>
                <c:pt idx="1263" formatCode="General">
                  <c:v>1033.617233844468</c:v>
                </c:pt>
                <c:pt idx="1264" formatCode="General">
                  <c:v>877.44760713303299</c:v>
                </c:pt>
                <c:pt idx="1265" formatCode="General">
                  <c:v>834.2829767486603</c:v>
                </c:pt>
                <c:pt idx="1266" formatCode="General">
                  <c:v>972.27501609897297</c:v>
                </c:pt>
                <c:pt idx="1267" formatCode="General">
                  <c:v>1105.6823483673943</c:v>
                </c:pt>
                <c:pt idx="1268" formatCode="General">
                  <c:v>891.57504660815323</c:v>
                </c:pt>
                <c:pt idx="1269" formatCode="General">
                  <c:v>940.08643004706812</c:v>
                </c:pt>
                <c:pt idx="1270" formatCode="General">
                  <c:v>957.90785363012083</c:v>
                </c:pt>
                <c:pt idx="1271" formatCode="General">
                  <c:v>862.009536538254</c:v>
                </c:pt>
                <c:pt idx="1272" formatCode="General">
                  <c:v>1039.612159332507</c:v>
                </c:pt>
                <c:pt idx="1273" formatCode="General">
                  <c:v>1028.8886054475545</c:v>
                </c:pt>
                <c:pt idx="1274" formatCode="General">
                  <c:v>1168.9571175125081</c:v>
                </c:pt>
                <c:pt idx="1275" formatCode="General">
                  <c:v>1059.8911583346005</c:v>
                </c:pt>
                <c:pt idx="1276" formatCode="General">
                  <c:v>1159.6813985811204</c:v>
                </c:pt>
                <c:pt idx="1277" formatCode="General">
                  <c:v>1156.155213742725</c:v>
                </c:pt>
                <c:pt idx="1278" formatCode="General">
                  <c:v>1248.8549539856388</c:v>
                </c:pt>
                <c:pt idx="1279" formatCode="General">
                  <c:v>974.45983437055895</c:v>
                </c:pt>
                <c:pt idx="1280" formatCode="General">
                  <c:v>1142.3225452041806</c:v>
                </c:pt>
                <c:pt idx="1281" formatCode="General">
                  <c:v>918.46778473084919</c:v>
                </c:pt>
                <c:pt idx="1282" formatCode="General">
                  <c:v>880.18143558192003</c:v>
                </c:pt>
                <c:pt idx="1283" formatCode="General">
                  <c:v>907.97133322954835</c:v>
                </c:pt>
                <c:pt idx="1284" formatCode="General">
                  <c:v>1007.0566841870137</c:v>
                </c:pt>
                <c:pt idx="1285" formatCode="General">
                  <c:v>821.60723438428113</c:v>
                </c:pt>
                <c:pt idx="1286" formatCode="General">
                  <c:v>984.13241891084795</c:v>
                </c:pt>
                <c:pt idx="1287" formatCode="General">
                  <c:v>925.45083747710544</c:v>
                </c:pt>
                <c:pt idx="1288" formatCode="General">
                  <c:v>937.69984343350995</c:v>
                </c:pt>
                <c:pt idx="1289" formatCode="General">
                  <c:v>986.05016324458154</c:v>
                </c:pt>
                <c:pt idx="1290" formatCode="General">
                  <c:v>894.10204062372384</c:v>
                </c:pt>
                <c:pt idx="1291" formatCode="General">
                  <c:v>1049.8240907197526</c:v>
                </c:pt>
                <c:pt idx="1292" formatCode="General">
                  <c:v>1141.951942188598</c:v>
                </c:pt>
                <c:pt idx="1293" formatCode="General">
                  <c:v>919.04287220979222</c:v>
                </c:pt>
                <c:pt idx="1294" formatCode="General">
                  <c:v>955.31077586764809</c:v>
                </c:pt>
                <c:pt idx="1295" formatCode="General">
                  <c:v>1171.2557611647362</c:v>
                </c:pt>
                <c:pt idx="1296" formatCode="General">
                  <c:v>904.80102316751663</c:v>
                </c:pt>
                <c:pt idx="1297" formatCode="General">
                  <c:v>841.10893587091527</c:v>
                </c:pt>
                <c:pt idx="1298" formatCode="General">
                  <c:v>1140.597624088228</c:v>
                </c:pt>
                <c:pt idx="1299" formatCode="General">
                  <c:v>890.0903366121828</c:v>
                </c:pt>
                <c:pt idx="1300" formatCode="General">
                  <c:v>927.6272561109738</c:v>
                </c:pt>
                <c:pt idx="1301" formatCode="General">
                  <c:v>845.56831382409564</c:v>
                </c:pt>
                <c:pt idx="1302" formatCode="General">
                  <c:v>905.14411636190596</c:v>
                </c:pt>
                <c:pt idx="1303" formatCode="General">
                  <c:v>1081.0666615988937</c:v>
                </c:pt>
                <c:pt idx="1304" formatCode="General">
                  <c:v>864.18477159337715</c:v>
                </c:pt>
                <c:pt idx="1305" formatCode="General">
                  <c:v>917.66005991826444</c:v>
                </c:pt>
                <c:pt idx="1306" formatCode="General">
                  <c:v>868.43572777486975</c:v>
                </c:pt>
                <c:pt idx="1307" formatCode="General">
                  <c:v>836.9409320837168</c:v>
                </c:pt>
                <c:pt idx="1308" formatCode="General">
                  <c:v>898.32165072845658</c:v>
                </c:pt>
                <c:pt idx="1309" formatCode="General">
                  <c:v>871.0437118537883</c:v>
                </c:pt>
                <c:pt idx="1310" formatCode="General">
                  <c:v>939.08755036851949</c:v>
                </c:pt>
                <c:pt idx="1311" formatCode="General">
                  <c:v>907.10228159664655</c:v>
                </c:pt>
                <c:pt idx="1312" formatCode="General">
                  <c:v>1067.3926052905454</c:v>
                </c:pt>
                <c:pt idx="1313" formatCode="General">
                  <c:v>933.60586256401871</c:v>
                </c:pt>
                <c:pt idx="1314" formatCode="General">
                  <c:v>933.71258702053683</c:v>
                </c:pt>
                <c:pt idx="1315" formatCode="General">
                  <c:v>999.94379996659939</c:v>
                </c:pt>
                <c:pt idx="1316" formatCode="General">
                  <c:v>925.07203287847653</c:v>
                </c:pt>
                <c:pt idx="1317" formatCode="General">
                  <c:v>933.83069588334808</c:v>
                </c:pt>
                <c:pt idx="1318" formatCode="General">
                  <c:v>952.27299618375991</c:v>
                </c:pt>
                <c:pt idx="1319" formatCode="General">
                  <c:v>1130.3045858623664</c:v>
                </c:pt>
                <c:pt idx="1320" formatCode="General">
                  <c:v>932.04089568490963</c:v>
                </c:pt>
                <c:pt idx="1321" formatCode="General">
                  <c:v>925.56192545670604</c:v>
                </c:pt>
                <c:pt idx="1322" formatCode="General">
                  <c:v>835.45416372147861</c:v>
                </c:pt>
                <c:pt idx="1323" formatCode="General">
                  <c:v>879.02193577410276</c:v>
                </c:pt>
                <c:pt idx="1324" formatCode="General">
                  <c:v>871.68887165019635</c:v>
                </c:pt>
                <c:pt idx="1325" formatCode="General">
                  <c:v>912.12840199981702</c:v>
                </c:pt>
                <c:pt idx="1326" formatCode="General">
                  <c:v>912.79145544842811</c:v>
                </c:pt>
                <c:pt idx="1327" formatCode="General">
                  <c:v>1056.7576433460165</c:v>
                </c:pt>
                <c:pt idx="1328" formatCode="General">
                  <c:v>1021.7579801143099</c:v>
                </c:pt>
                <c:pt idx="1329" formatCode="General">
                  <c:v>892.69932762528629</c:v>
                </c:pt>
                <c:pt idx="1330" formatCode="General">
                  <c:v>1144.5651255611549</c:v>
                </c:pt>
                <c:pt idx="1331" formatCode="General">
                  <c:v>955.96129139782067</c:v>
                </c:pt>
                <c:pt idx="1332" formatCode="General">
                  <c:v>850.02145696441482</c:v>
                </c:pt>
                <c:pt idx="1333" formatCode="General">
                  <c:v>811.17251267672054</c:v>
                </c:pt>
                <c:pt idx="1334" formatCode="General">
                  <c:v>913.68482138509614</c:v>
                </c:pt>
                <c:pt idx="1335" formatCode="General">
                  <c:v>1274.9890750068923</c:v>
                </c:pt>
                <c:pt idx="1336" formatCode="General">
                  <c:v>1014.9096475461831</c:v>
                </c:pt>
                <c:pt idx="1337" formatCode="General">
                  <c:v>946.99139071820912</c:v>
                </c:pt>
                <c:pt idx="1338" formatCode="General">
                  <c:v>825.54893741758031</c:v>
                </c:pt>
                <c:pt idx="1339" formatCode="General">
                  <c:v>811.10165564821523</c:v>
                </c:pt>
                <c:pt idx="1340" formatCode="General">
                  <c:v>1105.8288425395278</c:v>
                </c:pt>
                <c:pt idx="1341" formatCode="General">
                  <c:v>1111.5706700667365</c:v>
                </c:pt>
                <c:pt idx="1342" formatCode="General">
                  <c:v>1064.885550165727</c:v>
                </c:pt>
                <c:pt idx="1343" formatCode="General">
                  <c:v>1001.876083722616</c:v>
                </c:pt>
                <c:pt idx="1344" formatCode="General">
                  <c:v>869.20416310465248</c:v>
                </c:pt>
                <c:pt idx="1345" formatCode="General">
                  <c:v>931.33812822915354</c:v>
                </c:pt>
                <c:pt idx="1346" formatCode="General">
                  <c:v>1118.2098037907872</c:v>
                </c:pt>
                <c:pt idx="1347" formatCode="General">
                  <c:v>1070.1543381994686</c:v>
                </c:pt>
                <c:pt idx="1348" formatCode="General">
                  <c:v>933.28753068185904</c:v>
                </c:pt>
                <c:pt idx="1349" formatCode="General">
                  <c:v>917.00223673768141</c:v>
                </c:pt>
                <c:pt idx="1350" formatCode="General">
                  <c:v>866.61780166922313</c:v>
                </c:pt>
                <c:pt idx="1351" formatCode="General">
                  <c:v>924.62600414833616</c:v>
                </c:pt>
                <c:pt idx="1352" formatCode="General">
                  <c:v>966.21363818757538</c:v>
                </c:pt>
                <c:pt idx="1353" formatCode="General">
                  <c:v>925.19423796238323</c:v>
                </c:pt>
                <c:pt idx="1354" formatCode="General">
                  <c:v>1061.4043462869988</c:v>
                </c:pt>
                <c:pt idx="1355" formatCode="General">
                  <c:v>1107.5224349065281</c:v>
                </c:pt>
                <c:pt idx="1356" formatCode="General">
                  <c:v>1046.9935357385486</c:v>
                </c:pt>
                <c:pt idx="1357" formatCode="General">
                  <c:v>934.35641120421246</c:v>
                </c:pt>
                <c:pt idx="1358" formatCode="General">
                  <c:v>1057.3196301916844</c:v>
                </c:pt>
                <c:pt idx="1359" formatCode="General">
                  <c:v>958.34400058996175</c:v>
                </c:pt>
                <c:pt idx="1360" formatCode="General">
                  <c:v>883.8103501608548</c:v>
                </c:pt>
                <c:pt idx="1361" formatCode="General">
                  <c:v>905.7679607739982</c:v>
                </c:pt>
                <c:pt idx="1362" formatCode="General">
                  <c:v>820.94999729481071</c:v>
                </c:pt>
                <c:pt idx="1363" formatCode="General">
                  <c:v>918.42166976611315</c:v>
                </c:pt>
                <c:pt idx="1364" formatCode="General">
                  <c:v>1087.5892623082293</c:v>
                </c:pt>
                <c:pt idx="1365" formatCode="General">
                  <c:v>1103.4391869198382</c:v>
                </c:pt>
                <c:pt idx="1366" formatCode="General">
                  <c:v>1242.0071903816877</c:v>
                </c:pt>
                <c:pt idx="1367" formatCode="General">
                  <c:v>904.59228005780039</c:v>
                </c:pt>
                <c:pt idx="1368" formatCode="General">
                  <c:v>861.75666386820626</c:v>
                </c:pt>
                <c:pt idx="1369" formatCode="General">
                  <c:v>952.30425702019511</c:v>
                </c:pt>
                <c:pt idx="1370" formatCode="General">
                  <c:v>959.43172683914975</c:v>
                </c:pt>
                <c:pt idx="1371" formatCode="General">
                  <c:v>871.79626262023396</c:v>
                </c:pt>
                <c:pt idx="1372" formatCode="General">
                  <c:v>965.18128405635207</c:v>
                </c:pt>
                <c:pt idx="1373" formatCode="General">
                  <c:v>901.329416448659</c:v>
                </c:pt>
                <c:pt idx="1374" formatCode="General">
                  <c:v>893.21695869915254</c:v>
                </c:pt>
                <c:pt idx="1375" formatCode="General">
                  <c:v>928.10985202736993</c:v>
                </c:pt>
                <c:pt idx="1376" formatCode="General">
                  <c:v>1147.041245969179</c:v>
                </c:pt>
                <c:pt idx="1377" formatCode="General">
                  <c:v>900.54044960637907</c:v>
                </c:pt>
                <c:pt idx="1378" formatCode="General">
                  <c:v>819.37658371947259</c:v>
                </c:pt>
                <c:pt idx="1379" formatCode="General">
                  <c:v>811.14283117706839</c:v>
                </c:pt>
                <c:pt idx="1380" formatCode="General">
                  <c:v>898.28859905154252</c:v>
                </c:pt>
                <c:pt idx="1381" formatCode="General">
                  <c:v>846.52383737040327</c:v>
                </c:pt>
                <c:pt idx="1382" formatCode="General">
                  <c:v>1211.6603832079679</c:v>
                </c:pt>
                <c:pt idx="1383" formatCode="General">
                  <c:v>844.80053070751524</c:v>
                </c:pt>
                <c:pt idx="1384" formatCode="General">
                  <c:v>975.83278740671983</c:v>
                </c:pt>
                <c:pt idx="1385" formatCode="General">
                  <c:v>913.47897492633206</c:v>
                </c:pt>
                <c:pt idx="1386" formatCode="General">
                  <c:v>1011.9145599916014</c:v>
                </c:pt>
                <c:pt idx="1387" formatCode="General">
                  <c:v>860.72866900624751</c:v>
                </c:pt>
                <c:pt idx="1388" formatCode="General">
                  <c:v>923.44480661030877</c:v>
                </c:pt>
                <c:pt idx="1389" formatCode="General">
                  <c:v>857.19541726880755</c:v>
                </c:pt>
                <c:pt idx="1390" formatCode="General">
                  <c:v>1154.9723690678816</c:v>
                </c:pt>
                <c:pt idx="1391" formatCode="General">
                  <c:v>825.71734164870952</c:v>
                </c:pt>
                <c:pt idx="1392" formatCode="General">
                  <c:v>1166.1829779842865</c:v>
                </c:pt>
                <c:pt idx="1393" formatCode="General">
                  <c:v>922.87890523612884</c:v>
                </c:pt>
                <c:pt idx="1394" formatCode="General">
                  <c:v>920.06404413292523</c:v>
                </c:pt>
                <c:pt idx="1395" formatCode="General">
                  <c:v>927.80142998213671</c:v>
                </c:pt>
                <c:pt idx="1396" formatCode="General">
                  <c:v>870.50322033208715</c:v>
                </c:pt>
                <c:pt idx="1397" formatCode="General">
                  <c:v>959.77082851646685</c:v>
                </c:pt>
                <c:pt idx="1398" formatCode="General">
                  <c:v>865.13199479479124</c:v>
                </c:pt>
                <c:pt idx="1399" formatCode="General">
                  <c:v>929.84921805589363</c:v>
                </c:pt>
                <c:pt idx="1400" formatCode="General">
                  <c:v>1133.7972275031873</c:v>
                </c:pt>
                <c:pt idx="1401" formatCode="General">
                  <c:v>1132.8622366677353</c:v>
                </c:pt>
                <c:pt idx="1402" formatCode="General">
                  <c:v>1174.8453715671501</c:v>
                </c:pt>
                <c:pt idx="1403" formatCode="General">
                  <c:v>918.04085000248051</c:v>
                </c:pt>
                <c:pt idx="1404" formatCode="General">
                  <c:v>834.42727452786278</c:v>
                </c:pt>
                <c:pt idx="1405" formatCode="General">
                  <c:v>1182.1926939786067</c:v>
                </c:pt>
                <c:pt idx="1406" formatCode="General">
                  <c:v>950.92956671961485</c:v>
                </c:pt>
                <c:pt idx="1407" formatCode="General">
                  <c:v>868.88341167028102</c:v>
                </c:pt>
                <c:pt idx="1408" formatCode="General">
                  <c:v>947.37642982848251</c:v>
                </c:pt>
                <c:pt idx="1409" formatCode="General">
                  <c:v>918.13606917833033</c:v>
                </c:pt>
                <c:pt idx="1410" formatCode="General">
                  <c:v>928.56580575982912</c:v>
                </c:pt>
                <c:pt idx="1411" formatCode="General">
                  <c:v>913.46529154776294</c:v>
                </c:pt>
                <c:pt idx="1412" formatCode="General">
                  <c:v>965.21032170765409</c:v>
                </c:pt>
                <c:pt idx="1413" formatCode="General">
                  <c:v>942.14117271077305</c:v>
                </c:pt>
                <c:pt idx="1414" formatCode="General">
                  <c:v>954.03323055825786</c:v>
                </c:pt>
                <c:pt idx="1415" formatCode="General">
                  <c:v>853.96840146839384</c:v>
                </c:pt>
                <c:pt idx="1416" formatCode="General">
                  <c:v>952.77124547889707</c:v>
                </c:pt>
                <c:pt idx="1417" formatCode="General">
                  <c:v>978.55891144131613</c:v>
                </c:pt>
                <c:pt idx="1418" formatCode="General">
                  <c:v>1219.7566070625764</c:v>
                </c:pt>
                <c:pt idx="1419" formatCode="General">
                  <c:v>917.18276018948063</c:v>
                </c:pt>
                <c:pt idx="1420" formatCode="General">
                  <c:v>1080.9389645591627</c:v>
                </c:pt>
                <c:pt idx="1421" formatCode="General">
                  <c:v>894.8719287961809</c:v>
                </c:pt>
                <c:pt idx="1422" formatCode="General">
                  <c:v>1103.9858228431196</c:v>
                </c:pt>
                <c:pt idx="1423" formatCode="General">
                  <c:v>953.0217139005382</c:v>
                </c:pt>
                <c:pt idx="1424" formatCode="General">
                  <c:v>1131.8366082819198</c:v>
                </c:pt>
                <c:pt idx="1425" formatCode="General">
                  <c:v>885.12401504693707</c:v>
                </c:pt>
                <c:pt idx="1426" formatCode="General">
                  <c:v>1064.9063077886287</c:v>
                </c:pt>
                <c:pt idx="1427" formatCode="General">
                  <c:v>949.31659877748939</c:v>
                </c:pt>
                <c:pt idx="1428" formatCode="General">
                  <c:v>1159.1018800749594</c:v>
                </c:pt>
                <c:pt idx="1429" formatCode="General">
                  <c:v>1128.0473214862468</c:v>
                </c:pt>
                <c:pt idx="1430" formatCode="General">
                  <c:v>843.55805859708482</c:v>
                </c:pt>
                <c:pt idx="1431" formatCode="General">
                  <c:v>945.05385575745458</c:v>
                </c:pt>
                <c:pt idx="1432" formatCode="General">
                  <c:v>1038.4726165898805</c:v>
                </c:pt>
                <c:pt idx="1433" formatCode="General">
                  <c:v>1075.1867702090594</c:v>
                </c:pt>
                <c:pt idx="1434" formatCode="General">
                  <c:v>920.39005366798142</c:v>
                </c:pt>
                <c:pt idx="1435" formatCode="General">
                  <c:v>939.05007992109449</c:v>
                </c:pt>
                <c:pt idx="1436" formatCode="General">
                  <c:v>819.49339720723333</c:v>
                </c:pt>
                <c:pt idx="1437" formatCode="General">
                  <c:v>1041.6510658499092</c:v>
                </c:pt>
                <c:pt idx="1438" formatCode="General">
                  <c:v>877.28590766363629</c:v>
                </c:pt>
                <c:pt idx="1439" formatCode="General">
                  <c:v>1189.6603271511485</c:v>
                </c:pt>
                <c:pt idx="1440" formatCode="General">
                  <c:v>884.17630594788011</c:v>
                </c:pt>
                <c:pt idx="1441" formatCode="General">
                  <c:v>1204.1415703514517</c:v>
                </c:pt>
                <c:pt idx="1442" formatCode="General">
                  <c:v>827.99254330561189</c:v>
                </c:pt>
                <c:pt idx="1443" formatCode="General">
                  <c:v>1086.7329889387827</c:v>
                </c:pt>
                <c:pt idx="1444" formatCode="General">
                  <c:v>946.88807529536041</c:v>
                </c:pt>
                <c:pt idx="1445" formatCode="General">
                  <c:v>1025.9353137803021</c:v>
                </c:pt>
                <c:pt idx="1446" formatCode="General">
                  <c:v>909.0941538807416</c:v>
                </c:pt>
                <c:pt idx="1447" formatCode="General">
                  <c:v>991.69145126958813</c:v>
                </c:pt>
                <c:pt idx="1448" formatCode="General">
                  <c:v>934.63375502737836</c:v>
                </c:pt>
                <c:pt idx="1449" formatCode="General">
                  <c:v>1004.0726628943856</c:v>
                </c:pt>
                <c:pt idx="1450" formatCode="General">
                  <c:v>1188.9721872822176</c:v>
                </c:pt>
                <c:pt idx="1451" formatCode="General">
                  <c:v>1110.4207545365994</c:v>
                </c:pt>
                <c:pt idx="1452" formatCode="General">
                  <c:v>872.07893605887227</c:v>
                </c:pt>
                <c:pt idx="1453" formatCode="General">
                  <c:v>955.77507798356771</c:v>
                </c:pt>
                <c:pt idx="1454" formatCode="General">
                  <c:v>1095.8465372857315</c:v>
                </c:pt>
                <c:pt idx="1455" formatCode="General">
                  <c:v>1155.8238949140507</c:v>
                </c:pt>
                <c:pt idx="1456" formatCode="General">
                  <c:v>917.79105429006358</c:v>
                </c:pt>
                <c:pt idx="1457" formatCode="General">
                  <c:v>980.84865994543452</c:v>
                </c:pt>
                <c:pt idx="1458" formatCode="General">
                  <c:v>959.22522890803509</c:v>
                </c:pt>
                <c:pt idx="1459" formatCode="General">
                  <c:v>1094.5810636238443</c:v>
                </c:pt>
                <c:pt idx="1460" formatCode="General">
                  <c:v>899.76872816390505</c:v>
                </c:pt>
                <c:pt idx="1461" formatCode="General">
                  <c:v>1142.6347343087873</c:v>
                </c:pt>
                <c:pt idx="1462" formatCode="General">
                  <c:v>886.19735366302336</c:v>
                </c:pt>
                <c:pt idx="1463" formatCode="General">
                  <c:v>950.04407845759749</c:v>
                </c:pt>
                <c:pt idx="1464" formatCode="General">
                  <c:v>1161.869540417508</c:v>
                </c:pt>
                <c:pt idx="1465" formatCode="General">
                  <c:v>1189.9200388990594</c:v>
                </c:pt>
                <c:pt idx="1466" formatCode="General">
                  <c:v>796.46501658303771</c:v>
                </c:pt>
                <c:pt idx="1467" formatCode="General">
                  <c:v>927.96632643593694</c:v>
                </c:pt>
                <c:pt idx="1468" formatCode="General">
                  <c:v>1076.0774638841121</c:v>
                </c:pt>
                <c:pt idx="1469" formatCode="General">
                  <c:v>937.98529185144298</c:v>
                </c:pt>
                <c:pt idx="1470" formatCode="General">
                  <c:v>898.33134593477007</c:v>
                </c:pt>
                <c:pt idx="1471" formatCode="General">
                  <c:v>990.16559277335853</c:v>
                </c:pt>
                <c:pt idx="1472" formatCode="General">
                  <c:v>877.54312333843723</c:v>
                </c:pt>
                <c:pt idx="1473" formatCode="General">
                  <c:v>888.38858335055818</c:v>
                </c:pt>
                <c:pt idx="1474" formatCode="General">
                  <c:v>989.593884037718</c:v>
                </c:pt>
                <c:pt idx="1475" formatCode="General">
                  <c:v>1161.7040743046609</c:v>
                </c:pt>
                <c:pt idx="1476" formatCode="General">
                  <c:v>988.46964926626583</c:v>
                </c:pt>
                <c:pt idx="1477" formatCode="General">
                  <c:v>937.71484707641469</c:v>
                </c:pt>
                <c:pt idx="1478" formatCode="General">
                  <c:v>1048.4480540991201</c:v>
                </c:pt>
                <c:pt idx="1479" formatCode="General">
                  <c:v>964.40156023496274</c:v>
                </c:pt>
                <c:pt idx="1480" formatCode="General">
                  <c:v>883.97373194917168</c:v>
                </c:pt>
                <c:pt idx="1481" formatCode="General">
                  <c:v>950.51119737769704</c:v>
                </c:pt>
                <c:pt idx="1482" formatCode="General">
                  <c:v>1153.3463530468944</c:v>
                </c:pt>
                <c:pt idx="1483" formatCode="General">
                  <c:v>858.93401077208421</c:v>
                </c:pt>
                <c:pt idx="1484" formatCode="General">
                  <c:v>965.0140158226676</c:v>
                </c:pt>
                <c:pt idx="1485" formatCode="General">
                  <c:v>1064.2799093494914</c:v>
                </c:pt>
                <c:pt idx="1486" formatCode="General">
                  <c:v>876.66125766426092</c:v>
                </c:pt>
                <c:pt idx="1487" formatCode="General">
                  <c:v>894.16641112705406</c:v>
                </c:pt>
                <c:pt idx="1488" formatCode="General">
                  <c:v>949.82426304003548</c:v>
                </c:pt>
                <c:pt idx="1489" formatCode="General">
                  <c:v>877.85080576576468</c:v>
                </c:pt>
                <c:pt idx="1490" formatCode="General">
                  <c:v>1155.9686478357542</c:v>
                </c:pt>
                <c:pt idx="1491" formatCode="General">
                  <c:v>919.93602132572198</c:v>
                </c:pt>
                <c:pt idx="1492" formatCode="General">
                  <c:v>914.47043512415746</c:v>
                </c:pt>
                <c:pt idx="1493" formatCode="General">
                  <c:v>1161.712457810879</c:v>
                </c:pt>
                <c:pt idx="1494" formatCode="General">
                  <c:v>1002.7971106423535</c:v>
                </c:pt>
                <c:pt idx="1495" formatCode="General">
                  <c:v>894.95134760652797</c:v>
                </c:pt>
                <c:pt idx="1496" formatCode="General">
                  <c:v>960.16662102405826</c:v>
                </c:pt>
                <c:pt idx="1497" formatCode="General">
                  <c:v>995.78952145217659</c:v>
                </c:pt>
                <c:pt idx="1498" formatCode="General">
                  <c:v>925.46249660451235</c:v>
                </c:pt>
                <c:pt idx="1499" formatCode="General">
                  <c:v>1090.0004631932959</c:v>
                </c:pt>
                <c:pt idx="1500" formatCode="General">
                  <c:v>901.02358226663432</c:v>
                </c:pt>
                <c:pt idx="1501" formatCode="General">
                  <c:v>975.32891543378901</c:v>
                </c:pt>
                <c:pt idx="1502" formatCode="General">
                  <c:v>961.24537209243431</c:v>
                </c:pt>
                <c:pt idx="1503" formatCode="General">
                  <c:v>884.09956539698442</c:v>
                </c:pt>
                <c:pt idx="1504" formatCode="General">
                  <c:v>883.28001466741739</c:v>
                </c:pt>
                <c:pt idx="1505" formatCode="General">
                  <c:v>1000.8128222967316</c:v>
                </c:pt>
                <c:pt idx="1506" formatCode="General">
                  <c:v>942.67840802417254</c:v>
                </c:pt>
                <c:pt idx="1507" formatCode="General">
                  <c:v>994.95740530204841</c:v>
                </c:pt>
                <c:pt idx="1508" formatCode="General">
                  <c:v>1188.3889672808782</c:v>
                </c:pt>
                <c:pt idx="1509" formatCode="General">
                  <c:v>951.90287376991762</c:v>
                </c:pt>
                <c:pt idx="1510" formatCode="General">
                  <c:v>836.11058087828667</c:v>
                </c:pt>
                <c:pt idx="1511" formatCode="General">
                  <c:v>913.52768515537025</c:v>
                </c:pt>
                <c:pt idx="1512" formatCode="General">
                  <c:v>972.62548030000744</c:v>
                </c:pt>
                <c:pt idx="1513" formatCode="General">
                  <c:v>944.72046031009006</c:v>
                </c:pt>
                <c:pt idx="1514" formatCode="General">
                  <c:v>903.89121882182587</c:v>
                </c:pt>
                <c:pt idx="1515" formatCode="General">
                  <c:v>834.03137123350962</c:v>
                </c:pt>
                <c:pt idx="1516" formatCode="General">
                  <c:v>919.9580598919182</c:v>
                </c:pt>
                <c:pt idx="1517" formatCode="General">
                  <c:v>930.58014276095389</c:v>
                </c:pt>
                <c:pt idx="1518" formatCode="General">
                  <c:v>875.99133581557521</c:v>
                </c:pt>
                <c:pt idx="1519" formatCode="General">
                  <c:v>1182.4435428242891</c:v>
                </c:pt>
                <c:pt idx="1520" formatCode="General">
                  <c:v>977.74758828769393</c:v>
                </c:pt>
                <c:pt idx="1521" formatCode="General">
                  <c:v>1027.0431750704629</c:v>
                </c:pt>
                <c:pt idx="1522" formatCode="General">
                  <c:v>844.67733837284027</c:v>
                </c:pt>
                <c:pt idx="1523" formatCode="General">
                  <c:v>908.62722885493758</c:v>
                </c:pt>
                <c:pt idx="1524" formatCode="General">
                  <c:v>939.24535360177993</c:v>
                </c:pt>
                <c:pt idx="1525" formatCode="General">
                  <c:v>907.02332343709315</c:v>
                </c:pt>
                <c:pt idx="1526" formatCode="General">
                  <c:v>893.9364530007889</c:v>
                </c:pt>
                <c:pt idx="1527" formatCode="General">
                  <c:v>977.60884048956768</c:v>
                </c:pt>
                <c:pt idx="1528" formatCode="General">
                  <c:v>967.79213667925546</c:v>
                </c:pt>
                <c:pt idx="1529" formatCode="General">
                  <c:v>1022.3310170326184</c:v>
                </c:pt>
                <c:pt idx="1530" formatCode="General">
                  <c:v>972.57021857699101</c:v>
                </c:pt>
                <c:pt idx="1531" formatCode="General">
                  <c:v>1105.0945524876799</c:v>
                </c:pt>
                <c:pt idx="1532" formatCode="General">
                  <c:v>830.35206424958744</c:v>
                </c:pt>
                <c:pt idx="1533" formatCode="General">
                  <c:v>949.35810438300928</c:v>
                </c:pt>
                <c:pt idx="1534" formatCode="General">
                  <c:v>973.35655856596077</c:v>
                </c:pt>
                <c:pt idx="1535" formatCode="General">
                  <c:v>895.04315978015165</c:v>
                </c:pt>
                <c:pt idx="1536" formatCode="General">
                  <c:v>975.49806653727069</c:v>
                </c:pt>
                <c:pt idx="1537" formatCode="General">
                  <c:v>891.2448055772536</c:v>
                </c:pt>
                <c:pt idx="1538" formatCode="General">
                  <c:v>898.41369145486976</c:v>
                </c:pt>
                <c:pt idx="1539" formatCode="General">
                  <c:v>857.09531336400516</c:v>
                </c:pt>
                <c:pt idx="1540" formatCode="General">
                  <c:v>1163.3102664214973</c:v>
                </c:pt>
                <c:pt idx="1541" formatCode="General">
                  <c:v>1022.3236636767131</c:v>
                </c:pt>
                <c:pt idx="1542" formatCode="General">
                  <c:v>913.7982409888433</c:v>
                </c:pt>
                <c:pt idx="1543" formatCode="General">
                  <c:v>1231.7705180944058</c:v>
                </c:pt>
                <c:pt idx="1544" formatCode="General">
                  <c:v>862.57604363174016</c:v>
                </c:pt>
                <c:pt idx="1545" formatCode="General">
                  <c:v>819.58328662930728</c:v>
                </c:pt>
                <c:pt idx="1546" formatCode="General">
                  <c:v>895.81541323931924</c:v>
                </c:pt>
                <c:pt idx="1547" formatCode="General">
                  <c:v>906.42426762464993</c:v>
                </c:pt>
                <c:pt idx="1548" formatCode="General">
                  <c:v>883.49749303148212</c:v>
                </c:pt>
                <c:pt idx="1549" formatCode="General">
                  <c:v>895.3134553585212</c:v>
                </c:pt>
                <c:pt idx="1550" formatCode="General">
                  <c:v>944.20509842792217</c:v>
                </c:pt>
                <c:pt idx="1551" formatCode="General">
                  <c:v>1059.7287569229993</c:v>
                </c:pt>
                <c:pt idx="1552" formatCode="General">
                  <c:v>911.06157913300717</c:v>
                </c:pt>
                <c:pt idx="1553" formatCode="General">
                  <c:v>866.01323189091499</c:v>
                </c:pt>
                <c:pt idx="1554" formatCode="General">
                  <c:v>856.99485597980004</c:v>
                </c:pt>
                <c:pt idx="1555" formatCode="General">
                  <c:v>874.70994636260275</c:v>
                </c:pt>
                <c:pt idx="1556" formatCode="General">
                  <c:v>965.36923150574432</c:v>
                </c:pt>
                <c:pt idx="1557" formatCode="General">
                  <c:v>839.25906123816924</c:v>
                </c:pt>
                <c:pt idx="1558" formatCode="General">
                  <c:v>812.13242595842496</c:v>
                </c:pt>
                <c:pt idx="1559" formatCode="General">
                  <c:v>892.51178098798198</c:v>
                </c:pt>
                <c:pt idx="1560" formatCode="General">
                  <c:v>880.53191830363608</c:v>
                </c:pt>
                <c:pt idx="1561" formatCode="General">
                  <c:v>1122.3141842969019</c:v>
                </c:pt>
                <c:pt idx="1562" formatCode="General">
                  <c:v>967.46884212460986</c:v>
                </c:pt>
                <c:pt idx="1563" formatCode="General">
                  <c:v>1093.4061159261569</c:v>
                </c:pt>
                <c:pt idx="1564" formatCode="General">
                  <c:v>820.96396220196959</c:v>
                </c:pt>
                <c:pt idx="1565" formatCode="General">
                  <c:v>1040.1074619447081</c:v>
                </c:pt>
                <c:pt idx="1566" formatCode="General">
                  <c:v>887.13970473662687</c:v>
                </c:pt>
                <c:pt idx="1567" formatCode="General">
                  <c:v>909.31157273950646</c:v>
                </c:pt>
                <c:pt idx="1568" formatCode="General">
                  <c:v>942.24149044992862</c:v>
                </c:pt>
                <c:pt idx="1569" formatCode="General">
                  <c:v>1119.5191971458537</c:v>
                </c:pt>
                <c:pt idx="1570" formatCode="General">
                  <c:v>885.26194775755641</c:v>
                </c:pt>
                <c:pt idx="1571" formatCode="General">
                  <c:v>904.17975012964985</c:v>
                </c:pt>
                <c:pt idx="1572" formatCode="General">
                  <c:v>878.70134897383662</c:v>
                </c:pt>
                <c:pt idx="1573" formatCode="General">
                  <c:v>863.63109670639369</c:v>
                </c:pt>
                <c:pt idx="1574" formatCode="General">
                  <c:v>872.79580175811748</c:v>
                </c:pt>
                <c:pt idx="1575" formatCode="General">
                  <c:v>1221.9957468634548</c:v>
                </c:pt>
                <c:pt idx="1576" formatCode="General">
                  <c:v>885.81102797717108</c:v>
                </c:pt>
                <c:pt idx="1577" formatCode="General">
                  <c:v>978.97317712943652</c:v>
                </c:pt>
                <c:pt idx="1578" formatCode="General">
                  <c:v>883.89051346673057</c:v>
                </c:pt>
                <c:pt idx="1579" formatCode="General">
                  <c:v>876.53654708099941</c:v>
                </c:pt>
                <c:pt idx="1580" formatCode="General">
                  <c:v>872.4317520882887</c:v>
                </c:pt>
                <c:pt idx="1581" formatCode="General">
                  <c:v>1249.428728489336</c:v>
                </c:pt>
                <c:pt idx="1582" formatCode="General">
                  <c:v>904.48955698725786</c:v>
                </c:pt>
                <c:pt idx="1583" formatCode="General">
                  <c:v>902.52121818906596</c:v>
                </c:pt>
                <c:pt idx="1584" formatCode="General">
                  <c:v>967.98748775978981</c:v>
                </c:pt>
                <c:pt idx="1585" formatCode="General">
                  <c:v>945.87604647260514</c:v>
                </c:pt>
                <c:pt idx="1586" formatCode="General">
                  <c:v>915.23327248171665</c:v>
                </c:pt>
                <c:pt idx="1587" formatCode="General">
                  <c:v>1145.7571743288356</c:v>
                </c:pt>
                <c:pt idx="1588" formatCode="General">
                  <c:v>915.86337966128303</c:v>
                </c:pt>
                <c:pt idx="1589" formatCode="General">
                  <c:v>1019.9890074949838</c:v>
                </c:pt>
                <c:pt idx="1590" formatCode="General">
                  <c:v>1073.0189903862431</c:v>
                </c:pt>
                <c:pt idx="1591" formatCode="General">
                  <c:v>1104.5854077071745</c:v>
                </c:pt>
                <c:pt idx="1592" formatCode="General">
                  <c:v>1043.7373763229159</c:v>
                </c:pt>
                <c:pt idx="1593" formatCode="General">
                  <c:v>878.11343409177778</c:v>
                </c:pt>
                <c:pt idx="1594" formatCode="General">
                  <c:v>872.41201309345979</c:v>
                </c:pt>
                <c:pt idx="1595" formatCode="General">
                  <c:v>899.0331075530695</c:v>
                </c:pt>
                <c:pt idx="1596" formatCode="General">
                  <c:v>893.72640057229796</c:v>
                </c:pt>
                <c:pt idx="1597" formatCode="General">
                  <c:v>960.89792744864314</c:v>
                </c:pt>
                <c:pt idx="1598" formatCode="General">
                  <c:v>996.86643323352973</c:v>
                </c:pt>
                <c:pt idx="1599" formatCode="General">
                  <c:v>954.13320685454823</c:v>
                </c:pt>
                <c:pt idx="1600" formatCode="General">
                  <c:v>1146.3439720883737</c:v>
                </c:pt>
                <c:pt idx="1601" formatCode="General">
                  <c:v>1103.3473580452053</c:v>
                </c:pt>
                <c:pt idx="1602" formatCode="General">
                  <c:v>883.19463012027836</c:v>
                </c:pt>
                <c:pt idx="1603" formatCode="General">
                  <c:v>907.08603595333068</c:v>
                </c:pt>
                <c:pt idx="1604" formatCode="General">
                  <c:v>850.24144985120063</c:v>
                </c:pt>
                <c:pt idx="1605" formatCode="General">
                  <c:v>905.83977787944059</c:v>
                </c:pt>
                <c:pt idx="1606" formatCode="General">
                  <c:v>890.12539538611077</c:v>
                </c:pt>
                <c:pt idx="1607" formatCode="General">
                  <c:v>966.64417674852211</c:v>
                </c:pt>
                <c:pt idx="1608" formatCode="General">
                  <c:v>870.24725986039834</c:v>
                </c:pt>
                <c:pt idx="1609" formatCode="General">
                  <c:v>1143.9997930248383</c:v>
                </c:pt>
                <c:pt idx="1610" formatCode="General">
                  <c:v>946.06083194113774</c:v>
                </c:pt>
                <c:pt idx="1611" formatCode="General">
                  <c:v>909.36274365584916</c:v>
                </c:pt>
                <c:pt idx="1612" formatCode="General">
                  <c:v>952.44607219964155</c:v>
                </c:pt>
                <c:pt idx="1613" formatCode="General">
                  <c:v>804.01999213235376</c:v>
                </c:pt>
                <c:pt idx="1614" formatCode="General">
                  <c:v>1005.3511138868057</c:v>
                </c:pt>
                <c:pt idx="1615" formatCode="General">
                  <c:v>793.95047484875056</c:v>
                </c:pt>
                <c:pt idx="1616" formatCode="General">
                  <c:v>873.65638833277046</c:v>
                </c:pt>
                <c:pt idx="1617" formatCode="General">
                  <c:v>829.82813507847175</c:v>
                </c:pt>
                <c:pt idx="1618" formatCode="General">
                  <c:v>1056.81662980532</c:v>
                </c:pt>
                <c:pt idx="1619" formatCode="General">
                  <c:v>953.15356756884523</c:v>
                </c:pt>
                <c:pt idx="1620" formatCode="General">
                  <c:v>901.98210061101213</c:v>
                </c:pt>
                <c:pt idx="1621" formatCode="General">
                  <c:v>1193.8405126043394</c:v>
                </c:pt>
                <c:pt idx="1622" formatCode="General">
                  <c:v>917.59308408124923</c:v>
                </c:pt>
                <c:pt idx="1623" formatCode="General">
                  <c:v>860.00448717688585</c:v>
                </c:pt>
                <c:pt idx="1624" formatCode="General">
                  <c:v>1317.234893101655</c:v>
                </c:pt>
                <c:pt idx="1625" formatCode="General">
                  <c:v>849.97794833160765</c:v>
                </c:pt>
                <c:pt idx="1626" formatCode="General">
                  <c:v>926.74627594734488</c:v>
                </c:pt>
                <c:pt idx="1627" formatCode="General">
                  <c:v>1090.6818851505627</c:v>
                </c:pt>
                <c:pt idx="1628" formatCode="General">
                  <c:v>936.25328375150116</c:v>
                </c:pt>
                <c:pt idx="1629" formatCode="General">
                  <c:v>977.64272295204478</c:v>
                </c:pt>
                <c:pt idx="1630" formatCode="General">
                  <c:v>878.4667247620539</c:v>
                </c:pt>
                <c:pt idx="1631" formatCode="General">
                  <c:v>908.21139559501466</c:v>
                </c:pt>
                <c:pt idx="1632" formatCode="General">
                  <c:v>901.95686491950153</c:v>
                </c:pt>
                <c:pt idx="1633" formatCode="General">
                  <c:v>1041.8534534822415</c:v>
                </c:pt>
                <c:pt idx="1634" formatCode="General">
                  <c:v>953.59484820370528</c:v>
                </c:pt>
                <c:pt idx="1635" formatCode="General">
                  <c:v>904.01753987360212</c:v>
                </c:pt>
                <c:pt idx="1636" formatCode="General">
                  <c:v>899.49213531722114</c:v>
                </c:pt>
                <c:pt idx="1637" formatCode="General">
                  <c:v>870.13956227835479</c:v>
                </c:pt>
                <c:pt idx="1638" formatCode="General">
                  <c:v>896.34589650055489</c:v>
                </c:pt>
                <c:pt idx="1639" formatCode="General">
                  <c:v>845.08492941118504</c:v>
                </c:pt>
                <c:pt idx="1640" formatCode="General">
                  <c:v>823.65574190554105</c:v>
                </c:pt>
                <c:pt idx="1641" formatCode="General">
                  <c:v>814.60892549202754</c:v>
                </c:pt>
                <c:pt idx="1642" formatCode="General">
                  <c:v>919.1808873730597</c:v>
                </c:pt>
                <c:pt idx="1643" formatCode="General">
                  <c:v>1185.9709844174715</c:v>
                </c:pt>
                <c:pt idx="1644" formatCode="General">
                  <c:v>820.27176237532808</c:v>
                </c:pt>
                <c:pt idx="1645" formatCode="General">
                  <c:v>1052.6142293491171</c:v>
                </c:pt>
                <c:pt idx="1646" formatCode="General">
                  <c:v>889.22388123841745</c:v>
                </c:pt>
                <c:pt idx="1647" formatCode="General">
                  <c:v>903.88394409256887</c:v>
                </c:pt>
                <c:pt idx="1648" formatCode="General">
                  <c:v>953.21502057238854</c:v>
                </c:pt>
                <c:pt idx="1649" formatCode="General">
                  <c:v>847.65010526457752</c:v>
                </c:pt>
                <c:pt idx="1650" formatCode="General">
                  <c:v>834.87096324616618</c:v>
                </c:pt>
                <c:pt idx="1651" formatCode="General">
                  <c:v>831.52406630879352</c:v>
                </c:pt>
                <c:pt idx="1652" formatCode="General">
                  <c:v>897.58896613361037</c:v>
                </c:pt>
                <c:pt idx="1653" formatCode="General">
                  <c:v>977.96898599828853</c:v>
                </c:pt>
                <c:pt idx="1654" formatCode="General">
                  <c:v>1199.8294847683201</c:v>
                </c:pt>
                <c:pt idx="1655" formatCode="General">
                  <c:v>893.5671996351515</c:v>
                </c:pt>
                <c:pt idx="1656" formatCode="General">
                  <c:v>845.3906049166593</c:v>
                </c:pt>
                <c:pt idx="1657" formatCode="General">
                  <c:v>1107.2302885621039</c:v>
                </c:pt>
                <c:pt idx="1658" formatCode="General">
                  <c:v>860.25588548478231</c:v>
                </c:pt>
                <c:pt idx="1659" formatCode="General">
                  <c:v>936.50194813424037</c:v>
                </c:pt>
                <c:pt idx="1660" formatCode="General">
                  <c:v>874.81802025954994</c:v>
                </c:pt>
                <c:pt idx="1661" formatCode="General">
                  <c:v>1187.3277701323811</c:v>
                </c:pt>
                <c:pt idx="1662" formatCode="General">
                  <c:v>839.36589428366665</c:v>
                </c:pt>
                <c:pt idx="1663" formatCode="General">
                  <c:v>1063.0985702004104</c:v>
                </c:pt>
                <c:pt idx="1664" formatCode="General">
                  <c:v>981.94651712601308</c:v>
                </c:pt>
                <c:pt idx="1665" formatCode="General">
                  <c:v>862.41552713630472</c:v>
                </c:pt>
                <c:pt idx="1666" formatCode="General">
                  <c:v>927.90053259953402</c:v>
                </c:pt>
                <c:pt idx="1667" formatCode="General">
                  <c:v>1204.7228210830281</c:v>
                </c:pt>
                <c:pt idx="1668" formatCode="General">
                  <c:v>942.40353940381522</c:v>
                </c:pt>
                <c:pt idx="1669" formatCode="General">
                  <c:v>904.71897285614034</c:v>
                </c:pt>
                <c:pt idx="1670" formatCode="General">
                  <c:v>890.62020225124843</c:v>
                </c:pt>
                <c:pt idx="1671" formatCode="General">
                  <c:v>892.29205677421828</c:v>
                </c:pt>
                <c:pt idx="1672" formatCode="General">
                  <c:v>896.38063863223033</c:v>
                </c:pt>
                <c:pt idx="1673" formatCode="General">
                  <c:v>918.5391613588597</c:v>
                </c:pt>
                <c:pt idx="1674" formatCode="General">
                  <c:v>951.6246759868344</c:v>
                </c:pt>
                <c:pt idx="1675" formatCode="General">
                  <c:v>926.79944682027156</c:v>
                </c:pt>
                <c:pt idx="1676" formatCode="General">
                  <c:v>920.39537965769784</c:v>
                </c:pt>
                <c:pt idx="1677" formatCode="General">
                  <c:v>927.07751233967213</c:v>
                </c:pt>
                <c:pt idx="1678" formatCode="General">
                  <c:v>1195.3217731016766</c:v>
                </c:pt>
                <c:pt idx="1679" formatCode="General">
                  <c:v>1122.8423436810056</c:v>
                </c:pt>
                <c:pt idx="1680" formatCode="General">
                  <c:v>838.054362174483</c:v>
                </c:pt>
                <c:pt idx="1681" formatCode="General">
                  <c:v>1107.3760856450697</c:v>
                </c:pt>
                <c:pt idx="1682" formatCode="General">
                  <c:v>923.70535108599609</c:v>
                </c:pt>
                <c:pt idx="1683" formatCode="General">
                  <c:v>1256.6041866897294</c:v>
                </c:pt>
                <c:pt idx="1684" formatCode="General">
                  <c:v>942.87509827557301</c:v>
                </c:pt>
                <c:pt idx="1685" formatCode="General">
                  <c:v>889.07499552840773</c:v>
                </c:pt>
                <c:pt idx="1686" formatCode="General">
                  <c:v>1210.8450303087232</c:v>
                </c:pt>
                <c:pt idx="1687" formatCode="General">
                  <c:v>1099.0949936632512</c:v>
                </c:pt>
                <c:pt idx="1688" formatCode="General">
                  <c:v>1015.8234486620107</c:v>
                </c:pt>
                <c:pt idx="1689" formatCode="General">
                  <c:v>853.88471571054959</c:v>
                </c:pt>
                <c:pt idx="1690" formatCode="General">
                  <c:v>889.69134789342104</c:v>
                </c:pt>
                <c:pt idx="1691" formatCode="General">
                  <c:v>859.78553008102676</c:v>
                </c:pt>
                <c:pt idx="1692" formatCode="General">
                  <c:v>928.91565656257717</c:v>
                </c:pt>
                <c:pt idx="1693" formatCode="General">
                  <c:v>872.3976925740684</c:v>
                </c:pt>
                <c:pt idx="1694" formatCode="General">
                  <c:v>901.99422741382421</c:v>
                </c:pt>
                <c:pt idx="1695" formatCode="General">
                  <c:v>962.29463740122605</c:v>
                </c:pt>
                <c:pt idx="1696" formatCode="General">
                  <c:v>878.08836860436918</c:v>
                </c:pt>
                <c:pt idx="1697" formatCode="General">
                  <c:v>899.54477775983139</c:v>
                </c:pt>
                <c:pt idx="1698" formatCode="General">
                  <c:v>1007.0441472382309</c:v>
                </c:pt>
                <c:pt idx="1699" formatCode="General">
                  <c:v>867.79951828761875</c:v>
                </c:pt>
                <c:pt idx="1700" formatCode="General">
                  <c:v>902.57501651664143</c:v>
                </c:pt>
                <c:pt idx="1701" formatCode="General">
                  <c:v>887.09305819913368</c:v>
                </c:pt>
                <c:pt idx="1702" formatCode="General">
                  <c:v>1004.8896413129971</c:v>
                </c:pt>
                <c:pt idx="1703" formatCode="General">
                  <c:v>982.40045268174003</c:v>
                </c:pt>
                <c:pt idx="1704" formatCode="General">
                  <c:v>912.36869798020837</c:v>
                </c:pt>
                <c:pt idx="1705" formatCode="General">
                  <c:v>890.40151230086212</c:v>
                </c:pt>
                <c:pt idx="1706" formatCode="General">
                  <c:v>921.4581319839117</c:v>
                </c:pt>
                <c:pt idx="1707" formatCode="General">
                  <c:v>812.37180870528402</c:v>
                </c:pt>
                <c:pt idx="1708" formatCode="General">
                  <c:v>1000.0621220516857</c:v>
                </c:pt>
                <c:pt idx="1709" formatCode="General">
                  <c:v>1096.578166626274</c:v>
                </c:pt>
                <c:pt idx="1710" formatCode="General">
                  <c:v>986.26876742493255</c:v>
                </c:pt>
                <c:pt idx="1711" formatCode="General">
                  <c:v>871.59998412306572</c:v>
                </c:pt>
                <c:pt idx="1712" formatCode="General">
                  <c:v>1085.2523065797727</c:v>
                </c:pt>
                <c:pt idx="1713" formatCode="General">
                  <c:v>889.85773632389487</c:v>
                </c:pt>
                <c:pt idx="1714" formatCode="General">
                  <c:v>830.01776914379082</c:v>
                </c:pt>
                <c:pt idx="1715" formatCode="General">
                  <c:v>971.78261264750142</c:v>
                </c:pt>
                <c:pt idx="1716" formatCode="General">
                  <c:v>1071.1388672016226</c:v>
                </c:pt>
                <c:pt idx="1717" formatCode="General">
                  <c:v>847.7002287644292</c:v>
                </c:pt>
                <c:pt idx="1718" formatCode="General">
                  <c:v>1017.8544655335231</c:v>
                </c:pt>
                <c:pt idx="1719" formatCode="General">
                  <c:v>883.54170626976031</c:v>
                </c:pt>
                <c:pt idx="1720" formatCode="General">
                  <c:v>820.20108651539476</c:v>
                </c:pt>
                <c:pt idx="1721" formatCode="General">
                  <c:v>818.52362372586754</c:v>
                </c:pt>
                <c:pt idx="1722" formatCode="General">
                  <c:v>889.92171876271561</c:v>
                </c:pt>
                <c:pt idx="1723" formatCode="General">
                  <c:v>881.06981224425385</c:v>
                </c:pt>
                <c:pt idx="1724" formatCode="General">
                  <c:v>916.93284316841107</c:v>
                </c:pt>
                <c:pt idx="1725" formatCode="General">
                  <c:v>809.47435064424644</c:v>
                </c:pt>
                <c:pt idx="1726" formatCode="General">
                  <c:v>862.95535958761286</c:v>
                </c:pt>
                <c:pt idx="1727" formatCode="General">
                  <c:v>884.11408784058756</c:v>
                </c:pt>
                <c:pt idx="1728" formatCode="General">
                  <c:v>1195.6975758052756</c:v>
                </c:pt>
                <c:pt idx="1729" formatCode="General">
                  <c:v>926.35400890456754</c:v>
                </c:pt>
                <c:pt idx="1730" formatCode="General">
                  <c:v>1000.6145325429786</c:v>
                </c:pt>
                <c:pt idx="1731" formatCode="General">
                  <c:v>904.60989004496935</c:v>
                </c:pt>
                <c:pt idx="1732" formatCode="General">
                  <c:v>1188.755561395601</c:v>
                </c:pt>
                <c:pt idx="1733" formatCode="General">
                  <c:v>976.19688329342262</c:v>
                </c:pt>
                <c:pt idx="1734" formatCode="General">
                  <c:v>916.23767675803924</c:v>
                </c:pt>
                <c:pt idx="1735" formatCode="General">
                  <c:v>899.43685039526213</c:v>
                </c:pt>
                <c:pt idx="1736" formatCode="General">
                  <c:v>981.70334681712427</c:v>
                </c:pt>
                <c:pt idx="1737" formatCode="General">
                  <c:v>809.19395768994457</c:v>
                </c:pt>
                <c:pt idx="1738" formatCode="General">
                  <c:v>882.37757028971271</c:v>
                </c:pt>
                <c:pt idx="1739" formatCode="General">
                  <c:v>892.02061585167212</c:v>
                </c:pt>
                <c:pt idx="1740" formatCode="General">
                  <c:v>868.89075540203532</c:v>
                </c:pt>
                <c:pt idx="1741" formatCode="General">
                  <c:v>1244.5272462240152</c:v>
                </c:pt>
                <c:pt idx="1742" formatCode="General">
                  <c:v>878.59322563067167</c:v>
                </c:pt>
                <c:pt idx="1743" formatCode="General">
                  <c:v>927.11617451840834</c:v>
                </c:pt>
                <c:pt idx="1744" formatCode="General">
                  <c:v>903.71306862829397</c:v>
                </c:pt>
                <c:pt idx="1745" formatCode="General">
                  <c:v>915.25608975431737</c:v>
                </c:pt>
                <c:pt idx="1746" formatCode="General">
                  <c:v>902.50261203502498</c:v>
                </c:pt>
                <c:pt idx="1747" formatCode="General">
                  <c:v>848.79113541405525</c:v>
                </c:pt>
                <c:pt idx="1748" formatCode="General">
                  <c:v>1257.4307218959782</c:v>
                </c:pt>
                <c:pt idx="1749" formatCode="General">
                  <c:v>869.78784467047501</c:v>
                </c:pt>
                <c:pt idx="1750" formatCode="General">
                  <c:v>1153.3229698623131</c:v>
                </c:pt>
                <c:pt idx="1751" formatCode="General">
                  <c:v>894.17307013551363</c:v>
                </c:pt>
                <c:pt idx="1752" formatCode="General">
                  <c:v>1171.9370949312452</c:v>
                </c:pt>
                <c:pt idx="1753" formatCode="General">
                  <c:v>949.37346439456053</c:v>
                </c:pt>
                <c:pt idx="1754" formatCode="General">
                  <c:v>954.51989052779641</c:v>
                </c:pt>
                <c:pt idx="1755" formatCode="General">
                  <c:v>899.23790008984997</c:v>
                </c:pt>
                <c:pt idx="1756" formatCode="General">
                  <c:v>867.55623950471022</c:v>
                </c:pt>
                <c:pt idx="1757" formatCode="General">
                  <c:v>872.93006597501403</c:v>
                </c:pt>
                <c:pt idx="1758" formatCode="General">
                  <c:v>1197.7914426090249</c:v>
                </c:pt>
                <c:pt idx="1759" formatCode="General">
                  <c:v>901.14692293103667</c:v>
                </c:pt>
                <c:pt idx="1760" formatCode="General">
                  <c:v>909.60677925902621</c:v>
                </c:pt>
                <c:pt idx="1761" formatCode="General">
                  <c:v>901.25629745789968</c:v>
                </c:pt>
                <c:pt idx="1762" formatCode="General">
                  <c:v>839.86839083356176</c:v>
                </c:pt>
                <c:pt idx="1763" formatCode="General">
                  <c:v>1233.5770392238524</c:v>
                </c:pt>
                <c:pt idx="1764" formatCode="General">
                  <c:v>1120.4940999071152</c:v>
                </c:pt>
                <c:pt idx="1765" formatCode="General">
                  <c:v>1149.4881010345571</c:v>
                </c:pt>
                <c:pt idx="1766" formatCode="General">
                  <c:v>972.41154613782805</c:v>
                </c:pt>
                <c:pt idx="1767" formatCode="General">
                  <c:v>1109.4857682631912</c:v>
                </c:pt>
                <c:pt idx="1768" formatCode="General">
                  <c:v>1017.3302254621005</c:v>
                </c:pt>
                <c:pt idx="1769" formatCode="General">
                  <c:v>914.39953986694422</c:v>
                </c:pt>
                <c:pt idx="1770" formatCode="General">
                  <c:v>928.71337028725929</c:v>
                </c:pt>
                <c:pt idx="1771" formatCode="General">
                  <c:v>904.19693639479044</c:v>
                </c:pt>
                <c:pt idx="1772" formatCode="General">
                  <c:v>991.42202192425282</c:v>
                </c:pt>
                <c:pt idx="1773" formatCode="General">
                  <c:v>828.31255542025644</c:v>
                </c:pt>
                <c:pt idx="1774" formatCode="General">
                  <c:v>940.02767350488671</c:v>
                </c:pt>
                <c:pt idx="1775" formatCode="General">
                  <c:v>898.91964159619067</c:v>
                </c:pt>
                <c:pt idx="1776" formatCode="General">
                  <c:v>889.84879651494612</c:v>
                </c:pt>
                <c:pt idx="1777" formatCode="General">
                  <c:v>985.48110692746695</c:v>
                </c:pt>
                <c:pt idx="1778" formatCode="General">
                  <c:v>909.9973807313221</c:v>
                </c:pt>
                <c:pt idx="1779" formatCode="General">
                  <c:v>1164.4593200674433</c:v>
                </c:pt>
                <c:pt idx="1780" formatCode="General">
                  <c:v>927.56820872368985</c:v>
                </c:pt>
                <c:pt idx="1781" formatCode="General">
                  <c:v>870.42530982390133</c:v>
                </c:pt>
                <c:pt idx="1782" formatCode="General">
                  <c:v>895.91050172743701</c:v>
                </c:pt>
                <c:pt idx="1783" formatCode="General">
                  <c:v>903.2297103058005</c:v>
                </c:pt>
                <c:pt idx="1784" formatCode="General">
                  <c:v>890.43272249452809</c:v>
                </c:pt>
                <c:pt idx="1785" formatCode="General">
                  <c:v>1100.2871060499558</c:v>
                </c:pt>
                <c:pt idx="1786" formatCode="General">
                  <c:v>1074.7131938404343</c:v>
                </c:pt>
                <c:pt idx="1787" formatCode="General">
                  <c:v>1101.5158879971063</c:v>
                </c:pt>
                <c:pt idx="1788" formatCode="General">
                  <c:v>1199.9495753369208</c:v>
                </c:pt>
                <c:pt idx="1789" formatCode="General">
                  <c:v>814.03216236457047</c:v>
                </c:pt>
                <c:pt idx="1790" formatCode="General">
                  <c:v>888.28822287499918</c:v>
                </c:pt>
                <c:pt idx="1791" formatCode="General">
                  <c:v>921.6618566609385</c:v>
                </c:pt>
                <c:pt idx="1792" formatCode="General">
                  <c:v>1287.3283880017445</c:v>
                </c:pt>
                <c:pt idx="1793" formatCode="General">
                  <c:v>1205.7388867693492</c:v>
                </c:pt>
                <c:pt idx="1794" formatCode="General">
                  <c:v>974.73686031163504</c:v>
                </c:pt>
                <c:pt idx="1795" formatCode="General">
                  <c:v>857.82613014214553</c:v>
                </c:pt>
                <c:pt idx="1796" formatCode="General">
                  <c:v>905.5894404083316</c:v>
                </c:pt>
                <c:pt idx="1797" formatCode="General">
                  <c:v>1092.3248188522173</c:v>
                </c:pt>
                <c:pt idx="1798" formatCode="General">
                  <c:v>800.08793104863514</c:v>
                </c:pt>
                <c:pt idx="1799" formatCode="General">
                  <c:v>1074.7484523196335</c:v>
                </c:pt>
                <c:pt idx="1800" formatCode="General">
                  <c:v>890.36834409397704</c:v>
                </c:pt>
                <c:pt idx="1801" formatCode="General">
                  <c:v>1100.7159969869801</c:v>
                </c:pt>
                <c:pt idx="1802" formatCode="General">
                  <c:v>907.02534377107668</c:v>
                </c:pt>
                <c:pt idx="1803" formatCode="General">
                  <c:v>995.33529260118667</c:v>
                </c:pt>
                <c:pt idx="1804" formatCode="General">
                  <c:v>1170.9521150231119</c:v>
                </c:pt>
                <c:pt idx="1805" formatCode="General">
                  <c:v>1076.9613138499808</c:v>
                </c:pt>
                <c:pt idx="1806" formatCode="General">
                  <c:v>942.41163067907416</c:v>
                </c:pt>
                <c:pt idx="1807" formatCode="General">
                  <c:v>1041.0461977958796</c:v>
                </c:pt>
                <c:pt idx="1808" formatCode="General">
                  <c:v>922.42185041022719</c:v>
                </c:pt>
                <c:pt idx="1809" formatCode="General">
                  <c:v>900.34266298289015</c:v>
                </c:pt>
                <c:pt idx="1810" formatCode="General">
                  <c:v>892.46186124033591</c:v>
                </c:pt>
                <c:pt idx="1811" formatCode="General">
                  <c:v>1085.2178720983381</c:v>
                </c:pt>
                <c:pt idx="1812" formatCode="General">
                  <c:v>945.89259487563174</c:v>
                </c:pt>
                <c:pt idx="1813" formatCode="General">
                  <c:v>969.04345020551591</c:v>
                </c:pt>
                <c:pt idx="1814" formatCode="General">
                  <c:v>1072.8622294899665</c:v>
                </c:pt>
                <c:pt idx="1815" formatCode="General">
                  <c:v>912.04238537337346</c:v>
                </c:pt>
                <c:pt idx="1816" formatCode="General">
                  <c:v>876.55007681985705</c:v>
                </c:pt>
                <c:pt idx="1817" formatCode="General">
                  <c:v>856.60994768538922</c:v>
                </c:pt>
                <c:pt idx="1818" formatCode="General">
                  <c:v>856.9884283650257</c:v>
                </c:pt>
                <c:pt idx="1819" formatCode="General">
                  <c:v>1136.5007588044402</c:v>
                </c:pt>
                <c:pt idx="1820" formatCode="General">
                  <c:v>1005.4053477454344</c:v>
                </c:pt>
                <c:pt idx="1821" formatCode="General">
                  <c:v>1069.9929172106715</c:v>
                </c:pt>
                <c:pt idx="1822" formatCode="General">
                  <c:v>973.31431516574685</c:v>
                </c:pt>
                <c:pt idx="1823" formatCode="General">
                  <c:v>941.8969903509086</c:v>
                </c:pt>
                <c:pt idx="1824" formatCode="General">
                  <c:v>917.75205433355063</c:v>
                </c:pt>
                <c:pt idx="1825" formatCode="General">
                  <c:v>1247.5324282617314</c:v>
                </c:pt>
                <c:pt idx="1826" formatCode="General">
                  <c:v>996.67448755660814</c:v>
                </c:pt>
                <c:pt idx="1827" formatCode="General">
                  <c:v>864.60079560831866</c:v>
                </c:pt>
                <c:pt idx="1828" formatCode="General">
                  <c:v>1049.7605803847055</c:v>
                </c:pt>
                <c:pt idx="1829" formatCode="General">
                  <c:v>963.93911689360971</c:v>
                </c:pt>
                <c:pt idx="1830" formatCode="General">
                  <c:v>1122.9309706871986</c:v>
                </c:pt>
                <c:pt idx="1831" formatCode="General">
                  <c:v>917.06489890100465</c:v>
                </c:pt>
                <c:pt idx="1832" formatCode="General">
                  <c:v>887.64196841885587</c:v>
                </c:pt>
                <c:pt idx="1833" formatCode="General">
                  <c:v>941.85658224808049</c:v>
                </c:pt>
                <c:pt idx="1834" formatCode="General">
                  <c:v>1144.3100012550208</c:v>
                </c:pt>
                <c:pt idx="1835" formatCode="General">
                  <c:v>892.54012202114882</c:v>
                </c:pt>
                <c:pt idx="1836" formatCode="General">
                  <c:v>862.06581966352746</c:v>
                </c:pt>
                <c:pt idx="1837" formatCode="General">
                  <c:v>911.13754520880548</c:v>
                </c:pt>
                <c:pt idx="1838" formatCode="General">
                  <c:v>877.15052161166591</c:v>
                </c:pt>
                <c:pt idx="1839" formatCode="General">
                  <c:v>865.68149990127347</c:v>
                </c:pt>
                <c:pt idx="1840" formatCode="General">
                  <c:v>928.75052383035882</c:v>
                </c:pt>
                <c:pt idx="1841" formatCode="General">
                  <c:v>874.73054088640754</c:v>
                </c:pt>
                <c:pt idx="1842" formatCode="General">
                  <c:v>875.93829675924223</c:v>
                </c:pt>
                <c:pt idx="1843" formatCode="General">
                  <c:v>964.65528542697041</c:v>
                </c:pt>
                <c:pt idx="1844" formatCode="General">
                  <c:v>908.63786612635022</c:v>
                </c:pt>
                <c:pt idx="1845" formatCode="General">
                  <c:v>1077.5669383520301</c:v>
                </c:pt>
                <c:pt idx="1846" formatCode="General">
                  <c:v>1280.8265429513667</c:v>
                </c:pt>
                <c:pt idx="1847" formatCode="General">
                  <c:v>957.53492135501369</c:v>
                </c:pt>
                <c:pt idx="1848" formatCode="General">
                  <c:v>813.0956831092218</c:v>
                </c:pt>
                <c:pt idx="1849" formatCode="General">
                  <c:v>1046.6826328597972</c:v>
                </c:pt>
                <c:pt idx="1850" formatCode="General">
                  <c:v>920.50954812902773</c:v>
                </c:pt>
                <c:pt idx="1851" formatCode="General">
                  <c:v>1172.6992686808182</c:v>
                </c:pt>
                <c:pt idx="1852" formatCode="General">
                  <c:v>905.05491381397644</c:v>
                </c:pt>
                <c:pt idx="1853" formatCode="General">
                  <c:v>919.59968600552179</c:v>
                </c:pt>
                <c:pt idx="1854" formatCode="General">
                  <c:v>888.33435283769757</c:v>
                </c:pt>
                <c:pt idx="1855" formatCode="General">
                  <c:v>1047.4357681210622</c:v>
                </c:pt>
                <c:pt idx="1856" formatCode="General">
                  <c:v>819.86619966669468</c:v>
                </c:pt>
                <c:pt idx="1857" formatCode="General">
                  <c:v>884.76863214822231</c:v>
                </c:pt>
                <c:pt idx="1858" formatCode="General">
                  <c:v>867.31791359802241</c:v>
                </c:pt>
                <c:pt idx="1859" formatCode="General">
                  <c:v>867.09646385784015</c:v>
                </c:pt>
                <c:pt idx="1860" formatCode="General">
                  <c:v>1118.8980949068359</c:v>
                </c:pt>
                <c:pt idx="1861" formatCode="General">
                  <c:v>875.07196863698528</c:v>
                </c:pt>
                <c:pt idx="1862" formatCode="General">
                  <c:v>817.65995156585848</c:v>
                </c:pt>
                <c:pt idx="1863" formatCode="General">
                  <c:v>951.20238158200368</c:v>
                </c:pt>
                <c:pt idx="1864" formatCode="General">
                  <c:v>966.69286683444307</c:v>
                </c:pt>
                <c:pt idx="1865" formatCode="General">
                  <c:v>961.19378373725692</c:v>
                </c:pt>
                <c:pt idx="1866" formatCode="General">
                  <c:v>1076.3506408641306</c:v>
                </c:pt>
                <c:pt idx="1867" formatCode="General">
                  <c:v>887.9065766382671</c:v>
                </c:pt>
                <c:pt idx="1868" formatCode="General">
                  <c:v>940.5219142671798</c:v>
                </c:pt>
                <c:pt idx="1869" formatCode="General">
                  <c:v>817.95112221143108</c:v>
                </c:pt>
                <c:pt idx="1870" formatCode="General">
                  <c:v>845.9768436405933</c:v>
                </c:pt>
                <c:pt idx="1871" formatCode="General">
                  <c:v>1132.6719636196754</c:v>
                </c:pt>
                <c:pt idx="1872" formatCode="General">
                  <c:v>1191.0774149653084</c:v>
                </c:pt>
                <c:pt idx="1873" formatCode="General">
                  <c:v>1037.0531434424151</c:v>
                </c:pt>
                <c:pt idx="1874" formatCode="General">
                  <c:v>916.57145226253749</c:v>
                </c:pt>
                <c:pt idx="1875" formatCode="General">
                  <c:v>908.82919301030415</c:v>
                </c:pt>
                <c:pt idx="1876" formatCode="General">
                  <c:v>822.59285143782802</c:v>
                </c:pt>
                <c:pt idx="1877" formatCode="General">
                  <c:v>952.96580185475023</c:v>
                </c:pt>
                <c:pt idx="1878" formatCode="General">
                  <c:v>900.67934544372417</c:v>
                </c:pt>
                <c:pt idx="1879" formatCode="General">
                  <c:v>910.98063820863138</c:v>
                </c:pt>
                <c:pt idx="1880" formatCode="General">
                  <c:v>864.26478524163656</c:v>
                </c:pt>
                <c:pt idx="1881" formatCode="General">
                  <c:v>861.77360663689853</c:v>
                </c:pt>
                <c:pt idx="1882" formatCode="General">
                  <c:v>1007.4653648582018</c:v>
                </c:pt>
                <c:pt idx="1883" formatCode="General">
                  <c:v>848.72191444808243</c:v>
                </c:pt>
                <c:pt idx="1884" formatCode="General">
                  <c:v>938.96391287373194</c:v>
                </c:pt>
                <c:pt idx="1885" formatCode="General">
                  <c:v>892.69776183631484</c:v>
                </c:pt>
                <c:pt idx="1886" formatCode="General">
                  <c:v>1182.149009808694</c:v>
                </c:pt>
                <c:pt idx="1887" formatCode="General">
                  <c:v>960.53735423982039</c:v>
                </c:pt>
                <c:pt idx="1888" formatCode="General">
                  <c:v>992.72251820666906</c:v>
                </c:pt>
                <c:pt idx="1889" formatCode="General">
                  <c:v>929.29402387001517</c:v>
                </c:pt>
                <c:pt idx="1890" formatCode="General">
                  <c:v>898.86023507159121</c:v>
                </c:pt>
                <c:pt idx="1891" formatCode="General">
                  <c:v>1133.4574194822628</c:v>
                </c:pt>
                <c:pt idx="1892" formatCode="General">
                  <c:v>1112.1607801251419</c:v>
                </c:pt>
                <c:pt idx="1893" formatCode="General">
                  <c:v>1083.4348816336892</c:v>
                </c:pt>
                <c:pt idx="1894" formatCode="General">
                  <c:v>909.98191350097409</c:v>
                </c:pt>
                <c:pt idx="1895" formatCode="General">
                  <c:v>891.93655513273711</c:v>
                </c:pt>
                <c:pt idx="1896" formatCode="General">
                  <c:v>872.41824747262365</c:v>
                </c:pt>
                <c:pt idx="1897" formatCode="General">
                  <c:v>899.74419822211246</c:v>
                </c:pt>
                <c:pt idx="1898" formatCode="General">
                  <c:v>820.68435947561272</c:v>
                </c:pt>
                <c:pt idx="1899" formatCode="General">
                  <c:v>956.4276923503495</c:v>
                </c:pt>
                <c:pt idx="1900" formatCode="General">
                  <c:v>998.84443203239823</c:v>
                </c:pt>
                <c:pt idx="1901" formatCode="General">
                  <c:v>925.58047653946869</c:v>
                </c:pt>
                <c:pt idx="1902" formatCode="General">
                  <c:v>937.09288131192864</c:v>
                </c:pt>
                <c:pt idx="1903" formatCode="General">
                  <c:v>979.16649907566216</c:v>
                </c:pt>
                <c:pt idx="1904" formatCode="General">
                  <c:v>1092.3272783836453</c:v>
                </c:pt>
                <c:pt idx="1905" formatCode="General">
                  <c:v>1147.6988957411925</c:v>
                </c:pt>
                <c:pt idx="1906" formatCode="General">
                  <c:v>965.19877424227025</c:v>
                </c:pt>
                <c:pt idx="1907" formatCode="General">
                  <c:v>1077.2216327313313</c:v>
                </c:pt>
                <c:pt idx="1908" formatCode="General">
                  <c:v>1009.6068109540679</c:v>
                </c:pt>
                <c:pt idx="1909" formatCode="General">
                  <c:v>977.84552459527981</c:v>
                </c:pt>
                <c:pt idx="1910" formatCode="General">
                  <c:v>843.85207119769359</c:v>
                </c:pt>
                <c:pt idx="1911" formatCode="General">
                  <c:v>901.93894598372492</c:v>
                </c:pt>
                <c:pt idx="1912" formatCode="General">
                  <c:v>889.08968990137214</c:v>
                </c:pt>
                <c:pt idx="1913" formatCode="General">
                  <c:v>866.37510546354429</c:v>
                </c:pt>
                <c:pt idx="1914" formatCode="General">
                  <c:v>1020.4926035944159</c:v>
                </c:pt>
                <c:pt idx="1915" formatCode="General">
                  <c:v>1118.3178664130367</c:v>
                </c:pt>
                <c:pt idx="1916" formatCode="General">
                  <c:v>839.01392853196478</c:v>
                </c:pt>
                <c:pt idx="1917" formatCode="General">
                  <c:v>814.55545711239301</c:v>
                </c:pt>
                <c:pt idx="1918" formatCode="General">
                  <c:v>1061.3822622560401</c:v>
                </c:pt>
                <c:pt idx="1919" formatCode="General">
                  <c:v>947.79273954790335</c:v>
                </c:pt>
                <c:pt idx="1920" formatCode="General">
                  <c:v>919.45168070211434</c:v>
                </c:pt>
                <c:pt idx="1921" formatCode="General">
                  <c:v>864.19391838315755</c:v>
                </c:pt>
                <c:pt idx="1922" formatCode="General">
                  <c:v>1309.3689419220975</c:v>
                </c:pt>
                <c:pt idx="1923" formatCode="General">
                  <c:v>838.76254004480609</c:v>
                </c:pt>
                <c:pt idx="1924" formatCode="General">
                  <c:v>931.48756275742903</c:v>
                </c:pt>
                <c:pt idx="1925" formatCode="General">
                  <c:v>1227.536042530422</c:v>
                </c:pt>
                <c:pt idx="1926" formatCode="General">
                  <c:v>856.42142127708439</c:v>
                </c:pt>
                <c:pt idx="1927" formatCode="General">
                  <c:v>1078.4263725897738</c:v>
                </c:pt>
                <c:pt idx="1928" formatCode="General">
                  <c:v>912.65112487509839</c:v>
                </c:pt>
                <c:pt idx="1929" formatCode="General">
                  <c:v>986.92279777353997</c:v>
                </c:pt>
                <c:pt idx="1930" formatCode="General">
                  <c:v>895.76770978691445</c:v>
                </c:pt>
                <c:pt idx="1931" formatCode="General">
                  <c:v>1078.6663390160747</c:v>
                </c:pt>
                <c:pt idx="1932" formatCode="General">
                  <c:v>892.85801076714142</c:v>
                </c:pt>
                <c:pt idx="1933" formatCode="General">
                  <c:v>914.11321253342442</c:v>
                </c:pt>
                <c:pt idx="1934" formatCode="General">
                  <c:v>1041.2835595538072</c:v>
                </c:pt>
                <c:pt idx="1935" formatCode="General">
                  <c:v>1143.931401042475</c:v>
                </c:pt>
                <c:pt idx="1936" formatCode="General">
                  <c:v>938.26942065113917</c:v>
                </c:pt>
                <c:pt idx="1937" formatCode="General">
                  <c:v>1098.6490342475897</c:v>
                </c:pt>
                <c:pt idx="1938" formatCode="General">
                  <c:v>988.99224436702525</c:v>
                </c:pt>
                <c:pt idx="1939" formatCode="General">
                  <c:v>930.56437897473836</c:v>
                </c:pt>
                <c:pt idx="1940" formatCode="General">
                  <c:v>905.72451161491506</c:v>
                </c:pt>
                <c:pt idx="1941" formatCode="General">
                  <c:v>930.74963961504079</c:v>
                </c:pt>
                <c:pt idx="1942" formatCode="General">
                  <c:v>967.77853844045217</c:v>
                </c:pt>
                <c:pt idx="1943" formatCode="General">
                  <c:v>882.99619279894159</c:v>
                </c:pt>
                <c:pt idx="1944" formatCode="General">
                  <c:v>993.18100577877601</c:v>
                </c:pt>
                <c:pt idx="1945" formatCode="General">
                  <c:v>870.18631100898278</c:v>
                </c:pt>
                <c:pt idx="1946" formatCode="General">
                  <c:v>1028.4825871946887</c:v>
                </c:pt>
                <c:pt idx="1947" formatCode="General">
                  <c:v>879.62431705751885</c:v>
                </c:pt>
                <c:pt idx="1948" formatCode="General">
                  <c:v>968.32283998780849</c:v>
                </c:pt>
                <c:pt idx="1949" formatCode="General">
                  <c:v>901.34836954034449</c:v>
                </c:pt>
                <c:pt idx="1950" formatCode="General">
                  <c:v>881.56044020878039</c:v>
                </c:pt>
                <c:pt idx="1951" formatCode="General">
                  <c:v>1064.6154510189874</c:v>
                </c:pt>
                <c:pt idx="1952" formatCode="General">
                  <c:v>1025.9423866043101</c:v>
                </c:pt>
                <c:pt idx="1953" formatCode="General">
                  <c:v>826.37874434499986</c:v>
                </c:pt>
                <c:pt idx="1954" formatCode="General">
                  <c:v>862.83325640769465</c:v>
                </c:pt>
                <c:pt idx="1955" formatCode="General">
                  <c:v>851.21415165993676</c:v>
                </c:pt>
                <c:pt idx="1956" formatCode="General">
                  <c:v>954.43878336370653</c:v>
                </c:pt>
                <c:pt idx="1957" formatCode="General">
                  <c:v>848.23145579923562</c:v>
                </c:pt>
                <c:pt idx="1958" formatCode="General">
                  <c:v>909.07618137164354</c:v>
                </c:pt>
                <c:pt idx="1959" formatCode="General">
                  <c:v>934.30303373896936</c:v>
                </c:pt>
                <c:pt idx="1960" formatCode="General">
                  <c:v>904.10705332381133</c:v>
                </c:pt>
                <c:pt idx="1961" formatCode="General">
                  <c:v>912.28480954877784</c:v>
                </c:pt>
                <c:pt idx="1962" formatCode="General">
                  <c:v>894.54841994145795</c:v>
                </c:pt>
                <c:pt idx="1963" formatCode="General">
                  <c:v>935.75133319029908</c:v>
                </c:pt>
                <c:pt idx="1964" formatCode="General">
                  <c:v>896.60583279990192</c:v>
                </c:pt>
                <c:pt idx="1965" formatCode="General">
                  <c:v>922.5805455825091</c:v>
                </c:pt>
                <c:pt idx="1966" formatCode="General">
                  <c:v>991.28546539196066</c:v>
                </c:pt>
                <c:pt idx="1967" formatCode="General">
                  <c:v>919.36481283277271</c:v>
                </c:pt>
                <c:pt idx="1968" formatCode="General">
                  <c:v>869.94733208791433</c:v>
                </c:pt>
                <c:pt idx="1969" formatCode="General">
                  <c:v>1111.2393937482691</c:v>
                </c:pt>
                <c:pt idx="1970" formatCode="General">
                  <c:v>888.25231938067009</c:v>
                </c:pt>
                <c:pt idx="1971" formatCode="General">
                  <c:v>1093.1030745093724</c:v>
                </c:pt>
                <c:pt idx="1972" formatCode="General">
                  <c:v>899.43284869261799</c:v>
                </c:pt>
                <c:pt idx="1973" formatCode="General">
                  <c:v>834.65330520359009</c:v>
                </c:pt>
                <c:pt idx="1974" formatCode="General">
                  <c:v>946.88555910969603</c:v>
                </c:pt>
                <c:pt idx="1975" formatCode="General">
                  <c:v>868.72165331322378</c:v>
                </c:pt>
                <c:pt idx="1976" formatCode="General">
                  <c:v>1178.7858433018368</c:v>
                </c:pt>
                <c:pt idx="1977" formatCode="General">
                  <c:v>1076.5296654050424</c:v>
                </c:pt>
                <c:pt idx="1978" formatCode="General">
                  <c:v>1072.7236616183152</c:v>
                </c:pt>
                <c:pt idx="1979" formatCode="General">
                  <c:v>993.72699634999128</c:v>
                </c:pt>
                <c:pt idx="1980" formatCode="General">
                  <c:v>1216.6783292306779</c:v>
                </c:pt>
                <c:pt idx="1981" formatCode="General">
                  <c:v>1278.7215251799112</c:v>
                </c:pt>
                <c:pt idx="1982" formatCode="General">
                  <c:v>1041.2045859623813</c:v>
                </c:pt>
                <c:pt idx="1983" formatCode="General">
                  <c:v>849.36294783977883</c:v>
                </c:pt>
                <c:pt idx="1984" formatCode="General">
                  <c:v>961.64408629561888</c:v>
                </c:pt>
                <c:pt idx="1985" formatCode="General">
                  <c:v>905.83950513564378</c:v>
                </c:pt>
                <c:pt idx="1986" formatCode="General">
                  <c:v>1190.5337841887688</c:v>
                </c:pt>
                <c:pt idx="1987" formatCode="General">
                  <c:v>846.37327531201686</c:v>
                </c:pt>
                <c:pt idx="1988" formatCode="General">
                  <c:v>968.81249362508311</c:v>
                </c:pt>
                <c:pt idx="1989" formatCode="General">
                  <c:v>1014.694403930662</c:v>
                </c:pt>
                <c:pt idx="1990" formatCode="General">
                  <c:v>889.38455358482031</c:v>
                </c:pt>
                <c:pt idx="1991" formatCode="General">
                  <c:v>893.00944586758408</c:v>
                </c:pt>
                <c:pt idx="1992" formatCode="General">
                  <c:v>853.66124060810807</c:v>
                </c:pt>
                <c:pt idx="1993" formatCode="General">
                  <c:v>884.73549444660318</c:v>
                </c:pt>
                <c:pt idx="1994" formatCode="General">
                  <c:v>1132.4690675512675</c:v>
                </c:pt>
                <c:pt idx="1995" formatCode="General">
                  <c:v>854.35896336906649</c:v>
                </c:pt>
                <c:pt idx="1996" formatCode="General">
                  <c:v>948.06287213325948</c:v>
                </c:pt>
                <c:pt idx="1997" formatCode="General">
                  <c:v>1108.2536032470007</c:v>
                </c:pt>
                <c:pt idx="1998" formatCode="General">
                  <c:v>1217.5743085200957</c:v>
                </c:pt>
                <c:pt idx="1999" formatCode="General">
                  <c:v>858.3303540695922</c:v>
                </c:pt>
                <c:pt idx="2000" formatCode="General">
                  <c:v>945.96503432966551</c:v>
                </c:pt>
                <c:pt idx="2001" formatCode="General">
                  <c:v>859.09250784223832</c:v>
                </c:pt>
                <c:pt idx="2002" formatCode="General">
                  <c:v>928.31458142684141</c:v>
                </c:pt>
                <c:pt idx="2003" formatCode="General">
                  <c:v>923.99794570787435</c:v>
                </c:pt>
                <c:pt idx="2004" formatCode="General">
                  <c:v>857.41811474983376</c:v>
                </c:pt>
                <c:pt idx="2005" formatCode="General">
                  <c:v>1145.1397838773682</c:v>
                </c:pt>
                <c:pt idx="2006" formatCode="General">
                  <c:v>894.54848088881363</c:v>
                </c:pt>
                <c:pt idx="2007" formatCode="General">
                  <c:v>828.73824787874662</c:v>
                </c:pt>
                <c:pt idx="2008" formatCode="General">
                  <c:v>998.83114522921949</c:v>
                </c:pt>
                <c:pt idx="2009" formatCode="General">
                  <c:v>1132.445211247174</c:v>
                </c:pt>
                <c:pt idx="2010" formatCode="General">
                  <c:v>911.52931970225654</c:v>
                </c:pt>
                <c:pt idx="2011" formatCode="General">
                  <c:v>1119.9666286949614</c:v>
                </c:pt>
                <c:pt idx="2012" formatCode="General">
                  <c:v>943.24150605695286</c:v>
                </c:pt>
                <c:pt idx="2013" formatCode="General">
                  <c:v>1011.5676178778054</c:v>
                </c:pt>
                <c:pt idx="2014" formatCode="General">
                  <c:v>977.90959507177672</c:v>
                </c:pt>
                <c:pt idx="2015" formatCode="General">
                  <c:v>962.56224722289016</c:v>
                </c:pt>
                <c:pt idx="2016" formatCode="General">
                  <c:v>984.99361844594137</c:v>
                </c:pt>
                <c:pt idx="2017" formatCode="General">
                  <c:v>1009.8596509088198</c:v>
                </c:pt>
                <c:pt idx="2018" formatCode="General">
                  <c:v>867.13932844173394</c:v>
                </c:pt>
                <c:pt idx="2019" formatCode="General">
                  <c:v>990.67439574235232</c:v>
                </c:pt>
                <c:pt idx="2020" formatCode="General">
                  <c:v>928.23377679664054</c:v>
                </c:pt>
                <c:pt idx="2021" formatCode="General">
                  <c:v>1266.3339200106161</c:v>
                </c:pt>
                <c:pt idx="2022" formatCode="General">
                  <c:v>934.70631418784114</c:v>
                </c:pt>
                <c:pt idx="2023" formatCode="General">
                  <c:v>904.01918228938018</c:v>
                </c:pt>
                <c:pt idx="2024" formatCode="General">
                  <c:v>913.8103029152245</c:v>
                </c:pt>
                <c:pt idx="2025" formatCode="General">
                  <c:v>967.71072442749858</c:v>
                </c:pt>
                <c:pt idx="2026" formatCode="General">
                  <c:v>902.74070121538853</c:v>
                </c:pt>
                <c:pt idx="2027" formatCode="General">
                  <c:v>1126.8099202752642</c:v>
                </c:pt>
                <c:pt idx="2028" formatCode="General">
                  <c:v>943.04498549781852</c:v>
                </c:pt>
                <c:pt idx="2029" formatCode="General">
                  <c:v>904.52721888600354</c:v>
                </c:pt>
                <c:pt idx="2030" formatCode="General">
                  <c:v>888.48693834348865</c:v>
                </c:pt>
                <c:pt idx="2031" formatCode="General">
                  <c:v>919.57486903804181</c:v>
                </c:pt>
                <c:pt idx="2032" formatCode="General">
                  <c:v>864.27973482173275</c:v>
                </c:pt>
                <c:pt idx="2033" formatCode="General">
                  <c:v>992.44914788955646</c:v>
                </c:pt>
                <c:pt idx="2034" formatCode="General">
                  <c:v>996.336860617865</c:v>
                </c:pt>
                <c:pt idx="2035" formatCode="General">
                  <c:v>947.91156927902205</c:v>
                </c:pt>
                <c:pt idx="2036" formatCode="General">
                  <c:v>961.07626142872573</c:v>
                </c:pt>
                <c:pt idx="2037" formatCode="General">
                  <c:v>1077.5215785975636</c:v>
                </c:pt>
                <c:pt idx="2038" formatCode="General">
                  <c:v>944.45456028604474</c:v>
                </c:pt>
                <c:pt idx="2039" formatCode="General">
                  <c:v>1017.1678701037526</c:v>
                </c:pt>
                <c:pt idx="2040" formatCode="General">
                  <c:v>848.4049398830166</c:v>
                </c:pt>
                <c:pt idx="2041" formatCode="General">
                  <c:v>844.70673533457364</c:v>
                </c:pt>
                <c:pt idx="2042" formatCode="General">
                  <c:v>859.30482541840104</c:v>
                </c:pt>
                <c:pt idx="2043" formatCode="General">
                  <c:v>1114.7532991947267</c:v>
                </c:pt>
                <c:pt idx="2044" formatCode="General">
                  <c:v>932.0194323381138</c:v>
                </c:pt>
                <c:pt idx="2045" formatCode="General">
                  <c:v>919.16308216137531</c:v>
                </c:pt>
                <c:pt idx="2046" formatCode="General">
                  <c:v>994.21966003029695</c:v>
                </c:pt>
                <c:pt idx="2047" formatCode="General">
                  <c:v>987.88531688998</c:v>
                </c:pt>
                <c:pt idx="2048" formatCode="General">
                  <c:v>871.97255781796287</c:v>
                </c:pt>
                <c:pt idx="2049" formatCode="General">
                  <c:v>875.45727477942762</c:v>
                </c:pt>
                <c:pt idx="2050" formatCode="General">
                  <c:v>1026.2740805789026</c:v>
                </c:pt>
                <c:pt idx="2051" formatCode="General">
                  <c:v>1124.3166940942826</c:v>
                </c:pt>
                <c:pt idx="2052" formatCode="General">
                  <c:v>872.37906221275409</c:v>
                </c:pt>
                <c:pt idx="2053" formatCode="General">
                  <c:v>946.27476050912128</c:v>
                </c:pt>
                <c:pt idx="2054" formatCode="General">
                  <c:v>1023.5343232608956</c:v>
                </c:pt>
                <c:pt idx="2055" formatCode="General">
                  <c:v>878.00130861805997</c:v>
                </c:pt>
                <c:pt idx="2056" formatCode="General">
                  <c:v>891.6883715900575</c:v>
                </c:pt>
                <c:pt idx="2057" formatCode="General">
                  <c:v>990.4423481590062</c:v>
                </c:pt>
                <c:pt idx="2058" formatCode="General">
                  <c:v>947.87604855204745</c:v>
                </c:pt>
                <c:pt idx="2059" formatCode="General">
                  <c:v>943.25164600350433</c:v>
                </c:pt>
                <c:pt idx="2060" formatCode="General">
                  <c:v>1028.4883175617642</c:v>
                </c:pt>
                <c:pt idx="2061" formatCode="General">
                  <c:v>855.02628495747024</c:v>
                </c:pt>
                <c:pt idx="2062" formatCode="General">
                  <c:v>1014.5209243574873</c:v>
                </c:pt>
                <c:pt idx="2063" formatCode="General">
                  <c:v>1031.0968965347101</c:v>
                </c:pt>
                <c:pt idx="2064" formatCode="General">
                  <c:v>902.99194840993766</c:v>
                </c:pt>
                <c:pt idx="2065" formatCode="General">
                  <c:v>958.90568238686944</c:v>
                </c:pt>
                <c:pt idx="2066" formatCode="General">
                  <c:v>1143.2748719184169</c:v>
                </c:pt>
                <c:pt idx="2067" formatCode="General">
                  <c:v>950.04198282229129</c:v>
                </c:pt>
                <c:pt idx="2068" formatCode="General">
                  <c:v>909.85389116378065</c:v>
                </c:pt>
                <c:pt idx="2069" formatCode="General">
                  <c:v>837.21053458879874</c:v>
                </c:pt>
                <c:pt idx="2070" formatCode="General">
                  <c:v>881.64769416016964</c:v>
                </c:pt>
                <c:pt idx="2071" formatCode="General">
                  <c:v>1142.184679256887</c:v>
                </c:pt>
                <c:pt idx="2072" formatCode="General">
                  <c:v>995.47690881616825</c:v>
                </c:pt>
                <c:pt idx="2073" formatCode="General">
                  <c:v>909.33691175590081</c:v>
                </c:pt>
                <c:pt idx="2074" formatCode="General">
                  <c:v>1008.265272933608</c:v>
                </c:pt>
                <c:pt idx="2075" formatCode="General">
                  <c:v>876.42446297321669</c:v>
                </c:pt>
                <c:pt idx="2076" formatCode="General">
                  <c:v>855.91175274657371</c:v>
                </c:pt>
                <c:pt idx="2077" formatCode="General">
                  <c:v>847.58266685835008</c:v>
                </c:pt>
                <c:pt idx="2078" formatCode="General">
                  <c:v>1123.52027928748</c:v>
                </c:pt>
                <c:pt idx="2079" formatCode="General">
                  <c:v>1177.1958152357429</c:v>
                </c:pt>
                <c:pt idx="2080" formatCode="General">
                  <c:v>1109.6885540749961</c:v>
                </c:pt>
                <c:pt idx="2081" formatCode="General">
                  <c:v>954.32040732205098</c:v>
                </c:pt>
                <c:pt idx="2082" formatCode="General">
                  <c:v>1288.2589784997554</c:v>
                </c:pt>
                <c:pt idx="2083" formatCode="General">
                  <c:v>884.33364702123947</c:v>
                </c:pt>
                <c:pt idx="2084" formatCode="General">
                  <c:v>897.66560247807604</c:v>
                </c:pt>
                <c:pt idx="2085" formatCode="General">
                  <c:v>831.05132962879691</c:v>
                </c:pt>
                <c:pt idx="2086" formatCode="General">
                  <c:v>875.89484388794756</c:v>
                </c:pt>
                <c:pt idx="2087" formatCode="General">
                  <c:v>938.58556872984957</c:v>
                </c:pt>
                <c:pt idx="2088" formatCode="General">
                  <c:v>1119.533347561043</c:v>
                </c:pt>
                <c:pt idx="2089" formatCode="General">
                  <c:v>1183.779191087026</c:v>
                </c:pt>
                <c:pt idx="2090" formatCode="General">
                  <c:v>879.74628158591099</c:v>
                </c:pt>
                <c:pt idx="2091" formatCode="General">
                  <c:v>859.06253642204342</c:v>
                </c:pt>
                <c:pt idx="2092" formatCode="General">
                  <c:v>896.37002213868891</c:v>
                </c:pt>
                <c:pt idx="2093" formatCode="General">
                  <c:v>975.52835649454835</c:v>
                </c:pt>
                <c:pt idx="2094" formatCode="General">
                  <c:v>964.66378973332928</c:v>
                </c:pt>
                <c:pt idx="2095" formatCode="General">
                  <c:v>1054.5006561250084</c:v>
                </c:pt>
                <c:pt idx="2096" formatCode="General">
                  <c:v>919.90614210743479</c:v>
                </c:pt>
                <c:pt idx="2097" formatCode="General">
                  <c:v>790.830640275002</c:v>
                </c:pt>
                <c:pt idx="2098" formatCode="General">
                  <c:v>928.98226114840486</c:v>
                </c:pt>
                <c:pt idx="2099" formatCode="General">
                  <c:v>861.42583799710485</c:v>
                </c:pt>
                <c:pt idx="2100" formatCode="General">
                  <c:v>873.04617461785415</c:v>
                </c:pt>
                <c:pt idx="2101" formatCode="General">
                  <c:v>879.66961786201693</c:v>
                </c:pt>
                <c:pt idx="2102" formatCode="General">
                  <c:v>814.30388014668642</c:v>
                </c:pt>
                <c:pt idx="2103" formatCode="General">
                  <c:v>1123.3407549794936</c:v>
                </c:pt>
                <c:pt idx="2104" formatCode="General">
                  <c:v>1136.5677239037595</c:v>
                </c:pt>
                <c:pt idx="2105" formatCode="General">
                  <c:v>937.99391818096558</c:v>
                </c:pt>
                <c:pt idx="2106" formatCode="General">
                  <c:v>875.2610003545667</c:v>
                </c:pt>
                <c:pt idx="2107" formatCode="General">
                  <c:v>923.82816348880215</c:v>
                </c:pt>
                <c:pt idx="2108" formatCode="General">
                  <c:v>965.16764647528589</c:v>
                </c:pt>
                <c:pt idx="2109" formatCode="General">
                  <c:v>956.24270373334707</c:v>
                </c:pt>
                <c:pt idx="2110" formatCode="General">
                  <c:v>830.47029798925769</c:v>
                </c:pt>
                <c:pt idx="2111" formatCode="General">
                  <c:v>1095.1736112466642</c:v>
                </c:pt>
                <c:pt idx="2112" formatCode="General">
                  <c:v>945.95837650025373</c:v>
                </c:pt>
                <c:pt idx="2113" formatCode="General">
                  <c:v>1061.1353368630337</c:v>
                </c:pt>
                <c:pt idx="2114" formatCode="General">
                  <c:v>1233.1762942122239</c:v>
                </c:pt>
                <c:pt idx="2115" formatCode="General">
                  <c:v>868.58262563445305</c:v>
                </c:pt>
                <c:pt idx="2116" formatCode="General">
                  <c:v>889.80886023535231</c:v>
                </c:pt>
                <c:pt idx="2117" formatCode="General">
                  <c:v>987.41793233573367</c:v>
                </c:pt>
                <c:pt idx="2118" formatCode="General">
                  <c:v>1207.1311933812717</c:v>
                </c:pt>
                <c:pt idx="2119" formatCode="General">
                  <c:v>1095.1282007261491</c:v>
                </c:pt>
                <c:pt idx="2120" formatCode="General">
                  <c:v>985.94697173450641</c:v>
                </c:pt>
                <c:pt idx="2121" formatCode="General">
                  <c:v>849.12483649574938</c:v>
                </c:pt>
                <c:pt idx="2122" formatCode="General">
                  <c:v>1028.2556989614143</c:v>
                </c:pt>
                <c:pt idx="2123" formatCode="General">
                  <c:v>1209.0441995151455</c:v>
                </c:pt>
                <c:pt idx="2124" formatCode="General">
                  <c:v>916.48134627191462</c:v>
                </c:pt>
                <c:pt idx="2125" formatCode="General">
                  <c:v>968.33387991740665</c:v>
                </c:pt>
                <c:pt idx="2126" formatCode="General">
                  <c:v>802.37212030687715</c:v>
                </c:pt>
                <c:pt idx="2127" formatCode="General">
                  <c:v>873.74514959648536</c:v>
                </c:pt>
                <c:pt idx="2128" formatCode="General">
                  <c:v>1114.2240619480913</c:v>
                </c:pt>
                <c:pt idx="2129" formatCode="General">
                  <c:v>850.77858032124004</c:v>
                </c:pt>
                <c:pt idx="2130" formatCode="General">
                  <c:v>908.80770728642733</c:v>
                </c:pt>
                <c:pt idx="2131" formatCode="General">
                  <c:v>877.31003936431978</c:v>
                </c:pt>
                <c:pt idx="2132" formatCode="General">
                  <c:v>1270.9497160959993</c:v>
                </c:pt>
                <c:pt idx="2133" formatCode="General">
                  <c:v>986.359554384528</c:v>
                </c:pt>
                <c:pt idx="2134" formatCode="General">
                  <c:v>880.14362696750413</c:v>
                </c:pt>
                <c:pt idx="2135" formatCode="General">
                  <c:v>898.64671557649376</c:v>
                </c:pt>
                <c:pt idx="2136" formatCode="General">
                  <c:v>838.43873635833586</c:v>
                </c:pt>
                <c:pt idx="2137" formatCode="General">
                  <c:v>901.39334643164216</c:v>
                </c:pt>
                <c:pt idx="2138" formatCode="General">
                  <c:v>952.48504208197937</c:v>
                </c:pt>
                <c:pt idx="2139" formatCode="General">
                  <c:v>929.45473504407789</c:v>
                </c:pt>
                <c:pt idx="2140" formatCode="General">
                  <c:v>1226.8443608034595</c:v>
                </c:pt>
                <c:pt idx="2141" formatCode="General">
                  <c:v>1124.4750733081942</c:v>
                </c:pt>
                <c:pt idx="2142" formatCode="General">
                  <c:v>948.78722008690636</c:v>
                </c:pt>
                <c:pt idx="2143" formatCode="General">
                  <c:v>898.92977106497585</c:v>
                </c:pt>
                <c:pt idx="2144" formatCode="General">
                  <c:v>902.27022905664387</c:v>
                </c:pt>
                <c:pt idx="2145" formatCode="General">
                  <c:v>1087.6645230627907</c:v>
                </c:pt>
                <c:pt idx="2146" formatCode="General">
                  <c:v>1241.5756773383284</c:v>
                </c:pt>
                <c:pt idx="2147" formatCode="General">
                  <c:v>930.95484096942505</c:v>
                </c:pt>
                <c:pt idx="2148" formatCode="General">
                  <c:v>1055.3501253574977</c:v>
                </c:pt>
                <c:pt idx="2149" formatCode="General">
                  <c:v>946.91735051340368</c:v>
                </c:pt>
                <c:pt idx="2150" formatCode="General">
                  <c:v>948.79359333431591</c:v>
                </c:pt>
                <c:pt idx="2151" formatCode="General">
                  <c:v>937.35683114805136</c:v>
                </c:pt>
                <c:pt idx="2152" formatCode="General">
                  <c:v>1230.7859417147158</c:v>
                </c:pt>
                <c:pt idx="2153" formatCode="General">
                  <c:v>938.1270542081221</c:v>
                </c:pt>
                <c:pt idx="2154" formatCode="General">
                  <c:v>919.08696629066503</c:v>
                </c:pt>
                <c:pt idx="2155" formatCode="General">
                  <c:v>896.70936279177408</c:v>
                </c:pt>
                <c:pt idx="2156" formatCode="General">
                  <c:v>1193.333458215398</c:v>
                </c:pt>
                <c:pt idx="2157" formatCode="General">
                  <c:v>1070.3600523072275</c:v>
                </c:pt>
                <c:pt idx="2158" formatCode="General">
                  <c:v>897.49159476352986</c:v>
                </c:pt>
                <c:pt idx="2159" formatCode="General">
                  <c:v>1099.4765384821385</c:v>
                </c:pt>
                <c:pt idx="2160" formatCode="General">
                  <c:v>892.52266907585636</c:v>
                </c:pt>
                <c:pt idx="2161" formatCode="General">
                  <c:v>922.31942244231254</c:v>
                </c:pt>
                <c:pt idx="2162" formatCode="General">
                  <c:v>875.54815107659419</c:v>
                </c:pt>
                <c:pt idx="2163" formatCode="General">
                  <c:v>1007.0667466400912</c:v>
                </c:pt>
                <c:pt idx="2164" formatCode="General">
                  <c:v>1087.820627007296</c:v>
                </c:pt>
                <c:pt idx="2165" formatCode="General">
                  <c:v>1084.249216029079</c:v>
                </c:pt>
                <c:pt idx="2166" formatCode="General">
                  <c:v>1149.4733672924206</c:v>
                </c:pt>
                <c:pt idx="2167" formatCode="General">
                  <c:v>976.21280642781539</c:v>
                </c:pt>
                <c:pt idx="2168" formatCode="General">
                  <c:v>817.28143676311095</c:v>
                </c:pt>
                <c:pt idx="2169" formatCode="General">
                  <c:v>997.58064559315721</c:v>
                </c:pt>
                <c:pt idx="2170" formatCode="General">
                  <c:v>855.91305443937063</c:v>
                </c:pt>
                <c:pt idx="2171" formatCode="General">
                  <c:v>949.21166300404593</c:v>
                </c:pt>
                <c:pt idx="2172" formatCode="General">
                  <c:v>984.47055494272468</c:v>
                </c:pt>
                <c:pt idx="2173" formatCode="General">
                  <c:v>973.59438303768809</c:v>
                </c:pt>
                <c:pt idx="2174" formatCode="General">
                  <c:v>1161.0114453590493</c:v>
                </c:pt>
                <c:pt idx="2175" formatCode="General">
                  <c:v>864.5440097817567</c:v>
                </c:pt>
                <c:pt idx="2176" formatCode="General">
                  <c:v>886.74623488606687</c:v>
                </c:pt>
                <c:pt idx="2177" formatCode="General">
                  <c:v>1125.2916566165336</c:v>
                </c:pt>
                <c:pt idx="2178" formatCode="General">
                  <c:v>906.10667253061752</c:v>
                </c:pt>
                <c:pt idx="2179" formatCode="General">
                  <c:v>1129.6358165662427</c:v>
                </c:pt>
                <c:pt idx="2180" formatCode="General">
                  <c:v>1187.0077135063079</c:v>
                </c:pt>
                <c:pt idx="2181" formatCode="General">
                  <c:v>1026.8597517680257</c:v>
                </c:pt>
                <c:pt idx="2182" formatCode="General">
                  <c:v>982.65376854713986</c:v>
                </c:pt>
                <c:pt idx="2183" formatCode="General">
                  <c:v>931.54148062508796</c:v>
                </c:pt>
                <c:pt idx="2184" formatCode="General">
                  <c:v>883.89728111851139</c:v>
                </c:pt>
                <c:pt idx="2185" formatCode="General">
                  <c:v>1086.0849608655371</c:v>
                </c:pt>
                <c:pt idx="2186" formatCode="General">
                  <c:v>921.76525788812069</c:v>
                </c:pt>
                <c:pt idx="2187" formatCode="General">
                  <c:v>903.42324146386318</c:v>
                </c:pt>
                <c:pt idx="2188" formatCode="General">
                  <c:v>904.2907724274894</c:v>
                </c:pt>
                <c:pt idx="2189" formatCode="General">
                  <c:v>889.49384763926344</c:v>
                </c:pt>
                <c:pt idx="2190" formatCode="General">
                  <c:v>929.25989573716663</c:v>
                </c:pt>
                <c:pt idx="2191" formatCode="General">
                  <c:v>1224.0679974787793</c:v>
                </c:pt>
                <c:pt idx="2192" formatCode="General">
                  <c:v>1128.7979160840548</c:v>
                </c:pt>
                <c:pt idx="2193" formatCode="General">
                  <c:v>1060.334051331341</c:v>
                </c:pt>
                <c:pt idx="2194" formatCode="General">
                  <c:v>916.32258895319035</c:v>
                </c:pt>
                <c:pt idx="2195" formatCode="General">
                  <c:v>879.39384193332637</c:v>
                </c:pt>
                <c:pt idx="2196" formatCode="General">
                  <c:v>1092.6070345566786</c:v>
                </c:pt>
                <c:pt idx="2197" formatCode="General">
                  <c:v>828.93652946136592</c:v>
                </c:pt>
                <c:pt idx="2198" formatCode="General">
                  <c:v>863.09333343579283</c:v>
                </c:pt>
                <c:pt idx="2199" formatCode="General">
                  <c:v>1222.0682861932214</c:v>
                </c:pt>
                <c:pt idx="2200" formatCode="General">
                  <c:v>877.39772089715211</c:v>
                </c:pt>
                <c:pt idx="2201" formatCode="General">
                  <c:v>1242.8093658648086</c:v>
                </c:pt>
                <c:pt idx="2202" formatCode="General">
                  <c:v>1066.7669499841038</c:v>
                </c:pt>
                <c:pt idx="2203" formatCode="General">
                  <c:v>922.0836269815062</c:v>
                </c:pt>
                <c:pt idx="2204" formatCode="General">
                  <c:v>918.47672533268519</c:v>
                </c:pt>
                <c:pt idx="2205" formatCode="General">
                  <c:v>941.64053866421909</c:v>
                </c:pt>
                <c:pt idx="2206" formatCode="General">
                  <c:v>902.44533245975936</c:v>
                </c:pt>
                <c:pt idx="2207" formatCode="General">
                  <c:v>932.50723766801673</c:v>
                </c:pt>
                <c:pt idx="2208" formatCode="General">
                  <c:v>880.53174585628392</c:v>
                </c:pt>
                <c:pt idx="2209" formatCode="General">
                  <c:v>1072.2832444957701</c:v>
                </c:pt>
                <c:pt idx="2210" formatCode="General">
                  <c:v>978.79941563690011</c:v>
                </c:pt>
                <c:pt idx="2211" formatCode="General">
                  <c:v>1082.9124892673524</c:v>
                </c:pt>
                <c:pt idx="2212" formatCode="General">
                  <c:v>976.29385457551018</c:v>
                </c:pt>
                <c:pt idx="2213" formatCode="General">
                  <c:v>1247.9450724088163</c:v>
                </c:pt>
                <c:pt idx="2214" formatCode="General">
                  <c:v>903.00587612701645</c:v>
                </c:pt>
                <c:pt idx="2215" formatCode="General">
                  <c:v>1062.5030258948871</c:v>
                </c:pt>
                <c:pt idx="2216" formatCode="General">
                  <c:v>836.51466203181792</c:v>
                </c:pt>
                <c:pt idx="2217" formatCode="General">
                  <c:v>878.72183207779949</c:v>
                </c:pt>
                <c:pt idx="2218" formatCode="General">
                  <c:v>1176.221803996576</c:v>
                </c:pt>
                <c:pt idx="2219" formatCode="General">
                  <c:v>864.71663117215724</c:v>
                </c:pt>
                <c:pt idx="2220" formatCode="General">
                  <c:v>892.20359128332348</c:v>
                </c:pt>
                <c:pt idx="2221" formatCode="General">
                  <c:v>913.61572325303325</c:v>
                </c:pt>
                <c:pt idx="2222" formatCode="General">
                  <c:v>986.17403118426921</c:v>
                </c:pt>
                <c:pt idx="2223" formatCode="General">
                  <c:v>980.13862467387401</c:v>
                </c:pt>
                <c:pt idx="2224" formatCode="General">
                  <c:v>909.48437039307498</c:v>
                </c:pt>
                <c:pt idx="2225" formatCode="General">
                  <c:v>1185.0724318095292</c:v>
                </c:pt>
                <c:pt idx="2226" formatCode="General">
                  <c:v>930.05374090898397</c:v>
                </c:pt>
                <c:pt idx="2227" formatCode="General">
                  <c:v>961.2056637124906</c:v>
                </c:pt>
                <c:pt idx="2228" formatCode="General">
                  <c:v>973.82425544800833</c:v>
                </c:pt>
                <c:pt idx="2229" formatCode="General">
                  <c:v>946.38324244186549</c:v>
                </c:pt>
                <c:pt idx="2230" formatCode="General">
                  <c:v>868.29177422041153</c:v>
                </c:pt>
                <c:pt idx="2231" formatCode="General">
                  <c:v>914.86627989736496</c:v>
                </c:pt>
                <c:pt idx="2232" formatCode="General">
                  <c:v>939.04110683955071</c:v>
                </c:pt>
                <c:pt idx="2233" formatCode="General">
                  <c:v>1291.3262869377563</c:v>
                </c:pt>
                <c:pt idx="2234" formatCode="General">
                  <c:v>889.74482803715239</c:v>
                </c:pt>
                <c:pt idx="2235" formatCode="General">
                  <c:v>961.69182861210663</c:v>
                </c:pt>
                <c:pt idx="2236" formatCode="General">
                  <c:v>966.33721577246627</c:v>
                </c:pt>
                <c:pt idx="2237" formatCode="General">
                  <c:v>1073.5201981240052</c:v>
                </c:pt>
                <c:pt idx="2238" formatCode="General">
                  <c:v>895.64045905681098</c:v>
                </c:pt>
                <c:pt idx="2239" formatCode="General">
                  <c:v>1000.9518975477781</c:v>
                </c:pt>
                <c:pt idx="2240" formatCode="General">
                  <c:v>887.13512142786374</c:v>
                </c:pt>
                <c:pt idx="2241" formatCode="General">
                  <c:v>1174.5087837612102</c:v>
                </c:pt>
                <c:pt idx="2242" formatCode="General">
                  <c:v>950.58227291431285</c:v>
                </c:pt>
                <c:pt idx="2243" formatCode="General">
                  <c:v>931.87278413344382</c:v>
                </c:pt>
                <c:pt idx="2244" formatCode="General">
                  <c:v>1183.9507277283301</c:v>
                </c:pt>
                <c:pt idx="2245" formatCode="General">
                  <c:v>1121.0459831830772</c:v>
                </c:pt>
                <c:pt idx="2246" formatCode="General">
                  <c:v>1067.3556586632374</c:v>
                </c:pt>
                <c:pt idx="2247" formatCode="General">
                  <c:v>891.97731673704766</c:v>
                </c:pt>
                <c:pt idx="2248" formatCode="General">
                  <c:v>812.20105659844648</c:v>
                </c:pt>
                <c:pt idx="2249" formatCode="General">
                  <c:v>1193.7499092247683</c:v>
                </c:pt>
                <c:pt idx="2250" formatCode="General">
                  <c:v>928.55922733301168</c:v>
                </c:pt>
                <c:pt idx="2251" formatCode="General">
                  <c:v>1153.3956632115285</c:v>
                </c:pt>
                <c:pt idx="2252" formatCode="General">
                  <c:v>881.43185131374094</c:v>
                </c:pt>
                <c:pt idx="2253" formatCode="General">
                  <c:v>1145.5404170172681</c:v>
                </c:pt>
                <c:pt idx="2254" formatCode="General">
                  <c:v>852.4440985471075</c:v>
                </c:pt>
                <c:pt idx="2255" formatCode="General">
                  <c:v>915.14703324321715</c:v>
                </c:pt>
                <c:pt idx="2256" formatCode="General">
                  <c:v>1086.7677516607537</c:v>
                </c:pt>
                <c:pt idx="2257" formatCode="General">
                  <c:v>858.49027391014283</c:v>
                </c:pt>
                <c:pt idx="2258" formatCode="General">
                  <c:v>1218.5709092500194</c:v>
                </c:pt>
                <c:pt idx="2259" formatCode="General">
                  <c:v>959.19738725134914</c:v>
                </c:pt>
                <c:pt idx="2260" formatCode="General">
                  <c:v>1025.1953570955211</c:v>
                </c:pt>
                <c:pt idx="2261" formatCode="General">
                  <c:v>929.68922002594115</c:v>
                </c:pt>
                <c:pt idx="2262" formatCode="General">
                  <c:v>1032.3642977313309</c:v>
                </c:pt>
                <c:pt idx="2263" formatCode="General">
                  <c:v>1204.2365166647364</c:v>
                </c:pt>
                <c:pt idx="2264" formatCode="General">
                  <c:v>855.44056271218358</c:v>
                </c:pt>
                <c:pt idx="2265" formatCode="General">
                  <c:v>1096.1972151399868</c:v>
                </c:pt>
                <c:pt idx="2266" formatCode="General">
                  <c:v>1168.699641186382</c:v>
                </c:pt>
                <c:pt idx="2267" formatCode="General">
                  <c:v>878.50536803141881</c:v>
                </c:pt>
                <c:pt idx="2268" formatCode="General">
                  <c:v>938.84000885705439</c:v>
                </c:pt>
                <c:pt idx="2269" formatCode="General">
                  <c:v>859.34352081950715</c:v>
                </c:pt>
                <c:pt idx="2270" formatCode="General">
                  <c:v>916.4171954878193</c:v>
                </c:pt>
                <c:pt idx="2271" formatCode="General">
                  <c:v>955.7100023134725</c:v>
                </c:pt>
                <c:pt idx="2272" formatCode="General">
                  <c:v>1252.5929698017321</c:v>
                </c:pt>
                <c:pt idx="2273" formatCode="General">
                  <c:v>946.0282684438987</c:v>
                </c:pt>
                <c:pt idx="2274" formatCode="General">
                  <c:v>948.9912180406742</c:v>
                </c:pt>
                <c:pt idx="2275" formatCode="General">
                  <c:v>1086.5580413567081</c:v>
                </c:pt>
                <c:pt idx="2276" formatCode="General">
                  <c:v>1030.2859432374576</c:v>
                </c:pt>
                <c:pt idx="2277" formatCode="General">
                  <c:v>1038.9633261792405</c:v>
                </c:pt>
                <c:pt idx="2278" formatCode="General">
                  <c:v>1071.1334358788729</c:v>
                </c:pt>
                <c:pt idx="2279" formatCode="General">
                  <c:v>908.79206680578113</c:v>
                </c:pt>
                <c:pt idx="2280" formatCode="General">
                  <c:v>888.4850194235479</c:v>
                </c:pt>
                <c:pt idx="2281" formatCode="General">
                  <c:v>936.12819752652535</c:v>
                </c:pt>
                <c:pt idx="2282" formatCode="General">
                  <c:v>940.03655700887691</c:v>
                </c:pt>
                <c:pt idx="2283" formatCode="General">
                  <c:v>1282.4026681622747</c:v>
                </c:pt>
                <c:pt idx="2284" formatCode="General">
                  <c:v>879.51220812947474</c:v>
                </c:pt>
                <c:pt idx="2285" formatCode="General">
                  <c:v>876.01135866738957</c:v>
                </c:pt>
                <c:pt idx="2286" formatCode="General">
                  <c:v>804.31804126844884</c:v>
                </c:pt>
                <c:pt idx="2287" formatCode="General">
                  <c:v>1102.6809727898697</c:v>
                </c:pt>
                <c:pt idx="2288" formatCode="General">
                  <c:v>948.31818605949286</c:v>
                </c:pt>
                <c:pt idx="2289" formatCode="General">
                  <c:v>904.11770199333455</c:v>
                </c:pt>
                <c:pt idx="2290" formatCode="General">
                  <c:v>1041.5303284145866</c:v>
                </c:pt>
                <c:pt idx="2291" formatCode="General">
                  <c:v>993.11407223697597</c:v>
                </c:pt>
                <c:pt idx="2292" formatCode="General">
                  <c:v>860.60227766781622</c:v>
                </c:pt>
                <c:pt idx="2293" formatCode="General">
                  <c:v>909.21472906093356</c:v>
                </c:pt>
                <c:pt idx="2294" formatCode="General">
                  <c:v>945.69637014867237</c:v>
                </c:pt>
                <c:pt idx="2295" formatCode="General">
                  <c:v>912.02916609508907</c:v>
                </c:pt>
                <c:pt idx="2296" formatCode="General">
                  <c:v>854.63050377336367</c:v>
                </c:pt>
                <c:pt idx="2297" formatCode="General">
                  <c:v>891.51315652425944</c:v>
                </c:pt>
                <c:pt idx="2298" formatCode="General">
                  <c:v>924.00493028283427</c:v>
                </c:pt>
                <c:pt idx="2299" formatCode="General">
                  <c:v>1096.9020391948231</c:v>
                </c:pt>
                <c:pt idx="2300" formatCode="General">
                  <c:v>880.9087992895652</c:v>
                </c:pt>
                <c:pt idx="2301" formatCode="General">
                  <c:v>1085.9165244452181</c:v>
                </c:pt>
                <c:pt idx="2302" formatCode="General">
                  <c:v>899.65886274015406</c:v>
                </c:pt>
                <c:pt idx="2303" formatCode="General">
                  <c:v>844.93041311620516</c:v>
                </c:pt>
                <c:pt idx="2304" formatCode="General">
                  <c:v>928.59644437506631</c:v>
                </c:pt>
                <c:pt idx="2305" formatCode="General">
                  <c:v>878.74928474520937</c:v>
                </c:pt>
                <c:pt idx="2306" formatCode="General">
                  <c:v>1273.1143351079809</c:v>
                </c:pt>
                <c:pt idx="2307" formatCode="General">
                  <c:v>1115.1671694092975</c:v>
                </c:pt>
                <c:pt idx="2308" formatCode="General">
                  <c:v>859.29667909971363</c:v>
                </c:pt>
                <c:pt idx="2309" formatCode="General">
                  <c:v>916.83300696450556</c:v>
                </c:pt>
                <c:pt idx="2310" formatCode="General">
                  <c:v>1054.1016230108078</c:v>
                </c:pt>
                <c:pt idx="2311" formatCode="General">
                  <c:v>1173.9123501113033</c:v>
                </c:pt>
                <c:pt idx="2312" formatCode="General">
                  <c:v>1113.9776771761431</c:v>
                </c:pt>
                <c:pt idx="2313" formatCode="General">
                  <c:v>979.63644647227727</c:v>
                </c:pt>
                <c:pt idx="2314" formatCode="General">
                  <c:v>992.61565801247923</c:v>
                </c:pt>
                <c:pt idx="2315" formatCode="General">
                  <c:v>913.75747974488274</c:v>
                </c:pt>
                <c:pt idx="2316" formatCode="General">
                  <c:v>879.78759612975296</c:v>
                </c:pt>
                <c:pt idx="2317" formatCode="General">
                  <c:v>1183.4325615006201</c:v>
                </c:pt>
                <c:pt idx="2318" formatCode="General">
                  <c:v>1214.3256003426777</c:v>
                </c:pt>
                <c:pt idx="2319" formatCode="General">
                  <c:v>1207.743853276673</c:v>
                </c:pt>
                <c:pt idx="2320" formatCode="General">
                  <c:v>969.48038881681896</c:v>
                </c:pt>
                <c:pt idx="2321" formatCode="General">
                  <c:v>904.43809854193182</c:v>
                </c:pt>
                <c:pt idx="2322" formatCode="General">
                  <c:v>864.02058127323789</c:v>
                </c:pt>
                <c:pt idx="2323" formatCode="General">
                  <c:v>882.89113969455832</c:v>
                </c:pt>
                <c:pt idx="2324" formatCode="General">
                  <c:v>1099.7241100043348</c:v>
                </c:pt>
                <c:pt idx="2325" formatCode="General">
                  <c:v>1059.0271667584534</c:v>
                </c:pt>
                <c:pt idx="2326" formatCode="General">
                  <c:v>1028.5900661880919</c:v>
                </c:pt>
                <c:pt idx="2327" formatCode="General">
                  <c:v>938.68688671538439</c:v>
                </c:pt>
                <c:pt idx="2328" formatCode="General">
                  <c:v>924.75448229729864</c:v>
                </c:pt>
                <c:pt idx="2329" formatCode="General">
                  <c:v>1116.5662304258922</c:v>
                </c:pt>
                <c:pt idx="2330" formatCode="General">
                  <c:v>924.52134836687981</c:v>
                </c:pt>
                <c:pt idx="2331" formatCode="General">
                  <c:v>862.74470865913202</c:v>
                </c:pt>
                <c:pt idx="2332" formatCode="General">
                  <c:v>887.87605249503576</c:v>
                </c:pt>
                <c:pt idx="2333" formatCode="General">
                  <c:v>913.72377305574696</c:v>
                </c:pt>
                <c:pt idx="2334" formatCode="General">
                  <c:v>896.29131772771018</c:v>
                </c:pt>
                <c:pt idx="2335" formatCode="General">
                  <c:v>1057.0795793222371</c:v>
                </c:pt>
                <c:pt idx="2336" formatCode="General">
                  <c:v>1117.4265931699344</c:v>
                </c:pt>
                <c:pt idx="2337" formatCode="General">
                  <c:v>874.97439167157427</c:v>
                </c:pt>
                <c:pt idx="2338" formatCode="General">
                  <c:v>974.27167679191348</c:v>
                </c:pt>
                <c:pt idx="2339" formatCode="General">
                  <c:v>1101.434606950972</c:v>
                </c:pt>
                <c:pt idx="2340" formatCode="General">
                  <c:v>859.95756539715399</c:v>
                </c:pt>
                <c:pt idx="2341" formatCode="General">
                  <c:v>986.34515572122393</c:v>
                </c:pt>
                <c:pt idx="2342" formatCode="General">
                  <c:v>1039.4892691689361</c:v>
                </c:pt>
                <c:pt idx="2343" formatCode="General">
                  <c:v>1100.9731137729893</c:v>
                </c:pt>
                <c:pt idx="2344" formatCode="General">
                  <c:v>897.97852262345873</c:v>
                </c:pt>
                <c:pt idx="2345" formatCode="General">
                  <c:v>925.51711668943574</c:v>
                </c:pt>
                <c:pt idx="2346" formatCode="General">
                  <c:v>1170.2848844513157</c:v>
                </c:pt>
                <c:pt idx="2347" formatCode="General">
                  <c:v>1016.4339241213981</c:v>
                </c:pt>
                <c:pt idx="2348" formatCode="General">
                  <c:v>905.66447491644112</c:v>
                </c:pt>
                <c:pt idx="2349" formatCode="General">
                  <c:v>966.71490827482251</c:v>
                </c:pt>
                <c:pt idx="2350" formatCode="General">
                  <c:v>916.6600108872376</c:v>
                </c:pt>
                <c:pt idx="2351" formatCode="General">
                  <c:v>920.64961627149387</c:v>
                </c:pt>
                <c:pt idx="2352" formatCode="General">
                  <c:v>883.20903992575631</c:v>
                </c:pt>
                <c:pt idx="2353" formatCode="General">
                  <c:v>879.965739887675</c:v>
                </c:pt>
                <c:pt idx="2354" formatCode="General">
                  <c:v>895.80634333849923</c:v>
                </c:pt>
                <c:pt idx="2355" formatCode="General">
                  <c:v>852.36273020228521</c:v>
                </c:pt>
                <c:pt idx="2356" formatCode="General">
                  <c:v>1022.4666543756492</c:v>
                </c:pt>
                <c:pt idx="2357" formatCode="General">
                  <c:v>1109.0998914432264</c:v>
                </c:pt>
                <c:pt idx="2358" formatCode="General">
                  <c:v>1020.2826056111452</c:v>
                </c:pt>
                <c:pt idx="2359" formatCode="General">
                  <c:v>1077.3226330533084</c:v>
                </c:pt>
                <c:pt idx="2360" formatCode="General">
                  <c:v>870.86011894568912</c:v>
                </c:pt>
                <c:pt idx="2361" formatCode="General">
                  <c:v>1189.0153364019027</c:v>
                </c:pt>
                <c:pt idx="2362" formatCode="General">
                  <c:v>877.43278627759321</c:v>
                </c:pt>
                <c:pt idx="2363" formatCode="General">
                  <c:v>1019.6020134155851</c:v>
                </c:pt>
                <c:pt idx="2364" formatCode="General">
                  <c:v>921.32356964810742</c:v>
                </c:pt>
                <c:pt idx="2365" formatCode="General">
                  <c:v>918.35934059564511</c:v>
                </c:pt>
                <c:pt idx="2366" formatCode="General">
                  <c:v>891.2557176560116</c:v>
                </c:pt>
                <c:pt idx="2367" formatCode="General">
                  <c:v>1023.4548281640806</c:v>
                </c:pt>
                <c:pt idx="2368" formatCode="General">
                  <c:v>901.4925975017054</c:v>
                </c:pt>
                <c:pt idx="2369" formatCode="General">
                  <c:v>1018.2786141261062</c:v>
                </c:pt>
                <c:pt idx="2370" formatCode="General">
                  <c:v>869.12079004159398</c:v>
                </c:pt>
                <c:pt idx="2371" formatCode="General">
                  <c:v>1071.5242606179299</c:v>
                </c:pt>
                <c:pt idx="2372" formatCode="General">
                  <c:v>1089.027909079834</c:v>
                </c:pt>
                <c:pt idx="2373" formatCode="General">
                  <c:v>1000.9449731671294</c:v>
                </c:pt>
                <c:pt idx="2374" formatCode="General">
                  <c:v>1098.1072709525049</c:v>
                </c:pt>
                <c:pt idx="2375" formatCode="General">
                  <c:v>1125.2364953464437</c:v>
                </c:pt>
                <c:pt idx="2376" formatCode="General">
                  <c:v>901.20722704990476</c:v>
                </c:pt>
                <c:pt idx="2377" formatCode="General">
                  <c:v>944.99359341948946</c:v>
                </c:pt>
                <c:pt idx="2378" formatCode="General">
                  <c:v>956.73412074858163</c:v>
                </c:pt>
                <c:pt idx="2379" formatCode="General">
                  <c:v>973.28040935444574</c:v>
                </c:pt>
                <c:pt idx="2380" formatCode="General">
                  <c:v>814.95845140836047</c:v>
                </c:pt>
                <c:pt idx="2381" formatCode="General">
                  <c:v>1023.8587200463899</c:v>
                </c:pt>
                <c:pt idx="2382" formatCode="General">
                  <c:v>921.91920087038829</c:v>
                </c:pt>
                <c:pt idx="2383" formatCode="General">
                  <c:v>983.49162522095605</c:v>
                </c:pt>
                <c:pt idx="2384" formatCode="General">
                  <c:v>947.99063684098257</c:v>
                </c:pt>
                <c:pt idx="2385" formatCode="General">
                  <c:v>922.3146855216412</c:v>
                </c:pt>
                <c:pt idx="2386" formatCode="General">
                  <c:v>776.14071941386317</c:v>
                </c:pt>
                <c:pt idx="2387" formatCode="General">
                  <c:v>892.79791819740319</c:v>
                </c:pt>
                <c:pt idx="2388" formatCode="General">
                  <c:v>940.73655088613327</c:v>
                </c:pt>
                <c:pt idx="2389" formatCode="General">
                  <c:v>1230.036073479632</c:v>
                </c:pt>
                <c:pt idx="2390" formatCode="General">
                  <c:v>888.44735803424339</c:v>
                </c:pt>
                <c:pt idx="2391" formatCode="General">
                  <c:v>880.38381074019424</c:v>
                </c:pt>
                <c:pt idx="2392" formatCode="General">
                  <c:v>967.50751884339581</c:v>
                </c:pt>
                <c:pt idx="2393" formatCode="General">
                  <c:v>1139.6432149262982</c:v>
                </c:pt>
                <c:pt idx="2394" formatCode="General">
                  <c:v>958.7700437406661</c:v>
                </c:pt>
                <c:pt idx="2395" formatCode="General">
                  <c:v>889.07150424802467</c:v>
                </c:pt>
                <c:pt idx="2396" formatCode="General">
                  <c:v>1091.8022116901279</c:v>
                </c:pt>
                <c:pt idx="2397" formatCode="General">
                  <c:v>863.0543522288425</c:v>
                </c:pt>
                <c:pt idx="2398" formatCode="General">
                  <c:v>966.89840135669112</c:v>
                </c:pt>
                <c:pt idx="2399" formatCode="General">
                  <c:v>961.34639922328881</c:v>
                </c:pt>
                <c:pt idx="2400" formatCode="General">
                  <c:v>1130.3766318387577</c:v>
                </c:pt>
                <c:pt idx="2401" formatCode="General">
                  <c:v>1105.734201370856</c:v>
                </c:pt>
                <c:pt idx="2402" formatCode="General">
                  <c:v>926.447391188663</c:v>
                </c:pt>
                <c:pt idx="2403" formatCode="General">
                  <c:v>1029.9540275339457</c:v>
                </c:pt>
                <c:pt idx="2404" formatCode="General">
                  <c:v>1091.0101590665322</c:v>
                </c:pt>
                <c:pt idx="2405" formatCode="General">
                  <c:v>963.03003431865557</c:v>
                </c:pt>
                <c:pt idx="2406" formatCode="General">
                  <c:v>835.8549140858305</c:v>
                </c:pt>
                <c:pt idx="2407" formatCode="General">
                  <c:v>1065.2745552468571</c:v>
                </c:pt>
                <c:pt idx="2408" formatCode="General">
                  <c:v>870.76510521997773</c:v>
                </c:pt>
                <c:pt idx="2409" formatCode="General">
                  <c:v>900.87925877848181</c:v>
                </c:pt>
                <c:pt idx="2410" formatCode="General">
                  <c:v>932.04205111334386</c:v>
                </c:pt>
                <c:pt idx="2411" formatCode="General">
                  <c:v>881.13503889632</c:v>
                </c:pt>
                <c:pt idx="2412" formatCode="General">
                  <c:v>923.00894047997838</c:v>
                </c:pt>
                <c:pt idx="2413" formatCode="General">
                  <c:v>1084.4674798772787</c:v>
                </c:pt>
                <c:pt idx="2414" formatCode="General">
                  <c:v>1191.4537312354121</c:v>
                </c:pt>
                <c:pt idx="2415" formatCode="General">
                  <c:v>1144.54429478877</c:v>
                </c:pt>
                <c:pt idx="2416" formatCode="General">
                  <c:v>1073.6591152387443</c:v>
                </c:pt>
                <c:pt idx="2417" formatCode="General">
                  <c:v>945.3024444970581</c:v>
                </c:pt>
                <c:pt idx="2418" formatCode="General">
                  <c:v>934.12078527914537</c:v>
                </c:pt>
                <c:pt idx="2419" formatCode="General">
                  <c:v>857.12837714061493</c:v>
                </c:pt>
                <c:pt idx="2420" formatCode="General">
                  <c:v>1049.1489842871415</c:v>
                </c:pt>
                <c:pt idx="2421" formatCode="General">
                  <c:v>932.47452673514852</c:v>
                </c:pt>
                <c:pt idx="2422" formatCode="General">
                  <c:v>1025.2677125429107</c:v>
                </c:pt>
                <c:pt idx="2423" formatCode="General">
                  <c:v>874.53414914037467</c:v>
                </c:pt>
                <c:pt idx="2424" formatCode="General">
                  <c:v>902.32627997772988</c:v>
                </c:pt>
                <c:pt idx="2425" formatCode="General">
                  <c:v>897.99344556216124</c:v>
                </c:pt>
                <c:pt idx="2426" formatCode="General">
                  <c:v>1231.922052582737</c:v>
                </c:pt>
                <c:pt idx="2427" formatCode="General">
                  <c:v>899.99212606582296</c:v>
                </c:pt>
                <c:pt idx="2428" formatCode="General">
                  <c:v>846.0131740644714</c:v>
                </c:pt>
                <c:pt idx="2429" formatCode="General">
                  <c:v>1198.1779542486179</c:v>
                </c:pt>
                <c:pt idx="2430" formatCode="General">
                  <c:v>903.33677872550982</c:v>
                </c:pt>
                <c:pt idx="2431" formatCode="General">
                  <c:v>1048.781190012606</c:v>
                </c:pt>
                <c:pt idx="2432" formatCode="General">
                  <c:v>958.31003610393668</c:v>
                </c:pt>
                <c:pt idx="2433" formatCode="General">
                  <c:v>982.47974806746367</c:v>
                </c:pt>
                <c:pt idx="2434" formatCode="General">
                  <c:v>846.46575781132253</c:v>
                </c:pt>
                <c:pt idx="2435" formatCode="General">
                  <c:v>878.24306596620409</c:v>
                </c:pt>
                <c:pt idx="2436" formatCode="General">
                  <c:v>935.22463230346943</c:v>
                </c:pt>
                <c:pt idx="2437" formatCode="General">
                  <c:v>1139.2609274126742</c:v>
                </c:pt>
                <c:pt idx="2438" formatCode="General">
                  <c:v>951.58765087937456</c:v>
                </c:pt>
                <c:pt idx="2439" formatCode="General">
                  <c:v>842.79607284660153</c:v>
                </c:pt>
                <c:pt idx="2440" formatCode="General">
                  <c:v>1138.706138793221</c:v>
                </c:pt>
                <c:pt idx="2441" formatCode="General">
                  <c:v>1101.6542041743407</c:v>
                </c:pt>
                <c:pt idx="2442" formatCode="General">
                  <c:v>828.64555874142752</c:v>
                </c:pt>
                <c:pt idx="2443" formatCode="General">
                  <c:v>961.91589139541441</c:v>
                </c:pt>
                <c:pt idx="2444" formatCode="General">
                  <c:v>1078.4591694881665</c:v>
                </c:pt>
                <c:pt idx="2445" formatCode="General">
                  <c:v>992.93107657603514</c:v>
                </c:pt>
                <c:pt idx="2446" formatCode="General">
                  <c:v>893.70485595166656</c:v>
                </c:pt>
                <c:pt idx="2447" formatCode="General">
                  <c:v>1304.634906821555</c:v>
                </c:pt>
                <c:pt idx="2448" formatCode="General">
                  <c:v>928.57357808275742</c:v>
                </c:pt>
                <c:pt idx="2449" formatCode="General">
                  <c:v>882.70671354475326</c:v>
                </c:pt>
                <c:pt idx="2450" formatCode="General">
                  <c:v>957.34009359613935</c:v>
                </c:pt>
                <c:pt idx="2451" formatCode="General">
                  <c:v>859.45075900361007</c:v>
                </c:pt>
                <c:pt idx="2452" formatCode="General">
                  <c:v>907.5982280525343</c:v>
                </c:pt>
                <c:pt idx="2453" formatCode="General">
                  <c:v>1063.8837242767042</c:v>
                </c:pt>
                <c:pt idx="2454" formatCode="General">
                  <c:v>902.19470073104821</c:v>
                </c:pt>
                <c:pt idx="2455" formatCode="General">
                  <c:v>993.53435123989368</c:v>
                </c:pt>
                <c:pt idx="2456" formatCode="General">
                  <c:v>964.89216173282398</c:v>
                </c:pt>
                <c:pt idx="2457" formatCode="General">
                  <c:v>810.6975799110279</c:v>
                </c:pt>
                <c:pt idx="2458" formatCode="General">
                  <c:v>898.35445520932069</c:v>
                </c:pt>
                <c:pt idx="2459" formatCode="General">
                  <c:v>1044.5792073344612</c:v>
                </c:pt>
                <c:pt idx="2460" formatCode="General">
                  <c:v>1233.787966740141</c:v>
                </c:pt>
                <c:pt idx="2461" formatCode="General">
                  <c:v>827.62378125885664</c:v>
                </c:pt>
                <c:pt idx="2462" formatCode="General">
                  <c:v>871.91755358304465</c:v>
                </c:pt>
                <c:pt idx="2463" formatCode="General">
                  <c:v>1138.2478256957586</c:v>
                </c:pt>
                <c:pt idx="2464" formatCode="General">
                  <c:v>1069.5216144109006</c:v>
                </c:pt>
                <c:pt idx="2465" formatCode="General">
                  <c:v>1108.2141035392181</c:v>
                </c:pt>
                <c:pt idx="2466" formatCode="General">
                  <c:v>894.72692587409006</c:v>
                </c:pt>
                <c:pt idx="2467" formatCode="General">
                  <c:v>834.30076118339616</c:v>
                </c:pt>
                <c:pt idx="2468" formatCode="General">
                  <c:v>947.8671991053244</c:v>
                </c:pt>
                <c:pt idx="2469" formatCode="General">
                  <c:v>1049.6473928842881</c:v>
                </c:pt>
                <c:pt idx="2470" formatCode="General">
                  <c:v>1069.1902000601267</c:v>
                </c:pt>
                <c:pt idx="2471" formatCode="General">
                  <c:v>902.06770206648628</c:v>
                </c:pt>
                <c:pt idx="2472" formatCode="General">
                  <c:v>887.12856215732916</c:v>
                </c:pt>
                <c:pt idx="2473" formatCode="General">
                  <c:v>970.23127194069286</c:v>
                </c:pt>
                <c:pt idx="2474" formatCode="General">
                  <c:v>851.7418454468127</c:v>
                </c:pt>
                <c:pt idx="2475" formatCode="General">
                  <c:v>873.10322586318262</c:v>
                </c:pt>
                <c:pt idx="2476" formatCode="General">
                  <c:v>895.67288258547046</c:v>
                </c:pt>
                <c:pt idx="2477" formatCode="General">
                  <c:v>1224.866933891062</c:v>
                </c:pt>
                <c:pt idx="2478" formatCode="General">
                  <c:v>923.40441389628177</c:v>
                </c:pt>
                <c:pt idx="2479" formatCode="General">
                  <c:v>1032.4191749987772</c:v>
                </c:pt>
                <c:pt idx="2480" formatCode="General">
                  <c:v>979.93957871300324</c:v>
                </c:pt>
                <c:pt idx="2481" formatCode="General">
                  <c:v>1097.8096228446495</c:v>
                </c:pt>
                <c:pt idx="2482" formatCode="General">
                  <c:v>886.10151323271509</c:v>
                </c:pt>
                <c:pt idx="2483" formatCode="General">
                  <c:v>883.03383361743806</c:v>
                </c:pt>
                <c:pt idx="2484" formatCode="General">
                  <c:v>937.83474875548518</c:v>
                </c:pt>
                <c:pt idx="2485" formatCode="General">
                  <c:v>1038.6177315684622</c:v>
                </c:pt>
                <c:pt idx="2486" formatCode="General">
                  <c:v>967.52547826313219</c:v>
                </c:pt>
                <c:pt idx="2487" formatCode="General">
                  <c:v>869.80370383338345</c:v>
                </c:pt>
                <c:pt idx="2488" formatCode="General">
                  <c:v>1198.8260030425959</c:v>
                </c:pt>
                <c:pt idx="2489" formatCode="General">
                  <c:v>818.68567304802662</c:v>
                </c:pt>
                <c:pt idx="2490" formatCode="General">
                  <c:v>1090.2491967147212</c:v>
                </c:pt>
                <c:pt idx="2491" formatCode="General">
                  <c:v>891.04299037902229</c:v>
                </c:pt>
                <c:pt idx="2492" formatCode="General">
                  <c:v>947.50669255204843</c:v>
                </c:pt>
                <c:pt idx="2493" formatCode="General">
                  <c:v>943.87215578792791</c:v>
                </c:pt>
                <c:pt idx="2494" formatCode="General">
                  <c:v>1106.1349581183204</c:v>
                </c:pt>
                <c:pt idx="2495" formatCode="General">
                  <c:v>812.67660317553793</c:v>
                </c:pt>
                <c:pt idx="2496" formatCode="General">
                  <c:v>1089.4637752091539</c:v>
                </c:pt>
                <c:pt idx="2497" formatCode="General">
                  <c:v>968.13217079275978</c:v>
                </c:pt>
                <c:pt idx="2498" formatCode="General">
                  <c:v>881.06673794895369</c:v>
                </c:pt>
                <c:pt idx="2499" formatCode="General">
                  <c:v>908.65633705386449</c:v>
                </c:pt>
                <c:pt idx="2500" formatCode="General">
                  <c:v>977.02679941270367</c:v>
                </c:pt>
                <c:pt idx="2501" formatCode="General">
                  <c:v>1029.7472544082825</c:v>
                </c:pt>
                <c:pt idx="2502" formatCode="General">
                  <c:v>901.144364366221</c:v>
                </c:pt>
                <c:pt idx="2503" formatCode="General">
                  <c:v>872.55799955228258</c:v>
                </c:pt>
                <c:pt idx="2504" formatCode="General">
                  <c:v>804.48949998587955</c:v>
                </c:pt>
                <c:pt idx="2505" formatCode="General">
                  <c:v>971.7021549782794</c:v>
                </c:pt>
                <c:pt idx="2506" formatCode="General">
                  <c:v>887.29443062707901</c:v>
                </c:pt>
                <c:pt idx="2507" formatCode="General">
                  <c:v>974.90346428404393</c:v>
                </c:pt>
                <c:pt idx="2508" formatCode="General">
                  <c:v>873.00640700204156</c:v>
                </c:pt>
                <c:pt idx="2509" formatCode="General">
                  <c:v>1191.5525230862461</c:v>
                </c:pt>
                <c:pt idx="2510" formatCode="General">
                  <c:v>901.85012538173385</c:v>
                </c:pt>
                <c:pt idx="2511" formatCode="General">
                  <c:v>857.24939474662403</c:v>
                </c:pt>
                <c:pt idx="2512" formatCode="General">
                  <c:v>992.73572310546626</c:v>
                </c:pt>
                <c:pt idx="2513" formatCode="General">
                  <c:v>879.91108345210569</c:v>
                </c:pt>
                <c:pt idx="2514" formatCode="General">
                  <c:v>1113.6227785280648</c:v>
                </c:pt>
                <c:pt idx="2515" formatCode="General">
                  <c:v>996.96793980392442</c:v>
                </c:pt>
                <c:pt idx="2516" formatCode="General">
                  <c:v>895.38663725029812</c:v>
                </c:pt>
                <c:pt idx="2517" formatCode="General">
                  <c:v>920.70219355134805</c:v>
                </c:pt>
                <c:pt idx="2518" formatCode="General">
                  <c:v>928.84158224412931</c:v>
                </c:pt>
                <c:pt idx="2519" formatCode="General">
                  <c:v>889.56568950559677</c:v>
                </c:pt>
                <c:pt idx="2520" formatCode="General">
                  <c:v>1220.3637114993946</c:v>
                </c:pt>
                <c:pt idx="2521" formatCode="General">
                  <c:v>886.41183148149673</c:v>
                </c:pt>
                <c:pt idx="2522" formatCode="General">
                  <c:v>1134.4635176304987</c:v>
                </c:pt>
                <c:pt idx="2523" formatCode="General">
                  <c:v>975.32828486187509</c:v>
                </c:pt>
                <c:pt idx="2524" formatCode="General">
                  <c:v>836.85859275796111</c:v>
                </c:pt>
                <c:pt idx="2525" formatCode="General">
                  <c:v>1101.2102935267492</c:v>
                </c:pt>
                <c:pt idx="2526" formatCode="General">
                  <c:v>904.3179596894422</c:v>
                </c:pt>
                <c:pt idx="2527" formatCode="General">
                  <c:v>878.56261006600505</c:v>
                </c:pt>
                <c:pt idx="2528" formatCode="General">
                  <c:v>823.89888923013905</c:v>
                </c:pt>
                <c:pt idx="2529" formatCode="General">
                  <c:v>970.59714553716037</c:v>
                </c:pt>
                <c:pt idx="2530" formatCode="General">
                  <c:v>911.36199018404716</c:v>
                </c:pt>
                <c:pt idx="2531" formatCode="General">
                  <c:v>818.53826448339169</c:v>
                </c:pt>
                <c:pt idx="2532" formatCode="General">
                  <c:v>802.10837578199425</c:v>
                </c:pt>
                <c:pt idx="2533" formatCode="General">
                  <c:v>1247.7914689998381</c:v>
                </c:pt>
                <c:pt idx="2534" formatCode="General">
                  <c:v>839.29193042587838</c:v>
                </c:pt>
                <c:pt idx="2535" formatCode="General">
                  <c:v>948.51003377989423</c:v>
                </c:pt>
                <c:pt idx="2536" formatCode="General">
                  <c:v>1238.5263582914765</c:v>
                </c:pt>
                <c:pt idx="2537" formatCode="General">
                  <c:v>970.4192705394596</c:v>
                </c:pt>
                <c:pt idx="2538" formatCode="General">
                  <c:v>928.39264780603298</c:v>
                </c:pt>
                <c:pt idx="2539" formatCode="General">
                  <c:v>907.63626475304773</c:v>
                </c:pt>
                <c:pt idx="2540" formatCode="General">
                  <c:v>943.4047426646448</c:v>
                </c:pt>
                <c:pt idx="2541" formatCode="General">
                  <c:v>1198.0558447597289</c:v>
                </c:pt>
                <c:pt idx="2542" formatCode="General">
                  <c:v>971.11496287862246</c:v>
                </c:pt>
                <c:pt idx="2543" formatCode="General">
                  <c:v>1150.9084207891635</c:v>
                </c:pt>
                <c:pt idx="2544" formatCode="General">
                  <c:v>999.26756339082169</c:v>
                </c:pt>
                <c:pt idx="2545" formatCode="General">
                  <c:v>925.12634282760905</c:v>
                </c:pt>
                <c:pt idx="2546" formatCode="General">
                  <c:v>895.37216611695499</c:v>
                </c:pt>
                <c:pt idx="2547" formatCode="General">
                  <c:v>907.08863379371394</c:v>
                </c:pt>
                <c:pt idx="2548" formatCode="General">
                  <c:v>998.25420559707459</c:v>
                </c:pt>
                <c:pt idx="2549" formatCode="General">
                  <c:v>914.83245853889605</c:v>
                </c:pt>
                <c:pt idx="2550" formatCode="General">
                  <c:v>926.41941733756289</c:v>
                </c:pt>
                <c:pt idx="2551" formatCode="General">
                  <c:v>927.35689758646447</c:v>
                </c:pt>
                <c:pt idx="2552" formatCode="General">
                  <c:v>849.81120229501414</c:v>
                </c:pt>
                <c:pt idx="2553" formatCode="General">
                  <c:v>1125.7189229568621</c:v>
                </c:pt>
                <c:pt idx="2554" formatCode="General">
                  <c:v>844.79343674914105</c:v>
                </c:pt>
                <c:pt idx="2555" formatCode="General">
                  <c:v>918.98823472691834</c:v>
                </c:pt>
                <c:pt idx="2556" formatCode="General">
                  <c:v>1135.0249961102199</c:v>
                </c:pt>
                <c:pt idx="2557" formatCode="General">
                  <c:v>831.57472986144978</c:v>
                </c:pt>
                <c:pt idx="2558" formatCode="General">
                  <c:v>962.55849242600152</c:v>
                </c:pt>
                <c:pt idx="2559" formatCode="General">
                  <c:v>957.74740530397844</c:v>
                </c:pt>
                <c:pt idx="2560" formatCode="General">
                  <c:v>1165.8644808384438</c:v>
                </c:pt>
                <c:pt idx="2561" formatCode="General">
                  <c:v>1014.9463153262295</c:v>
                </c:pt>
                <c:pt idx="2562" formatCode="General">
                  <c:v>1220.6410222207708</c:v>
                </c:pt>
                <c:pt idx="2563" formatCode="General">
                  <c:v>1188.3973579412855</c:v>
                </c:pt>
                <c:pt idx="2564" formatCode="General">
                  <c:v>847.52779284663825</c:v>
                </c:pt>
                <c:pt idx="2565" formatCode="General">
                  <c:v>1061.549202479508</c:v>
                </c:pt>
                <c:pt idx="2566" formatCode="General">
                  <c:v>910.63424814086181</c:v>
                </c:pt>
                <c:pt idx="2567" formatCode="General">
                  <c:v>934.5875890801866</c:v>
                </c:pt>
                <c:pt idx="2568" formatCode="General">
                  <c:v>979.28791517325158</c:v>
                </c:pt>
                <c:pt idx="2569" formatCode="General">
                  <c:v>1077.0132756270993</c:v>
                </c:pt>
                <c:pt idx="2570" formatCode="General">
                  <c:v>1068.8862249000158</c:v>
                </c:pt>
                <c:pt idx="2571" formatCode="General">
                  <c:v>1136.6091759816297</c:v>
                </c:pt>
                <c:pt idx="2572" formatCode="General">
                  <c:v>1019.7479927144693</c:v>
                </c:pt>
                <c:pt idx="2573" formatCode="General">
                  <c:v>1078.3487694057314</c:v>
                </c:pt>
                <c:pt idx="2574" formatCode="General">
                  <c:v>868.85625073673043</c:v>
                </c:pt>
                <c:pt idx="2575" formatCode="General">
                  <c:v>946.35488051568859</c:v>
                </c:pt>
                <c:pt idx="2576" formatCode="General">
                  <c:v>939.14410968604659</c:v>
                </c:pt>
                <c:pt idx="2577" formatCode="General">
                  <c:v>924.95373508435341</c:v>
                </c:pt>
                <c:pt idx="2578" formatCode="General">
                  <c:v>914.40301749177434</c:v>
                </c:pt>
                <c:pt idx="2579" formatCode="General">
                  <c:v>930.54601880490145</c:v>
                </c:pt>
                <c:pt idx="2580" formatCode="General">
                  <c:v>962.80861061061239</c:v>
                </c:pt>
                <c:pt idx="2581" formatCode="General">
                  <c:v>945.59971990337078</c:v>
                </c:pt>
                <c:pt idx="2582" formatCode="General">
                  <c:v>986.34173835227489</c:v>
                </c:pt>
                <c:pt idx="2583" formatCode="General">
                  <c:v>918.0297825052113</c:v>
                </c:pt>
                <c:pt idx="2584" formatCode="General">
                  <c:v>949.02058679255788</c:v>
                </c:pt>
                <c:pt idx="2585" formatCode="General">
                  <c:v>1003.1141990926266</c:v>
                </c:pt>
                <c:pt idx="2586" formatCode="General">
                  <c:v>1002.3355802467869</c:v>
                </c:pt>
                <c:pt idx="2587" formatCode="General">
                  <c:v>1081.3499003027816</c:v>
                </c:pt>
                <c:pt idx="2588" formatCode="General">
                  <c:v>934.39595828731285</c:v>
                </c:pt>
                <c:pt idx="2589" formatCode="General">
                  <c:v>1173.8449336878996</c:v>
                </c:pt>
                <c:pt idx="2590" formatCode="General">
                  <c:v>892.38994461538698</c:v>
                </c:pt>
                <c:pt idx="2591" formatCode="General">
                  <c:v>848.42246609131132</c:v>
                </c:pt>
                <c:pt idx="2592" formatCode="General">
                  <c:v>900.31413683480775</c:v>
                </c:pt>
                <c:pt idx="2593" formatCode="General">
                  <c:v>1033.7260339908787</c:v>
                </c:pt>
                <c:pt idx="2594" formatCode="General">
                  <c:v>945.78533651672149</c:v>
                </c:pt>
                <c:pt idx="2595" formatCode="General">
                  <c:v>1215.5360941691231</c:v>
                </c:pt>
                <c:pt idx="2596" formatCode="General">
                  <c:v>966.10389504037039</c:v>
                </c:pt>
                <c:pt idx="2597" formatCode="General">
                  <c:v>902.73534750118654</c:v>
                </c:pt>
                <c:pt idx="2598" formatCode="General">
                  <c:v>888.74809998241756</c:v>
                </c:pt>
                <c:pt idx="2599" formatCode="General">
                  <c:v>889.30382529752626</c:v>
                </c:pt>
                <c:pt idx="2600" formatCode="General">
                  <c:v>961.10669877708597</c:v>
                </c:pt>
                <c:pt idx="2601" formatCode="General">
                  <c:v>886.83034087078454</c:v>
                </c:pt>
                <c:pt idx="2602" formatCode="General">
                  <c:v>1166.0166403696489</c:v>
                </c:pt>
                <c:pt idx="2603" formatCode="General">
                  <c:v>1100.0408947268247</c:v>
                </c:pt>
                <c:pt idx="2604" formatCode="General">
                  <c:v>971.77178480581324</c:v>
                </c:pt>
                <c:pt idx="2605" formatCode="General">
                  <c:v>965.93478666987767</c:v>
                </c:pt>
                <c:pt idx="2606" formatCode="General">
                  <c:v>1056.8935430447698</c:v>
                </c:pt>
                <c:pt idx="2607" formatCode="General">
                  <c:v>1075.480610064983</c:v>
                </c:pt>
                <c:pt idx="2608" formatCode="General">
                  <c:v>932.47026384555306</c:v>
                </c:pt>
                <c:pt idx="2609" formatCode="General">
                  <c:v>906.17317199658021</c:v>
                </c:pt>
                <c:pt idx="2610" formatCode="General">
                  <c:v>1126.774020388385</c:v>
                </c:pt>
                <c:pt idx="2611" formatCode="General">
                  <c:v>976.21534786327322</c:v>
                </c:pt>
                <c:pt idx="2612" formatCode="General">
                  <c:v>875.21465521940945</c:v>
                </c:pt>
                <c:pt idx="2613" formatCode="General">
                  <c:v>918.97603684583362</c:v>
                </c:pt>
                <c:pt idx="2614" formatCode="General">
                  <c:v>1164.0021444840993</c:v>
                </c:pt>
                <c:pt idx="2615" formatCode="General">
                  <c:v>1094.6591761302261</c:v>
                </c:pt>
                <c:pt idx="2616" formatCode="General">
                  <c:v>958.34658197487897</c:v>
                </c:pt>
                <c:pt idx="2617" formatCode="General">
                  <c:v>951.07137266646851</c:v>
                </c:pt>
                <c:pt idx="2618" formatCode="General">
                  <c:v>1087.9320955646917</c:v>
                </c:pt>
                <c:pt idx="2619" formatCode="General">
                  <c:v>1067.7106096407938</c:v>
                </c:pt>
                <c:pt idx="2620" formatCode="General">
                  <c:v>1171.8088743091173</c:v>
                </c:pt>
                <c:pt idx="2621" formatCode="General">
                  <c:v>928.9606168014875</c:v>
                </c:pt>
                <c:pt idx="2622" formatCode="General">
                  <c:v>944.82949266167975</c:v>
                </c:pt>
                <c:pt idx="2623" formatCode="General">
                  <c:v>1006.9884957084153</c:v>
                </c:pt>
                <c:pt idx="2624" formatCode="General">
                  <c:v>963.84217898107488</c:v>
                </c:pt>
                <c:pt idx="2625" formatCode="General">
                  <c:v>878.6886311585796</c:v>
                </c:pt>
                <c:pt idx="2626" formatCode="General">
                  <c:v>953.62504993891491</c:v>
                </c:pt>
                <c:pt idx="2627" formatCode="General">
                  <c:v>814.53557474801312</c:v>
                </c:pt>
                <c:pt idx="2628" formatCode="General">
                  <c:v>892.09652441686137</c:v>
                </c:pt>
                <c:pt idx="2629" formatCode="General">
                  <c:v>849.47036807648362</c:v>
                </c:pt>
                <c:pt idx="2630" formatCode="General">
                  <c:v>1090.3299766295454</c:v>
                </c:pt>
                <c:pt idx="2631" formatCode="General">
                  <c:v>1024.7690668408932</c:v>
                </c:pt>
                <c:pt idx="2632" formatCode="General">
                  <c:v>1207.3017126974878</c:v>
                </c:pt>
                <c:pt idx="2633" formatCode="General">
                  <c:v>1072.0730161549945</c:v>
                </c:pt>
                <c:pt idx="2634" formatCode="General">
                  <c:v>1047.6261767798844</c:v>
                </c:pt>
                <c:pt idx="2635" formatCode="General">
                  <c:v>964.06800745623025</c:v>
                </c:pt>
                <c:pt idx="2636" formatCode="General">
                  <c:v>1090.2314091275184</c:v>
                </c:pt>
                <c:pt idx="2637" formatCode="General">
                  <c:v>960.2156216702582</c:v>
                </c:pt>
                <c:pt idx="2638" formatCode="General">
                  <c:v>877.44703103307836</c:v>
                </c:pt>
                <c:pt idx="2639" formatCode="General">
                  <c:v>1240.0913003698229</c:v>
                </c:pt>
                <c:pt idx="2640" formatCode="General">
                  <c:v>897.10978040035252</c:v>
                </c:pt>
                <c:pt idx="2641" formatCode="General">
                  <c:v>1041.7795161374947</c:v>
                </c:pt>
                <c:pt idx="2642" formatCode="General">
                  <c:v>872.26744125449432</c:v>
                </c:pt>
                <c:pt idx="2643" formatCode="General">
                  <c:v>1122.6454889258414</c:v>
                </c:pt>
                <c:pt idx="2644" formatCode="General">
                  <c:v>920.29378263716933</c:v>
                </c:pt>
                <c:pt idx="2645" formatCode="General">
                  <c:v>1075.5069990915276</c:v>
                </c:pt>
                <c:pt idx="2646" formatCode="General">
                  <c:v>850.23785715673785</c:v>
                </c:pt>
                <c:pt idx="2647" formatCode="General">
                  <c:v>938.52292667945687</c:v>
                </c:pt>
                <c:pt idx="2648" formatCode="General">
                  <c:v>906.46868913129322</c:v>
                </c:pt>
                <c:pt idx="2649" formatCode="General">
                  <c:v>1069.1249582730059</c:v>
                </c:pt>
                <c:pt idx="2650" formatCode="General">
                  <c:v>850.02929322881187</c:v>
                </c:pt>
                <c:pt idx="2651" formatCode="General">
                  <c:v>897.81658551166799</c:v>
                </c:pt>
                <c:pt idx="2652" formatCode="General">
                  <c:v>1116.600138609861</c:v>
                </c:pt>
                <c:pt idx="2653" formatCode="General">
                  <c:v>1102.9254991112218</c:v>
                </c:pt>
                <c:pt idx="2654" formatCode="General">
                  <c:v>937.36814042674769</c:v>
                </c:pt>
                <c:pt idx="2655" formatCode="General">
                  <c:v>1044.3665198145918</c:v>
                </c:pt>
                <c:pt idx="2656" formatCode="General">
                  <c:v>913.11536623175778</c:v>
                </c:pt>
                <c:pt idx="2657" formatCode="General">
                  <c:v>959.81626281921172</c:v>
                </c:pt>
                <c:pt idx="2658" formatCode="General">
                  <c:v>876.79481501780856</c:v>
                </c:pt>
                <c:pt idx="2659" formatCode="General">
                  <c:v>964.47721291743653</c:v>
                </c:pt>
                <c:pt idx="2660" formatCode="General">
                  <c:v>850.96210018467877</c:v>
                </c:pt>
                <c:pt idx="2661" formatCode="General">
                  <c:v>885.92035470167014</c:v>
                </c:pt>
                <c:pt idx="2662" formatCode="General">
                  <c:v>1131.6022403478728</c:v>
                </c:pt>
                <c:pt idx="2663" formatCode="General">
                  <c:v>1020.3094586395383</c:v>
                </c:pt>
                <c:pt idx="2664" formatCode="General">
                  <c:v>1322.8733602422114</c:v>
                </c:pt>
                <c:pt idx="2665" formatCode="General">
                  <c:v>935.63876215026448</c:v>
                </c:pt>
                <c:pt idx="2666" formatCode="General">
                  <c:v>926.21921783018217</c:v>
                </c:pt>
                <c:pt idx="2667" formatCode="General">
                  <c:v>1061.7122661775293</c:v>
                </c:pt>
                <c:pt idx="2668" formatCode="General">
                  <c:v>941.40187607548728</c:v>
                </c:pt>
                <c:pt idx="2669" formatCode="General">
                  <c:v>920.5908218553343</c:v>
                </c:pt>
                <c:pt idx="2670" formatCode="General">
                  <c:v>910.90863653778047</c:v>
                </c:pt>
                <c:pt idx="2671" formatCode="General">
                  <c:v>996.81357350721805</c:v>
                </c:pt>
                <c:pt idx="2672" formatCode="General">
                  <c:v>1013.0305526046301</c:v>
                </c:pt>
                <c:pt idx="2673" formatCode="General">
                  <c:v>833.01614216974235</c:v>
                </c:pt>
                <c:pt idx="2674" formatCode="General">
                  <c:v>959.2109022398048</c:v>
                </c:pt>
                <c:pt idx="2675" formatCode="General">
                  <c:v>826.43313207071867</c:v>
                </c:pt>
                <c:pt idx="2676" formatCode="General">
                  <c:v>945.37076060920981</c:v>
                </c:pt>
                <c:pt idx="2677" formatCode="General">
                  <c:v>1028.3948878821743</c:v>
                </c:pt>
                <c:pt idx="2678" formatCode="General">
                  <c:v>845.47708171858005</c:v>
                </c:pt>
                <c:pt idx="2679" formatCode="General">
                  <c:v>887.81871343339458</c:v>
                </c:pt>
                <c:pt idx="2680" formatCode="General">
                  <c:v>1223.9061201176378</c:v>
                </c:pt>
                <c:pt idx="2681" formatCode="General">
                  <c:v>1192.8196946422258</c:v>
                </c:pt>
                <c:pt idx="2682" formatCode="General">
                  <c:v>850.0042804071079</c:v>
                </c:pt>
                <c:pt idx="2683" formatCode="General">
                  <c:v>921.11423989811146</c:v>
                </c:pt>
                <c:pt idx="2684" formatCode="General">
                  <c:v>876.86772960011569</c:v>
                </c:pt>
                <c:pt idx="2685" formatCode="General">
                  <c:v>955.12039462745145</c:v>
                </c:pt>
                <c:pt idx="2686" formatCode="General">
                  <c:v>851.65977024792858</c:v>
                </c:pt>
                <c:pt idx="2687" formatCode="General">
                  <c:v>1170.5605473558744</c:v>
                </c:pt>
                <c:pt idx="2688" formatCode="General">
                  <c:v>1001.8956229003455</c:v>
                </c:pt>
                <c:pt idx="2689" formatCode="General">
                  <c:v>1112.4271247234801</c:v>
                </c:pt>
                <c:pt idx="2690" formatCode="General">
                  <c:v>851.56200220456867</c:v>
                </c:pt>
                <c:pt idx="2691" formatCode="General">
                  <c:v>930.01487645082182</c:v>
                </c:pt>
                <c:pt idx="2692" formatCode="General">
                  <c:v>814.63613129961971</c:v>
                </c:pt>
                <c:pt idx="2693" formatCode="General">
                  <c:v>838.44626884861725</c:v>
                </c:pt>
                <c:pt idx="2694" formatCode="General">
                  <c:v>906.73367086161807</c:v>
                </c:pt>
                <c:pt idx="2695" formatCode="General">
                  <c:v>963.95420939739608</c:v>
                </c:pt>
                <c:pt idx="2696" formatCode="General">
                  <c:v>1090.0906598760987</c:v>
                </c:pt>
                <c:pt idx="2697" formatCode="General">
                  <c:v>1160.0429400754958</c:v>
                </c:pt>
                <c:pt idx="2698" formatCode="General">
                  <c:v>879.68795697364158</c:v>
                </c:pt>
                <c:pt idx="2699" formatCode="General">
                  <c:v>895.3614756847337</c:v>
                </c:pt>
                <c:pt idx="2700" formatCode="General">
                  <c:v>1021.7612173626939</c:v>
                </c:pt>
                <c:pt idx="2701" formatCode="General">
                  <c:v>865.83520790633247</c:v>
                </c:pt>
                <c:pt idx="2702" formatCode="General">
                  <c:v>1067.0950470297194</c:v>
                </c:pt>
                <c:pt idx="2703" formatCode="General">
                  <c:v>961.02179913366695</c:v>
                </c:pt>
                <c:pt idx="2704" formatCode="General">
                  <c:v>873.94255330219914</c:v>
                </c:pt>
                <c:pt idx="2705" formatCode="General">
                  <c:v>800.72684243415586</c:v>
                </c:pt>
                <c:pt idx="2706" formatCode="General">
                  <c:v>813.25540085027808</c:v>
                </c:pt>
                <c:pt idx="2707" formatCode="General">
                  <c:v>866.18225702859786</c:v>
                </c:pt>
                <c:pt idx="2708" formatCode="General">
                  <c:v>1003.0404365812306</c:v>
                </c:pt>
                <c:pt idx="2709" formatCode="General">
                  <c:v>1040.9772229797863</c:v>
                </c:pt>
                <c:pt idx="2710" formatCode="General">
                  <c:v>907.51810941489111</c:v>
                </c:pt>
                <c:pt idx="2711" formatCode="General">
                  <c:v>967.62714044043082</c:v>
                </c:pt>
                <c:pt idx="2712" formatCode="General">
                  <c:v>893.15237076031167</c:v>
                </c:pt>
                <c:pt idx="2713" formatCode="General">
                  <c:v>1029.9870120570083</c:v>
                </c:pt>
                <c:pt idx="2714" formatCode="General">
                  <c:v>1165.0687124059696</c:v>
                </c:pt>
                <c:pt idx="2715" formatCode="General">
                  <c:v>833.47586867154689</c:v>
                </c:pt>
                <c:pt idx="2716" formatCode="General">
                  <c:v>1053.3196969347784</c:v>
                </c:pt>
                <c:pt idx="2717" formatCode="General">
                  <c:v>926.56869598414471</c:v>
                </c:pt>
                <c:pt idx="2718" formatCode="General">
                  <c:v>918.61120901165134</c:v>
                </c:pt>
                <c:pt idx="2719" formatCode="General">
                  <c:v>909.7138862880912</c:v>
                </c:pt>
                <c:pt idx="2720" formatCode="General">
                  <c:v>937.49164805696489</c:v>
                </c:pt>
                <c:pt idx="2721" formatCode="General">
                  <c:v>886.98313526440188</c:v>
                </c:pt>
                <c:pt idx="2722" formatCode="General">
                  <c:v>960.66517365412324</c:v>
                </c:pt>
                <c:pt idx="2723" formatCode="General">
                  <c:v>861.95271456718615</c:v>
                </c:pt>
                <c:pt idx="2724" formatCode="General">
                  <c:v>1044.7845760066207</c:v>
                </c:pt>
                <c:pt idx="2725" formatCode="General">
                  <c:v>902.99195646123883</c:v>
                </c:pt>
                <c:pt idx="2726" formatCode="General">
                  <c:v>983.41633558388151</c:v>
                </c:pt>
                <c:pt idx="2727" formatCode="General">
                  <c:v>904.79121039613153</c:v>
                </c:pt>
                <c:pt idx="2728" formatCode="General">
                  <c:v>888.29106762097751</c:v>
                </c:pt>
                <c:pt idx="2729" formatCode="General">
                  <c:v>997.67948500579769</c:v>
                </c:pt>
                <c:pt idx="2730" formatCode="General">
                  <c:v>804.66547724503505</c:v>
                </c:pt>
                <c:pt idx="2731" formatCode="General">
                  <c:v>878.33850255216328</c:v>
                </c:pt>
                <c:pt idx="2732" formatCode="General">
                  <c:v>851.54584043655427</c:v>
                </c:pt>
                <c:pt idx="2733" formatCode="General">
                  <c:v>970.24773107812416</c:v>
                </c:pt>
                <c:pt idx="2734" formatCode="General">
                  <c:v>859.42838317103451</c:v>
                </c:pt>
                <c:pt idx="2735" formatCode="General">
                  <c:v>837.06425735655523</c:v>
                </c:pt>
                <c:pt idx="2736" formatCode="General">
                  <c:v>1020.6251840007019</c:v>
                </c:pt>
                <c:pt idx="2737" formatCode="General">
                  <c:v>903.69881730402278</c:v>
                </c:pt>
                <c:pt idx="2738" formatCode="General">
                  <c:v>913.02019976900056</c:v>
                </c:pt>
                <c:pt idx="2739" formatCode="General">
                  <c:v>863.72757800927957</c:v>
                </c:pt>
                <c:pt idx="2740" formatCode="General">
                  <c:v>855.0136160424064</c:v>
                </c:pt>
                <c:pt idx="2741" formatCode="General">
                  <c:v>1062.5452904767385</c:v>
                </c:pt>
                <c:pt idx="2742" formatCode="General">
                  <c:v>1200.2890334573046</c:v>
                </c:pt>
                <c:pt idx="2743" formatCode="General">
                  <c:v>1092.7464312889406</c:v>
                </c:pt>
                <c:pt idx="2744" formatCode="General">
                  <c:v>886.44564773384013</c:v>
                </c:pt>
                <c:pt idx="2745" formatCode="General">
                  <c:v>1001.1104118953283</c:v>
                </c:pt>
                <c:pt idx="2746" formatCode="General">
                  <c:v>934.1760275774983</c:v>
                </c:pt>
                <c:pt idx="2747" formatCode="General">
                  <c:v>977.40646314220623</c:v>
                </c:pt>
                <c:pt idx="2748" formatCode="General">
                  <c:v>907.99917591694589</c:v>
                </c:pt>
                <c:pt idx="2749" formatCode="General">
                  <c:v>869.32251010658297</c:v>
                </c:pt>
                <c:pt idx="2750" formatCode="General">
                  <c:v>845.07891283767287</c:v>
                </c:pt>
                <c:pt idx="2751" formatCode="General">
                  <c:v>906.19951355052535</c:v>
                </c:pt>
                <c:pt idx="2752" formatCode="General">
                  <c:v>966.02272560945983</c:v>
                </c:pt>
                <c:pt idx="2753" formatCode="General">
                  <c:v>1158.3545843425945</c:v>
                </c:pt>
                <c:pt idx="2754" formatCode="General">
                  <c:v>963.38398707109684</c:v>
                </c:pt>
                <c:pt idx="2755" formatCode="General">
                  <c:v>887.79590723771298</c:v>
                </c:pt>
                <c:pt idx="2756" formatCode="General">
                  <c:v>1094.9258443886529</c:v>
                </c:pt>
                <c:pt idx="2757" formatCode="General">
                  <c:v>1150.4286877724926</c:v>
                </c:pt>
                <c:pt idx="2758" formatCode="General">
                  <c:v>1032.2732745206865</c:v>
                </c:pt>
                <c:pt idx="2759" formatCode="General">
                  <c:v>885.29501371613617</c:v>
                </c:pt>
                <c:pt idx="2760" formatCode="General">
                  <c:v>915.3850146292117</c:v>
                </c:pt>
                <c:pt idx="2761" formatCode="General">
                  <c:v>871.96746435985608</c:v>
                </c:pt>
                <c:pt idx="2762" formatCode="General">
                  <c:v>944.33361258063769</c:v>
                </c:pt>
                <c:pt idx="2763" formatCode="General">
                  <c:v>1250.4688382755455</c:v>
                </c:pt>
                <c:pt idx="2764" formatCode="General">
                  <c:v>874.84171662585891</c:v>
                </c:pt>
                <c:pt idx="2765" formatCode="General">
                  <c:v>920.0064494366967</c:v>
                </c:pt>
                <c:pt idx="2766" formatCode="General">
                  <c:v>1001.7626635708</c:v>
                </c:pt>
                <c:pt idx="2767" formatCode="General">
                  <c:v>839.65123334843656</c:v>
                </c:pt>
                <c:pt idx="2768" formatCode="General">
                  <c:v>862.04254587893797</c:v>
                </c:pt>
                <c:pt idx="2769" formatCode="General">
                  <c:v>1132.2521258038364</c:v>
                </c:pt>
                <c:pt idx="2770" formatCode="General">
                  <c:v>1045.9793078129767</c:v>
                </c:pt>
                <c:pt idx="2771" formatCode="General">
                  <c:v>889.51032238462574</c:v>
                </c:pt>
                <c:pt idx="2772" formatCode="General">
                  <c:v>1087.7133422661818</c:v>
                </c:pt>
                <c:pt idx="2773" formatCode="General">
                  <c:v>1126.2968229472472</c:v>
                </c:pt>
                <c:pt idx="2774" formatCode="General">
                  <c:v>1171.1372964883567</c:v>
                </c:pt>
                <c:pt idx="2775" formatCode="General">
                  <c:v>847.06415288188407</c:v>
                </c:pt>
                <c:pt idx="2776" formatCode="General">
                  <c:v>1079.9788547494895</c:v>
                </c:pt>
                <c:pt idx="2777" formatCode="General">
                  <c:v>1085.9436965098598</c:v>
                </c:pt>
                <c:pt idx="2778" formatCode="General">
                  <c:v>1182.3579852154351</c:v>
                </c:pt>
                <c:pt idx="2779" formatCode="General">
                  <c:v>886.27017834680191</c:v>
                </c:pt>
                <c:pt idx="2780" formatCode="General">
                  <c:v>836.43863727911241</c:v>
                </c:pt>
                <c:pt idx="2781" formatCode="General">
                  <c:v>866.05912831686237</c:v>
                </c:pt>
                <c:pt idx="2782" formatCode="General">
                  <c:v>940.18596314950742</c:v>
                </c:pt>
                <c:pt idx="2783" formatCode="General">
                  <c:v>1120.7342820718384</c:v>
                </c:pt>
                <c:pt idx="2784" formatCode="General">
                  <c:v>839.58707445918719</c:v>
                </c:pt>
                <c:pt idx="2785" formatCode="General">
                  <c:v>853.83130054569108</c:v>
                </c:pt>
                <c:pt idx="2786" formatCode="General">
                  <c:v>942.04821889471509</c:v>
                </c:pt>
                <c:pt idx="2787" formatCode="General">
                  <c:v>856.69960809662632</c:v>
                </c:pt>
                <c:pt idx="2788" formatCode="General">
                  <c:v>905.32745440126223</c:v>
                </c:pt>
                <c:pt idx="2789" formatCode="General">
                  <c:v>962.84022303766517</c:v>
                </c:pt>
                <c:pt idx="2790" formatCode="General">
                  <c:v>897.36370126785425</c:v>
                </c:pt>
                <c:pt idx="2791" formatCode="General">
                  <c:v>907.49588987437789</c:v>
                </c:pt>
                <c:pt idx="2792" formatCode="General">
                  <c:v>1096.3584453943263</c:v>
                </c:pt>
                <c:pt idx="2793" formatCode="General">
                  <c:v>998.7699719469673</c:v>
                </c:pt>
                <c:pt idx="2794" formatCode="General">
                  <c:v>923.883551028836</c:v>
                </c:pt>
                <c:pt idx="2795" formatCode="General">
                  <c:v>1087.6911712511344</c:v>
                </c:pt>
                <c:pt idx="2796" formatCode="General">
                  <c:v>872.37675897421173</c:v>
                </c:pt>
                <c:pt idx="2797" formatCode="General">
                  <c:v>1070.339244728475</c:v>
                </c:pt>
                <c:pt idx="2798" formatCode="General">
                  <c:v>874.2285842732698</c:v>
                </c:pt>
                <c:pt idx="2799" formatCode="General">
                  <c:v>995.00175615680428</c:v>
                </c:pt>
                <c:pt idx="2800" formatCode="General">
                  <c:v>871.63218356779578</c:v>
                </c:pt>
                <c:pt idx="2801" formatCode="General">
                  <c:v>1005.6471848923602</c:v>
                </c:pt>
                <c:pt idx="2802" formatCode="General">
                  <c:v>840.14546090247154</c:v>
                </c:pt>
                <c:pt idx="2803" formatCode="General">
                  <c:v>891.01954953203153</c:v>
                </c:pt>
                <c:pt idx="2804" formatCode="General">
                  <c:v>843.44752160559756</c:v>
                </c:pt>
                <c:pt idx="2805" formatCode="General">
                  <c:v>1072.1779995126819</c:v>
                </c:pt>
                <c:pt idx="2806" formatCode="General">
                  <c:v>1161.4851177219587</c:v>
                </c:pt>
                <c:pt idx="2807" formatCode="General">
                  <c:v>859.45661843452331</c:v>
                </c:pt>
                <c:pt idx="2808" formatCode="General">
                  <c:v>951.31488336669577</c:v>
                </c:pt>
                <c:pt idx="2809" formatCode="General">
                  <c:v>1136.1377227731871</c:v>
                </c:pt>
                <c:pt idx="2810" formatCode="General">
                  <c:v>1002.3540787875701</c:v>
                </c:pt>
                <c:pt idx="2811" formatCode="General">
                  <c:v>953.80288729722326</c:v>
                </c:pt>
                <c:pt idx="2812" formatCode="General">
                  <c:v>1040.260104819846</c:v>
                </c:pt>
                <c:pt idx="2813" formatCode="General">
                  <c:v>1096.5240229289711</c:v>
                </c:pt>
                <c:pt idx="2814" formatCode="General">
                  <c:v>919.36547835073407</c:v>
                </c:pt>
                <c:pt idx="2815" formatCode="General">
                  <c:v>925.98333728485488</c:v>
                </c:pt>
                <c:pt idx="2816" formatCode="General">
                  <c:v>824.6513657107638</c:v>
                </c:pt>
                <c:pt idx="2817" formatCode="General">
                  <c:v>935.23574537888123</c:v>
                </c:pt>
                <c:pt idx="2818" formatCode="General">
                  <c:v>1024.4694611096829</c:v>
                </c:pt>
                <c:pt idx="2819" formatCode="General">
                  <c:v>954.05708329010952</c:v>
                </c:pt>
                <c:pt idx="2820" formatCode="General">
                  <c:v>1116.4291712826018</c:v>
                </c:pt>
                <c:pt idx="2821" formatCode="General">
                  <c:v>1138.4043164338727</c:v>
                </c:pt>
                <c:pt idx="2822" formatCode="General">
                  <c:v>967.27220153419842</c:v>
                </c:pt>
                <c:pt idx="2823" formatCode="General">
                  <c:v>809.99625477488792</c:v>
                </c:pt>
                <c:pt idx="2824" formatCode="General">
                  <c:v>1127.1795112177499</c:v>
                </c:pt>
                <c:pt idx="2825" formatCode="General">
                  <c:v>861.33225160569737</c:v>
                </c:pt>
                <c:pt idx="2826" formatCode="General">
                  <c:v>871.40991960791825</c:v>
                </c:pt>
                <c:pt idx="2827" formatCode="General">
                  <c:v>1243.823853176882</c:v>
                </c:pt>
                <c:pt idx="2828" formatCode="General">
                  <c:v>875.72428196737701</c:v>
                </c:pt>
                <c:pt idx="2829" formatCode="General">
                  <c:v>1089.0697541796051</c:v>
                </c:pt>
                <c:pt idx="2830" formatCode="General">
                  <c:v>919.04756245630972</c:v>
                </c:pt>
                <c:pt idx="2831" formatCode="General">
                  <c:v>922.01680623976119</c:v>
                </c:pt>
                <c:pt idx="2832" formatCode="General">
                  <c:v>1021.0594725728561</c:v>
                </c:pt>
                <c:pt idx="2833" formatCode="General">
                  <c:v>888.44177206028269</c:v>
                </c:pt>
                <c:pt idx="2834" formatCode="General">
                  <c:v>867.47468032572715</c:v>
                </c:pt>
                <c:pt idx="2835" formatCode="General">
                  <c:v>890.48093100664391</c:v>
                </c:pt>
                <c:pt idx="2836" formatCode="General">
                  <c:v>862.17359216115426</c:v>
                </c:pt>
                <c:pt idx="2837" formatCode="General">
                  <c:v>1124.2567004197729</c:v>
                </c:pt>
                <c:pt idx="2838" formatCode="General">
                  <c:v>985.97302412397164</c:v>
                </c:pt>
                <c:pt idx="2839" formatCode="General">
                  <c:v>950.03087020689202</c:v>
                </c:pt>
                <c:pt idx="2840" formatCode="General">
                  <c:v>929.16852156686366</c:v>
                </c:pt>
                <c:pt idx="2841" formatCode="General">
                  <c:v>946.72022933482219</c:v>
                </c:pt>
                <c:pt idx="2842" formatCode="General">
                  <c:v>1145.1302433700826</c:v>
                </c:pt>
                <c:pt idx="2843" formatCode="General">
                  <c:v>1108.5839722656215</c:v>
                </c:pt>
                <c:pt idx="2844" formatCode="General">
                  <c:v>874.74613031904926</c:v>
                </c:pt>
                <c:pt idx="2845" formatCode="General">
                  <c:v>1005.8217063500665</c:v>
                </c:pt>
                <c:pt idx="2846" formatCode="General">
                  <c:v>990.67206270257066</c:v>
                </c:pt>
                <c:pt idx="2847" formatCode="General">
                  <c:v>804.18855975467045</c:v>
                </c:pt>
                <c:pt idx="2848" formatCode="General">
                  <c:v>1011.9003592303067</c:v>
                </c:pt>
                <c:pt idx="2849" formatCode="General">
                  <c:v>1041.7738140974159</c:v>
                </c:pt>
                <c:pt idx="2850" formatCode="General">
                  <c:v>1104.5538092102468</c:v>
                </c:pt>
                <c:pt idx="2851" formatCode="General">
                  <c:v>974.16973633640544</c:v>
                </c:pt>
                <c:pt idx="2852" formatCode="General">
                  <c:v>982.77513641410223</c:v>
                </c:pt>
                <c:pt idx="2853" formatCode="General">
                  <c:v>1207.6435463669734</c:v>
                </c:pt>
                <c:pt idx="2854" formatCode="General">
                  <c:v>877.24242385520154</c:v>
                </c:pt>
                <c:pt idx="2855" formatCode="General">
                  <c:v>901.77125150665063</c:v>
                </c:pt>
                <c:pt idx="2856" formatCode="General">
                  <c:v>975.93562689737394</c:v>
                </c:pt>
                <c:pt idx="2857" formatCode="General">
                  <c:v>928.1390002481786</c:v>
                </c:pt>
                <c:pt idx="2858" formatCode="General">
                  <c:v>893.50568574571844</c:v>
                </c:pt>
                <c:pt idx="2859" formatCode="General">
                  <c:v>1163.0843485557489</c:v>
                </c:pt>
                <c:pt idx="2860" formatCode="General">
                  <c:v>846.18327753611402</c:v>
                </c:pt>
                <c:pt idx="2861" formatCode="General">
                  <c:v>1084.0128122184183</c:v>
                </c:pt>
                <c:pt idx="2862" formatCode="General">
                  <c:v>928.22227926673793</c:v>
                </c:pt>
                <c:pt idx="2863" formatCode="General">
                  <c:v>1158.5277180756848</c:v>
                </c:pt>
                <c:pt idx="2864" formatCode="General">
                  <c:v>902.16829777899807</c:v>
                </c:pt>
                <c:pt idx="2865" formatCode="General">
                  <c:v>983.28466317278435</c:v>
                </c:pt>
                <c:pt idx="2866" formatCode="General">
                  <c:v>910.31681792686186</c:v>
                </c:pt>
                <c:pt idx="2867" formatCode="General">
                  <c:v>1186.9497249143794</c:v>
                </c:pt>
                <c:pt idx="2868" formatCode="General">
                  <c:v>941.44600173437254</c:v>
                </c:pt>
                <c:pt idx="2869" formatCode="General">
                  <c:v>936.03063557767416</c:v>
                </c:pt>
                <c:pt idx="2870" formatCode="General">
                  <c:v>1153.02617760716</c:v>
                </c:pt>
                <c:pt idx="2871" formatCode="General">
                  <c:v>901.6289975465055</c:v>
                </c:pt>
                <c:pt idx="2872" formatCode="General">
                  <c:v>1086.6917133372867</c:v>
                </c:pt>
                <c:pt idx="2873" formatCode="General">
                  <c:v>962.01792995415997</c:v>
                </c:pt>
                <c:pt idx="2874" formatCode="General">
                  <c:v>907.69616918588747</c:v>
                </c:pt>
                <c:pt idx="2875" formatCode="General">
                  <c:v>1005.3504708859243</c:v>
                </c:pt>
                <c:pt idx="2876" formatCode="General">
                  <c:v>905.96792883947785</c:v>
                </c:pt>
                <c:pt idx="2877" formatCode="General">
                  <c:v>924.19043603319278</c:v>
                </c:pt>
                <c:pt idx="2878" formatCode="General">
                  <c:v>909.59107781854016</c:v>
                </c:pt>
                <c:pt idx="2879" formatCode="General">
                  <c:v>843.31813050118592</c:v>
                </c:pt>
                <c:pt idx="2880" formatCode="General">
                  <c:v>919.38065919397957</c:v>
                </c:pt>
                <c:pt idx="2881" formatCode="General">
                  <c:v>986.8751611750555</c:v>
                </c:pt>
                <c:pt idx="2882" formatCode="General">
                  <c:v>949.10646853484241</c:v>
                </c:pt>
                <c:pt idx="2883" formatCode="General">
                  <c:v>938.91047747632251</c:v>
                </c:pt>
                <c:pt idx="2884" formatCode="General">
                  <c:v>929.33849940608366</c:v>
                </c:pt>
                <c:pt idx="2885" formatCode="General">
                  <c:v>969.66462063641268</c:v>
                </c:pt>
                <c:pt idx="2886" formatCode="General">
                  <c:v>1001.716128398265</c:v>
                </c:pt>
                <c:pt idx="2887" formatCode="General">
                  <c:v>1129.8184354037289</c:v>
                </c:pt>
                <c:pt idx="2888" formatCode="General">
                  <c:v>1042.1957295338148</c:v>
                </c:pt>
                <c:pt idx="2889" formatCode="General">
                  <c:v>929.0819974167938</c:v>
                </c:pt>
                <c:pt idx="2890" formatCode="General">
                  <c:v>872.79582781984698</c:v>
                </c:pt>
                <c:pt idx="2891" formatCode="General">
                  <c:v>882.8426246265891</c:v>
                </c:pt>
                <c:pt idx="2892" formatCode="General">
                  <c:v>1111.5557135650433</c:v>
                </c:pt>
                <c:pt idx="2893" formatCode="General">
                  <c:v>883.35304792883107</c:v>
                </c:pt>
                <c:pt idx="2894" formatCode="General">
                  <c:v>1116.204592676557</c:v>
                </c:pt>
                <c:pt idx="2895" formatCode="General">
                  <c:v>869.40309688592959</c:v>
                </c:pt>
                <c:pt idx="2896" formatCode="General">
                  <c:v>1068.7675429735466</c:v>
                </c:pt>
                <c:pt idx="2897" formatCode="General">
                  <c:v>1064.4563902550826</c:v>
                </c:pt>
                <c:pt idx="2898" formatCode="General">
                  <c:v>1002.1192932075345</c:v>
                </c:pt>
                <c:pt idx="2899" formatCode="General">
                  <c:v>953.23333535337906</c:v>
                </c:pt>
                <c:pt idx="2900" formatCode="General">
                  <c:v>1028.0435860402304</c:v>
                </c:pt>
                <c:pt idx="2901" formatCode="General">
                  <c:v>1048.7647393915413</c:v>
                </c:pt>
                <c:pt idx="2902" formatCode="General">
                  <c:v>899.16040726730444</c:v>
                </c:pt>
                <c:pt idx="2903" formatCode="General">
                  <c:v>827.52505436457386</c:v>
                </c:pt>
                <c:pt idx="2904" formatCode="General">
                  <c:v>875.73090182427529</c:v>
                </c:pt>
                <c:pt idx="2905" formatCode="General">
                  <c:v>913.20019997008183</c:v>
                </c:pt>
                <c:pt idx="2906" formatCode="General">
                  <c:v>884.96528476355036</c:v>
                </c:pt>
                <c:pt idx="2907" formatCode="General">
                  <c:v>845.37026756243813</c:v>
                </c:pt>
                <c:pt idx="2908" formatCode="General">
                  <c:v>854.33820709107067</c:v>
                </c:pt>
                <c:pt idx="2909" formatCode="General">
                  <c:v>911.60957920782459</c:v>
                </c:pt>
                <c:pt idx="2910" formatCode="General">
                  <c:v>906.12030537946202</c:v>
                </c:pt>
                <c:pt idx="2911" formatCode="General">
                  <c:v>880.8924162500706</c:v>
                </c:pt>
                <c:pt idx="2912" formatCode="General">
                  <c:v>880.62508666193594</c:v>
                </c:pt>
                <c:pt idx="2913" formatCode="General">
                  <c:v>1203.3215648382186</c:v>
                </c:pt>
                <c:pt idx="2914" formatCode="General">
                  <c:v>860.88688552409872</c:v>
                </c:pt>
                <c:pt idx="2915" formatCode="General">
                  <c:v>922.96117409277372</c:v>
                </c:pt>
                <c:pt idx="2916" formatCode="General">
                  <c:v>979.42561026974408</c:v>
                </c:pt>
                <c:pt idx="2917" formatCode="General">
                  <c:v>890.11676463796459</c:v>
                </c:pt>
                <c:pt idx="2918" formatCode="General">
                  <c:v>871.59837524802106</c:v>
                </c:pt>
                <c:pt idx="2919" formatCode="General">
                  <c:v>924.73293592618177</c:v>
                </c:pt>
                <c:pt idx="2920" formatCode="General">
                  <c:v>1041.0564056434732</c:v>
                </c:pt>
                <c:pt idx="2921" formatCode="General">
                  <c:v>917.01808701426205</c:v>
                </c:pt>
                <c:pt idx="2922" formatCode="General">
                  <c:v>883.92324875093891</c:v>
                </c:pt>
                <c:pt idx="2923" formatCode="General">
                  <c:v>893.60043044026031</c:v>
                </c:pt>
                <c:pt idx="2924" formatCode="General">
                  <c:v>898.30155292296672</c:v>
                </c:pt>
                <c:pt idx="2925" formatCode="General">
                  <c:v>895.84970967262586</c:v>
                </c:pt>
                <c:pt idx="2926" formatCode="General">
                  <c:v>954.1788155948791</c:v>
                </c:pt>
                <c:pt idx="2927" formatCode="General">
                  <c:v>862.78724032992727</c:v>
                </c:pt>
                <c:pt idx="2928" formatCode="General">
                  <c:v>931.98670720847542</c:v>
                </c:pt>
                <c:pt idx="2929" formatCode="General">
                  <c:v>865.94532885311844</c:v>
                </c:pt>
                <c:pt idx="2930" formatCode="General">
                  <c:v>875.32426496176458</c:v>
                </c:pt>
                <c:pt idx="2931" formatCode="General">
                  <c:v>849.19142130410671</c:v>
                </c:pt>
                <c:pt idx="2932" formatCode="General">
                  <c:v>1099.3355905418184</c:v>
                </c:pt>
                <c:pt idx="2933" formatCode="General">
                  <c:v>1123.6829151502657</c:v>
                </c:pt>
                <c:pt idx="2934" formatCode="General">
                  <c:v>993.86720808385394</c:v>
                </c:pt>
                <c:pt idx="2935" formatCode="General">
                  <c:v>1145.5968468046965</c:v>
                </c:pt>
                <c:pt idx="2936" formatCode="General">
                  <c:v>977.04313147262599</c:v>
                </c:pt>
                <c:pt idx="2937" formatCode="General">
                  <c:v>1292.059466523626</c:v>
                </c:pt>
                <c:pt idx="2938" formatCode="General">
                  <c:v>1096.6449552006575</c:v>
                </c:pt>
                <c:pt idx="2939" formatCode="General">
                  <c:v>1014.003385152816</c:v>
                </c:pt>
                <c:pt idx="2940" formatCode="General">
                  <c:v>952.86864065626844</c:v>
                </c:pt>
                <c:pt idx="2941" formatCode="General">
                  <c:v>857.88129640259433</c:v>
                </c:pt>
                <c:pt idx="2942" formatCode="General">
                  <c:v>940.50792781229325</c:v>
                </c:pt>
                <c:pt idx="2943" formatCode="General">
                  <c:v>936.81814080036031</c:v>
                </c:pt>
                <c:pt idx="2944" formatCode="General">
                  <c:v>882.62068254522262</c:v>
                </c:pt>
                <c:pt idx="2945" formatCode="General">
                  <c:v>922.4823086850555</c:v>
                </c:pt>
                <c:pt idx="2946" formatCode="General">
                  <c:v>850.77032194753167</c:v>
                </c:pt>
                <c:pt idx="2947" formatCode="General">
                  <c:v>1074.93641407226</c:v>
                </c:pt>
                <c:pt idx="2948" formatCode="General">
                  <c:v>897.89562853841198</c:v>
                </c:pt>
                <c:pt idx="2949" formatCode="General">
                  <c:v>850.16480460736364</c:v>
                </c:pt>
                <c:pt idx="2950" formatCode="General">
                  <c:v>904.89920937704755</c:v>
                </c:pt>
                <c:pt idx="2951" formatCode="General">
                  <c:v>1172.4984531788432</c:v>
                </c:pt>
                <c:pt idx="2952" formatCode="General">
                  <c:v>914.32022600455241</c:v>
                </c:pt>
                <c:pt idx="2953" formatCode="General">
                  <c:v>813.47992371528642</c:v>
                </c:pt>
                <c:pt idx="2954" formatCode="General">
                  <c:v>988.73929431083138</c:v>
                </c:pt>
                <c:pt idx="2955" formatCode="General">
                  <c:v>874.81169119259687</c:v>
                </c:pt>
                <c:pt idx="2956" formatCode="General">
                  <c:v>864.68972842501807</c:v>
                </c:pt>
                <c:pt idx="2957" formatCode="General">
                  <c:v>1136.9385334127178</c:v>
                </c:pt>
                <c:pt idx="2958" formatCode="General">
                  <c:v>1002.9626203463852</c:v>
                </c:pt>
                <c:pt idx="2959" formatCode="General">
                  <c:v>1080.0642756913369</c:v>
                </c:pt>
                <c:pt idx="2960" formatCode="General">
                  <c:v>1165.7556374971418</c:v>
                </c:pt>
                <c:pt idx="2961" formatCode="General">
                  <c:v>881.496751648393</c:v>
                </c:pt>
                <c:pt idx="2962" formatCode="General">
                  <c:v>908.13023654558231</c:v>
                </c:pt>
                <c:pt idx="2963" formatCode="General">
                  <c:v>943.84708173567162</c:v>
                </c:pt>
                <c:pt idx="2964" formatCode="General">
                  <c:v>973.34477890756375</c:v>
                </c:pt>
                <c:pt idx="2965" formatCode="General">
                  <c:v>825.66290579547524</c:v>
                </c:pt>
                <c:pt idx="2966" formatCode="General">
                  <c:v>825.10351311024579</c:v>
                </c:pt>
                <c:pt idx="2967" formatCode="General">
                  <c:v>968.11444662910537</c:v>
                </c:pt>
                <c:pt idx="2968" formatCode="General">
                  <c:v>954.23881851037572</c:v>
                </c:pt>
                <c:pt idx="2969" formatCode="General">
                  <c:v>948.2029899668313</c:v>
                </c:pt>
                <c:pt idx="2970" formatCode="General">
                  <c:v>917.9033519465396</c:v>
                </c:pt>
                <c:pt idx="2971" formatCode="General">
                  <c:v>1048.2645739531558</c:v>
                </c:pt>
                <c:pt idx="2972" formatCode="General">
                  <c:v>896.24598374355298</c:v>
                </c:pt>
                <c:pt idx="2973" formatCode="General">
                  <c:v>878.65207362948263</c:v>
                </c:pt>
                <c:pt idx="2974" formatCode="General">
                  <c:v>950.28880122208454</c:v>
                </c:pt>
                <c:pt idx="2975" formatCode="General">
                  <c:v>1137.6119091190089</c:v>
                </c:pt>
                <c:pt idx="2976" formatCode="General">
                  <c:v>892.80818397480652</c:v>
                </c:pt>
                <c:pt idx="2977" formatCode="General">
                  <c:v>861.66796620858133</c:v>
                </c:pt>
                <c:pt idx="2978" formatCode="General">
                  <c:v>1120.9317268897862</c:v>
                </c:pt>
                <c:pt idx="2979" formatCode="General">
                  <c:v>1063.5612205718662</c:v>
                </c:pt>
                <c:pt idx="2980" formatCode="General">
                  <c:v>867.76615739912359</c:v>
                </c:pt>
                <c:pt idx="2981" formatCode="General">
                  <c:v>905.90381351803569</c:v>
                </c:pt>
                <c:pt idx="2982" formatCode="General">
                  <c:v>901.21892949106541</c:v>
                </c:pt>
                <c:pt idx="2983" formatCode="General">
                  <c:v>1146.9277316928633</c:v>
                </c:pt>
                <c:pt idx="2984" formatCode="General">
                  <c:v>929.76506599032803</c:v>
                </c:pt>
                <c:pt idx="2985" formatCode="General">
                  <c:v>1104.8401168644689</c:v>
                </c:pt>
                <c:pt idx="2986" formatCode="General">
                  <c:v>914.17002872466958</c:v>
                </c:pt>
                <c:pt idx="2987" formatCode="General">
                  <c:v>907.19791099036843</c:v>
                </c:pt>
                <c:pt idx="2988" formatCode="General">
                  <c:v>896.30796524184404</c:v>
                </c:pt>
                <c:pt idx="2989" formatCode="General">
                  <c:v>890.66949212386282</c:v>
                </c:pt>
                <c:pt idx="2990" formatCode="General">
                  <c:v>960.54442807124565</c:v>
                </c:pt>
                <c:pt idx="2991" formatCode="General">
                  <c:v>905.86033079625201</c:v>
                </c:pt>
                <c:pt idx="2992" formatCode="General">
                  <c:v>879.61761251185396</c:v>
                </c:pt>
                <c:pt idx="2993" formatCode="General">
                  <c:v>830.67537526478998</c:v>
                </c:pt>
                <c:pt idx="2994" formatCode="General">
                  <c:v>885.5632036991301</c:v>
                </c:pt>
                <c:pt idx="2995" formatCode="General">
                  <c:v>1265.7778044850675</c:v>
                </c:pt>
                <c:pt idx="2996" formatCode="General">
                  <c:v>1069.6538152773051</c:v>
                </c:pt>
                <c:pt idx="2997" formatCode="General">
                  <c:v>927.89705338144518</c:v>
                </c:pt>
                <c:pt idx="2998" formatCode="General">
                  <c:v>1175.414795627873</c:v>
                </c:pt>
                <c:pt idx="2999" formatCode="General">
                  <c:v>1075.283417166032</c:v>
                </c:pt>
                <c:pt idx="3000" formatCode="General">
                  <c:v>837.52799310308899</c:v>
                </c:pt>
                <c:pt idx="3001" formatCode="General">
                  <c:v>1085.868033936772</c:v>
                </c:pt>
                <c:pt idx="3002" formatCode="General">
                  <c:v>1128.1556603184827</c:v>
                </c:pt>
                <c:pt idx="3003" formatCode="General">
                  <c:v>805.49571957885917</c:v>
                </c:pt>
                <c:pt idx="3004" formatCode="General">
                  <c:v>949.1515326745473</c:v>
                </c:pt>
                <c:pt idx="3005" formatCode="General">
                  <c:v>900.69610949871446</c:v>
                </c:pt>
                <c:pt idx="3006" formatCode="General">
                  <c:v>1056.2807283783316</c:v>
                </c:pt>
                <c:pt idx="3007" formatCode="General">
                  <c:v>910.52569291122154</c:v>
                </c:pt>
                <c:pt idx="3008" formatCode="General">
                  <c:v>858.10275346457092</c:v>
                </c:pt>
                <c:pt idx="3009" formatCode="General">
                  <c:v>1171.1660955910468</c:v>
                </c:pt>
                <c:pt idx="3010" formatCode="General">
                  <c:v>1114.4926989368475</c:v>
                </c:pt>
                <c:pt idx="3011" formatCode="General">
                  <c:v>1144.7731966111323</c:v>
                </c:pt>
                <c:pt idx="3012" formatCode="General">
                  <c:v>1043.7651422256715</c:v>
                </c:pt>
                <c:pt idx="3013" formatCode="General">
                  <c:v>962.11162844391106</c:v>
                </c:pt>
                <c:pt idx="3014" formatCode="General">
                  <c:v>979.20549813373168</c:v>
                </c:pt>
                <c:pt idx="3015" formatCode="General">
                  <c:v>1294.4345610915814</c:v>
                </c:pt>
                <c:pt idx="3016" formatCode="General">
                  <c:v>1106.3256129335969</c:v>
                </c:pt>
                <c:pt idx="3017" formatCode="General">
                  <c:v>1080.626515508653</c:v>
                </c:pt>
                <c:pt idx="3018" formatCode="General">
                  <c:v>1021.7684404394386</c:v>
                </c:pt>
                <c:pt idx="3019" formatCode="General">
                  <c:v>1064.9661319672357</c:v>
                </c:pt>
                <c:pt idx="3020" formatCode="General">
                  <c:v>819.84622968415511</c:v>
                </c:pt>
                <c:pt idx="3021" formatCode="General">
                  <c:v>916.25848647829832</c:v>
                </c:pt>
                <c:pt idx="3022" formatCode="General">
                  <c:v>1081.5091219160176</c:v>
                </c:pt>
                <c:pt idx="3023" formatCode="General">
                  <c:v>1087.8012274739212</c:v>
                </c:pt>
                <c:pt idx="3024" formatCode="General">
                  <c:v>906.65004209644712</c:v>
                </c:pt>
                <c:pt idx="3025" formatCode="General">
                  <c:v>955.30936128593339</c:v>
                </c:pt>
                <c:pt idx="3026" formatCode="General">
                  <c:v>882.51648947395654</c:v>
                </c:pt>
                <c:pt idx="3027" formatCode="General">
                  <c:v>914.81036819273686</c:v>
                </c:pt>
                <c:pt idx="3028" formatCode="General">
                  <c:v>1109.5940635512632</c:v>
                </c:pt>
                <c:pt idx="3029" formatCode="General">
                  <c:v>883.71814249030058</c:v>
                </c:pt>
                <c:pt idx="3030" formatCode="General">
                  <c:v>969.99024031901592</c:v>
                </c:pt>
                <c:pt idx="3031" formatCode="General">
                  <c:v>884.69866529640638</c:v>
                </c:pt>
                <c:pt idx="3032" formatCode="General">
                  <c:v>900.66731045136532</c:v>
                </c:pt>
                <c:pt idx="3033" formatCode="General">
                  <c:v>913.31093789105375</c:v>
                </c:pt>
                <c:pt idx="3034" formatCode="General">
                  <c:v>885.85294534032437</c:v>
                </c:pt>
                <c:pt idx="3035" formatCode="General">
                  <c:v>1050.3091627862782</c:v>
                </c:pt>
                <c:pt idx="3036" formatCode="General">
                  <c:v>1026.7135936970692</c:v>
                </c:pt>
                <c:pt idx="3037" formatCode="General">
                  <c:v>1008.4405991710697</c:v>
                </c:pt>
                <c:pt idx="3038" formatCode="General">
                  <c:v>860.29899327099497</c:v>
                </c:pt>
                <c:pt idx="3039" formatCode="General">
                  <c:v>1269.1626749304048</c:v>
                </c:pt>
                <c:pt idx="3040" formatCode="General">
                  <c:v>903.96611951058708</c:v>
                </c:pt>
                <c:pt idx="3041" formatCode="General">
                  <c:v>1025.2432377490611</c:v>
                </c:pt>
                <c:pt idx="3042" formatCode="General">
                  <c:v>875.04575584492488</c:v>
                </c:pt>
                <c:pt idx="3043" formatCode="General">
                  <c:v>873.31317332899039</c:v>
                </c:pt>
                <c:pt idx="3044" formatCode="General">
                  <c:v>1195.8772375083443</c:v>
                </c:pt>
                <c:pt idx="3045" formatCode="General">
                  <c:v>1029.9015715528669</c:v>
                </c:pt>
                <c:pt idx="3046" formatCode="General">
                  <c:v>931.34157877310975</c:v>
                </c:pt>
                <c:pt idx="3047" formatCode="General">
                  <c:v>844.71142247638238</c:v>
                </c:pt>
                <c:pt idx="3048" formatCode="General">
                  <c:v>948.91141372879224</c:v>
                </c:pt>
                <c:pt idx="3049" formatCode="General">
                  <c:v>1358.8272787618239</c:v>
                </c:pt>
                <c:pt idx="3050" formatCode="General">
                  <c:v>944.54645590889095</c:v>
                </c:pt>
                <c:pt idx="3051" formatCode="General">
                  <c:v>922.76367157092102</c:v>
                </c:pt>
                <c:pt idx="3052" formatCode="General">
                  <c:v>1097.6503791510324</c:v>
                </c:pt>
                <c:pt idx="3053" formatCode="General">
                  <c:v>942.37193432829918</c:v>
                </c:pt>
                <c:pt idx="3054" formatCode="General">
                  <c:v>937.30374036999251</c:v>
                </c:pt>
                <c:pt idx="3055" formatCode="General">
                  <c:v>892.70517385113874</c:v>
                </c:pt>
                <c:pt idx="3056" formatCode="General">
                  <c:v>973.51837626024076</c:v>
                </c:pt>
                <c:pt idx="3057" formatCode="General">
                  <c:v>903.31664545996057</c:v>
                </c:pt>
                <c:pt idx="3058" formatCode="General">
                  <c:v>1064.2050736185147</c:v>
                </c:pt>
                <c:pt idx="3059" formatCode="General">
                  <c:v>805.99678473631377</c:v>
                </c:pt>
                <c:pt idx="3060" formatCode="General">
                  <c:v>860.47291377894351</c:v>
                </c:pt>
                <c:pt idx="3061" formatCode="General">
                  <c:v>983.54894987268176</c:v>
                </c:pt>
                <c:pt idx="3062" formatCode="General">
                  <c:v>888.78347771265601</c:v>
                </c:pt>
                <c:pt idx="3063" formatCode="General">
                  <c:v>955.21095205363758</c:v>
                </c:pt>
                <c:pt idx="3064" formatCode="General">
                  <c:v>1006.5164277273348</c:v>
                </c:pt>
                <c:pt idx="3065" formatCode="General">
                  <c:v>825.77466762436177</c:v>
                </c:pt>
                <c:pt idx="3066" formatCode="General">
                  <c:v>1177.9507541152507</c:v>
                </c:pt>
                <c:pt idx="3067" formatCode="General">
                  <c:v>936.50261895622725</c:v>
                </c:pt>
                <c:pt idx="3068" formatCode="General">
                  <c:v>969.13263600499374</c:v>
                </c:pt>
                <c:pt idx="3069" formatCode="General">
                  <c:v>896.0960404939201</c:v>
                </c:pt>
                <c:pt idx="3070" formatCode="General">
                  <c:v>1204.9079506237533</c:v>
                </c:pt>
                <c:pt idx="3071" formatCode="General">
                  <c:v>946.09060342145187</c:v>
                </c:pt>
                <c:pt idx="3072" formatCode="General">
                  <c:v>1098.1690446857162</c:v>
                </c:pt>
                <c:pt idx="3073" formatCode="General">
                  <c:v>795.85133247641875</c:v>
                </c:pt>
                <c:pt idx="3074" formatCode="General">
                  <c:v>1122.0732477560475</c:v>
                </c:pt>
                <c:pt idx="3075" formatCode="General">
                  <c:v>1010.5087241485356</c:v>
                </c:pt>
                <c:pt idx="3076" formatCode="General">
                  <c:v>948.93395991501711</c:v>
                </c:pt>
                <c:pt idx="3077" formatCode="General">
                  <c:v>1226.3794712674182</c:v>
                </c:pt>
                <c:pt idx="3078" formatCode="General">
                  <c:v>885.59726112087583</c:v>
                </c:pt>
                <c:pt idx="3079" formatCode="General">
                  <c:v>838.13469402455689</c:v>
                </c:pt>
                <c:pt idx="3080" formatCode="General">
                  <c:v>863.95167513965964</c:v>
                </c:pt>
                <c:pt idx="3081" formatCode="General">
                  <c:v>1049.0794155576039</c:v>
                </c:pt>
                <c:pt idx="3082" formatCode="General">
                  <c:v>1080.5079085497237</c:v>
                </c:pt>
                <c:pt idx="3083" formatCode="General">
                  <c:v>919.07429040833199</c:v>
                </c:pt>
                <c:pt idx="3084" formatCode="General">
                  <c:v>984.55020748838695</c:v>
                </c:pt>
                <c:pt idx="3085" formatCode="General">
                  <c:v>1169.998645895952</c:v>
                </c:pt>
                <c:pt idx="3086" formatCode="General">
                  <c:v>968.20570249389527</c:v>
                </c:pt>
                <c:pt idx="3087" formatCode="General">
                  <c:v>1011.0425363159912</c:v>
                </c:pt>
                <c:pt idx="3088" formatCode="General">
                  <c:v>938.9419123633121</c:v>
                </c:pt>
                <c:pt idx="3089" formatCode="General">
                  <c:v>1128.4685686876601</c:v>
                </c:pt>
                <c:pt idx="3090" formatCode="General">
                  <c:v>882.5505213308943</c:v>
                </c:pt>
                <c:pt idx="3091" formatCode="General">
                  <c:v>885.35787164069745</c:v>
                </c:pt>
                <c:pt idx="3092" formatCode="General">
                  <c:v>843.88658841948882</c:v>
                </c:pt>
                <c:pt idx="3093" formatCode="General">
                  <c:v>936.55579390980063</c:v>
                </c:pt>
                <c:pt idx="3094" formatCode="General">
                  <c:v>838.5163168957115</c:v>
                </c:pt>
                <c:pt idx="3095" formatCode="General">
                  <c:v>875.38944219960342</c:v>
                </c:pt>
                <c:pt idx="3096" formatCode="General">
                  <c:v>906.0769968222387</c:v>
                </c:pt>
                <c:pt idx="3097" formatCode="General">
                  <c:v>857.4912706615296</c:v>
                </c:pt>
                <c:pt idx="3098" formatCode="General">
                  <c:v>1072.211629024443</c:v>
                </c:pt>
                <c:pt idx="3099" formatCode="General">
                  <c:v>873.06170885977781</c:v>
                </c:pt>
                <c:pt idx="3100" formatCode="General">
                  <c:v>861.88238961767433</c:v>
                </c:pt>
                <c:pt idx="3101" formatCode="General">
                  <c:v>1205.8920719881924</c:v>
                </c:pt>
                <c:pt idx="3102" formatCode="General">
                  <c:v>938.36966316524251</c:v>
                </c:pt>
                <c:pt idx="3103" formatCode="General">
                  <c:v>919.7402864511846</c:v>
                </c:pt>
                <c:pt idx="3104" formatCode="General">
                  <c:v>917.76189024986206</c:v>
                </c:pt>
                <c:pt idx="3105" formatCode="General">
                  <c:v>914.0621257114924</c:v>
                </c:pt>
                <c:pt idx="3106" formatCode="General">
                  <c:v>940.92196197977034</c:v>
                </c:pt>
                <c:pt idx="3107" formatCode="General">
                  <c:v>985.80942896302645</c:v>
                </c:pt>
                <c:pt idx="3108" formatCode="General">
                  <c:v>874.0204625047329</c:v>
                </c:pt>
                <c:pt idx="3109" formatCode="General">
                  <c:v>936.9045495664592</c:v>
                </c:pt>
                <c:pt idx="3110" formatCode="General">
                  <c:v>940.22702697566331</c:v>
                </c:pt>
                <c:pt idx="3111" formatCode="General">
                  <c:v>961.38289202948727</c:v>
                </c:pt>
                <c:pt idx="3112" formatCode="General">
                  <c:v>852.59580482150193</c:v>
                </c:pt>
                <c:pt idx="3113" formatCode="General">
                  <c:v>910.80219977163927</c:v>
                </c:pt>
                <c:pt idx="3114" formatCode="General">
                  <c:v>874.88678365928058</c:v>
                </c:pt>
                <c:pt idx="3115" formatCode="General">
                  <c:v>1170.1399297397643</c:v>
                </c:pt>
                <c:pt idx="3116" formatCode="General">
                  <c:v>919.71352917927561</c:v>
                </c:pt>
                <c:pt idx="3117" formatCode="General">
                  <c:v>885.09590240618047</c:v>
                </c:pt>
                <c:pt idx="3118" formatCode="General">
                  <c:v>857.03881149925871</c:v>
                </c:pt>
                <c:pt idx="3119" formatCode="General">
                  <c:v>918.33410383100943</c:v>
                </c:pt>
                <c:pt idx="3120" formatCode="General">
                  <c:v>931.11891377638528</c:v>
                </c:pt>
                <c:pt idx="3121" formatCode="General">
                  <c:v>954.54951022524062</c:v>
                </c:pt>
                <c:pt idx="3122" formatCode="General">
                  <c:v>914.86133906487623</c:v>
                </c:pt>
                <c:pt idx="3123" formatCode="General">
                  <c:v>879.36184242938316</c:v>
                </c:pt>
                <c:pt idx="3124" formatCode="General">
                  <c:v>965.93362113715034</c:v>
                </c:pt>
                <c:pt idx="3125" formatCode="General">
                  <c:v>1073.2411048443535</c:v>
                </c:pt>
                <c:pt idx="3126" formatCode="General">
                  <c:v>885.38498209756972</c:v>
                </c:pt>
                <c:pt idx="3127" formatCode="General">
                  <c:v>1151.9059173905946</c:v>
                </c:pt>
                <c:pt idx="3128" formatCode="General">
                  <c:v>1159.4491248704219</c:v>
                </c:pt>
                <c:pt idx="3129" formatCode="General">
                  <c:v>1057.8439955535423</c:v>
                </c:pt>
                <c:pt idx="3130" formatCode="General">
                  <c:v>1158.1166011146656</c:v>
                </c:pt>
                <c:pt idx="3131" formatCode="General">
                  <c:v>885.5447534497024</c:v>
                </c:pt>
                <c:pt idx="3132" formatCode="General">
                  <c:v>1082.0194374819205</c:v>
                </c:pt>
                <c:pt idx="3133" formatCode="General">
                  <c:v>1157.3886803476537</c:v>
                </c:pt>
                <c:pt idx="3134" formatCode="General">
                  <c:v>947.21845429400503</c:v>
                </c:pt>
                <c:pt idx="3135" formatCode="General">
                  <c:v>888.76734233839136</c:v>
                </c:pt>
                <c:pt idx="3136" formatCode="General">
                  <c:v>918.83929814006535</c:v>
                </c:pt>
                <c:pt idx="3137" formatCode="General">
                  <c:v>923.28187358441323</c:v>
                </c:pt>
                <c:pt idx="3138" formatCode="General">
                  <c:v>1161.6385487004131</c:v>
                </c:pt>
                <c:pt idx="3139" formatCode="General">
                  <c:v>1044.8893061392209</c:v>
                </c:pt>
                <c:pt idx="3140" formatCode="General">
                  <c:v>911.26783036852601</c:v>
                </c:pt>
                <c:pt idx="3141" formatCode="General">
                  <c:v>969.22548738750572</c:v>
                </c:pt>
                <c:pt idx="3142" formatCode="General">
                  <c:v>846.36706834351912</c:v>
                </c:pt>
                <c:pt idx="3143" formatCode="General">
                  <c:v>915.62731670241385</c:v>
                </c:pt>
                <c:pt idx="3144" formatCode="General">
                  <c:v>823.73690855948121</c:v>
                </c:pt>
                <c:pt idx="3145" formatCode="General">
                  <c:v>1116.9396181619663</c:v>
                </c:pt>
                <c:pt idx="3146" formatCode="General">
                  <c:v>958.42921227982686</c:v>
                </c:pt>
                <c:pt idx="3147" formatCode="General">
                  <c:v>863.68801541299933</c:v>
                </c:pt>
                <c:pt idx="3148" formatCode="General">
                  <c:v>1069.0710843276604</c:v>
                </c:pt>
                <c:pt idx="3149" formatCode="General">
                  <c:v>1173.2324507398009</c:v>
                </c:pt>
                <c:pt idx="3150" formatCode="General">
                  <c:v>929.43881772385862</c:v>
                </c:pt>
                <c:pt idx="3151" formatCode="General">
                  <c:v>844.90403674276081</c:v>
                </c:pt>
                <c:pt idx="3152" formatCode="General">
                  <c:v>849.96909286501045</c:v>
                </c:pt>
                <c:pt idx="3153" formatCode="General">
                  <c:v>982.51780259225382</c:v>
                </c:pt>
                <c:pt idx="3154" formatCode="General">
                  <c:v>925.38232265872045</c:v>
                </c:pt>
                <c:pt idx="3155" formatCode="General">
                  <c:v>802.58678186194777</c:v>
                </c:pt>
                <c:pt idx="3156" formatCode="General">
                  <c:v>855.17905565213641</c:v>
                </c:pt>
                <c:pt idx="3157" formatCode="General">
                  <c:v>1053.9353705614385</c:v>
                </c:pt>
                <c:pt idx="3158" formatCode="General">
                  <c:v>876.3709077885818</c:v>
                </c:pt>
                <c:pt idx="3159" formatCode="General">
                  <c:v>910.71433261506479</c:v>
                </c:pt>
                <c:pt idx="3160" formatCode="General">
                  <c:v>1146.9830096537585</c:v>
                </c:pt>
                <c:pt idx="3161" formatCode="General">
                  <c:v>820.81672967020381</c:v>
                </c:pt>
                <c:pt idx="3162" formatCode="General">
                  <c:v>835.36145691752336</c:v>
                </c:pt>
                <c:pt idx="3163" formatCode="General">
                  <c:v>1174.9506924478244</c:v>
                </c:pt>
                <c:pt idx="3164" formatCode="General">
                  <c:v>1162.6877433899188</c:v>
                </c:pt>
                <c:pt idx="3165" formatCode="General">
                  <c:v>929.99758143269253</c:v>
                </c:pt>
                <c:pt idx="3166" formatCode="General">
                  <c:v>1093.0944037311228</c:v>
                </c:pt>
                <c:pt idx="3167" formatCode="General">
                  <c:v>1056.3215078659832</c:v>
                </c:pt>
                <c:pt idx="3168" formatCode="General">
                  <c:v>912.56686687115769</c:v>
                </c:pt>
                <c:pt idx="3169" formatCode="General">
                  <c:v>1052.7812619776132</c:v>
                </c:pt>
                <c:pt idx="3170" formatCode="General">
                  <c:v>888.22000768297767</c:v>
                </c:pt>
                <c:pt idx="3171" formatCode="General">
                  <c:v>859.00048114961373</c:v>
                </c:pt>
                <c:pt idx="3172" formatCode="General">
                  <c:v>1084.8293490626299</c:v>
                </c:pt>
                <c:pt idx="3173" formatCode="General">
                  <c:v>886.12566832567882</c:v>
                </c:pt>
                <c:pt idx="3174" formatCode="General">
                  <c:v>1051.0487564515652</c:v>
                </c:pt>
                <c:pt idx="3175" formatCode="General">
                  <c:v>836.18304281238022</c:v>
                </c:pt>
                <c:pt idx="3176" formatCode="General">
                  <c:v>929.01683985070156</c:v>
                </c:pt>
                <c:pt idx="3177" formatCode="General">
                  <c:v>1025.0008003871708</c:v>
                </c:pt>
                <c:pt idx="3178" formatCode="General">
                  <c:v>936.82285248806136</c:v>
                </c:pt>
                <c:pt idx="3179" formatCode="General">
                  <c:v>1172.2467111922172</c:v>
                </c:pt>
                <c:pt idx="3180" formatCode="General">
                  <c:v>881.84404328479206</c:v>
                </c:pt>
                <c:pt idx="3181" formatCode="General">
                  <c:v>1055.4928883335892</c:v>
                </c:pt>
                <c:pt idx="3182" formatCode="General">
                  <c:v>1077.4618654386659</c:v>
                </c:pt>
                <c:pt idx="3183" formatCode="General">
                  <c:v>1020.3308069953067</c:v>
                </c:pt>
                <c:pt idx="3184" formatCode="General">
                  <c:v>1317.909435670148</c:v>
                </c:pt>
                <c:pt idx="3185" formatCode="General">
                  <c:v>920.70124918711724</c:v>
                </c:pt>
                <c:pt idx="3186" formatCode="General">
                  <c:v>838.85293329055924</c:v>
                </c:pt>
                <c:pt idx="3187" formatCode="General">
                  <c:v>986.45797150922385</c:v>
                </c:pt>
                <c:pt idx="3188" formatCode="General">
                  <c:v>1018.242324897239</c:v>
                </c:pt>
                <c:pt idx="3189" formatCode="General">
                  <c:v>1133.8666088621756</c:v>
                </c:pt>
                <c:pt idx="3190" formatCode="General">
                  <c:v>920.47142189559929</c:v>
                </c:pt>
                <c:pt idx="3191" formatCode="General">
                  <c:v>891.66110793223527</c:v>
                </c:pt>
                <c:pt idx="3192" formatCode="General">
                  <c:v>954.33973389310199</c:v>
                </c:pt>
                <c:pt idx="3193" formatCode="General">
                  <c:v>842.0951157331765</c:v>
                </c:pt>
                <c:pt idx="3194" formatCode="General">
                  <c:v>919.35959351416705</c:v>
                </c:pt>
                <c:pt idx="3195" formatCode="General">
                  <c:v>964.7707578840857</c:v>
                </c:pt>
                <c:pt idx="3196" formatCode="General">
                  <c:v>943.15840002596735</c:v>
                </c:pt>
                <c:pt idx="3197" formatCode="General">
                  <c:v>878.3434449901232</c:v>
                </c:pt>
                <c:pt idx="3198" formatCode="General">
                  <c:v>1045.8906978110642</c:v>
                </c:pt>
                <c:pt idx="3199" formatCode="General">
                  <c:v>929.88961131156032</c:v>
                </c:pt>
                <c:pt idx="3200" formatCode="General">
                  <c:v>974.33713361301852</c:v>
                </c:pt>
                <c:pt idx="3201" formatCode="General">
                  <c:v>829.4560636113938</c:v>
                </c:pt>
                <c:pt idx="3202" formatCode="General">
                  <c:v>839.04532911219064</c:v>
                </c:pt>
                <c:pt idx="3203" formatCode="General">
                  <c:v>1085.1726369329338</c:v>
                </c:pt>
                <c:pt idx="3204" formatCode="General">
                  <c:v>893.73132083787277</c:v>
                </c:pt>
                <c:pt idx="3205" formatCode="General">
                  <c:v>899.3332205521416</c:v>
                </c:pt>
                <c:pt idx="3206" formatCode="General">
                  <c:v>1098.3748576409207</c:v>
                </c:pt>
                <c:pt idx="3207" formatCode="General">
                  <c:v>921.9956105327218</c:v>
                </c:pt>
                <c:pt idx="3208" formatCode="General">
                  <c:v>1085.7572546956326</c:v>
                </c:pt>
                <c:pt idx="3209" formatCode="General">
                  <c:v>929.07717061014421</c:v>
                </c:pt>
                <c:pt idx="3210" formatCode="General">
                  <c:v>1014.1469796617587</c:v>
                </c:pt>
                <c:pt idx="3211" formatCode="General">
                  <c:v>930.62306873598914</c:v>
                </c:pt>
                <c:pt idx="3212" formatCode="General">
                  <c:v>917.33450772287938</c:v>
                </c:pt>
                <c:pt idx="3213" formatCode="General">
                  <c:v>839.45977162110546</c:v>
                </c:pt>
                <c:pt idx="3214" formatCode="General">
                  <c:v>831.93294758310844</c:v>
                </c:pt>
                <c:pt idx="3215" formatCode="General">
                  <c:v>867.46197446944825</c:v>
                </c:pt>
                <c:pt idx="3216" formatCode="General">
                  <c:v>890.78725236570187</c:v>
                </c:pt>
                <c:pt idx="3217" formatCode="General">
                  <c:v>940.23189549928259</c:v>
                </c:pt>
                <c:pt idx="3218" formatCode="General">
                  <c:v>856.19140891806433</c:v>
                </c:pt>
                <c:pt idx="3219" formatCode="General">
                  <c:v>1116.7010498912002</c:v>
                </c:pt>
                <c:pt idx="3220" formatCode="General">
                  <c:v>870.70534266143181</c:v>
                </c:pt>
                <c:pt idx="3221" formatCode="General">
                  <c:v>911.64984956566457</c:v>
                </c:pt>
                <c:pt idx="3222" formatCode="General">
                  <c:v>895.97244051880489</c:v>
                </c:pt>
                <c:pt idx="3223" formatCode="General">
                  <c:v>809.95754976972114</c:v>
                </c:pt>
                <c:pt idx="3224" formatCode="General">
                  <c:v>955.56033962395134</c:v>
                </c:pt>
                <c:pt idx="3225" formatCode="General">
                  <c:v>851.18828990585473</c:v>
                </c:pt>
                <c:pt idx="3226" formatCode="General">
                  <c:v>1150.6143052974469</c:v>
                </c:pt>
                <c:pt idx="3227" formatCode="General">
                  <c:v>879.65784488749466</c:v>
                </c:pt>
                <c:pt idx="3228" formatCode="General">
                  <c:v>1244.2360730942542</c:v>
                </c:pt>
                <c:pt idx="3229" formatCode="General">
                  <c:v>929.31038948906814</c:v>
                </c:pt>
                <c:pt idx="3230" formatCode="General">
                  <c:v>846.11695823237051</c:v>
                </c:pt>
                <c:pt idx="3231" formatCode="General">
                  <c:v>1174.8231989481251</c:v>
                </c:pt>
                <c:pt idx="3232" formatCode="General">
                  <c:v>944.59099961519678</c:v>
                </c:pt>
                <c:pt idx="3233" formatCode="General">
                  <c:v>1059.9488155010201</c:v>
                </c:pt>
                <c:pt idx="3234" formatCode="General">
                  <c:v>883.47755291102953</c:v>
                </c:pt>
                <c:pt idx="3235" formatCode="General">
                  <c:v>834.94248485205139</c:v>
                </c:pt>
                <c:pt idx="3236" formatCode="General">
                  <c:v>1090.8640704600846</c:v>
                </c:pt>
                <c:pt idx="3237" formatCode="General">
                  <c:v>894.23046253163557</c:v>
                </c:pt>
                <c:pt idx="3238" formatCode="General">
                  <c:v>874.66838201447513</c:v>
                </c:pt>
                <c:pt idx="3239" formatCode="General">
                  <c:v>946.73116536836721</c:v>
                </c:pt>
                <c:pt idx="3240" formatCode="General">
                  <c:v>1116.0722088720729</c:v>
                </c:pt>
                <c:pt idx="3241" formatCode="General">
                  <c:v>915.70146272706324</c:v>
                </c:pt>
                <c:pt idx="3242" formatCode="General">
                  <c:v>895.85097742116886</c:v>
                </c:pt>
                <c:pt idx="3243" formatCode="General">
                  <c:v>986.45486248944405</c:v>
                </c:pt>
                <c:pt idx="3244" formatCode="General">
                  <c:v>1111.7866505458564</c:v>
                </c:pt>
                <c:pt idx="3245" formatCode="General">
                  <c:v>803.76033493681791</c:v>
                </c:pt>
                <c:pt idx="3246" formatCode="General">
                  <c:v>1017.6867243850043</c:v>
                </c:pt>
                <c:pt idx="3247" formatCode="General">
                  <c:v>934.9207946308909</c:v>
                </c:pt>
                <c:pt idx="3248" formatCode="General">
                  <c:v>916.89840880542988</c:v>
                </c:pt>
                <c:pt idx="3249" formatCode="General">
                  <c:v>1081.0753994385391</c:v>
                </c:pt>
                <c:pt idx="3250" formatCode="General">
                  <c:v>1036.5517001490975</c:v>
                </c:pt>
                <c:pt idx="3251" formatCode="General">
                  <c:v>1250.9298605680269</c:v>
                </c:pt>
                <c:pt idx="3252" formatCode="General">
                  <c:v>1245.8073860826271</c:v>
                </c:pt>
                <c:pt idx="3253" formatCode="General">
                  <c:v>883.45024113372131</c:v>
                </c:pt>
                <c:pt idx="3254" formatCode="General">
                  <c:v>909.44541046847621</c:v>
                </c:pt>
                <c:pt idx="3255" formatCode="General">
                  <c:v>893.36877884459318</c:v>
                </c:pt>
                <c:pt idx="3256" formatCode="General">
                  <c:v>841.31394934198784</c:v>
                </c:pt>
                <c:pt idx="3257" formatCode="General">
                  <c:v>929.20170285003439</c:v>
                </c:pt>
                <c:pt idx="3258" formatCode="General">
                  <c:v>1196.4084724453251</c:v>
                </c:pt>
                <c:pt idx="3259" formatCode="General">
                  <c:v>890.96376001224746</c:v>
                </c:pt>
                <c:pt idx="3260" formatCode="General">
                  <c:v>1008.1259927201418</c:v>
                </c:pt>
                <c:pt idx="3261" formatCode="General">
                  <c:v>871.03346725141898</c:v>
                </c:pt>
                <c:pt idx="3262" formatCode="General">
                  <c:v>1047.8780814863833</c:v>
                </c:pt>
                <c:pt idx="3263" formatCode="General">
                  <c:v>1175.8660029106991</c:v>
                </c:pt>
                <c:pt idx="3264" formatCode="General">
                  <c:v>952.6923692864076</c:v>
                </c:pt>
                <c:pt idx="3265" formatCode="General">
                  <c:v>853.54025658096589</c:v>
                </c:pt>
                <c:pt idx="3266" formatCode="General">
                  <c:v>941.22576668785518</c:v>
                </c:pt>
                <c:pt idx="3267" formatCode="General">
                  <c:v>955.39286285936282</c:v>
                </c:pt>
                <c:pt idx="3268" formatCode="General">
                  <c:v>876.60280787042484</c:v>
                </c:pt>
                <c:pt idx="3269" formatCode="General">
                  <c:v>906.32362652197048</c:v>
                </c:pt>
                <c:pt idx="3270" formatCode="General">
                  <c:v>951.50748135953927</c:v>
                </c:pt>
                <c:pt idx="3271" formatCode="General">
                  <c:v>894.54839461703295</c:v>
                </c:pt>
                <c:pt idx="3272" formatCode="General">
                  <c:v>867.26699855036929</c:v>
                </c:pt>
                <c:pt idx="3273" formatCode="General">
                  <c:v>859.63024199466668</c:v>
                </c:pt>
                <c:pt idx="3274" formatCode="General">
                  <c:v>1116.0459310288038</c:v>
                </c:pt>
                <c:pt idx="3275" formatCode="General">
                  <c:v>879.78934297728483</c:v>
                </c:pt>
                <c:pt idx="3276" formatCode="General">
                  <c:v>1015.7524615076126</c:v>
                </c:pt>
                <c:pt idx="3277" formatCode="General">
                  <c:v>960.54281827018804</c:v>
                </c:pt>
                <c:pt idx="3278" formatCode="General">
                  <c:v>1047.3986145296167</c:v>
                </c:pt>
                <c:pt idx="3279" formatCode="General">
                  <c:v>947.84561642230346</c:v>
                </c:pt>
                <c:pt idx="3280" formatCode="General">
                  <c:v>963.44104132825532</c:v>
                </c:pt>
                <c:pt idx="3281" formatCode="General">
                  <c:v>913.30893536802762</c:v>
                </c:pt>
                <c:pt idx="3282" formatCode="General">
                  <c:v>849.73005048388802</c:v>
                </c:pt>
                <c:pt idx="3283" formatCode="General">
                  <c:v>871.81515652521534</c:v>
                </c:pt>
                <c:pt idx="3284" formatCode="General">
                  <c:v>1205.2135688143812</c:v>
                </c:pt>
                <c:pt idx="3285" formatCode="General">
                  <c:v>897.58994541032928</c:v>
                </c:pt>
                <c:pt idx="3286" formatCode="General">
                  <c:v>1125.3136018029547</c:v>
                </c:pt>
                <c:pt idx="3287" formatCode="General">
                  <c:v>921.81446526961633</c:v>
                </c:pt>
                <c:pt idx="3288" formatCode="General">
                  <c:v>903.66052435721576</c:v>
                </c:pt>
                <c:pt idx="3289" formatCode="General">
                  <c:v>997.94786633386582</c:v>
                </c:pt>
                <c:pt idx="3290" formatCode="General">
                  <c:v>905.59338834486528</c:v>
                </c:pt>
                <c:pt idx="3291" formatCode="General">
                  <c:v>1109.3343140947445</c:v>
                </c:pt>
                <c:pt idx="3292" formatCode="General">
                  <c:v>948.70381705360501</c:v>
                </c:pt>
                <c:pt idx="3293" formatCode="General">
                  <c:v>1013.6661203867747</c:v>
                </c:pt>
                <c:pt idx="3294" formatCode="General">
                  <c:v>944.23812942793813</c:v>
                </c:pt>
                <c:pt idx="3295" formatCode="General">
                  <c:v>852.81924852589498</c:v>
                </c:pt>
                <c:pt idx="3296" formatCode="General">
                  <c:v>1041.5748189542958</c:v>
                </c:pt>
                <c:pt idx="3297" formatCode="General">
                  <c:v>1079.1914703848661</c:v>
                </c:pt>
                <c:pt idx="3298" formatCode="General">
                  <c:v>825.62711215304432</c:v>
                </c:pt>
                <c:pt idx="3299" formatCode="General">
                  <c:v>1105.9574429971249</c:v>
                </c:pt>
                <c:pt idx="3300" formatCode="General">
                  <c:v>1142.7662383755883</c:v>
                </c:pt>
                <c:pt idx="3301" formatCode="General">
                  <c:v>811.8502332928532</c:v>
                </c:pt>
                <c:pt idx="3302" formatCode="General">
                  <c:v>909.179218262365</c:v>
                </c:pt>
                <c:pt idx="3303" formatCode="General">
                  <c:v>1018.9196208698426</c:v>
                </c:pt>
                <c:pt idx="3304" formatCode="General">
                  <c:v>873.66142511151838</c:v>
                </c:pt>
                <c:pt idx="3305" formatCode="General">
                  <c:v>935.35208325071869</c:v>
                </c:pt>
                <c:pt idx="3306" formatCode="General">
                  <c:v>894.06364061657553</c:v>
                </c:pt>
                <c:pt idx="3307" formatCode="General">
                  <c:v>927.39006763235534</c:v>
                </c:pt>
                <c:pt idx="3308" formatCode="General">
                  <c:v>1214.70239645521</c:v>
                </c:pt>
                <c:pt idx="3309" formatCode="General">
                  <c:v>839.00483447558543</c:v>
                </c:pt>
                <c:pt idx="3310" formatCode="General">
                  <c:v>1251.145088378295</c:v>
                </c:pt>
                <c:pt idx="3311" formatCode="General">
                  <c:v>858.74848924198386</c:v>
                </c:pt>
                <c:pt idx="3312" formatCode="General">
                  <c:v>1169.3528330272286</c:v>
                </c:pt>
                <c:pt idx="3313" formatCode="General">
                  <c:v>957.53423906035812</c:v>
                </c:pt>
                <c:pt idx="3314" formatCode="General">
                  <c:v>1185.1245995430329</c:v>
                </c:pt>
                <c:pt idx="3315" formatCode="General">
                  <c:v>926.59330931857289</c:v>
                </c:pt>
                <c:pt idx="3316" formatCode="General">
                  <c:v>936.17276716749416</c:v>
                </c:pt>
                <c:pt idx="3317" formatCode="General">
                  <c:v>955.35507341269761</c:v>
                </c:pt>
                <c:pt idx="3318" formatCode="General">
                  <c:v>924.108270111975</c:v>
                </c:pt>
                <c:pt idx="3319" formatCode="General">
                  <c:v>980.39200413966967</c:v>
                </c:pt>
                <c:pt idx="3320" formatCode="General">
                  <c:v>1122.2482390173695</c:v>
                </c:pt>
                <c:pt idx="3321" formatCode="General">
                  <c:v>952.20740481062273</c:v>
                </c:pt>
                <c:pt idx="3322" formatCode="General">
                  <c:v>877.46876090050557</c:v>
                </c:pt>
                <c:pt idx="3323" formatCode="General">
                  <c:v>903.38736928519393</c:v>
                </c:pt>
                <c:pt idx="3324" formatCode="General">
                  <c:v>1036.9479977995734</c:v>
                </c:pt>
                <c:pt idx="3325" formatCode="General">
                  <c:v>1092.4427223700889</c:v>
                </c:pt>
                <c:pt idx="3326" formatCode="General">
                  <c:v>934.97281769305471</c:v>
                </c:pt>
                <c:pt idx="3327" formatCode="General">
                  <c:v>893.06309883373058</c:v>
                </c:pt>
                <c:pt idx="3328" formatCode="General">
                  <c:v>1017.5403252650353</c:v>
                </c:pt>
                <c:pt idx="3329" formatCode="General">
                  <c:v>933.71587533672414</c:v>
                </c:pt>
                <c:pt idx="3330" formatCode="General">
                  <c:v>951.09494141828611</c:v>
                </c:pt>
                <c:pt idx="3331" formatCode="General">
                  <c:v>971.19841739986441</c:v>
                </c:pt>
                <c:pt idx="3332" formatCode="General">
                  <c:v>913.36304431798419</c:v>
                </c:pt>
                <c:pt idx="3333" formatCode="General">
                  <c:v>1076.8294117138535</c:v>
                </c:pt>
                <c:pt idx="3334" formatCode="General">
                  <c:v>848.5475389112305</c:v>
                </c:pt>
                <c:pt idx="3335" formatCode="General">
                  <c:v>882.75984433543272</c:v>
                </c:pt>
                <c:pt idx="3336" formatCode="General">
                  <c:v>1058.8759469702243</c:v>
                </c:pt>
                <c:pt idx="3337" formatCode="General">
                  <c:v>939.6516412354772</c:v>
                </c:pt>
                <c:pt idx="3338" formatCode="General">
                  <c:v>1195.623663167185</c:v>
                </c:pt>
                <c:pt idx="3339" formatCode="General">
                  <c:v>943.62401750946799</c:v>
                </c:pt>
                <c:pt idx="3340" formatCode="General">
                  <c:v>893.0055996224919</c:v>
                </c:pt>
                <c:pt idx="3341" formatCode="General">
                  <c:v>1001.7765926384355</c:v>
                </c:pt>
                <c:pt idx="3342" formatCode="General">
                  <c:v>883.36886222727003</c:v>
                </c:pt>
                <c:pt idx="3343" formatCode="General">
                  <c:v>881.90379705441342</c:v>
                </c:pt>
                <c:pt idx="3344" formatCode="General">
                  <c:v>864.84027212836475</c:v>
                </c:pt>
                <c:pt idx="3345" formatCode="General">
                  <c:v>1099.3318713346121</c:v>
                </c:pt>
                <c:pt idx="3346" formatCode="General">
                  <c:v>1114.9882763508222</c:v>
                </c:pt>
                <c:pt idx="3347" formatCode="General">
                  <c:v>857.29387605558304</c:v>
                </c:pt>
                <c:pt idx="3348" formatCode="General">
                  <c:v>891.68296025899531</c:v>
                </c:pt>
                <c:pt idx="3349" formatCode="General">
                  <c:v>1097.736511027003</c:v>
                </c:pt>
                <c:pt idx="3350" formatCode="General">
                  <c:v>848.98157696726184</c:v>
                </c:pt>
                <c:pt idx="3351" formatCode="General">
                  <c:v>1124.8637750052046</c:v>
                </c:pt>
                <c:pt idx="3352" formatCode="General">
                  <c:v>1043.5033672379723</c:v>
                </c:pt>
                <c:pt idx="3353" formatCode="General">
                  <c:v>1136.0573460695675</c:v>
                </c:pt>
                <c:pt idx="3354" formatCode="General">
                  <c:v>920.94603751639738</c:v>
                </c:pt>
                <c:pt idx="3355" formatCode="General">
                  <c:v>934.38149431702811</c:v>
                </c:pt>
                <c:pt idx="3356" formatCode="General">
                  <c:v>894.19370530855724</c:v>
                </c:pt>
                <c:pt idx="3357" formatCode="General">
                  <c:v>882.5509944425404</c:v>
                </c:pt>
                <c:pt idx="3358" formatCode="General">
                  <c:v>943.1707720817717</c:v>
                </c:pt>
                <c:pt idx="3359" formatCode="General">
                  <c:v>883.81044114102656</c:v>
                </c:pt>
                <c:pt idx="3360" formatCode="General">
                  <c:v>1192.923729701718</c:v>
                </c:pt>
                <c:pt idx="3361" formatCode="General">
                  <c:v>923.4825978994071</c:v>
                </c:pt>
                <c:pt idx="3362" formatCode="General">
                  <c:v>916.62093560277265</c:v>
                </c:pt>
                <c:pt idx="3363" formatCode="General">
                  <c:v>956.67401844508424</c:v>
                </c:pt>
                <c:pt idx="3364" formatCode="General">
                  <c:v>1203.7425144900847</c:v>
                </c:pt>
                <c:pt idx="3365" formatCode="General">
                  <c:v>907.00814411458384</c:v>
                </c:pt>
                <c:pt idx="3366" formatCode="General">
                  <c:v>988.4740375136563</c:v>
                </c:pt>
                <c:pt idx="3367" formatCode="General">
                  <c:v>1162.7681844675878</c:v>
                </c:pt>
                <c:pt idx="3368" formatCode="General">
                  <c:v>944.38238135070321</c:v>
                </c:pt>
                <c:pt idx="3369" formatCode="General">
                  <c:v>872.34661327309368</c:v>
                </c:pt>
                <c:pt idx="3370" formatCode="General">
                  <c:v>1224.9878191997173</c:v>
                </c:pt>
                <c:pt idx="3371" formatCode="General">
                  <c:v>1146.1786574006151</c:v>
                </c:pt>
                <c:pt idx="3372" formatCode="General">
                  <c:v>834.91004962304305</c:v>
                </c:pt>
                <c:pt idx="3373" formatCode="General">
                  <c:v>933.77932065843606</c:v>
                </c:pt>
                <c:pt idx="3374" formatCode="General">
                  <c:v>896.37937800949203</c:v>
                </c:pt>
                <c:pt idx="3375" formatCode="General">
                  <c:v>905.64290895198496</c:v>
                </c:pt>
                <c:pt idx="3376" formatCode="General">
                  <c:v>1148.0651467633224</c:v>
                </c:pt>
                <c:pt idx="3377" formatCode="General">
                  <c:v>934.0764580335084</c:v>
                </c:pt>
                <c:pt idx="3378" formatCode="General">
                  <c:v>993.67237200222803</c:v>
                </c:pt>
                <c:pt idx="3379" formatCode="General">
                  <c:v>1019.6463528386147</c:v>
                </c:pt>
                <c:pt idx="3380" formatCode="General">
                  <c:v>921.89714557604736</c:v>
                </c:pt>
                <c:pt idx="3381" formatCode="General">
                  <c:v>908.48503994246664</c:v>
                </c:pt>
                <c:pt idx="3382" formatCode="General">
                  <c:v>916.7276785782542</c:v>
                </c:pt>
                <c:pt idx="3383" formatCode="General">
                  <c:v>1184.8004792481825</c:v>
                </c:pt>
                <c:pt idx="3384" formatCode="General">
                  <c:v>861.61322468974925</c:v>
                </c:pt>
                <c:pt idx="3385" formatCode="General">
                  <c:v>896.40877767396353</c:v>
                </c:pt>
                <c:pt idx="3386" formatCode="General">
                  <c:v>1100.071949078284</c:v>
                </c:pt>
                <c:pt idx="3387" formatCode="General">
                  <c:v>967.35265319231553</c:v>
                </c:pt>
                <c:pt idx="3388" formatCode="General">
                  <c:v>1051.1761261420029</c:v>
                </c:pt>
                <c:pt idx="3389" formatCode="General">
                  <c:v>950.45785305335062</c:v>
                </c:pt>
                <c:pt idx="3390" formatCode="General">
                  <c:v>1219.5724331087908</c:v>
                </c:pt>
                <c:pt idx="3391" formatCode="General">
                  <c:v>857.05839707770542</c:v>
                </c:pt>
                <c:pt idx="3392" formatCode="General">
                  <c:v>947.74043749631437</c:v>
                </c:pt>
                <c:pt idx="3393" formatCode="General">
                  <c:v>1115.6025133652606</c:v>
                </c:pt>
                <c:pt idx="3394" formatCode="General">
                  <c:v>943.91297970582514</c:v>
                </c:pt>
                <c:pt idx="3395" formatCode="General">
                  <c:v>1071.8441360981094</c:v>
                </c:pt>
                <c:pt idx="3396" formatCode="General">
                  <c:v>931.18573087324296</c:v>
                </c:pt>
                <c:pt idx="3397" formatCode="General">
                  <c:v>884.02643793327104</c:v>
                </c:pt>
                <c:pt idx="3398" formatCode="General">
                  <c:v>953.51080558755496</c:v>
                </c:pt>
                <c:pt idx="3399" formatCode="General">
                  <c:v>892.20634430591667</c:v>
                </c:pt>
                <c:pt idx="3400" formatCode="General">
                  <c:v>870.37447198976292</c:v>
                </c:pt>
                <c:pt idx="3401" formatCode="General">
                  <c:v>882.74266585242049</c:v>
                </c:pt>
                <c:pt idx="3402" formatCode="General">
                  <c:v>921.87871052451942</c:v>
                </c:pt>
                <c:pt idx="3403" formatCode="General">
                  <c:v>1079.3641312118505</c:v>
                </c:pt>
                <c:pt idx="3404" formatCode="General">
                  <c:v>859.22190198398005</c:v>
                </c:pt>
                <c:pt idx="3405" formatCode="General">
                  <c:v>1143.744665700819</c:v>
                </c:pt>
                <c:pt idx="3406" formatCode="General">
                  <c:v>997.6695256587027</c:v>
                </c:pt>
                <c:pt idx="3407" formatCode="General">
                  <c:v>962.22079077950491</c:v>
                </c:pt>
                <c:pt idx="3408" formatCode="General">
                  <c:v>1149.280204238964</c:v>
                </c:pt>
                <c:pt idx="3409" formatCode="General">
                  <c:v>863.2335256429086</c:v>
                </c:pt>
                <c:pt idx="3410" formatCode="General">
                  <c:v>960.1779890556611</c:v>
                </c:pt>
                <c:pt idx="3411" formatCode="General">
                  <c:v>1137.983862763861</c:v>
                </c:pt>
                <c:pt idx="3412" formatCode="General">
                  <c:v>948.612856493805</c:v>
                </c:pt>
                <c:pt idx="3413" formatCode="General">
                  <c:v>1190.6526924748146</c:v>
                </c:pt>
                <c:pt idx="3414" formatCode="General">
                  <c:v>931.63133831112225</c:v>
                </c:pt>
                <c:pt idx="3415" formatCode="General">
                  <c:v>911.56514923176053</c:v>
                </c:pt>
                <c:pt idx="3416" formatCode="General">
                  <c:v>946.72540610263286</c:v>
                </c:pt>
                <c:pt idx="3417" formatCode="General">
                  <c:v>899.90824958408859</c:v>
                </c:pt>
                <c:pt idx="3418" formatCode="General">
                  <c:v>847.45271579429527</c:v>
                </c:pt>
                <c:pt idx="3419" formatCode="General">
                  <c:v>891.28779035449475</c:v>
                </c:pt>
                <c:pt idx="3420" formatCode="General">
                  <c:v>1014.785810605876</c:v>
                </c:pt>
                <c:pt idx="3421" formatCode="General">
                  <c:v>863.14109094809726</c:v>
                </c:pt>
                <c:pt idx="3422" formatCode="General">
                  <c:v>844.28285336032786</c:v>
                </c:pt>
                <c:pt idx="3423" formatCode="General">
                  <c:v>878.53884256223671</c:v>
                </c:pt>
                <c:pt idx="3424" formatCode="General">
                  <c:v>902.46787585700861</c:v>
                </c:pt>
                <c:pt idx="3425" formatCode="General">
                  <c:v>987.4520256657197</c:v>
                </c:pt>
                <c:pt idx="3426" formatCode="General">
                  <c:v>1088.3379696566101</c:v>
                </c:pt>
                <c:pt idx="3427" formatCode="General">
                  <c:v>1100.181441516532</c:v>
                </c:pt>
                <c:pt idx="3428" formatCode="General">
                  <c:v>858.24342118174377</c:v>
                </c:pt>
                <c:pt idx="3429" formatCode="General">
                  <c:v>971.33171162830911</c:v>
                </c:pt>
                <c:pt idx="3430" formatCode="General">
                  <c:v>1016.6069775638784</c:v>
                </c:pt>
                <c:pt idx="3431" formatCode="General">
                  <c:v>957.33627179581697</c:v>
                </c:pt>
                <c:pt idx="3432" formatCode="General">
                  <c:v>989.00625909291762</c:v>
                </c:pt>
                <c:pt idx="3433" formatCode="General">
                  <c:v>1203.5056382085604</c:v>
                </c:pt>
                <c:pt idx="3434" formatCode="General">
                  <c:v>904.15007693510483</c:v>
                </c:pt>
                <c:pt idx="3435" formatCode="General">
                  <c:v>869.33716470071579</c:v>
                </c:pt>
                <c:pt idx="3436" formatCode="General">
                  <c:v>1006.0935711341004</c:v>
                </c:pt>
                <c:pt idx="3437" formatCode="General">
                  <c:v>939.06496451708267</c:v>
                </c:pt>
                <c:pt idx="3438" formatCode="General">
                  <c:v>917.53610400651985</c:v>
                </c:pt>
                <c:pt idx="3439" formatCode="General">
                  <c:v>892.18542590227628</c:v>
                </c:pt>
                <c:pt idx="3440" formatCode="General">
                  <c:v>1207.4479849929214</c:v>
                </c:pt>
                <c:pt idx="3441" formatCode="General">
                  <c:v>899.30218366718429</c:v>
                </c:pt>
                <c:pt idx="3442" formatCode="General">
                  <c:v>861.1943220107986</c:v>
                </c:pt>
                <c:pt idx="3443" formatCode="General">
                  <c:v>782.11603661835295</c:v>
                </c:pt>
                <c:pt idx="3444" formatCode="General">
                  <c:v>1059.3562273189054</c:v>
                </c:pt>
                <c:pt idx="3445" formatCode="General">
                  <c:v>1004.0473111111647</c:v>
                </c:pt>
                <c:pt idx="3446" formatCode="General">
                  <c:v>896.79090041552899</c:v>
                </c:pt>
                <c:pt idx="3447" formatCode="General">
                  <c:v>893.82435567741311</c:v>
                </c:pt>
                <c:pt idx="3448" formatCode="General">
                  <c:v>1089.8665334305174</c:v>
                </c:pt>
                <c:pt idx="3449" formatCode="General">
                  <c:v>882.98362889035457</c:v>
                </c:pt>
                <c:pt idx="3450" formatCode="General">
                  <c:v>1173.4250134962529</c:v>
                </c:pt>
                <c:pt idx="3451" formatCode="General">
                  <c:v>1211.9374277139034</c:v>
                </c:pt>
                <c:pt idx="3452" formatCode="General">
                  <c:v>966.16777142629792</c:v>
                </c:pt>
                <c:pt idx="3453" formatCode="General">
                  <c:v>1026.022635025621</c:v>
                </c:pt>
                <c:pt idx="3454" formatCode="General">
                  <c:v>927.9168964095004</c:v>
                </c:pt>
                <c:pt idx="3455" formatCode="General">
                  <c:v>929.57385250484322</c:v>
                </c:pt>
                <c:pt idx="3456" formatCode="General">
                  <c:v>1077.8007526513384</c:v>
                </c:pt>
                <c:pt idx="3457" formatCode="General">
                  <c:v>934.59387834542088</c:v>
                </c:pt>
                <c:pt idx="3458" formatCode="General">
                  <c:v>993.15333425443691</c:v>
                </c:pt>
                <c:pt idx="3459" formatCode="General">
                  <c:v>858.09558217693825</c:v>
                </c:pt>
                <c:pt idx="3460" formatCode="General">
                  <c:v>874.55850838039112</c:v>
                </c:pt>
                <c:pt idx="3461" formatCode="General">
                  <c:v>931.38980915441221</c:v>
                </c:pt>
                <c:pt idx="3462" formatCode="General">
                  <c:v>892.43654834086749</c:v>
                </c:pt>
                <c:pt idx="3463" formatCode="General">
                  <c:v>866.51011461252233</c:v>
                </c:pt>
                <c:pt idx="3464" formatCode="General">
                  <c:v>1100.0189663533174</c:v>
                </c:pt>
                <c:pt idx="3465" formatCode="General">
                  <c:v>1007.5107944417218</c:v>
                </c:pt>
                <c:pt idx="3466" formatCode="General">
                  <c:v>1113.054643005808</c:v>
                </c:pt>
                <c:pt idx="3467" formatCode="General">
                  <c:v>937.41522151974266</c:v>
                </c:pt>
                <c:pt idx="3468" formatCode="General">
                  <c:v>1189.2325375296234</c:v>
                </c:pt>
                <c:pt idx="3469" formatCode="General">
                  <c:v>973.03310429401211</c:v>
                </c:pt>
                <c:pt idx="3470" formatCode="General">
                  <c:v>886.10699326000884</c:v>
                </c:pt>
                <c:pt idx="3471" formatCode="General">
                  <c:v>1046.0950834343344</c:v>
                </c:pt>
                <c:pt idx="3472" formatCode="General">
                  <c:v>915.2539773869338</c:v>
                </c:pt>
                <c:pt idx="3473" formatCode="General">
                  <c:v>1109.7534544940784</c:v>
                </c:pt>
                <c:pt idx="3474" formatCode="General">
                  <c:v>1064.4156208503478</c:v>
                </c:pt>
                <c:pt idx="3475" formatCode="General">
                  <c:v>904.10710943818492</c:v>
                </c:pt>
                <c:pt idx="3476" formatCode="General">
                  <c:v>940.68710601304463</c:v>
                </c:pt>
                <c:pt idx="3477" formatCode="General">
                  <c:v>986.23945468935426</c:v>
                </c:pt>
                <c:pt idx="3478" formatCode="General">
                  <c:v>1276.3222894643843</c:v>
                </c:pt>
                <c:pt idx="3479" formatCode="General">
                  <c:v>1121.7687253655149</c:v>
                </c:pt>
                <c:pt idx="3480" formatCode="General">
                  <c:v>945.20076901168522</c:v>
                </c:pt>
                <c:pt idx="3481" formatCode="General">
                  <c:v>880.31980811325548</c:v>
                </c:pt>
                <c:pt idx="3482" formatCode="General">
                  <c:v>942.10468738748466</c:v>
                </c:pt>
                <c:pt idx="3483" formatCode="General">
                  <c:v>903.51549183459156</c:v>
                </c:pt>
                <c:pt idx="3484" formatCode="General">
                  <c:v>927.69266295046634</c:v>
                </c:pt>
                <c:pt idx="3485" formatCode="General">
                  <c:v>1027.4101283049524</c:v>
                </c:pt>
                <c:pt idx="3486" formatCode="General">
                  <c:v>1016.5873426958937</c:v>
                </c:pt>
                <c:pt idx="3487" formatCode="General">
                  <c:v>1130.9066838959288</c:v>
                </c:pt>
                <c:pt idx="3488" formatCode="General">
                  <c:v>1224.1466095787173</c:v>
                </c:pt>
                <c:pt idx="3489" formatCode="General">
                  <c:v>865.64894576503298</c:v>
                </c:pt>
                <c:pt idx="3490" formatCode="General">
                  <c:v>809.4843213584162</c:v>
                </c:pt>
                <c:pt idx="3491" formatCode="General">
                  <c:v>1042.9293779867828</c:v>
                </c:pt>
                <c:pt idx="3492" formatCode="General">
                  <c:v>843.19224255505537</c:v>
                </c:pt>
                <c:pt idx="3493" formatCode="General">
                  <c:v>931.03947587084429</c:v>
                </c:pt>
                <c:pt idx="3494" formatCode="General">
                  <c:v>839.34695841199482</c:v>
                </c:pt>
                <c:pt idx="3495" formatCode="General">
                  <c:v>840.53292421602566</c:v>
                </c:pt>
                <c:pt idx="3496" formatCode="General">
                  <c:v>992.93906497897331</c:v>
                </c:pt>
                <c:pt idx="3497" formatCode="General">
                  <c:v>831.68885526928102</c:v>
                </c:pt>
                <c:pt idx="3498" formatCode="General">
                  <c:v>1158.4688061891998</c:v>
                </c:pt>
                <c:pt idx="3499" formatCode="General">
                  <c:v>1019.9004180778932</c:v>
                </c:pt>
                <c:pt idx="3500" formatCode="General">
                  <c:v>889.96277903574617</c:v>
                </c:pt>
                <c:pt idx="3501" formatCode="General">
                  <c:v>903.05768698861311</c:v>
                </c:pt>
                <c:pt idx="3502" formatCode="General">
                  <c:v>949.09864926234172</c:v>
                </c:pt>
                <c:pt idx="3503" formatCode="General">
                  <c:v>934.33517595371416</c:v>
                </c:pt>
                <c:pt idx="3504" formatCode="General">
                  <c:v>1115.0061076545126</c:v>
                </c:pt>
                <c:pt idx="3505" formatCode="General">
                  <c:v>1026.4384212118266</c:v>
                </c:pt>
                <c:pt idx="3506" formatCode="General">
                  <c:v>864.34550005755659</c:v>
                </c:pt>
                <c:pt idx="3507" formatCode="General">
                  <c:v>823.64777450726092</c:v>
                </c:pt>
                <c:pt idx="3508" formatCode="General">
                  <c:v>1232.2291823679516</c:v>
                </c:pt>
                <c:pt idx="3509" formatCode="General">
                  <c:v>934.7132360593954</c:v>
                </c:pt>
                <c:pt idx="3510" formatCode="General">
                  <c:v>906.23425198251459</c:v>
                </c:pt>
                <c:pt idx="3511" formatCode="General">
                  <c:v>900.60446046734751</c:v>
                </c:pt>
                <c:pt idx="3512" formatCode="General">
                  <c:v>845.38065450779129</c:v>
                </c:pt>
                <c:pt idx="3513" formatCode="General">
                  <c:v>1161.5672137349245</c:v>
                </c:pt>
                <c:pt idx="3514" formatCode="General">
                  <c:v>1217.9968141541458</c:v>
                </c:pt>
                <c:pt idx="3515" formatCode="General">
                  <c:v>1176.3403274034501</c:v>
                </c:pt>
                <c:pt idx="3516" formatCode="General">
                  <c:v>1170.5839068130551</c:v>
                </c:pt>
                <c:pt idx="3517" formatCode="General">
                  <c:v>832.91987656213155</c:v>
                </c:pt>
                <c:pt idx="3518" formatCode="General">
                  <c:v>904.61803147549711</c:v>
                </c:pt>
                <c:pt idx="3519" formatCode="General">
                  <c:v>932.54039051257257</c:v>
                </c:pt>
                <c:pt idx="3520" formatCode="General">
                  <c:v>938.31002800349449</c:v>
                </c:pt>
                <c:pt idx="3521" formatCode="General">
                  <c:v>1073.8844731535894</c:v>
                </c:pt>
                <c:pt idx="3522" formatCode="General">
                  <c:v>869.96493574901763</c:v>
                </c:pt>
                <c:pt idx="3523" formatCode="General">
                  <c:v>1199.9243574720817</c:v>
                </c:pt>
                <c:pt idx="3524" formatCode="General">
                  <c:v>920.82150157593946</c:v>
                </c:pt>
                <c:pt idx="3525" formatCode="General">
                  <c:v>1150.3779956687902</c:v>
                </c:pt>
                <c:pt idx="3526" formatCode="General">
                  <c:v>1100.0026727795803</c:v>
                </c:pt>
                <c:pt idx="3527" formatCode="General">
                  <c:v>993.53868283941267</c:v>
                </c:pt>
                <c:pt idx="3528" formatCode="General">
                  <c:v>866.73666916156992</c:v>
                </c:pt>
                <c:pt idx="3529" formatCode="General">
                  <c:v>1062.8181739598879</c:v>
                </c:pt>
                <c:pt idx="3530" formatCode="General">
                  <c:v>1153.1061040709319</c:v>
                </c:pt>
                <c:pt idx="3531" formatCode="General">
                  <c:v>1287.0905500758483</c:v>
                </c:pt>
                <c:pt idx="3532" formatCode="General">
                  <c:v>852.73332892913481</c:v>
                </c:pt>
                <c:pt idx="3533" formatCode="General">
                  <c:v>1118.401894847625</c:v>
                </c:pt>
                <c:pt idx="3534" formatCode="General">
                  <c:v>966.46469771185525</c:v>
                </c:pt>
                <c:pt idx="3535" formatCode="General">
                  <c:v>931.71436047940836</c:v>
                </c:pt>
                <c:pt idx="3536" formatCode="General">
                  <c:v>804.60884254453504</c:v>
                </c:pt>
                <c:pt idx="3537" formatCode="General">
                  <c:v>882.39735267171454</c:v>
                </c:pt>
                <c:pt idx="3538" formatCode="General">
                  <c:v>929.42759122604366</c:v>
                </c:pt>
                <c:pt idx="3539" formatCode="General">
                  <c:v>897.83415015092999</c:v>
                </c:pt>
                <c:pt idx="3540" formatCode="General">
                  <c:v>1035.334736950741</c:v>
                </c:pt>
                <c:pt idx="3541" formatCode="General">
                  <c:v>1165.2230766344258</c:v>
                </c:pt>
                <c:pt idx="3542" formatCode="General">
                  <c:v>846.65907716212416</c:v>
                </c:pt>
                <c:pt idx="3543" formatCode="General">
                  <c:v>976.00908441902607</c:v>
                </c:pt>
                <c:pt idx="3544" formatCode="General">
                  <c:v>921.10627053319365</c:v>
                </c:pt>
                <c:pt idx="3545" formatCode="General">
                  <c:v>841.2269304131039</c:v>
                </c:pt>
                <c:pt idx="3546" formatCode="General">
                  <c:v>898.65980733765332</c:v>
                </c:pt>
                <c:pt idx="3547" formatCode="General">
                  <c:v>899.24379059691978</c:v>
                </c:pt>
                <c:pt idx="3548" formatCode="General">
                  <c:v>893.07205239655252</c:v>
                </c:pt>
                <c:pt idx="3549" formatCode="General">
                  <c:v>826.48072845289232</c:v>
                </c:pt>
                <c:pt idx="3550" formatCode="General">
                  <c:v>879.07964992195502</c:v>
                </c:pt>
                <c:pt idx="3551" formatCode="General">
                  <c:v>898.62447114778752</c:v>
                </c:pt>
                <c:pt idx="3552" formatCode="General">
                  <c:v>989.21659390392369</c:v>
                </c:pt>
                <c:pt idx="3553" formatCode="General">
                  <c:v>832.46307138024247</c:v>
                </c:pt>
                <c:pt idx="3554" formatCode="General">
                  <c:v>922.30231726248576</c:v>
                </c:pt>
                <c:pt idx="3555" formatCode="General">
                  <c:v>1135.8737743629179</c:v>
                </c:pt>
                <c:pt idx="3556" formatCode="General">
                  <c:v>968.39011093628699</c:v>
                </c:pt>
                <c:pt idx="3557" formatCode="General">
                  <c:v>943.5416261013786</c:v>
                </c:pt>
                <c:pt idx="3558" formatCode="General">
                  <c:v>925.49323159453809</c:v>
                </c:pt>
                <c:pt idx="3559" formatCode="General">
                  <c:v>1008.9258114396447</c:v>
                </c:pt>
                <c:pt idx="3560" formatCode="General">
                  <c:v>821.46458966281273</c:v>
                </c:pt>
                <c:pt idx="3561" formatCode="General">
                  <c:v>903.64353442667607</c:v>
                </c:pt>
                <c:pt idx="3562" formatCode="General">
                  <c:v>1082.4224675364173</c:v>
                </c:pt>
                <c:pt idx="3563" formatCode="General">
                  <c:v>1000.0192863563933</c:v>
                </c:pt>
                <c:pt idx="3564" formatCode="General">
                  <c:v>904.1663102896988</c:v>
                </c:pt>
                <c:pt idx="3565" formatCode="General">
                  <c:v>939.31750323285814</c:v>
                </c:pt>
                <c:pt idx="3566" formatCode="General">
                  <c:v>1209.9233483313644</c:v>
                </c:pt>
                <c:pt idx="3567" formatCode="General">
                  <c:v>928.34753164426058</c:v>
                </c:pt>
                <c:pt idx="3568" formatCode="General">
                  <c:v>917.65769231799027</c:v>
                </c:pt>
                <c:pt idx="3569" formatCode="General">
                  <c:v>1068.0891070075222</c:v>
                </c:pt>
                <c:pt idx="3570" formatCode="General">
                  <c:v>961.750056968286</c:v>
                </c:pt>
                <c:pt idx="3571" formatCode="General">
                  <c:v>849.58692882038304</c:v>
                </c:pt>
                <c:pt idx="3572" formatCode="General">
                  <c:v>1019.6828871895693</c:v>
                </c:pt>
                <c:pt idx="3573" formatCode="General">
                  <c:v>851.24047519610974</c:v>
                </c:pt>
                <c:pt idx="3574" formatCode="General">
                  <c:v>926.2628862202024</c:v>
                </c:pt>
                <c:pt idx="3575" formatCode="General">
                  <c:v>1056.8634015566906</c:v>
                </c:pt>
                <c:pt idx="3576" formatCode="General">
                  <c:v>857.57020317193508</c:v>
                </c:pt>
                <c:pt idx="3577" formatCode="General">
                  <c:v>1135.4650088653079</c:v>
                </c:pt>
                <c:pt idx="3578" formatCode="General">
                  <c:v>950.93987980958548</c:v>
                </c:pt>
                <c:pt idx="3579" formatCode="General">
                  <c:v>904.2964876885793</c:v>
                </c:pt>
                <c:pt idx="3580" formatCode="General">
                  <c:v>939.10567931067942</c:v>
                </c:pt>
                <c:pt idx="3581" formatCode="General">
                  <c:v>886.68661336670914</c:v>
                </c:pt>
                <c:pt idx="3582" formatCode="General">
                  <c:v>1022.081598922614</c:v>
                </c:pt>
                <c:pt idx="3583" formatCode="General">
                  <c:v>929.8716313149398</c:v>
                </c:pt>
                <c:pt idx="3584" formatCode="General">
                  <c:v>951.69292955345384</c:v>
                </c:pt>
                <c:pt idx="3585" formatCode="General">
                  <c:v>843.43498852636753</c:v>
                </c:pt>
                <c:pt idx="3586" formatCode="General">
                  <c:v>1203.826783699456</c:v>
                </c:pt>
                <c:pt idx="3587" formatCode="General">
                  <c:v>872.18913467906009</c:v>
                </c:pt>
                <c:pt idx="3588" formatCode="General">
                  <c:v>1062.9381975445426</c:v>
                </c:pt>
                <c:pt idx="3589" formatCode="General">
                  <c:v>903.11457889148699</c:v>
                </c:pt>
                <c:pt idx="3590" formatCode="General">
                  <c:v>938.26236937067858</c:v>
                </c:pt>
                <c:pt idx="3591" formatCode="General">
                  <c:v>905.88457132505357</c:v>
                </c:pt>
                <c:pt idx="3592" formatCode="General">
                  <c:v>1011.3993092945086</c:v>
                </c:pt>
                <c:pt idx="3593" formatCode="General">
                  <c:v>959.34436612947957</c:v>
                </c:pt>
                <c:pt idx="3594" formatCode="General">
                  <c:v>864.82325234534903</c:v>
                </c:pt>
                <c:pt idx="3595" formatCode="General">
                  <c:v>893.82503724128583</c:v>
                </c:pt>
                <c:pt idx="3596" formatCode="General">
                  <c:v>917.10281545968542</c:v>
                </c:pt>
                <c:pt idx="3597" formatCode="General">
                  <c:v>860.7523565409017</c:v>
                </c:pt>
                <c:pt idx="3598" formatCode="General">
                  <c:v>888.85825447492653</c:v>
                </c:pt>
                <c:pt idx="3599" formatCode="General">
                  <c:v>1065.8893773605773</c:v>
                </c:pt>
                <c:pt idx="3600" formatCode="General">
                  <c:v>882.20785107632059</c:v>
                </c:pt>
                <c:pt idx="3601" formatCode="General">
                  <c:v>946.03504734304488</c:v>
                </c:pt>
                <c:pt idx="3602" formatCode="General">
                  <c:v>999.67240204107748</c:v>
                </c:pt>
                <c:pt idx="3603" formatCode="General">
                  <c:v>911.21215554753701</c:v>
                </c:pt>
                <c:pt idx="3604" formatCode="General">
                  <c:v>871.62142073408086</c:v>
                </c:pt>
                <c:pt idx="3605" formatCode="General">
                  <c:v>899.77638125403769</c:v>
                </c:pt>
                <c:pt idx="3606" formatCode="General">
                  <c:v>1019.2773260212546</c:v>
                </c:pt>
                <c:pt idx="3607" formatCode="General">
                  <c:v>954.71582665435062</c:v>
                </c:pt>
                <c:pt idx="3608" formatCode="General">
                  <c:v>873.09489472855194</c:v>
                </c:pt>
                <c:pt idx="3609" formatCode="General">
                  <c:v>982.55155865763686</c:v>
                </c:pt>
                <c:pt idx="3610" formatCode="General">
                  <c:v>1195.063792775481</c:v>
                </c:pt>
                <c:pt idx="3611" formatCode="General">
                  <c:v>944.45807834582013</c:v>
                </c:pt>
                <c:pt idx="3612" formatCode="General">
                  <c:v>1062.4815751812864</c:v>
                </c:pt>
                <c:pt idx="3613" formatCode="General">
                  <c:v>1113.3813036456572</c:v>
                </c:pt>
                <c:pt idx="3614" formatCode="General">
                  <c:v>1071.0118836943509</c:v>
                </c:pt>
                <c:pt idx="3615" formatCode="General">
                  <c:v>1013.0638312822457</c:v>
                </c:pt>
                <c:pt idx="3616" formatCode="General">
                  <c:v>891.1582644541229</c:v>
                </c:pt>
                <c:pt idx="3617" formatCode="General">
                  <c:v>878.56095418125983</c:v>
                </c:pt>
                <c:pt idx="3618" formatCode="General">
                  <c:v>1104.5617599252273</c:v>
                </c:pt>
                <c:pt idx="3619" formatCode="General">
                  <c:v>963.82925821582262</c:v>
                </c:pt>
                <c:pt idx="3620" formatCode="General">
                  <c:v>945.9535257052413</c:v>
                </c:pt>
                <c:pt idx="3621" formatCode="General">
                  <c:v>1179.8229923114852</c:v>
                </c:pt>
                <c:pt idx="3622" formatCode="General">
                  <c:v>986.65939672361969</c:v>
                </c:pt>
                <c:pt idx="3623" formatCode="General">
                  <c:v>935.81086999066372</c:v>
                </c:pt>
                <c:pt idx="3624" formatCode="General">
                  <c:v>865.00507014445043</c:v>
                </c:pt>
                <c:pt idx="3625" formatCode="General">
                  <c:v>1063.3968967425001</c:v>
                </c:pt>
                <c:pt idx="3626" formatCode="General">
                  <c:v>864.11470962289957</c:v>
                </c:pt>
                <c:pt idx="3627" formatCode="General">
                  <c:v>981.9584161178235</c:v>
                </c:pt>
                <c:pt idx="3628" formatCode="General">
                  <c:v>906.76956169104028</c:v>
                </c:pt>
                <c:pt idx="3629" formatCode="General">
                  <c:v>1014.5190082197156</c:v>
                </c:pt>
                <c:pt idx="3630" formatCode="General">
                  <c:v>852.4879100964904</c:v>
                </c:pt>
                <c:pt idx="3631" formatCode="General">
                  <c:v>1062.2910145864066</c:v>
                </c:pt>
                <c:pt idx="3632" formatCode="General">
                  <c:v>909.14954480791732</c:v>
                </c:pt>
                <c:pt idx="3633" formatCode="General">
                  <c:v>973.42714116094726</c:v>
                </c:pt>
                <c:pt idx="3634" formatCode="General">
                  <c:v>812.66364205227489</c:v>
                </c:pt>
                <c:pt idx="3635" formatCode="General">
                  <c:v>837.19965633211996</c:v>
                </c:pt>
                <c:pt idx="3636" formatCode="General">
                  <c:v>909.44501995248652</c:v>
                </c:pt>
                <c:pt idx="3637" formatCode="General">
                  <c:v>969.47016987711743</c:v>
                </c:pt>
                <c:pt idx="3638" formatCode="General">
                  <c:v>1061.7177316042269</c:v>
                </c:pt>
                <c:pt idx="3639" formatCode="General">
                  <c:v>931.30092233882942</c:v>
                </c:pt>
                <c:pt idx="3640" formatCode="General">
                  <c:v>886.5439302114396</c:v>
                </c:pt>
                <c:pt idx="3641" formatCode="General">
                  <c:v>852.82249693225481</c:v>
                </c:pt>
                <c:pt idx="3642" formatCode="General">
                  <c:v>881.54204579636519</c:v>
                </c:pt>
                <c:pt idx="3643" formatCode="General">
                  <c:v>792.09706474700567</c:v>
                </c:pt>
                <c:pt idx="3644" formatCode="General">
                  <c:v>900.00945258035074</c:v>
                </c:pt>
                <c:pt idx="3645" formatCode="General">
                  <c:v>949.23740018381329</c:v>
                </c:pt>
                <c:pt idx="3646" formatCode="General">
                  <c:v>828.60886700375045</c:v>
                </c:pt>
                <c:pt idx="3647" formatCode="General">
                  <c:v>956.27302596224251</c:v>
                </c:pt>
                <c:pt idx="3648" formatCode="General">
                  <c:v>946.92926210887788</c:v>
                </c:pt>
                <c:pt idx="3649" formatCode="General">
                  <c:v>904.51448704858876</c:v>
                </c:pt>
                <c:pt idx="3650" formatCode="General">
                  <c:v>907.34655935597675</c:v>
                </c:pt>
                <c:pt idx="3651" formatCode="General">
                  <c:v>872.0657069125574</c:v>
                </c:pt>
                <c:pt idx="3652" formatCode="General">
                  <c:v>1136.2201787946506</c:v>
                </c:pt>
                <c:pt idx="3653" formatCode="General">
                  <c:v>954.9978924107595</c:v>
                </c:pt>
                <c:pt idx="3654" formatCode="General">
                  <c:v>990.94974819223819</c:v>
                </c:pt>
                <c:pt idx="3655" formatCode="General">
                  <c:v>957.46632624490042</c:v>
                </c:pt>
                <c:pt idx="3656" formatCode="General">
                  <c:v>1161.5655217411058</c:v>
                </c:pt>
                <c:pt idx="3657" formatCode="General">
                  <c:v>1022.5198114644645</c:v>
                </c:pt>
                <c:pt idx="3658" formatCode="General">
                  <c:v>903.22199294547158</c:v>
                </c:pt>
                <c:pt idx="3659" formatCode="General">
                  <c:v>911.1286674532023</c:v>
                </c:pt>
                <c:pt idx="3660" formatCode="General">
                  <c:v>897.34643805916539</c:v>
                </c:pt>
                <c:pt idx="3661" formatCode="General">
                  <c:v>918.26608746970669</c:v>
                </c:pt>
                <c:pt idx="3662" formatCode="General">
                  <c:v>877.89949829829857</c:v>
                </c:pt>
                <c:pt idx="3663" formatCode="General">
                  <c:v>875.68208999640376</c:v>
                </c:pt>
                <c:pt idx="3664" formatCode="General">
                  <c:v>873.99218202113138</c:v>
                </c:pt>
                <c:pt idx="3665" formatCode="General">
                  <c:v>995.65847339295669</c:v>
                </c:pt>
                <c:pt idx="3666" formatCode="General">
                  <c:v>889.64295665614418</c:v>
                </c:pt>
                <c:pt idx="3667" formatCode="General">
                  <c:v>889.38553829858506</c:v>
                </c:pt>
                <c:pt idx="3668" formatCode="General">
                  <c:v>845.24707390831259</c:v>
                </c:pt>
                <c:pt idx="3669" formatCode="General">
                  <c:v>880.63277254681611</c:v>
                </c:pt>
                <c:pt idx="3670" formatCode="General">
                  <c:v>1185.3970677013008</c:v>
                </c:pt>
                <c:pt idx="3671" formatCode="General">
                  <c:v>873.21472078396425</c:v>
                </c:pt>
                <c:pt idx="3672" formatCode="General">
                  <c:v>848.94335978987897</c:v>
                </c:pt>
                <c:pt idx="3673" formatCode="General">
                  <c:v>1136.4818951788598</c:v>
                </c:pt>
                <c:pt idx="3674" formatCode="General">
                  <c:v>1212.5631046084766</c:v>
                </c:pt>
                <c:pt idx="3675" formatCode="General">
                  <c:v>1157.0069227533631</c:v>
                </c:pt>
                <c:pt idx="3676" formatCode="General">
                  <c:v>887.00422970417435</c:v>
                </c:pt>
                <c:pt idx="3677" formatCode="General">
                  <c:v>942.70652105054819</c:v>
                </c:pt>
                <c:pt idx="3678" formatCode="General">
                  <c:v>981.56566747522265</c:v>
                </c:pt>
                <c:pt idx="3679" formatCode="General">
                  <c:v>1140.9204194789418</c:v>
                </c:pt>
                <c:pt idx="3680" formatCode="General">
                  <c:v>898.53456355851665</c:v>
                </c:pt>
                <c:pt idx="3681" formatCode="General">
                  <c:v>932.73183356834193</c:v>
                </c:pt>
                <c:pt idx="3682" formatCode="General">
                  <c:v>891.58627150262396</c:v>
                </c:pt>
                <c:pt idx="3683" formatCode="General">
                  <c:v>1205.4567903848506</c:v>
                </c:pt>
                <c:pt idx="3684" formatCode="General">
                  <c:v>850.56224718903604</c:v>
                </c:pt>
                <c:pt idx="3685" formatCode="General">
                  <c:v>826.18109082087494</c:v>
                </c:pt>
                <c:pt idx="3686" formatCode="General">
                  <c:v>879.17638334226388</c:v>
                </c:pt>
                <c:pt idx="3687" formatCode="General">
                  <c:v>1171.5170874129622</c:v>
                </c:pt>
                <c:pt idx="3688" formatCode="General">
                  <c:v>1128.2689542479966</c:v>
                </c:pt>
                <c:pt idx="3689" formatCode="General">
                  <c:v>815.46654107252061</c:v>
                </c:pt>
                <c:pt idx="3690" formatCode="General">
                  <c:v>846.43469938727003</c:v>
                </c:pt>
                <c:pt idx="3691" formatCode="General">
                  <c:v>856.23747066484862</c:v>
                </c:pt>
                <c:pt idx="3692" formatCode="General">
                  <c:v>1176.1212414396591</c:v>
                </c:pt>
                <c:pt idx="3693" formatCode="General">
                  <c:v>1056.8805736694167</c:v>
                </c:pt>
                <c:pt idx="3694" formatCode="General">
                  <c:v>896.95559200339699</c:v>
                </c:pt>
                <c:pt idx="3695" formatCode="General">
                  <c:v>1183.2447798328419</c:v>
                </c:pt>
                <c:pt idx="3696" formatCode="General">
                  <c:v>980.84174312253424</c:v>
                </c:pt>
                <c:pt idx="3697" formatCode="General">
                  <c:v>925.86662027626562</c:v>
                </c:pt>
                <c:pt idx="3698" formatCode="General">
                  <c:v>917.21730119426377</c:v>
                </c:pt>
                <c:pt idx="3699" formatCode="General">
                  <c:v>867.93819293169054</c:v>
                </c:pt>
                <c:pt idx="3700" formatCode="General">
                  <c:v>915.77798430620453</c:v>
                </c:pt>
                <c:pt idx="3701" formatCode="General">
                  <c:v>1210.2317270433978</c:v>
                </c:pt>
                <c:pt idx="3702" formatCode="General">
                  <c:v>1224.5426170022465</c:v>
                </c:pt>
                <c:pt idx="3703" formatCode="General">
                  <c:v>900.10179069369542</c:v>
                </c:pt>
                <c:pt idx="3704" formatCode="General">
                  <c:v>912.16908197664645</c:v>
                </c:pt>
                <c:pt idx="3705" formatCode="General">
                  <c:v>1206.8542568381311</c:v>
                </c:pt>
                <c:pt idx="3706" formatCode="General">
                  <c:v>964.82267739466624</c:v>
                </c:pt>
                <c:pt idx="3707" formatCode="General">
                  <c:v>986.04132401267111</c:v>
                </c:pt>
                <c:pt idx="3708" formatCode="General">
                  <c:v>918.00238080812403</c:v>
                </c:pt>
                <c:pt idx="3709" formatCode="General">
                  <c:v>894.07635430066057</c:v>
                </c:pt>
                <c:pt idx="3710" formatCode="General">
                  <c:v>924.67159841907073</c:v>
                </c:pt>
                <c:pt idx="3711" formatCode="General">
                  <c:v>878.19422178606123</c:v>
                </c:pt>
                <c:pt idx="3712" formatCode="General">
                  <c:v>970.24778249743815</c:v>
                </c:pt>
                <c:pt idx="3713" formatCode="General">
                  <c:v>873.38752658027306</c:v>
                </c:pt>
                <c:pt idx="3714" formatCode="General">
                  <c:v>894.0182285345744</c:v>
                </c:pt>
                <c:pt idx="3715" formatCode="General">
                  <c:v>884.71159207854271</c:v>
                </c:pt>
                <c:pt idx="3716" formatCode="General">
                  <c:v>914.60679047590747</c:v>
                </c:pt>
                <c:pt idx="3717" formatCode="General">
                  <c:v>925.43494033787931</c:v>
                </c:pt>
                <c:pt idx="3718" formatCode="General">
                  <c:v>851.97652109172918</c:v>
                </c:pt>
                <c:pt idx="3719" formatCode="General">
                  <c:v>1109.6588735534972</c:v>
                </c:pt>
                <c:pt idx="3720" formatCode="General">
                  <c:v>932.16726680426098</c:v>
                </c:pt>
                <c:pt idx="3721" formatCode="General">
                  <c:v>847.69135338508727</c:v>
                </c:pt>
                <c:pt idx="3722" formatCode="General">
                  <c:v>1277.6122311451938</c:v>
                </c:pt>
                <c:pt idx="3723" formatCode="General">
                  <c:v>928.71882093588476</c:v>
                </c:pt>
                <c:pt idx="3724" formatCode="General">
                  <c:v>905.01072686619318</c:v>
                </c:pt>
                <c:pt idx="3725" formatCode="General">
                  <c:v>1126.4599659085343</c:v>
                </c:pt>
                <c:pt idx="3726" formatCode="General">
                  <c:v>848.46285482206497</c:v>
                </c:pt>
                <c:pt idx="3727" formatCode="General">
                  <c:v>946.1703089880009</c:v>
                </c:pt>
                <c:pt idx="3728" formatCode="General">
                  <c:v>809.5574914623644</c:v>
                </c:pt>
                <c:pt idx="3729" formatCode="General">
                  <c:v>1069.005969981692</c:v>
                </c:pt>
                <c:pt idx="3730" formatCode="General">
                  <c:v>889.27758269280662</c:v>
                </c:pt>
                <c:pt idx="3731" formatCode="General">
                  <c:v>1109.9900873549013</c:v>
                </c:pt>
                <c:pt idx="3732" formatCode="General">
                  <c:v>989.73607170822811</c:v>
                </c:pt>
                <c:pt idx="3733" formatCode="General">
                  <c:v>1243.391953137344</c:v>
                </c:pt>
                <c:pt idx="3734" formatCode="General">
                  <c:v>830.27237330086405</c:v>
                </c:pt>
                <c:pt idx="3735" formatCode="General">
                  <c:v>887.74077311313783</c:v>
                </c:pt>
                <c:pt idx="3736" formatCode="General">
                  <c:v>877.68778807075455</c:v>
                </c:pt>
                <c:pt idx="3737" formatCode="General">
                  <c:v>928.59072648731274</c:v>
                </c:pt>
                <c:pt idx="3738" formatCode="General">
                  <c:v>1203.1661325091573</c:v>
                </c:pt>
                <c:pt idx="3739" formatCode="General">
                  <c:v>1081.6784945600514</c:v>
                </c:pt>
                <c:pt idx="3740" formatCode="General">
                  <c:v>982.07654771325497</c:v>
                </c:pt>
                <c:pt idx="3741" formatCode="General">
                  <c:v>922.52548347168772</c:v>
                </c:pt>
                <c:pt idx="3742" formatCode="General">
                  <c:v>885.90094674023771</c:v>
                </c:pt>
                <c:pt idx="3743" formatCode="General">
                  <c:v>833.31641728382931</c:v>
                </c:pt>
                <c:pt idx="3744" formatCode="General">
                  <c:v>893.33563815910793</c:v>
                </c:pt>
                <c:pt idx="3745" formatCode="General">
                  <c:v>1101.0835164761975</c:v>
                </c:pt>
                <c:pt idx="3746" formatCode="General">
                  <c:v>935.53344432065091</c:v>
                </c:pt>
                <c:pt idx="3747" formatCode="General">
                  <c:v>854.74952464053922</c:v>
                </c:pt>
                <c:pt idx="3748" formatCode="General">
                  <c:v>1099.0356407269101</c:v>
                </c:pt>
                <c:pt idx="3749" formatCode="General">
                  <c:v>900.61174761357643</c:v>
                </c:pt>
                <c:pt idx="3750" formatCode="General">
                  <c:v>958.27398289999121</c:v>
                </c:pt>
                <c:pt idx="3751" formatCode="General">
                  <c:v>850.80125419273634</c:v>
                </c:pt>
                <c:pt idx="3752" formatCode="General">
                  <c:v>1153.6990512928187</c:v>
                </c:pt>
                <c:pt idx="3753" formatCode="General">
                  <c:v>929.92633095716872</c:v>
                </c:pt>
                <c:pt idx="3754" formatCode="General">
                  <c:v>1060.7428450432105</c:v>
                </c:pt>
                <c:pt idx="3755" formatCode="General">
                  <c:v>936.55073363537326</c:v>
                </c:pt>
                <c:pt idx="3756" formatCode="General">
                  <c:v>868.860293328936</c:v>
                </c:pt>
                <c:pt idx="3757" formatCode="General">
                  <c:v>1031.8707947503708</c:v>
                </c:pt>
                <c:pt idx="3758" formatCode="General">
                  <c:v>918.88109882972549</c:v>
                </c:pt>
                <c:pt idx="3759" formatCode="General">
                  <c:v>870.66098820001105</c:v>
                </c:pt>
                <c:pt idx="3760" formatCode="General">
                  <c:v>989.22880337263371</c:v>
                </c:pt>
                <c:pt idx="3761" formatCode="General">
                  <c:v>875.50882177663073</c:v>
                </c:pt>
                <c:pt idx="3762" formatCode="General">
                  <c:v>918.34090655291459</c:v>
                </c:pt>
                <c:pt idx="3763" formatCode="General">
                  <c:v>1117.6486909695589</c:v>
                </c:pt>
                <c:pt idx="3764" formatCode="General">
                  <c:v>1136.0424750271723</c:v>
                </c:pt>
                <c:pt idx="3765" formatCode="General">
                  <c:v>1248.7975102943576</c:v>
                </c:pt>
                <c:pt idx="3766" formatCode="General">
                  <c:v>851.88993215143307</c:v>
                </c:pt>
                <c:pt idx="3767" formatCode="General">
                  <c:v>879.0450469459131</c:v>
                </c:pt>
                <c:pt idx="3768" formatCode="General">
                  <c:v>997.47566209482761</c:v>
                </c:pt>
                <c:pt idx="3769" formatCode="General">
                  <c:v>1113.0639167614499</c:v>
                </c:pt>
                <c:pt idx="3770" formatCode="General">
                  <c:v>857.73405936762799</c:v>
                </c:pt>
                <c:pt idx="3771" formatCode="General">
                  <c:v>1126.0059555991475</c:v>
                </c:pt>
                <c:pt idx="3772" formatCode="General">
                  <c:v>928.86137252830372</c:v>
                </c:pt>
                <c:pt idx="3773" formatCode="General">
                  <c:v>892.35796195804016</c:v>
                </c:pt>
                <c:pt idx="3774" formatCode="General">
                  <c:v>1100.1127159071798</c:v>
                </c:pt>
                <c:pt idx="3775" formatCode="General">
                  <c:v>942.21640186980017</c:v>
                </c:pt>
                <c:pt idx="3776" formatCode="General">
                  <c:v>905.78921960460286</c:v>
                </c:pt>
                <c:pt idx="3777" formatCode="General">
                  <c:v>847.82696204613831</c:v>
                </c:pt>
                <c:pt idx="3778" formatCode="General">
                  <c:v>914.67977409464481</c:v>
                </c:pt>
                <c:pt idx="3779" formatCode="General">
                  <c:v>863.48261812467592</c:v>
                </c:pt>
                <c:pt idx="3780" formatCode="General">
                  <c:v>1078.971935495684</c:v>
                </c:pt>
                <c:pt idx="3781" formatCode="General">
                  <c:v>877.22599955196017</c:v>
                </c:pt>
                <c:pt idx="3782" formatCode="General">
                  <c:v>952.18673217667833</c:v>
                </c:pt>
                <c:pt idx="3783" formatCode="General">
                  <c:v>946.47585128237415</c:v>
                </c:pt>
                <c:pt idx="3784" formatCode="General">
                  <c:v>998.39363308668794</c:v>
                </c:pt>
                <c:pt idx="3785" formatCode="General">
                  <c:v>974.68822796371683</c:v>
                </c:pt>
                <c:pt idx="3786" formatCode="General">
                  <c:v>920.0772392738312</c:v>
                </c:pt>
                <c:pt idx="3787" formatCode="General">
                  <c:v>1130.9649810122235</c:v>
                </c:pt>
                <c:pt idx="3788" formatCode="General">
                  <c:v>926.96816899477756</c:v>
                </c:pt>
                <c:pt idx="3789" formatCode="General">
                  <c:v>910.99167958788712</c:v>
                </c:pt>
                <c:pt idx="3790" formatCode="General">
                  <c:v>1195.0280399422047</c:v>
                </c:pt>
                <c:pt idx="3791" formatCode="General">
                  <c:v>1204.8874282536406</c:v>
                </c:pt>
                <c:pt idx="3792" formatCode="General">
                  <c:v>877.85721490154981</c:v>
                </c:pt>
                <c:pt idx="3793" formatCode="General">
                  <c:v>896.82508860025212</c:v>
                </c:pt>
                <c:pt idx="3794" formatCode="General">
                  <c:v>973.26223455844956</c:v>
                </c:pt>
                <c:pt idx="3795" formatCode="General">
                  <c:v>931.84631929856062</c:v>
                </c:pt>
                <c:pt idx="3796" formatCode="General">
                  <c:v>979.9447602427249</c:v>
                </c:pt>
                <c:pt idx="3797" formatCode="General">
                  <c:v>914.72524975924921</c:v>
                </c:pt>
                <c:pt idx="3798" formatCode="General">
                  <c:v>1084.2608415714863</c:v>
                </c:pt>
                <c:pt idx="3799" formatCode="General">
                  <c:v>1161.3258273044319</c:v>
                </c:pt>
                <c:pt idx="3800" formatCode="General">
                  <c:v>875.03375117080668</c:v>
                </c:pt>
                <c:pt idx="3801" formatCode="General">
                  <c:v>1060.2964376181149</c:v>
                </c:pt>
                <c:pt idx="3802" formatCode="General">
                  <c:v>851.1074607126418</c:v>
                </c:pt>
                <c:pt idx="3803" formatCode="General">
                  <c:v>1119.0069640897129</c:v>
                </c:pt>
                <c:pt idx="3804" formatCode="General">
                  <c:v>1052.8435567009208</c:v>
                </c:pt>
                <c:pt idx="3805" formatCode="General">
                  <c:v>892.03027152172911</c:v>
                </c:pt>
                <c:pt idx="3806" formatCode="General">
                  <c:v>832.11843279288667</c:v>
                </c:pt>
                <c:pt idx="3807" formatCode="General">
                  <c:v>805.26296267085127</c:v>
                </c:pt>
                <c:pt idx="3808" formatCode="General">
                  <c:v>854.74439770158187</c:v>
                </c:pt>
                <c:pt idx="3809" formatCode="General">
                  <c:v>813.92843768525529</c:v>
                </c:pt>
                <c:pt idx="3810" formatCode="General">
                  <c:v>806.38028186706049</c:v>
                </c:pt>
                <c:pt idx="3811" formatCode="General">
                  <c:v>811.35702289256028</c:v>
                </c:pt>
                <c:pt idx="3812" formatCode="General">
                  <c:v>990.84260448270402</c:v>
                </c:pt>
                <c:pt idx="3813" formatCode="General">
                  <c:v>926.72861464327718</c:v>
                </c:pt>
                <c:pt idx="3814" formatCode="General">
                  <c:v>930.57180676935775</c:v>
                </c:pt>
                <c:pt idx="3815" formatCode="General">
                  <c:v>910.46266101679817</c:v>
                </c:pt>
                <c:pt idx="3816" formatCode="General">
                  <c:v>1088.1475629752968</c:v>
                </c:pt>
                <c:pt idx="3817" formatCode="General">
                  <c:v>879.79696913182306</c:v>
                </c:pt>
                <c:pt idx="3818" formatCode="General">
                  <c:v>1088.0137835572168</c:v>
                </c:pt>
                <c:pt idx="3819" formatCode="General">
                  <c:v>992.58171081776322</c:v>
                </c:pt>
                <c:pt idx="3820" formatCode="General">
                  <c:v>1105.678441238088</c:v>
                </c:pt>
                <c:pt idx="3821" formatCode="General">
                  <c:v>1146.1025236563485</c:v>
                </c:pt>
                <c:pt idx="3822" formatCode="General">
                  <c:v>918.32245244467629</c:v>
                </c:pt>
                <c:pt idx="3823" formatCode="General">
                  <c:v>972.6364992129819</c:v>
                </c:pt>
                <c:pt idx="3824" formatCode="General">
                  <c:v>1000.9518246127809</c:v>
                </c:pt>
                <c:pt idx="3825" formatCode="General">
                  <c:v>886.66786156366356</c:v>
                </c:pt>
                <c:pt idx="3826" formatCode="General">
                  <c:v>1146.9104396949726</c:v>
                </c:pt>
                <c:pt idx="3827" formatCode="General">
                  <c:v>1036.8511420451698</c:v>
                </c:pt>
                <c:pt idx="3828" formatCode="General">
                  <c:v>852.24406918258967</c:v>
                </c:pt>
                <c:pt idx="3829" formatCode="General">
                  <c:v>1137.5782221973964</c:v>
                </c:pt>
                <c:pt idx="3830" formatCode="General">
                  <c:v>881.02629209904023</c:v>
                </c:pt>
                <c:pt idx="3831" formatCode="General">
                  <c:v>896.74940689094683</c:v>
                </c:pt>
                <c:pt idx="3832" formatCode="General">
                  <c:v>1045.0566907149955</c:v>
                </c:pt>
                <c:pt idx="3833" formatCode="General">
                  <c:v>1124.8899765879096</c:v>
                </c:pt>
                <c:pt idx="3834" formatCode="General">
                  <c:v>867.29586044934979</c:v>
                </c:pt>
                <c:pt idx="3835" formatCode="General">
                  <c:v>1129.4984432341582</c:v>
                </c:pt>
                <c:pt idx="3836" formatCode="General">
                  <c:v>967.92801427551126</c:v>
                </c:pt>
                <c:pt idx="3837" formatCode="General">
                  <c:v>999.86802659196712</c:v>
                </c:pt>
                <c:pt idx="3838" formatCode="General">
                  <c:v>932.51689844081318</c:v>
                </c:pt>
                <c:pt idx="3839" formatCode="General">
                  <c:v>1236.9687120130789</c:v>
                </c:pt>
                <c:pt idx="3840" formatCode="General">
                  <c:v>1113.8323852212268</c:v>
                </c:pt>
                <c:pt idx="3841" formatCode="General">
                  <c:v>964.50137931643849</c:v>
                </c:pt>
                <c:pt idx="3842" formatCode="General">
                  <c:v>833.70819334026839</c:v>
                </c:pt>
                <c:pt idx="3843" formatCode="General">
                  <c:v>857.08589706721568</c:v>
                </c:pt>
                <c:pt idx="3844" formatCode="General">
                  <c:v>898.81521039417635</c:v>
                </c:pt>
                <c:pt idx="3845" formatCode="General">
                  <c:v>940.40729009071174</c:v>
                </c:pt>
                <c:pt idx="3846" formatCode="General">
                  <c:v>1167.9367432332053</c:v>
                </c:pt>
                <c:pt idx="3847" formatCode="General">
                  <c:v>910.32059076467385</c:v>
                </c:pt>
                <c:pt idx="3848" formatCode="General">
                  <c:v>928.88280369001268</c:v>
                </c:pt>
                <c:pt idx="3849" formatCode="General">
                  <c:v>1085.1990341709077</c:v>
                </c:pt>
                <c:pt idx="3850" formatCode="General">
                  <c:v>934.86525711959678</c:v>
                </c:pt>
                <c:pt idx="3851" formatCode="General">
                  <c:v>1020.1443225359877</c:v>
                </c:pt>
                <c:pt idx="3852" formatCode="General">
                  <c:v>1085.4859029717895</c:v>
                </c:pt>
                <c:pt idx="3853" formatCode="General">
                  <c:v>856.02984526735054</c:v>
                </c:pt>
                <c:pt idx="3854" formatCode="General">
                  <c:v>910.57779041087224</c:v>
                </c:pt>
                <c:pt idx="3855" formatCode="General">
                  <c:v>863.83992037038695</c:v>
                </c:pt>
                <c:pt idx="3856" formatCode="General">
                  <c:v>965.76376927063234</c:v>
                </c:pt>
                <c:pt idx="3857" formatCode="General">
                  <c:v>1190.1347951023713</c:v>
                </c:pt>
                <c:pt idx="3858" formatCode="General">
                  <c:v>888.86657530014384</c:v>
                </c:pt>
                <c:pt idx="3859" formatCode="General">
                  <c:v>952.25919953321215</c:v>
                </c:pt>
                <c:pt idx="3860" formatCode="General">
                  <c:v>874.06134017679426</c:v>
                </c:pt>
                <c:pt idx="3861" formatCode="General">
                  <c:v>907.54305656873055</c:v>
                </c:pt>
                <c:pt idx="3862" formatCode="General">
                  <c:v>911.14091975353824</c:v>
                </c:pt>
                <c:pt idx="3863" formatCode="General">
                  <c:v>872.97017596504122</c:v>
                </c:pt>
                <c:pt idx="3864" formatCode="General">
                  <c:v>913.38961333582563</c:v>
                </c:pt>
                <c:pt idx="3865" formatCode="General">
                  <c:v>1284.1412317701045</c:v>
                </c:pt>
                <c:pt idx="3866" formatCode="General">
                  <c:v>932.72319054714058</c:v>
                </c:pt>
                <c:pt idx="3867" formatCode="General">
                  <c:v>859.51366592277964</c:v>
                </c:pt>
                <c:pt idx="3868" formatCode="General">
                  <c:v>1167.5692430732922</c:v>
                </c:pt>
                <c:pt idx="3869" formatCode="General">
                  <c:v>929.6885037438027</c:v>
                </c:pt>
                <c:pt idx="3870" formatCode="General">
                  <c:v>957.18793384081766</c:v>
                </c:pt>
                <c:pt idx="3871" formatCode="General">
                  <c:v>945.49414932166337</c:v>
                </c:pt>
                <c:pt idx="3872" formatCode="General">
                  <c:v>994.68113396077274</c:v>
                </c:pt>
                <c:pt idx="3873" formatCode="General">
                  <c:v>1265.5393689956277</c:v>
                </c:pt>
                <c:pt idx="3874" formatCode="General">
                  <c:v>807.38859175686571</c:v>
                </c:pt>
                <c:pt idx="3875" formatCode="General">
                  <c:v>1035.1598435091564</c:v>
                </c:pt>
                <c:pt idx="3876" formatCode="General">
                  <c:v>905.63488256297182</c:v>
                </c:pt>
                <c:pt idx="3877" formatCode="General">
                  <c:v>917.7425383225011</c:v>
                </c:pt>
                <c:pt idx="3878" formatCode="General">
                  <c:v>1115.2337527972684</c:v>
                </c:pt>
                <c:pt idx="3879" formatCode="General">
                  <c:v>916.57596105511323</c:v>
                </c:pt>
                <c:pt idx="3880" formatCode="General">
                  <c:v>1046.0904804726506</c:v>
                </c:pt>
                <c:pt idx="3881" formatCode="General">
                  <c:v>832.89095411267704</c:v>
                </c:pt>
                <c:pt idx="3882" formatCode="General">
                  <c:v>850.77766320866738</c:v>
                </c:pt>
                <c:pt idx="3883" formatCode="General">
                  <c:v>916.31678979299386</c:v>
                </c:pt>
                <c:pt idx="3884" formatCode="General">
                  <c:v>922.71289802667206</c:v>
                </c:pt>
                <c:pt idx="3885" formatCode="General">
                  <c:v>943.21851753792919</c:v>
                </c:pt>
                <c:pt idx="3886" formatCode="General">
                  <c:v>930.20960987777005</c:v>
                </c:pt>
                <c:pt idx="3887" formatCode="General">
                  <c:v>838.05484542425563</c:v>
                </c:pt>
                <c:pt idx="3888" formatCode="General">
                  <c:v>817.01953059050663</c:v>
                </c:pt>
                <c:pt idx="3889" formatCode="General">
                  <c:v>832.6415475739567</c:v>
                </c:pt>
                <c:pt idx="3890" formatCode="General">
                  <c:v>976.25866818250097</c:v>
                </c:pt>
                <c:pt idx="3891" formatCode="General">
                  <c:v>1257.680673201397</c:v>
                </c:pt>
                <c:pt idx="3892" formatCode="General">
                  <c:v>923.36670375228903</c:v>
                </c:pt>
                <c:pt idx="3893" formatCode="General">
                  <c:v>1186.8223655851425</c:v>
                </c:pt>
                <c:pt idx="3894" formatCode="General">
                  <c:v>889.3655984010777</c:v>
                </c:pt>
                <c:pt idx="3895" formatCode="General">
                  <c:v>1188.8894197526367</c:v>
                </c:pt>
                <c:pt idx="3896" formatCode="General">
                  <c:v>820.8032056126068</c:v>
                </c:pt>
                <c:pt idx="3897" formatCode="General">
                  <c:v>956.2221243584429</c:v>
                </c:pt>
                <c:pt idx="3898" formatCode="General">
                  <c:v>886.83599427486104</c:v>
                </c:pt>
                <c:pt idx="3899" formatCode="General">
                  <c:v>935.49424074766807</c:v>
                </c:pt>
                <c:pt idx="3900" formatCode="General">
                  <c:v>871.71866321905793</c:v>
                </c:pt>
                <c:pt idx="3901" formatCode="General">
                  <c:v>882.22075905268855</c:v>
                </c:pt>
                <c:pt idx="3902" formatCode="General">
                  <c:v>880.9416315911044</c:v>
                </c:pt>
                <c:pt idx="3903" formatCode="General">
                  <c:v>883.67282529921579</c:v>
                </c:pt>
                <c:pt idx="3904" formatCode="General">
                  <c:v>923.52794525271884</c:v>
                </c:pt>
                <c:pt idx="3905" formatCode="General">
                  <c:v>844.799301520634</c:v>
                </c:pt>
                <c:pt idx="3906" formatCode="General">
                  <c:v>943.3154444399205</c:v>
                </c:pt>
                <c:pt idx="3907" formatCode="General">
                  <c:v>1135.2576870895055</c:v>
                </c:pt>
                <c:pt idx="3908" formatCode="General">
                  <c:v>877.20075038795221</c:v>
                </c:pt>
                <c:pt idx="3909" formatCode="General">
                  <c:v>822.39316419979946</c:v>
                </c:pt>
                <c:pt idx="3910" formatCode="General">
                  <c:v>870.70831057182045</c:v>
                </c:pt>
                <c:pt idx="3911" formatCode="General">
                  <c:v>1097.8686234436113</c:v>
                </c:pt>
                <c:pt idx="3912" formatCode="General">
                  <c:v>863.09680859699461</c:v>
                </c:pt>
                <c:pt idx="3913" formatCode="General">
                  <c:v>1171.8538294751336</c:v>
                </c:pt>
                <c:pt idx="3914" formatCode="General">
                  <c:v>857.31837955215326</c:v>
                </c:pt>
                <c:pt idx="3915" formatCode="General">
                  <c:v>929.23787032595931</c:v>
                </c:pt>
                <c:pt idx="3916" formatCode="General">
                  <c:v>1072.2782973057688</c:v>
                </c:pt>
                <c:pt idx="3917" formatCode="General">
                  <c:v>883.35249697933466</c:v>
                </c:pt>
                <c:pt idx="3918" formatCode="General">
                  <c:v>1172.9896299044988</c:v>
                </c:pt>
                <c:pt idx="3919" formatCode="General">
                  <c:v>1102.3299962342026</c:v>
                </c:pt>
                <c:pt idx="3920" formatCode="General">
                  <c:v>1146.6650496890343</c:v>
                </c:pt>
                <c:pt idx="3921" formatCode="General">
                  <c:v>878.06239652642569</c:v>
                </c:pt>
                <c:pt idx="3922" formatCode="General">
                  <c:v>968.45337561083397</c:v>
                </c:pt>
                <c:pt idx="3923" formatCode="General">
                  <c:v>946.30478064588499</c:v>
                </c:pt>
                <c:pt idx="3924" formatCode="General">
                  <c:v>1106.1793741539705</c:v>
                </c:pt>
                <c:pt idx="3925" formatCode="General">
                  <c:v>893.85526052878276</c:v>
                </c:pt>
                <c:pt idx="3926" formatCode="General">
                  <c:v>930.97095355394072</c:v>
                </c:pt>
                <c:pt idx="3927" formatCode="General">
                  <c:v>1197.2508150513306</c:v>
                </c:pt>
                <c:pt idx="3928" formatCode="General">
                  <c:v>1150.2552967349343</c:v>
                </c:pt>
                <c:pt idx="3929" formatCode="General">
                  <c:v>898.41133393077087</c:v>
                </c:pt>
                <c:pt idx="3930" formatCode="General">
                  <c:v>1201.6798989645756</c:v>
                </c:pt>
                <c:pt idx="3931" formatCode="General">
                  <c:v>866.58363732552039</c:v>
                </c:pt>
                <c:pt idx="3932" formatCode="General">
                  <c:v>1120.1294437602137</c:v>
                </c:pt>
                <c:pt idx="3933" formatCode="General">
                  <c:v>955.59796517623317</c:v>
                </c:pt>
                <c:pt idx="3934" formatCode="General">
                  <c:v>919.02245311162164</c:v>
                </c:pt>
                <c:pt idx="3935" formatCode="General">
                  <c:v>931.00217649139199</c:v>
                </c:pt>
                <c:pt idx="3936" formatCode="General">
                  <c:v>961.66473337014259</c:v>
                </c:pt>
                <c:pt idx="3937" formatCode="General">
                  <c:v>1261.1757867799424</c:v>
                </c:pt>
                <c:pt idx="3938" formatCode="General">
                  <c:v>949.87286484656249</c:v>
                </c:pt>
                <c:pt idx="3939" formatCode="General">
                  <c:v>1024.4377869618734</c:v>
                </c:pt>
                <c:pt idx="3940" formatCode="General">
                  <c:v>923.26674694543874</c:v>
                </c:pt>
                <c:pt idx="3941" formatCode="General">
                  <c:v>961.88945078673248</c:v>
                </c:pt>
                <c:pt idx="3942" formatCode="General">
                  <c:v>883.7749834564205</c:v>
                </c:pt>
                <c:pt idx="3943" formatCode="General">
                  <c:v>1006.2002896292551</c:v>
                </c:pt>
                <c:pt idx="3944" formatCode="General">
                  <c:v>951.41901607748412</c:v>
                </c:pt>
                <c:pt idx="3945" formatCode="General">
                  <c:v>965.76488471630989</c:v>
                </c:pt>
                <c:pt idx="3946" formatCode="General">
                  <c:v>882.94687522535526</c:v>
                </c:pt>
                <c:pt idx="3947" formatCode="General">
                  <c:v>1140.5480623096566</c:v>
                </c:pt>
                <c:pt idx="3948" formatCode="General">
                  <c:v>1266.5514164588806</c:v>
                </c:pt>
                <c:pt idx="3949" formatCode="General">
                  <c:v>968.34127326585201</c:v>
                </c:pt>
                <c:pt idx="3950" formatCode="General">
                  <c:v>1073.3622924942681</c:v>
                </c:pt>
                <c:pt idx="3951" formatCode="General">
                  <c:v>844.21890722788476</c:v>
                </c:pt>
                <c:pt idx="3952" formatCode="General">
                  <c:v>843.56245269533406</c:v>
                </c:pt>
                <c:pt idx="3953" formatCode="General">
                  <c:v>914.06784719155019</c:v>
                </c:pt>
                <c:pt idx="3954" formatCode="General">
                  <c:v>928.43129144733427</c:v>
                </c:pt>
                <c:pt idx="3955" formatCode="General">
                  <c:v>1093.5782359357504</c:v>
                </c:pt>
                <c:pt idx="3956" formatCode="General">
                  <c:v>951.9275245457236</c:v>
                </c:pt>
                <c:pt idx="3957" formatCode="General">
                  <c:v>898.87678968720832</c:v>
                </c:pt>
                <c:pt idx="3958" formatCode="General">
                  <c:v>869.51041523292315</c:v>
                </c:pt>
                <c:pt idx="3959" formatCode="General">
                  <c:v>965.77964012645089</c:v>
                </c:pt>
                <c:pt idx="3960" formatCode="General">
                  <c:v>1234.9030387572172</c:v>
                </c:pt>
                <c:pt idx="3961" formatCode="General">
                  <c:v>853.67544937098455</c:v>
                </c:pt>
                <c:pt idx="3962" formatCode="General">
                  <c:v>927.77024780790941</c:v>
                </c:pt>
                <c:pt idx="3963" formatCode="General">
                  <c:v>937.81869168841035</c:v>
                </c:pt>
                <c:pt idx="3964" formatCode="General">
                  <c:v>952.78135699161817</c:v>
                </c:pt>
                <c:pt idx="3965" formatCode="General">
                  <c:v>909.91133432872255</c:v>
                </c:pt>
                <c:pt idx="3966" formatCode="General">
                  <c:v>1208.5535673158161</c:v>
                </c:pt>
                <c:pt idx="3967" formatCode="General">
                  <c:v>929.37662760761918</c:v>
                </c:pt>
                <c:pt idx="3968" formatCode="General">
                  <c:v>875.04256008392099</c:v>
                </c:pt>
                <c:pt idx="3969" formatCode="General">
                  <c:v>887.91130430138605</c:v>
                </c:pt>
                <c:pt idx="3970" formatCode="General">
                  <c:v>910.75994402534309</c:v>
                </c:pt>
                <c:pt idx="3971" formatCode="General">
                  <c:v>906.76448165428712</c:v>
                </c:pt>
                <c:pt idx="3972" formatCode="General">
                  <c:v>962.06513750367753</c:v>
                </c:pt>
                <c:pt idx="3973" formatCode="General">
                  <c:v>866.40707856913434</c:v>
                </c:pt>
                <c:pt idx="3974" formatCode="General">
                  <c:v>828.2861286581674</c:v>
                </c:pt>
                <c:pt idx="3975" formatCode="General">
                  <c:v>998.3346465848831</c:v>
                </c:pt>
                <c:pt idx="3976" formatCode="General">
                  <c:v>1093.5344088612133</c:v>
                </c:pt>
                <c:pt idx="3977" formatCode="General">
                  <c:v>918.56349556826694</c:v>
                </c:pt>
                <c:pt idx="3978" formatCode="General">
                  <c:v>1081.9829923244795</c:v>
                </c:pt>
                <c:pt idx="3979" formatCode="General">
                  <c:v>847.56061751618188</c:v>
                </c:pt>
                <c:pt idx="3980" formatCode="General">
                  <c:v>895.18263779518884</c:v>
                </c:pt>
                <c:pt idx="3981" formatCode="General">
                  <c:v>841.65323879313644</c:v>
                </c:pt>
                <c:pt idx="3982" formatCode="General">
                  <c:v>1057.1332691914852</c:v>
                </c:pt>
                <c:pt idx="3983" formatCode="General">
                  <c:v>1167.0613334954855</c:v>
                </c:pt>
                <c:pt idx="3984" formatCode="General">
                  <c:v>955.31682083976204</c:v>
                </c:pt>
                <c:pt idx="3985" formatCode="General">
                  <c:v>905.07713859267915</c:v>
                </c:pt>
                <c:pt idx="3986" formatCode="General">
                  <c:v>1021.2625941065272</c:v>
                </c:pt>
                <c:pt idx="3987" formatCode="General">
                  <c:v>887.35956686865063</c:v>
                </c:pt>
                <c:pt idx="3988" formatCode="General">
                  <c:v>835.45430929137797</c:v>
                </c:pt>
                <c:pt idx="3989" formatCode="General">
                  <c:v>955.75036568957432</c:v>
                </c:pt>
                <c:pt idx="3990" formatCode="General">
                  <c:v>881.75717684331255</c:v>
                </c:pt>
                <c:pt idx="3991" formatCode="General">
                  <c:v>894.2632637058947</c:v>
                </c:pt>
                <c:pt idx="3992" formatCode="General">
                  <c:v>916.85476955214995</c:v>
                </c:pt>
                <c:pt idx="3993" formatCode="General">
                  <c:v>948.2369831852219</c:v>
                </c:pt>
                <c:pt idx="3994" formatCode="General">
                  <c:v>920.57125116212217</c:v>
                </c:pt>
                <c:pt idx="3995" formatCode="General">
                  <c:v>1004.6018178996566</c:v>
                </c:pt>
                <c:pt idx="3996" formatCode="General">
                  <c:v>938.7156443858139</c:v>
                </c:pt>
                <c:pt idx="3997" formatCode="General">
                  <c:v>970.46643570501692</c:v>
                </c:pt>
                <c:pt idx="3998" formatCode="General">
                  <c:v>883.46800286662028</c:v>
                </c:pt>
                <c:pt idx="3999" formatCode="General">
                  <c:v>972.13078036921422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JCL!$B$16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chemeClr val="tx1"/>
              </a:solidFill>
              <a:ln>
                <a:noFill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JCL!$J$13</c:f>
                <c:numCache>
                  <c:formatCode>General</c:formatCode>
                  <c:ptCount val="1"/>
                  <c:pt idx="0">
                    <c:v>451.81132065289682</c:v>
                  </c:pt>
                </c:numCache>
              </c:numRef>
            </c:plus>
            <c:minus>
              <c:numRef>
                <c:f>JCL!$J$14</c:f>
                <c:numCache>
                  <c:formatCode>General</c:formatCode>
                  <c:ptCount val="1"/>
                  <c:pt idx="0">
                    <c:v>248.18867934710318</c:v>
                  </c:pt>
                </c:numCache>
              </c:numRef>
            </c:minus>
            <c:spPr>
              <a:ln w="38100">
                <a:prstDash val="sysDash"/>
              </a:ln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JCL!$J$15</c:f>
                <c:numCache>
                  <c:formatCode>General</c:formatCode>
                  <c:ptCount val="1"/>
                  <c:pt idx="0">
                    <c:v>2.6820543181015637</c:v>
                  </c:pt>
                </c:numCache>
              </c:numRef>
            </c:plus>
            <c:minus>
              <c:numRef>
                <c:f>JCL!$J$16</c:f>
                <c:numCache>
                  <c:formatCode>General</c:formatCode>
                  <c:ptCount val="1"/>
                  <c:pt idx="0">
                    <c:v>1.3179456818984363</c:v>
                  </c:pt>
                </c:numCache>
              </c:numRef>
            </c:minus>
            <c:spPr>
              <a:ln w="38100">
                <a:prstDash val="sysDash"/>
              </a:ln>
            </c:spPr>
          </c:errBars>
          <c:xVal>
            <c:numRef>
              <c:f>JCL!$C$16</c:f>
              <c:numCache>
                <c:formatCode>0.00</c:formatCode>
                <c:ptCount val="1"/>
                <c:pt idx="0">
                  <c:v>2023.3179456818984</c:v>
                </c:pt>
              </c:numCache>
            </c:numRef>
          </c:xVal>
          <c:yVal>
            <c:numRef>
              <c:f>JCL!$D$16</c:f>
              <c:numCache>
                <c:formatCode>_("$"* #,##0.0_);_("$"* \(#,##0.0\);_("$"* "-"??_);_(@_)</c:formatCode>
                <c:ptCount val="1"/>
                <c:pt idx="0">
                  <c:v>948.18867934710318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JCL!$B$15</c:f>
              <c:strCache>
                <c:ptCount val="1"/>
                <c:pt idx="0">
                  <c:v>Simulation Mean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5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JCL!$C$15</c:f>
              <c:numCache>
                <c:formatCode>0.00</c:formatCode>
                <c:ptCount val="1"/>
                <c:pt idx="0">
                  <c:v>2023.6734046466561</c:v>
                </c:pt>
              </c:numCache>
            </c:numRef>
          </c:xVal>
          <c:yVal>
            <c:numRef>
              <c:f>JCL!$D$15</c:f>
              <c:numCache>
                <c:formatCode>_("$"* #,##0.0_);_("$"* \(#,##0.0\);_("$"* "-"??_);_(@_)</c:formatCode>
                <c:ptCount val="1"/>
                <c:pt idx="0">
                  <c:v>969.45300672040628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6336"/>
        <c:axId val="115968640"/>
      </c:scatterChart>
      <c:valAx>
        <c:axId val="115966336"/>
        <c:scaling>
          <c:orientation val="minMax"/>
          <c:max val="2026"/>
          <c:min val="2022"/>
        </c:scaling>
        <c:delete val="0"/>
        <c:axPos val="b"/>
        <c:minorGridlines/>
        <c:title>
          <c:tx>
            <c:strRef>
              <c:f>JCL!$I$12</c:f>
              <c:strCache>
                <c:ptCount val="1"/>
                <c:pt idx="0">
                  <c:v>Fiscal Year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5968640"/>
        <c:crosses val="autoZero"/>
        <c:crossBetween val="midCat"/>
        <c:majorUnit val="1"/>
        <c:minorUnit val="0.25"/>
      </c:valAx>
      <c:valAx>
        <c:axId val="115968640"/>
        <c:scaling>
          <c:orientation val="minMax"/>
          <c:max val="1400"/>
          <c:min val="700"/>
        </c:scaling>
        <c:delete val="0"/>
        <c:axPos val="l"/>
        <c:majorGridlines/>
        <c:title>
          <c:tx>
            <c:strRef>
              <c:f>JCL!$I$11</c:f>
              <c:strCache>
                <c:ptCount val="1"/>
                <c:pt idx="0">
                  <c:v>TY$M</c:v>
                </c:pt>
              </c:strCache>
            </c:strRef>
          </c:tx>
          <c:overlay val="0"/>
          <c:txPr>
            <a:bodyPr rot="0" vert="horz"/>
            <a:lstStyle/>
            <a:p>
              <a:pPr>
                <a:defRPr/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crossAx val="115966336"/>
        <c:crosses val="autoZero"/>
        <c:crossBetween val="midCat"/>
        <c:majorUnit val="100"/>
      </c:valAx>
      <c:spPr>
        <a:solidFill>
          <a:schemeClr val="bg1">
            <a:lumMod val="85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Annual Funding (TY$M)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'Annual Confidence'!$C$7</c:f>
              <c:strCache>
                <c:ptCount val="1"/>
                <c:pt idx="0">
                  <c:v> - 5%</c:v>
                </c:pt>
              </c:strCache>
            </c:strRef>
          </c:tx>
          <c:spPr>
            <a:noFill/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Confidence'!$D$7:$I$7</c:f>
              <c:numCache>
                <c:formatCode>_("$"* #,##0_);_("$"* \(#,##0\);_("$"* "-"??_);_(@_)</c:formatCode>
                <c:ptCount val="6"/>
                <c:pt idx="0">
                  <c:v>139.36323661927926</c:v>
                </c:pt>
                <c:pt idx="1">
                  <c:v>139.36323661927926</c:v>
                </c:pt>
                <c:pt idx="2">
                  <c:v>139.36323661927926</c:v>
                </c:pt>
                <c:pt idx="3">
                  <c:v>139.36323661927926</c:v>
                </c:pt>
                <c:pt idx="4">
                  <c:v>139.36323661927926</c:v>
                </c:pt>
                <c:pt idx="5">
                  <c:v>139.36323661927926</c:v>
                </c:pt>
              </c:numCache>
            </c:numRef>
          </c:val>
        </c:ser>
        <c:ser>
          <c:idx val="1"/>
          <c:order val="1"/>
          <c:tx>
            <c:strRef>
              <c:f>'Annual Confidence'!$C$8</c:f>
              <c:strCache>
                <c:ptCount val="1"/>
                <c:pt idx="0">
                  <c:v>5% - 25%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Confidence'!$D$8:$I$8</c:f>
              <c:numCache>
                <c:formatCode>_("$"* #,##0_);_("$"* \(#,##0\);_("$"* "-"??_);_(@_)</c:formatCode>
                <c:ptCount val="6"/>
                <c:pt idx="0">
                  <c:v>8.740095658122442</c:v>
                </c:pt>
                <c:pt idx="1">
                  <c:v>8.740095658122442</c:v>
                </c:pt>
                <c:pt idx="2">
                  <c:v>8.740095658122442</c:v>
                </c:pt>
                <c:pt idx="3">
                  <c:v>8.740095658122442</c:v>
                </c:pt>
                <c:pt idx="4">
                  <c:v>8.740095658122442</c:v>
                </c:pt>
                <c:pt idx="5">
                  <c:v>8.740095658122442</c:v>
                </c:pt>
              </c:numCache>
            </c:numRef>
          </c:val>
        </c:ser>
        <c:ser>
          <c:idx val="3"/>
          <c:order val="2"/>
          <c:tx>
            <c:strRef>
              <c:f>'Annual Confidence'!$C$9</c:f>
              <c:strCache>
                <c:ptCount val="1"/>
                <c:pt idx="0">
                  <c:v>25% - 75%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Confidence'!$D$9:$I$9</c:f>
              <c:numCache>
                <c:formatCode>_("$"* #,##0_);_("$"* \(#,##0\);_("$"* "-"??_);_(@_)</c:formatCode>
                <c:ptCount val="6"/>
                <c:pt idx="0">
                  <c:v>25.553171471787437</c:v>
                </c:pt>
                <c:pt idx="1">
                  <c:v>25.553171471787437</c:v>
                </c:pt>
                <c:pt idx="2">
                  <c:v>25.553171471787437</c:v>
                </c:pt>
                <c:pt idx="3">
                  <c:v>25.553171471787437</c:v>
                </c:pt>
                <c:pt idx="4">
                  <c:v>25.553171471787437</c:v>
                </c:pt>
                <c:pt idx="5">
                  <c:v>25.553171471787437</c:v>
                </c:pt>
              </c:numCache>
            </c:numRef>
          </c:val>
        </c:ser>
        <c:ser>
          <c:idx val="4"/>
          <c:order val="3"/>
          <c:tx>
            <c:strRef>
              <c:f>'Annual Confidence'!$C$10</c:f>
              <c:strCache>
                <c:ptCount val="1"/>
                <c:pt idx="0">
                  <c:v>75% - 95%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Confidence'!$D$10:$I$10</c:f>
              <c:numCache>
                <c:formatCode>_("$"* #,##0_);_("$"* \(#,##0\);_("$"* "-"??_);_(@_)</c:formatCode>
                <c:ptCount val="6"/>
                <c:pt idx="0">
                  <c:v>24.148285176078247</c:v>
                </c:pt>
                <c:pt idx="1">
                  <c:v>24.148285176078247</c:v>
                </c:pt>
                <c:pt idx="2">
                  <c:v>24.148285176078247</c:v>
                </c:pt>
                <c:pt idx="3">
                  <c:v>24.148285176078247</c:v>
                </c:pt>
                <c:pt idx="4">
                  <c:v>24.148285176078247</c:v>
                </c:pt>
                <c:pt idx="5">
                  <c:v>24.148285176078247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485888"/>
        <c:axId val="114508160"/>
      </c:barChart>
      <c:lineChart>
        <c:grouping val="standard"/>
        <c:varyColors val="0"/>
        <c:ser>
          <c:idx val="5"/>
          <c:order val="4"/>
          <c:tx>
            <c:strRef>
              <c:f>'Annual Confidence'!$C$11</c:f>
              <c:strCache>
                <c:ptCount val="1"/>
                <c:pt idx="0">
                  <c:v>Point Estimate</c:v>
                </c:pt>
              </c:strCache>
            </c:strRef>
          </c:tx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Confidence'!$D$11:$I$11</c:f>
              <c:numCache>
                <c:formatCode>_("$"* #,##0.0_);_("$"* \(#,##0.0\);_("$"* "-"??_);_(@_)</c:formatCode>
                <c:ptCount val="6"/>
                <c:pt idx="0">
                  <c:v>158.33333333333334</c:v>
                </c:pt>
                <c:pt idx="1">
                  <c:v>158.33333333333334</c:v>
                </c:pt>
                <c:pt idx="2">
                  <c:v>158.33333333333334</c:v>
                </c:pt>
                <c:pt idx="3">
                  <c:v>158.33333333333334</c:v>
                </c:pt>
                <c:pt idx="4">
                  <c:v>158.33333333333334</c:v>
                </c:pt>
                <c:pt idx="5">
                  <c:v>158.33333333333334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'Annual Confidence'!$C$12</c:f>
              <c:strCache>
                <c:ptCount val="1"/>
                <c:pt idx="0">
                  <c:v>Mean</c:v>
                </c:pt>
              </c:strCache>
            </c:strRef>
          </c:tx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Confidence'!$D$12:$I$12</c:f>
              <c:numCache>
                <c:formatCode>_("$"* #,##0_);_("$"* \(#,##0\);_("$"* "-"??_);_(@_)</c:formatCode>
                <c:ptCount val="6"/>
                <c:pt idx="0">
                  <c:v>161.57550112006771</c:v>
                </c:pt>
                <c:pt idx="1">
                  <c:v>161.57550112006771</c:v>
                </c:pt>
                <c:pt idx="2">
                  <c:v>161.57550112006771</c:v>
                </c:pt>
                <c:pt idx="3">
                  <c:v>161.57550112006771</c:v>
                </c:pt>
                <c:pt idx="4">
                  <c:v>161.57550112006771</c:v>
                </c:pt>
                <c:pt idx="5">
                  <c:v>161.57550112006771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'Annual Confidence'!$C$13</c:f>
              <c:strCache>
                <c:ptCount val="1"/>
                <c:pt idx="0">
                  <c:v>Budget</c:v>
                </c:pt>
              </c:strCache>
            </c:strRef>
          </c:tx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Confidence'!$D$13:$I$13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485888"/>
        <c:axId val="114508160"/>
      </c:lineChart>
      <c:catAx>
        <c:axId val="114485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4508160"/>
        <c:crosses val="autoZero"/>
        <c:auto val="1"/>
        <c:lblAlgn val="ctr"/>
        <c:lblOffset val="100"/>
        <c:noMultiLvlLbl val="0"/>
      </c:catAx>
      <c:valAx>
        <c:axId val="114508160"/>
        <c:scaling>
          <c:orientation val="minMax"/>
        </c:scaling>
        <c:delete val="0"/>
        <c:axPos val="l"/>
        <c:majorGridlines/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14485888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166397</xdr:rowOff>
    </xdr:from>
    <xdr:to>
      <xdr:col>11</xdr:col>
      <xdr:colOff>9525</xdr:colOff>
      <xdr:row>30</xdr:row>
      <xdr:rowOff>161636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269916</xdr:colOff>
      <xdr:row>19</xdr:row>
      <xdr:rowOff>42498</xdr:rowOff>
    </xdr:from>
    <xdr:to>
      <xdr:col>18</xdr:col>
      <xdr:colOff>419837</xdr:colOff>
      <xdr:row>54</xdr:row>
      <xdr:rowOff>172569</xdr:rowOff>
    </xdr:to>
    <xdr:graphicFrame macro="">
      <xdr:nvGraphicFramePr>
        <xdr:cNvPr id="4" name="JC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147293</xdr:colOff>
      <xdr:row>23</xdr:row>
      <xdr:rowOff>62496</xdr:rowOff>
    </xdr:from>
    <xdr:to>
      <xdr:col>9</xdr:col>
      <xdr:colOff>295615</xdr:colOff>
      <xdr:row>26</xdr:row>
      <xdr:rowOff>163913</xdr:rowOff>
    </xdr:to>
    <xdr:sp macro="" textlink="$E$21">
      <xdr:nvSpPr>
        <xdr:cNvPr id="5" name="Rectangle 4" descr="200b3879-acf5-40ca-ab3c-725cca989f46"/>
        <xdr:cNvSpPr/>
      </xdr:nvSpPr>
      <xdr:spPr>
        <a:xfrm>
          <a:off x="6566566" y="5835223"/>
          <a:ext cx="1857049" cy="690235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0B02F3E-8514-4D20-9ADC-30552265F479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4.9% of the time the Progam will execute above cost AND ahead of schedule</a:t>
          </a:fld>
          <a:endParaRPr lang="en-US" sz="1000"/>
        </a:p>
      </xdr:txBody>
    </xdr:sp>
    <xdr:clientData/>
  </xdr:twoCellAnchor>
  <xdr:twoCellAnchor>
    <xdr:from>
      <xdr:col>7</xdr:col>
      <xdr:colOff>147876</xdr:colOff>
      <xdr:row>46</xdr:row>
      <xdr:rowOff>184512</xdr:rowOff>
    </xdr:from>
    <xdr:to>
      <xdr:col>9</xdr:col>
      <xdr:colOff>264978</xdr:colOff>
      <xdr:row>50</xdr:row>
      <xdr:rowOff>100149</xdr:rowOff>
    </xdr:to>
    <xdr:sp macro="" textlink="$E$22">
      <xdr:nvSpPr>
        <xdr:cNvPr id="6" name="Rectangle 5" descr="ac6453b4-83ee-44aa-b3d9-6ffae174a2c8"/>
        <xdr:cNvSpPr/>
      </xdr:nvSpPr>
      <xdr:spPr>
        <a:xfrm>
          <a:off x="6567149" y="10471512"/>
          <a:ext cx="1825829" cy="700728"/>
        </a:xfrm>
        <a:prstGeom prst="rect">
          <a:avLst/>
        </a:prstGeom>
        <a:solidFill>
          <a:srgbClr val="3EF85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328A08-1EF6-4E57-93ED-A43BBD1ABE8F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44.6% of the time the Program will execute below cost AND ahead of schedule</a:t>
          </a:fld>
          <a:endParaRPr lang="en-US" sz="1000"/>
        </a:p>
      </xdr:txBody>
    </xdr:sp>
    <xdr:clientData/>
  </xdr:twoCellAnchor>
  <xdr:twoCellAnchor>
    <xdr:from>
      <xdr:col>15</xdr:col>
      <xdr:colOff>306855</xdr:colOff>
      <xdr:row>23</xdr:row>
      <xdr:rowOff>72766</xdr:rowOff>
    </xdr:from>
    <xdr:to>
      <xdr:col>18</xdr:col>
      <xdr:colOff>111266</xdr:colOff>
      <xdr:row>26</xdr:row>
      <xdr:rowOff>173439</xdr:rowOff>
    </xdr:to>
    <xdr:sp macro="" textlink="$F$21">
      <xdr:nvSpPr>
        <xdr:cNvPr id="7" name="Rectangle 6" descr="9f44328e-013f-4059-ad95-8ffa34a77e39"/>
        <xdr:cNvSpPr/>
      </xdr:nvSpPr>
      <xdr:spPr>
        <a:xfrm>
          <a:off x="12614310" y="5845493"/>
          <a:ext cx="1778683" cy="68949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29DD30-EE5D-4B0C-98C4-EEC9A84EE8EC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40.1% of the time the Program will exeute above cost AND behind schedule</a:t>
          </a:fld>
          <a:endParaRPr lang="en-US" sz="1000"/>
        </a:p>
      </xdr:txBody>
    </xdr:sp>
    <xdr:clientData/>
  </xdr:twoCellAnchor>
  <xdr:twoCellAnchor>
    <xdr:from>
      <xdr:col>15</xdr:col>
      <xdr:colOff>260362</xdr:colOff>
      <xdr:row>46</xdr:row>
      <xdr:rowOff>185899</xdr:rowOff>
    </xdr:from>
    <xdr:to>
      <xdr:col>18</xdr:col>
      <xdr:colOff>90604</xdr:colOff>
      <xdr:row>50</xdr:row>
      <xdr:rowOff>77760</xdr:rowOff>
    </xdr:to>
    <xdr:sp macro="" textlink="$F$22">
      <xdr:nvSpPr>
        <xdr:cNvPr id="8" name="Rectangle 7" descr="a3ea2304-7125-4879-b92c-470b27875f1f"/>
        <xdr:cNvSpPr/>
      </xdr:nvSpPr>
      <xdr:spPr>
        <a:xfrm>
          <a:off x="12567817" y="10472899"/>
          <a:ext cx="1804514" cy="676952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16FCBB-96FE-465B-ACC7-91027340A388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10.4% of the time the Program will execute below cost AND behind schedule</a:t>
          </a:fld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27215</xdr:colOff>
      <xdr:row>13</xdr:row>
      <xdr:rowOff>147452</xdr:rowOff>
    </xdr:from>
    <xdr:to>
      <xdr:col>9</xdr:col>
      <xdr:colOff>707572</xdr:colOff>
      <xdr:row>34</xdr:row>
      <xdr:rowOff>27213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11"/>
  <sheetViews>
    <sheetView showGridLines="0" tabSelected="1" zoomScale="55" zoomScaleNormal="55" workbookViewId="0">
      <selection activeCell="B18" sqref="B18"/>
    </sheetView>
  </sheetViews>
  <sheetFormatPr defaultRowHeight="15.5"/>
  <cols>
    <col min="2" max="2" width="14.83203125" bestFit="1" customWidth="1"/>
    <col min="3" max="3" width="93.83203125" customWidth="1"/>
  </cols>
  <sheetData>
    <row r="3" spans="2:3">
      <c r="B3" s="73" t="s">
        <v>72</v>
      </c>
      <c r="C3" s="71" t="s">
        <v>89</v>
      </c>
    </row>
    <row r="4" spans="2:3" ht="31">
      <c r="B4" s="73" t="s">
        <v>73</v>
      </c>
      <c r="C4" s="75" t="s">
        <v>86</v>
      </c>
    </row>
    <row r="5" spans="2:3" ht="46.5">
      <c r="B5" s="73" t="s">
        <v>73</v>
      </c>
      <c r="C5" s="75" t="s">
        <v>87</v>
      </c>
    </row>
    <row r="6" spans="2:3" ht="46.5">
      <c r="B6" s="73" t="s">
        <v>73</v>
      </c>
      <c r="C6" s="75" t="s">
        <v>85</v>
      </c>
    </row>
    <row r="7" spans="2:3" ht="31">
      <c r="B7" s="74" t="s">
        <v>83</v>
      </c>
      <c r="C7" s="72" t="s">
        <v>84</v>
      </c>
    </row>
    <row r="8" spans="2:3">
      <c r="B8" s="55"/>
    </row>
    <row r="9" spans="2:3">
      <c r="B9" s="55"/>
      <c r="C9" s="1" t="s">
        <v>39</v>
      </c>
    </row>
    <row r="10" spans="2:3">
      <c r="C10" s="1" t="s">
        <v>66</v>
      </c>
    </row>
    <row r="11" spans="2:3">
      <c r="C11" s="1" t="s">
        <v>88</v>
      </c>
    </row>
  </sheetData>
  <hyperlinks>
    <hyperlink ref="C9" location="'S-Curve'!A1" display="S-Curve"/>
    <hyperlink ref="C10" location="JCL!A1" display="JCL"/>
    <hyperlink ref="C11" location="'Annual Confidence'!A1" display="Annual Confidenc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K4047"/>
  <sheetViews>
    <sheetView workbookViewId="0">
      <selection activeCell="E17" sqref="E17"/>
    </sheetView>
  </sheetViews>
  <sheetFormatPr defaultRowHeight="15.5"/>
  <cols>
    <col min="1" max="1" width="17.08203125" bestFit="1" customWidth="1"/>
    <col min="2" max="2" width="22.4140625" bestFit="1" customWidth="1"/>
    <col min="3" max="3" width="16.25" bestFit="1" customWidth="1"/>
    <col min="4" max="9" width="15.5" bestFit="1" customWidth="1"/>
    <col min="10" max="191" width="9.9140625" customWidth="1"/>
  </cols>
  <sheetData>
    <row r="1" spans="1:9">
      <c r="A1" s="2"/>
      <c r="B1" s="3" t="s">
        <v>93</v>
      </c>
      <c r="C1" s="3" t="s">
        <v>93</v>
      </c>
      <c r="D1" s="3" t="s">
        <v>93</v>
      </c>
      <c r="E1" s="3" t="s">
        <v>93</v>
      </c>
      <c r="F1" s="3" t="s">
        <v>93</v>
      </c>
      <c r="G1" s="3" t="s">
        <v>93</v>
      </c>
      <c r="H1" s="3" t="s">
        <v>93</v>
      </c>
      <c r="I1" s="3" t="s">
        <v>93</v>
      </c>
    </row>
    <row r="2" spans="1:9">
      <c r="A2" s="2"/>
      <c r="B2" s="3" t="s">
        <v>92</v>
      </c>
      <c r="C2" s="3" t="s">
        <v>92</v>
      </c>
      <c r="D2" s="3" t="s">
        <v>92</v>
      </c>
      <c r="E2" s="3" t="s">
        <v>92</v>
      </c>
      <c r="F2" s="3" t="s">
        <v>92</v>
      </c>
      <c r="G2" s="3" t="s">
        <v>92</v>
      </c>
      <c r="H2" s="3" t="s">
        <v>92</v>
      </c>
      <c r="I2" s="3" t="s">
        <v>92</v>
      </c>
    </row>
    <row r="3" spans="1:9">
      <c r="A3" s="4" t="s">
        <v>0</v>
      </c>
      <c r="B3" s="4" t="s">
        <v>90</v>
      </c>
      <c r="C3" s="4" t="s">
        <v>91</v>
      </c>
      <c r="D3" s="4" t="s">
        <v>94</v>
      </c>
      <c r="E3" s="17" t="s">
        <v>95</v>
      </c>
      <c r="F3" s="4" t="s">
        <v>96</v>
      </c>
      <c r="G3" s="17" t="s">
        <v>97</v>
      </c>
      <c r="H3" s="4" t="s">
        <v>98</v>
      </c>
      <c r="I3" s="17" t="s">
        <v>99</v>
      </c>
    </row>
    <row r="4" spans="1:9">
      <c r="A4" s="5" t="s">
        <v>1</v>
      </c>
      <c r="B4" s="6">
        <v>10000</v>
      </c>
      <c r="C4" s="6">
        <v>10000</v>
      </c>
    </row>
    <row r="5" spans="1:9">
      <c r="A5" s="5" t="s">
        <v>2</v>
      </c>
      <c r="B5" s="8">
        <v>2023</v>
      </c>
      <c r="C5" s="7">
        <v>950</v>
      </c>
      <c r="D5" s="77">
        <v>158.33333333333334</v>
      </c>
      <c r="E5" s="77">
        <v>158.33333333333334</v>
      </c>
      <c r="F5" s="77">
        <v>158.33333333333334</v>
      </c>
      <c r="G5" s="77">
        <v>158.33333333333334</v>
      </c>
      <c r="H5" s="77">
        <v>158.33333333333334</v>
      </c>
      <c r="I5" s="77">
        <v>158.33333333333334</v>
      </c>
    </row>
    <row r="6" spans="1:9">
      <c r="A6" s="5" t="s">
        <v>3</v>
      </c>
      <c r="B6" s="8">
        <v>2023.6734046466561</v>
      </c>
      <c r="C6" s="7">
        <v>969.45300672040628</v>
      </c>
      <c r="D6" s="77">
        <v>161.57550112006771</v>
      </c>
      <c r="E6" s="77">
        <v>161.57550112006771</v>
      </c>
      <c r="F6" s="77">
        <v>161.57550112006771</v>
      </c>
      <c r="G6" s="77">
        <v>161.57550112006771</v>
      </c>
      <c r="H6" s="77">
        <v>161.57550112006771</v>
      </c>
      <c r="I6" s="77">
        <v>161.57550112006771</v>
      </c>
    </row>
    <row r="7" spans="1:9">
      <c r="A7" s="5" t="s">
        <v>4</v>
      </c>
      <c r="B7" s="8">
        <v>2023.3250635605241</v>
      </c>
      <c r="C7" s="7">
        <v>936.15048234700976</v>
      </c>
      <c r="D7" s="77">
        <v>156.0250803911683</v>
      </c>
      <c r="E7" s="77">
        <v>156.0250803911683</v>
      </c>
      <c r="F7" s="77">
        <v>156.0250803911683</v>
      </c>
      <c r="G7" s="77">
        <v>156.0250803911683</v>
      </c>
      <c r="H7" s="77">
        <v>156.0250803911683</v>
      </c>
      <c r="I7" s="77">
        <v>156.0250803911683</v>
      </c>
    </row>
    <row r="8" spans="1:9">
      <c r="A8" s="5" t="s">
        <v>5</v>
      </c>
      <c r="B8" s="8" t="s">
        <v>6</v>
      </c>
      <c r="C8" s="7" t="s">
        <v>6</v>
      </c>
    </row>
    <row r="9" spans="1:9">
      <c r="A9" s="5" t="s">
        <v>7</v>
      </c>
      <c r="B9" s="8">
        <v>0.83870680573136502</v>
      </c>
      <c r="C9" s="7">
        <v>110.20573986811452</v>
      </c>
      <c r="D9" s="77">
        <v>18.367623311352421</v>
      </c>
      <c r="E9" s="77">
        <v>18.367623311352421</v>
      </c>
      <c r="F9" s="77">
        <v>18.367623311352421</v>
      </c>
      <c r="G9" s="77">
        <v>18.367623311352421</v>
      </c>
      <c r="H9" s="77">
        <v>18.367623311352421</v>
      </c>
      <c r="I9" s="77">
        <v>18.367623311352421</v>
      </c>
    </row>
    <row r="10" spans="1:9">
      <c r="A10" s="5" t="s">
        <v>8</v>
      </c>
      <c r="B10" s="8"/>
      <c r="C10" s="7"/>
    </row>
    <row r="11" spans="1:9">
      <c r="A11" s="5" t="s">
        <v>9</v>
      </c>
      <c r="B11" s="8"/>
      <c r="C11" s="10"/>
    </row>
    <row r="12" spans="1:9">
      <c r="A12" s="5" t="s">
        <v>10</v>
      </c>
      <c r="B12" s="8"/>
      <c r="C12" s="9"/>
    </row>
    <row r="13" spans="1:9">
      <c r="A13" s="5" t="s">
        <v>11</v>
      </c>
      <c r="B13" s="8">
        <v>4.1444770870910743E-4</v>
      </c>
      <c r="C13" s="10">
        <v>0.11367826919319489</v>
      </c>
      <c r="D13">
        <v>0.1136782691931949</v>
      </c>
      <c r="E13">
        <v>0.1136782691931949</v>
      </c>
      <c r="F13">
        <v>0.1136782691931949</v>
      </c>
      <c r="G13">
        <v>0.1136782691931949</v>
      </c>
      <c r="H13">
        <v>0.1136782691931949</v>
      </c>
      <c r="I13">
        <v>0.1136782691931949</v>
      </c>
    </row>
    <row r="14" spans="1:9">
      <c r="A14" s="5" t="s">
        <v>12</v>
      </c>
      <c r="B14" s="8">
        <v>2026.4453330357992</v>
      </c>
      <c r="C14" s="7">
        <v>1363.2022592782216</v>
      </c>
      <c r="D14" s="77">
        <v>227.20037654637028</v>
      </c>
      <c r="E14" s="77">
        <v>227.20037654637028</v>
      </c>
      <c r="F14" s="77">
        <v>227.20037654637028</v>
      </c>
      <c r="G14" s="77">
        <v>227.20037654637028</v>
      </c>
      <c r="H14" s="77">
        <v>227.20037654637028</v>
      </c>
      <c r="I14" s="77">
        <v>227.20037654637028</v>
      </c>
    </row>
    <row r="15" spans="1:9">
      <c r="A15" s="5" t="s">
        <v>13</v>
      </c>
      <c r="B15" s="8">
        <v>2022.4117144387476</v>
      </c>
      <c r="C15" s="7">
        <v>758.29650343304229</v>
      </c>
      <c r="D15" s="77">
        <v>126.38275057217372</v>
      </c>
      <c r="E15" s="77">
        <v>126.38275057217372</v>
      </c>
      <c r="F15" s="77">
        <v>126.38275057217372</v>
      </c>
      <c r="G15" s="77">
        <v>126.38275057217372</v>
      </c>
      <c r="H15" s="77">
        <v>126.38275057217372</v>
      </c>
      <c r="I15" s="77">
        <v>126.38275057217372</v>
      </c>
    </row>
    <row r="16" spans="1:9">
      <c r="A16" s="5" t="s">
        <v>14</v>
      </c>
      <c r="B16" s="8"/>
      <c r="C16" s="7"/>
    </row>
    <row r="17" spans="1:11">
      <c r="A17" s="5" t="s">
        <v>15</v>
      </c>
      <c r="B17" s="8"/>
      <c r="C17" s="7"/>
    </row>
    <row r="19" spans="1:11">
      <c r="A19" s="2"/>
      <c r="B19" s="3" t="s">
        <v>93</v>
      </c>
      <c r="C19" s="3" t="s">
        <v>93</v>
      </c>
      <c r="D19" s="3" t="s">
        <v>93</v>
      </c>
      <c r="E19" s="3" t="s">
        <v>93</v>
      </c>
      <c r="F19" s="3" t="s">
        <v>93</v>
      </c>
      <c r="G19" s="3" t="s">
        <v>93</v>
      </c>
      <c r="H19" s="3" t="s">
        <v>93</v>
      </c>
      <c r="I19" s="3" t="s">
        <v>93</v>
      </c>
    </row>
    <row r="20" spans="1:11">
      <c r="A20" s="2"/>
      <c r="B20" s="3" t="s">
        <v>92</v>
      </c>
      <c r="C20" s="3" t="s">
        <v>92</v>
      </c>
      <c r="D20" s="3" t="s">
        <v>92</v>
      </c>
      <c r="E20" s="3" t="s">
        <v>92</v>
      </c>
      <c r="F20" s="3" t="s">
        <v>92</v>
      </c>
      <c r="G20" s="3" t="s">
        <v>92</v>
      </c>
      <c r="H20" s="3" t="s">
        <v>92</v>
      </c>
      <c r="I20" s="3" t="s">
        <v>92</v>
      </c>
    </row>
    <row r="21" spans="1:11">
      <c r="A21" s="4" t="s">
        <v>16</v>
      </c>
      <c r="B21" s="4" t="s">
        <v>90</v>
      </c>
      <c r="C21" s="4" t="s">
        <v>91</v>
      </c>
      <c r="D21" s="4" t="s">
        <v>94</v>
      </c>
      <c r="E21" s="17" t="s">
        <v>95</v>
      </c>
      <c r="F21" s="4" t="s">
        <v>96</v>
      </c>
      <c r="G21" s="17" t="s">
        <v>97</v>
      </c>
      <c r="H21" s="4" t="s">
        <v>98</v>
      </c>
      <c r="I21" s="17" t="s">
        <v>99</v>
      </c>
    </row>
    <row r="22" spans="1:11">
      <c r="A22" s="5" t="s">
        <v>17</v>
      </c>
      <c r="B22" s="8">
        <v>2022.4117144387476</v>
      </c>
      <c r="C22" s="7">
        <v>758.29650343304229</v>
      </c>
      <c r="D22" s="77">
        <v>126.38275057217372</v>
      </c>
      <c r="E22" s="77">
        <v>126.38275057217372</v>
      </c>
      <c r="F22" s="77">
        <v>126.38275057217372</v>
      </c>
      <c r="G22" s="77">
        <v>126.38275057217372</v>
      </c>
      <c r="H22" s="77">
        <v>126.38275057217372</v>
      </c>
      <c r="I22" s="77">
        <v>126.38275057217372</v>
      </c>
      <c r="J22" s="77"/>
      <c r="K22" s="77"/>
    </row>
    <row r="23" spans="1:11">
      <c r="A23" s="5" t="s">
        <v>18</v>
      </c>
      <c r="B23" s="8">
        <v>2022.7654772465326</v>
      </c>
      <c r="C23" s="7">
        <v>836.17941971567552</v>
      </c>
      <c r="D23" s="77">
        <v>139.36323661927926</v>
      </c>
      <c r="E23" s="77">
        <v>139.36323661927926</v>
      </c>
      <c r="F23" s="77">
        <v>139.36323661927926</v>
      </c>
      <c r="G23" s="77">
        <v>139.36323661927926</v>
      </c>
      <c r="H23" s="77">
        <v>139.36323661927926</v>
      </c>
      <c r="I23" s="77">
        <v>139.36323661927926</v>
      </c>
      <c r="J23" s="77"/>
      <c r="K23" s="77"/>
    </row>
    <row r="24" spans="1:11">
      <c r="A24" s="5" t="s">
        <v>19</v>
      </c>
      <c r="B24" s="8">
        <v>2022.8575626896472</v>
      </c>
      <c r="C24" s="7">
        <v>855.02501806596388</v>
      </c>
      <c r="D24" s="77">
        <v>142.50416967766066</v>
      </c>
      <c r="E24" s="77">
        <v>142.50416967766066</v>
      </c>
      <c r="F24" s="77">
        <v>142.50416967766066</v>
      </c>
      <c r="G24" s="77">
        <v>142.50416967766066</v>
      </c>
      <c r="H24" s="77">
        <v>142.50416967766066</v>
      </c>
      <c r="I24" s="77">
        <v>142.50416967766066</v>
      </c>
      <c r="J24" s="77"/>
      <c r="K24" s="77"/>
    </row>
    <row r="25" spans="1:11">
      <c r="A25" s="5" t="s">
        <v>20</v>
      </c>
      <c r="B25" s="8">
        <v>2022.926748471855</v>
      </c>
      <c r="C25" s="7">
        <v>869.19165714519374</v>
      </c>
      <c r="D25" s="77">
        <v>144.86527619086561</v>
      </c>
      <c r="E25" s="77">
        <v>144.86527619086561</v>
      </c>
      <c r="F25" s="77">
        <v>144.86527619086561</v>
      </c>
      <c r="G25" s="77">
        <v>144.86527619086561</v>
      </c>
      <c r="H25" s="77">
        <v>144.86527619086561</v>
      </c>
      <c r="I25" s="77">
        <v>144.86527619086561</v>
      </c>
      <c r="J25" s="77"/>
      <c r="K25" s="77"/>
    </row>
    <row r="26" spans="1:11">
      <c r="A26" s="5" t="s">
        <v>21</v>
      </c>
      <c r="B26" s="8">
        <v>2022.9878656410795</v>
      </c>
      <c r="C26" s="7">
        <v>878.71773545700694</v>
      </c>
      <c r="D26" s="77">
        <v>146.45295590950116</v>
      </c>
      <c r="E26" s="77">
        <v>146.45295590950116</v>
      </c>
      <c r="F26" s="77">
        <v>146.45295590950116</v>
      </c>
      <c r="G26" s="77">
        <v>146.45295590950116</v>
      </c>
      <c r="H26" s="77">
        <v>146.45295590950116</v>
      </c>
      <c r="I26" s="77">
        <v>146.45295590950116</v>
      </c>
      <c r="J26" s="77"/>
      <c r="K26" s="77"/>
    </row>
    <row r="27" spans="1:11">
      <c r="A27" s="5" t="s">
        <v>22</v>
      </c>
      <c r="B27" s="8">
        <v>2023.0448593410836</v>
      </c>
      <c r="C27" s="7">
        <v>888.61999366441023</v>
      </c>
      <c r="D27" s="77">
        <v>148.10333227740171</v>
      </c>
      <c r="E27" s="77">
        <v>148.10333227740171</v>
      </c>
      <c r="F27" s="77">
        <v>148.10333227740171</v>
      </c>
      <c r="G27" s="77">
        <v>148.10333227740171</v>
      </c>
      <c r="H27" s="77">
        <v>148.10333227740171</v>
      </c>
      <c r="I27" s="77">
        <v>148.10333227740171</v>
      </c>
      <c r="J27" s="77"/>
      <c r="K27" s="77"/>
    </row>
    <row r="28" spans="1:11">
      <c r="A28" s="5" t="s">
        <v>23</v>
      </c>
      <c r="B28" s="8">
        <v>2023.1056822902835</v>
      </c>
      <c r="C28" s="7">
        <v>897.02916307733074</v>
      </c>
      <c r="D28" s="77">
        <v>149.50486051288846</v>
      </c>
      <c r="E28" s="77">
        <v>149.50486051288846</v>
      </c>
      <c r="F28" s="77">
        <v>149.50486051288846</v>
      </c>
      <c r="G28" s="77">
        <v>149.50486051288846</v>
      </c>
      <c r="H28" s="77">
        <v>149.50486051288846</v>
      </c>
      <c r="I28" s="77">
        <v>149.50486051288846</v>
      </c>
      <c r="J28" s="77"/>
      <c r="K28" s="77"/>
    </row>
    <row r="29" spans="1:11">
      <c r="A29" s="5" t="s">
        <v>24</v>
      </c>
      <c r="B29" s="8">
        <v>2023.1631815360256</v>
      </c>
      <c r="C29" s="7">
        <v>905.52267788279232</v>
      </c>
      <c r="D29" s="77">
        <v>150.92044631379872</v>
      </c>
      <c r="E29" s="77">
        <v>150.92044631379872</v>
      </c>
      <c r="F29" s="77">
        <v>150.92044631379872</v>
      </c>
      <c r="G29" s="77">
        <v>150.92044631379872</v>
      </c>
      <c r="H29" s="77">
        <v>150.92044631379872</v>
      </c>
      <c r="I29" s="77">
        <v>150.92044631379872</v>
      </c>
      <c r="J29" s="77"/>
      <c r="K29" s="77"/>
    </row>
    <row r="30" spans="1:11">
      <c r="A30" s="5" t="s">
        <v>25</v>
      </c>
      <c r="B30" s="8">
        <v>2023.2144068509037</v>
      </c>
      <c r="C30" s="7">
        <v>915.23443622164166</v>
      </c>
      <c r="D30" s="77">
        <v>152.53907270360693</v>
      </c>
      <c r="E30" s="77">
        <v>152.53907270360693</v>
      </c>
      <c r="F30" s="77">
        <v>152.53907270360693</v>
      </c>
      <c r="G30" s="77">
        <v>152.53907270360693</v>
      </c>
      <c r="H30" s="77">
        <v>152.53907270360693</v>
      </c>
      <c r="I30" s="77">
        <v>152.53907270360693</v>
      </c>
      <c r="J30" s="77"/>
      <c r="K30" s="77"/>
    </row>
    <row r="31" spans="1:11">
      <c r="A31" s="5" t="s">
        <v>26</v>
      </c>
      <c r="B31" s="8">
        <v>2023.2690077839145</v>
      </c>
      <c r="C31" s="7">
        <v>925.29768454536872</v>
      </c>
      <c r="D31" s="77">
        <v>154.21628075756146</v>
      </c>
      <c r="E31" s="77">
        <v>154.21628075756146</v>
      </c>
      <c r="F31" s="77">
        <v>154.21628075756146</v>
      </c>
      <c r="G31" s="77">
        <v>154.21628075756146</v>
      </c>
      <c r="H31" s="77">
        <v>154.21628075756146</v>
      </c>
      <c r="I31" s="77">
        <v>154.21628075756146</v>
      </c>
      <c r="J31" s="77"/>
      <c r="K31" s="77"/>
    </row>
    <row r="32" spans="1:11">
      <c r="A32" s="5" t="s">
        <v>27</v>
      </c>
      <c r="B32" s="8">
        <v>2023.3250635605241</v>
      </c>
      <c r="C32" s="7">
        <v>936.15048234700976</v>
      </c>
      <c r="D32" s="77">
        <v>156.0250803911683</v>
      </c>
      <c r="E32" s="77">
        <v>156.0250803911683</v>
      </c>
      <c r="F32" s="77">
        <v>156.0250803911683</v>
      </c>
      <c r="G32" s="77">
        <v>156.0250803911683</v>
      </c>
      <c r="H32" s="77">
        <v>156.0250803911683</v>
      </c>
      <c r="I32" s="77">
        <v>156.0250803911683</v>
      </c>
      <c r="J32" s="77"/>
      <c r="K32" s="77"/>
    </row>
    <row r="33" spans="1:11">
      <c r="A33" s="5" t="s">
        <v>28</v>
      </c>
      <c r="B33" s="8">
        <v>2023.3895905196223</v>
      </c>
      <c r="C33" s="7">
        <v>948.18867934710318</v>
      </c>
      <c r="D33" s="77">
        <v>158.03144655785053</v>
      </c>
      <c r="E33" s="77">
        <v>158.03144655785053</v>
      </c>
      <c r="F33" s="77">
        <v>158.03144655785053</v>
      </c>
      <c r="G33" s="77">
        <v>158.03144655785053</v>
      </c>
      <c r="H33" s="77">
        <v>158.03144655785053</v>
      </c>
      <c r="I33" s="77">
        <v>158.03144655785053</v>
      </c>
      <c r="J33" s="77"/>
      <c r="K33" s="77"/>
    </row>
    <row r="34" spans="1:11">
      <c r="A34" s="5" t="s">
        <v>29</v>
      </c>
      <c r="B34" s="8">
        <v>2023.4895567292804</v>
      </c>
      <c r="C34" s="7">
        <v>961.28578294477609</v>
      </c>
      <c r="D34" s="77">
        <v>160.21429715746268</v>
      </c>
      <c r="E34" s="77">
        <v>160.21429715746268</v>
      </c>
      <c r="F34" s="77">
        <v>160.21429715746268</v>
      </c>
      <c r="G34" s="77">
        <v>160.21429715746268</v>
      </c>
      <c r="H34" s="77">
        <v>160.21429715746268</v>
      </c>
      <c r="I34" s="77">
        <v>160.21429715746268</v>
      </c>
      <c r="J34" s="77"/>
      <c r="K34" s="77"/>
    </row>
    <row r="35" spans="1:11">
      <c r="A35" s="5" t="s">
        <v>30</v>
      </c>
      <c r="B35" s="8">
        <v>2023.6197135157465</v>
      </c>
      <c r="C35" s="7">
        <v>979.18014874598646</v>
      </c>
      <c r="D35" s="77">
        <v>163.1966914576644</v>
      </c>
      <c r="E35" s="77">
        <v>163.1966914576644</v>
      </c>
      <c r="F35" s="77">
        <v>163.1966914576644</v>
      </c>
      <c r="G35" s="77">
        <v>163.1966914576644</v>
      </c>
      <c r="H35" s="77">
        <v>163.1966914576644</v>
      </c>
      <c r="I35" s="77">
        <v>163.1966914576644</v>
      </c>
      <c r="J35" s="77"/>
      <c r="K35" s="77"/>
    </row>
    <row r="36" spans="1:11">
      <c r="A36" s="5" t="s">
        <v>31</v>
      </c>
      <c r="B36" s="8">
        <v>2023.9342752149421</v>
      </c>
      <c r="C36" s="7">
        <v>1005.4453227831053</v>
      </c>
      <c r="D36" s="77">
        <v>167.57422046385088</v>
      </c>
      <c r="E36" s="77">
        <v>167.57422046385088</v>
      </c>
      <c r="F36" s="77">
        <v>167.57422046385088</v>
      </c>
      <c r="G36" s="77">
        <v>167.57422046385088</v>
      </c>
      <c r="H36" s="77">
        <v>167.57422046385088</v>
      </c>
      <c r="I36" s="77">
        <v>167.57422046385088</v>
      </c>
      <c r="J36" s="77"/>
      <c r="K36" s="77"/>
    </row>
    <row r="37" spans="1:11">
      <c r="A37" s="5" t="s">
        <v>32</v>
      </c>
      <c r="B37" s="8">
        <v>2024.4318650980813</v>
      </c>
      <c r="C37" s="7">
        <v>1041.9390224951349</v>
      </c>
      <c r="D37" s="77">
        <v>173.65650374918914</v>
      </c>
      <c r="E37" s="77">
        <v>173.65650374918914</v>
      </c>
      <c r="F37" s="77">
        <v>173.65650374918914</v>
      </c>
      <c r="G37" s="77">
        <v>173.65650374918914</v>
      </c>
      <c r="H37" s="77">
        <v>173.65650374918914</v>
      </c>
      <c r="I37" s="77">
        <v>173.65650374918914</v>
      </c>
      <c r="J37" s="77"/>
      <c r="K37" s="77"/>
    </row>
    <row r="38" spans="1:11">
      <c r="A38" s="5" t="s">
        <v>33</v>
      </c>
      <c r="B38" s="8">
        <v>2024.6432837679076</v>
      </c>
      <c r="C38" s="7">
        <v>1076.5896146668047</v>
      </c>
      <c r="D38" s="77">
        <v>179.43160244446744</v>
      </c>
      <c r="E38" s="77">
        <v>179.43160244446744</v>
      </c>
      <c r="F38" s="77">
        <v>179.43160244446744</v>
      </c>
      <c r="G38" s="77">
        <v>179.43160244446744</v>
      </c>
      <c r="H38" s="77">
        <v>179.43160244446744</v>
      </c>
      <c r="I38" s="77">
        <v>179.43160244446744</v>
      </c>
      <c r="J38" s="77"/>
      <c r="K38" s="77"/>
    </row>
    <row r="39" spans="1:11">
      <c r="A39" s="5" t="s">
        <v>34</v>
      </c>
      <c r="B39" s="8">
        <v>2024.8221431382774</v>
      </c>
      <c r="C39" s="7">
        <v>1108.2200284953853</v>
      </c>
      <c r="D39" s="77">
        <v>184.70333808256422</v>
      </c>
      <c r="E39" s="77">
        <v>184.70333808256422</v>
      </c>
      <c r="F39" s="77">
        <v>184.70333808256422</v>
      </c>
      <c r="G39" s="77">
        <v>184.70333808256422</v>
      </c>
      <c r="H39" s="77">
        <v>184.70333808256422</v>
      </c>
      <c r="I39" s="77">
        <v>184.70333808256422</v>
      </c>
      <c r="J39" s="77"/>
      <c r="K39" s="77"/>
    </row>
    <row r="40" spans="1:11">
      <c r="A40" s="5" t="s">
        <v>35</v>
      </c>
      <c r="B40" s="8">
        <v>2025.0086244686213</v>
      </c>
      <c r="C40" s="7">
        <v>1141.8505477344688</v>
      </c>
      <c r="D40" s="77">
        <v>190.30842462241148</v>
      </c>
      <c r="E40" s="77">
        <v>190.30842462241148</v>
      </c>
      <c r="F40" s="77">
        <v>190.30842462241148</v>
      </c>
      <c r="G40" s="77">
        <v>190.30842462241148</v>
      </c>
      <c r="H40" s="77">
        <v>190.30842462241148</v>
      </c>
      <c r="I40" s="77">
        <v>190.30842462241148</v>
      </c>
      <c r="J40" s="77"/>
      <c r="K40" s="77"/>
    </row>
    <row r="41" spans="1:11">
      <c r="A41" s="5" t="s">
        <v>36</v>
      </c>
      <c r="B41" s="8">
        <v>2025.2579851103244</v>
      </c>
      <c r="C41" s="7">
        <v>1186.8287335516043</v>
      </c>
      <c r="D41" s="77">
        <v>197.80478892526739</v>
      </c>
      <c r="E41" s="77">
        <v>197.80478892526739</v>
      </c>
      <c r="F41" s="77">
        <v>197.80478892526739</v>
      </c>
      <c r="G41" s="77">
        <v>197.80478892526739</v>
      </c>
      <c r="H41" s="77">
        <v>197.80478892526739</v>
      </c>
      <c r="I41" s="77">
        <v>197.80478892526739</v>
      </c>
      <c r="J41" s="77"/>
      <c r="K41" s="77"/>
    </row>
    <row r="42" spans="1:11">
      <c r="A42" s="5" t="s">
        <v>37</v>
      </c>
      <c r="B42" s="8">
        <v>2026.4453330357992</v>
      </c>
      <c r="C42" s="7">
        <v>1363.2022592782216</v>
      </c>
      <c r="D42" s="77">
        <v>227.20037654637028</v>
      </c>
      <c r="E42" s="77">
        <v>227.20037654637028</v>
      </c>
      <c r="F42" s="77">
        <v>227.20037654637028</v>
      </c>
      <c r="G42" s="77">
        <v>227.20037654637028</v>
      </c>
      <c r="H42" s="77">
        <v>227.20037654637028</v>
      </c>
      <c r="I42" s="77">
        <v>227.20037654637028</v>
      </c>
      <c r="J42" s="77"/>
      <c r="K42" s="77"/>
    </row>
    <row r="45" spans="1:11">
      <c r="A45" s="11"/>
      <c r="B45" s="3" t="s">
        <v>93</v>
      </c>
      <c r="C45" s="3" t="s">
        <v>93</v>
      </c>
      <c r="D45" s="3" t="s">
        <v>93</v>
      </c>
      <c r="E45" s="3" t="s">
        <v>93</v>
      </c>
      <c r="F45" s="3" t="s">
        <v>93</v>
      </c>
      <c r="G45" s="3" t="s">
        <v>93</v>
      </c>
      <c r="H45" s="3" t="s">
        <v>93</v>
      </c>
      <c r="I45" s="3" t="s">
        <v>93</v>
      </c>
    </row>
    <row r="46" spans="1:11">
      <c r="A46" s="11"/>
      <c r="B46" s="3" t="s">
        <v>92</v>
      </c>
      <c r="C46" s="3" t="s">
        <v>92</v>
      </c>
      <c r="D46" s="3" t="s">
        <v>92</v>
      </c>
      <c r="E46" s="3" t="s">
        <v>92</v>
      </c>
      <c r="F46" s="3" t="s">
        <v>92</v>
      </c>
      <c r="G46" s="3" t="s">
        <v>92</v>
      </c>
      <c r="H46" s="3" t="s">
        <v>92</v>
      </c>
      <c r="I46" s="3" t="s">
        <v>92</v>
      </c>
    </row>
    <row r="47" spans="1:11">
      <c r="A47" s="12" t="s">
        <v>38</v>
      </c>
      <c r="B47" s="4" t="s">
        <v>90</v>
      </c>
      <c r="C47" s="4" t="s">
        <v>91</v>
      </c>
      <c r="D47" s="4" t="s">
        <v>94</v>
      </c>
      <c r="E47" s="17" t="s">
        <v>95</v>
      </c>
      <c r="F47" s="4" t="s">
        <v>96</v>
      </c>
      <c r="G47" s="17" t="s">
        <v>97</v>
      </c>
      <c r="H47" s="4" t="s">
        <v>98</v>
      </c>
      <c r="I47" s="17" t="s">
        <v>99</v>
      </c>
    </row>
    <row r="48" spans="1:11">
      <c r="A48" s="13">
        <v>1</v>
      </c>
      <c r="B48" s="8">
        <v>2024.7375202125556</v>
      </c>
      <c r="C48" s="7">
        <v>1040.7459084187967</v>
      </c>
      <c r="D48" s="77">
        <v>173.45765140313279</v>
      </c>
      <c r="E48" s="77">
        <v>173.45765140313279</v>
      </c>
      <c r="F48" s="77">
        <v>173.45765140313279</v>
      </c>
      <c r="G48" s="77">
        <v>173.45765140313279</v>
      </c>
      <c r="H48" s="77">
        <v>173.45765140313279</v>
      </c>
      <c r="I48" s="77">
        <v>173.45765140313279</v>
      </c>
    </row>
    <row r="49" spans="1:9">
      <c r="A49" s="13">
        <v>2</v>
      </c>
      <c r="B49" s="8">
        <v>2023.1371503450334</v>
      </c>
      <c r="C49" s="7">
        <v>888.4592707422745</v>
      </c>
      <c r="D49" s="77">
        <v>148.07654512371241</v>
      </c>
      <c r="E49" s="77">
        <v>148.07654512371241</v>
      </c>
      <c r="F49" s="77">
        <v>148.07654512371241</v>
      </c>
      <c r="G49" s="77">
        <v>148.07654512371241</v>
      </c>
      <c r="H49" s="77">
        <v>148.07654512371241</v>
      </c>
      <c r="I49" s="77">
        <v>148.07654512371241</v>
      </c>
    </row>
    <row r="50" spans="1:9">
      <c r="A50" s="13">
        <v>3</v>
      </c>
      <c r="B50" s="8">
        <v>2023.2763791393425</v>
      </c>
      <c r="C50" s="7">
        <v>961.55320604377073</v>
      </c>
      <c r="D50" s="77">
        <v>160.25886767396179</v>
      </c>
      <c r="E50" s="77">
        <v>160.25886767396179</v>
      </c>
      <c r="F50" s="77">
        <v>160.25886767396179</v>
      </c>
      <c r="G50" s="77">
        <v>160.25886767396179</v>
      </c>
      <c r="H50" s="77">
        <v>160.25886767396179</v>
      </c>
      <c r="I50" s="77">
        <v>160.25886767396179</v>
      </c>
    </row>
    <row r="51" spans="1:9">
      <c r="A51" s="13">
        <v>4</v>
      </c>
      <c r="B51" s="8">
        <v>2024.9706425837837</v>
      </c>
      <c r="C51" s="7">
        <v>1139.9105028340007</v>
      </c>
      <c r="D51" s="77">
        <v>189.98508380566679</v>
      </c>
      <c r="E51" s="77">
        <v>189.98508380566679</v>
      </c>
      <c r="F51" s="77">
        <v>189.98508380566679</v>
      </c>
      <c r="G51" s="77">
        <v>189.98508380566679</v>
      </c>
      <c r="H51" s="77">
        <v>189.98508380566679</v>
      </c>
      <c r="I51" s="77">
        <v>189.98508380566679</v>
      </c>
    </row>
    <row r="52" spans="1:9">
      <c r="A52" s="13">
        <v>5</v>
      </c>
      <c r="B52" s="8">
        <v>2022.6760409315916</v>
      </c>
      <c r="C52" s="7">
        <v>823.01216795410573</v>
      </c>
      <c r="D52" s="77">
        <v>137.16869465901763</v>
      </c>
      <c r="E52" s="77">
        <v>137.16869465901763</v>
      </c>
      <c r="F52" s="77">
        <v>137.16869465901763</v>
      </c>
      <c r="G52" s="77">
        <v>137.16869465901763</v>
      </c>
      <c r="H52" s="77">
        <v>137.16869465901763</v>
      </c>
      <c r="I52" s="77">
        <v>137.16869465901763</v>
      </c>
    </row>
    <row r="53" spans="1:9">
      <c r="A53" s="13">
        <v>6</v>
      </c>
      <c r="B53" s="8">
        <v>2023.0348881112</v>
      </c>
      <c r="C53" s="7">
        <v>833.30284289295776</v>
      </c>
      <c r="D53" s="77">
        <v>138.88380714882629</v>
      </c>
      <c r="E53" s="77">
        <v>138.88380714882629</v>
      </c>
      <c r="F53" s="77">
        <v>138.88380714882629</v>
      </c>
      <c r="G53" s="77">
        <v>138.88380714882629</v>
      </c>
      <c r="H53" s="77">
        <v>138.88380714882629</v>
      </c>
      <c r="I53" s="77">
        <v>138.88380714882629</v>
      </c>
    </row>
    <row r="54" spans="1:9">
      <c r="A54" s="13">
        <v>7</v>
      </c>
      <c r="B54" s="8">
        <v>2023.6364222601344</v>
      </c>
      <c r="C54" s="7">
        <v>981.43827480517302</v>
      </c>
      <c r="D54" s="77">
        <v>163.57304580086216</v>
      </c>
      <c r="E54" s="77">
        <v>163.57304580086216</v>
      </c>
      <c r="F54" s="77">
        <v>163.57304580086216</v>
      </c>
      <c r="G54" s="77">
        <v>163.57304580086216</v>
      </c>
      <c r="H54" s="77">
        <v>163.57304580086216</v>
      </c>
      <c r="I54" s="77">
        <v>163.57304580086216</v>
      </c>
    </row>
    <row r="55" spans="1:9">
      <c r="A55" s="13">
        <v>8</v>
      </c>
      <c r="B55" s="8">
        <v>2023.5395614322119</v>
      </c>
      <c r="C55" s="7">
        <v>936.43760508295406</v>
      </c>
      <c r="D55" s="77">
        <v>156.07293418049235</v>
      </c>
      <c r="E55" s="77">
        <v>156.07293418049235</v>
      </c>
      <c r="F55" s="77">
        <v>156.07293418049235</v>
      </c>
      <c r="G55" s="77">
        <v>156.07293418049235</v>
      </c>
      <c r="H55" s="77">
        <v>156.07293418049235</v>
      </c>
      <c r="I55" s="77">
        <v>156.07293418049235</v>
      </c>
    </row>
    <row r="56" spans="1:9">
      <c r="A56" s="13">
        <v>9</v>
      </c>
      <c r="B56" s="8">
        <v>2024.757392519193</v>
      </c>
      <c r="C56" s="7">
        <v>1073.6667284693258</v>
      </c>
      <c r="D56" s="77">
        <v>178.94445474488762</v>
      </c>
      <c r="E56" s="77">
        <v>178.94445474488762</v>
      </c>
      <c r="F56" s="77">
        <v>178.94445474488762</v>
      </c>
      <c r="G56" s="77">
        <v>178.94445474488762</v>
      </c>
      <c r="H56" s="77">
        <v>178.94445474488762</v>
      </c>
      <c r="I56" s="77">
        <v>178.94445474488762</v>
      </c>
    </row>
    <row r="57" spans="1:9">
      <c r="A57" s="13">
        <v>10</v>
      </c>
      <c r="B57" s="8">
        <v>2026.0734105965921</v>
      </c>
      <c r="C57" s="7">
        <v>1363.2022592782216</v>
      </c>
      <c r="D57" s="77">
        <v>227.20037654637028</v>
      </c>
      <c r="E57" s="77">
        <v>227.20037654637028</v>
      </c>
      <c r="F57" s="77">
        <v>227.20037654637028</v>
      </c>
      <c r="G57" s="77">
        <v>227.20037654637028</v>
      </c>
      <c r="H57" s="77">
        <v>227.20037654637028</v>
      </c>
      <c r="I57" s="77">
        <v>227.20037654637028</v>
      </c>
    </row>
    <row r="58" spans="1:9">
      <c r="A58" s="13">
        <v>11</v>
      </c>
      <c r="B58" s="8">
        <v>2024.6652206974718</v>
      </c>
      <c r="C58" s="14">
        <v>1054.8274871160243</v>
      </c>
      <c r="D58" s="77">
        <v>175.80458118600404</v>
      </c>
      <c r="E58" s="77">
        <v>175.80458118600404</v>
      </c>
      <c r="F58" s="77">
        <v>175.80458118600404</v>
      </c>
      <c r="G58" s="77">
        <v>175.80458118600404</v>
      </c>
      <c r="H58" s="77">
        <v>175.80458118600404</v>
      </c>
      <c r="I58" s="77">
        <v>175.80458118600404</v>
      </c>
    </row>
    <row r="59" spans="1:9">
      <c r="A59" s="13">
        <v>12</v>
      </c>
      <c r="B59" s="8">
        <v>2025.3418062358744</v>
      </c>
      <c r="C59" s="14">
        <v>1182.0853430347127</v>
      </c>
      <c r="D59" s="77">
        <v>197.01422383911878</v>
      </c>
      <c r="E59" s="77">
        <v>197.01422383911878</v>
      </c>
      <c r="F59" s="77">
        <v>197.01422383911878</v>
      </c>
      <c r="G59" s="77">
        <v>197.01422383911878</v>
      </c>
      <c r="H59" s="77">
        <v>197.01422383911878</v>
      </c>
      <c r="I59" s="77">
        <v>197.01422383911878</v>
      </c>
    </row>
    <row r="60" spans="1:9">
      <c r="A60" s="13">
        <v>13</v>
      </c>
      <c r="B60" s="8">
        <v>2023.6238150001802</v>
      </c>
      <c r="C60" s="14">
        <v>938.63731661408769</v>
      </c>
      <c r="D60" s="77">
        <v>156.43955276901463</v>
      </c>
      <c r="E60" s="77">
        <v>156.43955276901463</v>
      </c>
      <c r="F60" s="77">
        <v>156.43955276901463</v>
      </c>
      <c r="G60" s="77">
        <v>156.43955276901463</v>
      </c>
      <c r="H60" s="77">
        <v>156.43955276901463</v>
      </c>
      <c r="I60" s="77">
        <v>156.43955276901463</v>
      </c>
    </row>
    <row r="61" spans="1:9">
      <c r="A61" s="13">
        <v>14</v>
      </c>
      <c r="B61" s="8">
        <v>2022.5928323324838</v>
      </c>
      <c r="C61" s="14">
        <v>790.11292581948749</v>
      </c>
      <c r="D61" s="77">
        <v>131.68548763658126</v>
      </c>
      <c r="E61" s="77">
        <v>131.68548763658126</v>
      </c>
      <c r="F61" s="77">
        <v>131.68548763658126</v>
      </c>
      <c r="G61" s="77">
        <v>131.68548763658126</v>
      </c>
      <c r="H61" s="77">
        <v>131.68548763658126</v>
      </c>
      <c r="I61" s="77">
        <v>131.68548763658126</v>
      </c>
    </row>
    <row r="62" spans="1:9">
      <c r="A62" s="13">
        <v>15</v>
      </c>
      <c r="B62" s="8">
        <v>2023.2380026667895</v>
      </c>
      <c r="C62" s="14">
        <v>898.52889231870051</v>
      </c>
      <c r="D62" s="77">
        <v>149.75481538645008</v>
      </c>
      <c r="E62" s="77">
        <v>149.75481538645008</v>
      </c>
      <c r="F62" s="77">
        <v>149.75481538645008</v>
      </c>
      <c r="G62" s="77">
        <v>149.75481538645008</v>
      </c>
      <c r="H62" s="77">
        <v>149.75481538645008</v>
      </c>
      <c r="I62" s="77">
        <v>149.75481538645008</v>
      </c>
    </row>
    <row r="63" spans="1:9">
      <c r="A63" s="13">
        <v>16</v>
      </c>
      <c r="B63" s="8">
        <v>2022.6929068336899</v>
      </c>
      <c r="C63" s="14">
        <v>868.11662538250073</v>
      </c>
      <c r="D63" s="77">
        <v>144.68610423041679</v>
      </c>
      <c r="E63" s="77">
        <v>144.68610423041679</v>
      </c>
      <c r="F63" s="77">
        <v>144.68610423041679</v>
      </c>
      <c r="G63" s="77">
        <v>144.68610423041679</v>
      </c>
      <c r="H63" s="77">
        <v>144.68610423041679</v>
      </c>
      <c r="I63" s="77">
        <v>144.68610423041679</v>
      </c>
    </row>
    <row r="64" spans="1:9">
      <c r="A64" s="13">
        <v>17</v>
      </c>
      <c r="B64" s="8">
        <v>2022.8516658328151</v>
      </c>
      <c r="C64" s="14">
        <v>823.54331792273103</v>
      </c>
      <c r="D64" s="77">
        <v>137.2572196537885</v>
      </c>
      <c r="E64" s="77">
        <v>137.2572196537885</v>
      </c>
      <c r="F64" s="77">
        <v>137.2572196537885</v>
      </c>
      <c r="G64" s="77">
        <v>137.2572196537885</v>
      </c>
      <c r="H64" s="77">
        <v>137.2572196537885</v>
      </c>
      <c r="I64" s="77">
        <v>137.2572196537885</v>
      </c>
    </row>
    <row r="65" spans="1:9">
      <c r="A65" s="13">
        <v>18</v>
      </c>
      <c r="B65" s="8">
        <v>2022.9891937757893</v>
      </c>
      <c r="C65" s="14">
        <v>887.25839269383607</v>
      </c>
      <c r="D65" s="77">
        <v>147.87639878230601</v>
      </c>
      <c r="E65" s="77">
        <v>147.87639878230601</v>
      </c>
      <c r="F65" s="77">
        <v>147.87639878230601</v>
      </c>
      <c r="G65" s="77">
        <v>147.87639878230601</v>
      </c>
      <c r="H65" s="77">
        <v>147.87639878230601</v>
      </c>
      <c r="I65" s="77">
        <v>147.87639878230601</v>
      </c>
    </row>
    <row r="66" spans="1:9">
      <c r="A66" s="13">
        <v>19</v>
      </c>
      <c r="B66" s="8">
        <v>2023.1802489089969</v>
      </c>
      <c r="C66" s="14">
        <v>982.3221935538113</v>
      </c>
      <c r="D66" s="77">
        <v>163.72036559230187</v>
      </c>
      <c r="E66" s="77">
        <v>163.72036559230187</v>
      </c>
      <c r="F66" s="77">
        <v>163.72036559230187</v>
      </c>
      <c r="G66" s="77">
        <v>163.72036559230187</v>
      </c>
      <c r="H66" s="77">
        <v>163.72036559230187</v>
      </c>
      <c r="I66" s="77">
        <v>163.72036559230187</v>
      </c>
    </row>
    <row r="67" spans="1:9">
      <c r="A67" s="13">
        <v>20</v>
      </c>
      <c r="B67" s="8">
        <v>2022.86667324666</v>
      </c>
      <c r="C67" s="14">
        <v>892.22696699153187</v>
      </c>
      <c r="D67" s="77">
        <v>148.70449449858864</v>
      </c>
      <c r="E67" s="77">
        <v>148.70449449858864</v>
      </c>
      <c r="F67" s="77">
        <v>148.70449449858864</v>
      </c>
      <c r="G67" s="77">
        <v>148.70449449858864</v>
      </c>
      <c r="H67" s="77">
        <v>148.70449449858864</v>
      </c>
      <c r="I67" s="77">
        <v>148.70449449858864</v>
      </c>
    </row>
    <row r="68" spans="1:9">
      <c r="A68" s="13">
        <v>21</v>
      </c>
      <c r="B68" s="8">
        <v>2024.9006643213093</v>
      </c>
      <c r="C68" s="14">
        <v>1142.6559742338027</v>
      </c>
      <c r="D68" s="77">
        <v>190.44266237230045</v>
      </c>
      <c r="E68" s="77">
        <v>190.44266237230045</v>
      </c>
      <c r="F68" s="77">
        <v>190.44266237230045</v>
      </c>
      <c r="G68" s="77">
        <v>190.44266237230045</v>
      </c>
      <c r="H68" s="77">
        <v>190.44266237230045</v>
      </c>
      <c r="I68" s="77">
        <v>190.44266237230045</v>
      </c>
    </row>
    <row r="69" spans="1:9">
      <c r="A69" s="13">
        <v>22</v>
      </c>
      <c r="B69" s="8">
        <v>2023.2064753686554</v>
      </c>
      <c r="C69" s="14">
        <v>909.2713154075675</v>
      </c>
      <c r="D69" s="77">
        <v>151.54521923459458</v>
      </c>
      <c r="E69" s="77">
        <v>151.54521923459458</v>
      </c>
      <c r="F69" s="77">
        <v>151.54521923459458</v>
      </c>
      <c r="G69" s="77">
        <v>151.54521923459458</v>
      </c>
      <c r="H69" s="77">
        <v>151.54521923459458</v>
      </c>
      <c r="I69" s="77">
        <v>151.54521923459458</v>
      </c>
    </row>
    <row r="70" spans="1:9">
      <c r="A70" s="13">
        <v>23</v>
      </c>
      <c r="B70" s="8">
        <v>2022.9266513257353</v>
      </c>
      <c r="C70" s="14">
        <v>870.94523452779902</v>
      </c>
      <c r="D70" s="77">
        <v>145.15753908796651</v>
      </c>
      <c r="E70" s="77">
        <v>145.15753908796651</v>
      </c>
      <c r="F70" s="77">
        <v>145.15753908796651</v>
      </c>
      <c r="G70" s="77">
        <v>145.15753908796651</v>
      </c>
      <c r="H70" s="77">
        <v>145.15753908796651</v>
      </c>
      <c r="I70" s="77">
        <v>145.15753908796651</v>
      </c>
    </row>
    <row r="71" spans="1:9">
      <c r="A71" s="13">
        <v>24</v>
      </c>
      <c r="B71" s="8">
        <v>2024.796936533894</v>
      </c>
      <c r="C71" s="14">
        <v>1092.6628029756926</v>
      </c>
      <c r="D71" s="77">
        <v>182.11046716261544</v>
      </c>
      <c r="E71" s="77">
        <v>182.11046716261544</v>
      </c>
      <c r="F71" s="77">
        <v>182.11046716261544</v>
      </c>
      <c r="G71" s="77">
        <v>182.11046716261544</v>
      </c>
      <c r="H71" s="77">
        <v>182.11046716261544</v>
      </c>
      <c r="I71" s="77">
        <v>182.11046716261544</v>
      </c>
    </row>
    <row r="72" spans="1:9">
      <c r="A72" s="13">
        <v>25</v>
      </c>
      <c r="B72" s="8">
        <v>2023.5517452026136</v>
      </c>
      <c r="C72" s="14">
        <v>981.08431225474044</v>
      </c>
      <c r="D72" s="77">
        <v>163.51405204245674</v>
      </c>
      <c r="E72" s="77">
        <v>163.51405204245674</v>
      </c>
      <c r="F72" s="77">
        <v>163.51405204245674</v>
      </c>
      <c r="G72" s="77">
        <v>163.51405204245674</v>
      </c>
      <c r="H72" s="77">
        <v>163.51405204245674</v>
      </c>
      <c r="I72" s="77">
        <v>163.51405204245674</v>
      </c>
    </row>
    <row r="73" spans="1:9">
      <c r="A73" s="13">
        <v>26</v>
      </c>
      <c r="B73" s="8">
        <v>2023.3742127824503</v>
      </c>
      <c r="C73" s="14">
        <v>933.73531855895476</v>
      </c>
      <c r="D73" s="77">
        <v>155.62255309315913</v>
      </c>
      <c r="E73" s="77">
        <v>155.62255309315913</v>
      </c>
      <c r="F73" s="77">
        <v>155.62255309315913</v>
      </c>
      <c r="G73" s="77">
        <v>155.62255309315913</v>
      </c>
      <c r="H73" s="77">
        <v>155.62255309315913</v>
      </c>
      <c r="I73" s="77">
        <v>155.62255309315913</v>
      </c>
    </row>
    <row r="74" spans="1:9">
      <c r="A74" s="13">
        <v>27</v>
      </c>
      <c r="B74" s="8">
        <v>2023.4023381260874</v>
      </c>
      <c r="C74" s="14">
        <v>974.18556591997378</v>
      </c>
      <c r="D74" s="77">
        <v>162.36426098666229</v>
      </c>
      <c r="E74" s="77">
        <v>162.36426098666229</v>
      </c>
      <c r="F74" s="77">
        <v>162.36426098666229</v>
      </c>
      <c r="G74" s="77">
        <v>162.36426098666229</v>
      </c>
      <c r="H74" s="77">
        <v>162.36426098666229</v>
      </c>
      <c r="I74" s="77">
        <v>162.36426098666229</v>
      </c>
    </row>
    <row r="75" spans="1:9">
      <c r="A75" s="13">
        <v>28</v>
      </c>
      <c r="B75" s="8">
        <v>2022.7687569300192</v>
      </c>
      <c r="C75" s="14">
        <v>880.99834357273403</v>
      </c>
      <c r="D75" s="77">
        <v>146.83305726212234</v>
      </c>
      <c r="E75" s="77">
        <v>146.83305726212234</v>
      </c>
      <c r="F75" s="77">
        <v>146.83305726212234</v>
      </c>
      <c r="G75" s="77">
        <v>146.83305726212234</v>
      </c>
      <c r="H75" s="77">
        <v>146.83305726212234</v>
      </c>
      <c r="I75" s="77">
        <v>146.83305726212234</v>
      </c>
    </row>
    <row r="76" spans="1:9">
      <c r="A76" s="13">
        <v>29</v>
      </c>
      <c r="B76" s="8">
        <v>2024.9139156660269</v>
      </c>
      <c r="C76" s="14">
        <v>1138.6997531475342</v>
      </c>
      <c r="D76" s="77">
        <v>189.7832921912557</v>
      </c>
      <c r="E76" s="77">
        <v>189.7832921912557</v>
      </c>
      <c r="F76" s="77">
        <v>189.7832921912557</v>
      </c>
      <c r="G76" s="77">
        <v>189.7832921912557</v>
      </c>
      <c r="H76" s="77">
        <v>189.7832921912557</v>
      </c>
      <c r="I76" s="77">
        <v>189.7832921912557</v>
      </c>
    </row>
    <row r="77" spans="1:9">
      <c r="A77" s="13">
        <v>30</v>
      </c>
      <c r="B77" s="8">
        <v>2023.0006395283797</v>
      </c>
      <c r="C77" s="14">
        <v>934.66961406334713</v>
      </c>
      <c r="D77" s="77">
        <v>155.77826901055786</v>
      </c>
      <c r="E77" s="77">
        <v>155.77826901055786</v>
      </c>
      <c r="F77" s="77">
        <v>155.77826901055786</v>
      </c>
      <c r="G77" s="77">
        <v>155.77826901055786</v>
      </c>
      <c r="H77" s="77">
        <v>155.77826901055786</v>
      </c>
      <c r="I77" s="77">
        <v>155.77826901055786</v>
      </c>
    </row>
    <row r="78" spans="1:9">
      <c r="A78" s="13">
        <v>31</v>
      </c>
      <c r="B78" s="8">
        <v>2023.3285079541517</v>
      </c>
      <c r="C78" s="14">
        <v>891.87953112673506</v>
      </c>
      <c r="D78" s="77">
        <v>148.64658852112251</v>
      </c>
      <c r="E78" s="77">
        <v>148.64658852112251</v>
      </c>
      <c r="F78" s="77">
        <v>148.64658852112251</v>
      </c>
      <c r="G78" s="77">
        <v>148.64658852112251</v>
      </c>
      <c r="H78" s="77">
        <v>148.64658852112251</v>
      </c>
      <c r="I78" s="77">
        <v>148.64658852112251</v>
      </c>
    </row>
    <row r="79" spans="1:9">
      <c r="A79" s="13">
        <v>32</v>
      </c>
      <c r="B79" s="8">
        <v>2025.4685457022933</v>
      </c>
      <c r="C79" s="14">
        <v>1203.6482986257656</v>
      </c>
      <c r="D79" s="77">
        <v>200.60804977096095</v>
      </c>
      <c r="E79" s="77">
        <v>200.60804977096095</v>
      </c>
      <c r="F79" s="77">
        <v>200.60804977096095</v>
      </c>
      <c r="G79" s="77">
        <v>200.60804977096095</v>
      </c>
      <c r="H79" s="77">
        <v>200.60804977096095</v>
      </c>
      <c r="I79" s="77">
        <v>200.60804977096095</v>
      </c>
    </row>
    <row r="80" spans="1:9">
      <c r="A80" s="13">
        <v>33</v>
      </c>
      <c r="B80" s="8">
        <v>2024.6072245582557</v>
      </c>
      <c r="C80" s="14">
        <v>1080.1361618146134</v>
      </c>
      <c r="D80" s="77">
        <v>180.02269363576889</v>
      </c>
      <c r="E80" s="77">
        <v>180.02269363576889</v>
      </c>
      <c r="F80" s="77">
        <v>180.02269363576889</v>
      </c>
      <c r="G80" s="77">
        <v>180.02269363576889</v>
      </c>
      <c r="H80" s="77">
        <v>180.02269363576889</v>
      </c>
      <c r="I80" s="77">
        <v>180.02269363576889</v>
      </c>
    </row>
    <row r="81" spans="1:9">
      <c r="A81" s="13">
        <v>34</v>
      </c>
      <c r="B81" s="8">
        <v>2023.6601684475065</v>
      </c>
      <c r="C81" s="14">
        <v>960.64820443209499</v>
      </c>
      <c r="D81" s="77">
        <v>160.10803407201584</v>
      </c>
      <c r="E81" s="77">
        <v>160.10803407201584</v>
      </c>
      <c r="F81" s="77">
        <v>160.10803407201584</v>
      </c>
      <c r="G81" s="77">
        <v>160.10803407201584</v>
      </c>
      <c r="H81" s="77">
        <v>160.10803407201584</v>
      </c>
      <c r="I81" s="77">
        <v>160.10803407201584</v>
      </c>
    </row>
    <row r="82" spans="1:9">
      <c r="A82" s="13">
        <v>35</v>
      </c>
      <c r="B82" s="8">
        <v>2023.1058474686918</v>
      </c>
      <c r="C82" s="14">
        <v>926.25963450335246</v>
      </c>
      <c r="D82" s="77">
        <v>154.37660575055875</v>
      </c>
      <c r="E82" s="77">
        <v>154.37660575055875</v>
      </c>
      <c r="F82" s="77">
        <v>154.37660575055875</v>
      </c>
      <c r="G82" s="77">
        <v>154.37660575055875</v>
      </c>
      <c r="H82" s="77">
        <v>154.37660575055875</v>
      </c>
      <c r="I82" s="77">
        <v>154.37660575055875</v>
      </c>
    </row>
    <row r="83" spans="1:9">
      <c r="A83" s="13">
        <v>36</v>
      </c>
      <c r="B83" s="8">
        <v>2023.2941037825403</v>
      </c>
      <c r="C83" s="14">
        <v>839.55099073973872</v>
      </c>
      <c r="D83" s="77">
        <v>139.92516512328979</v>
      </c>
      <c r="E83" s="77">
        <v>139.92516512328979</v>
      </c>
      <c r="F83" s="77">
        <v>139.92516512328979</v>
      </c>
      <c r="G83" s="77">
        <v>139.92516512328979</v>
      </c>
      <c r="H83" s="77">
        <v>139.92516512328979</v>
      </c>
      <c r="I83" s="77">
        <v>139.92516512328979</v>
      </c>
    </row>
    <row r="84" spans="1:9">
      <c r="A84" s="13">
        <v>37</v>
      </c>
      <c r="B84" s="8">
        <v>2024.7330242488952</v>
      </c>
      <c r="C84" s="14">
        <v>1104.9114763538307</v>
      </c>
      <c r="D84" s="77">
        <v>184.15191272563845</v>
      </c>
      <c r="E84" s="77">
        <v>184.15191272563845</v>
      </c>
      <c r="F84" s="77">
        <v>184.15191272563845</v>
      </c>
      <c r="G84" s="77">
        <v>184.15191272563845</v>
      </c>
      <c r="H84" s="77">
        <v>184.15191272563845</v>
      </c>
      <c r="I84" s="77">
        <v>184.15191272563845</v>
      </c>
    </row>
    <row r="85" spans="1:9">
      <c r="A85" s="13">
        <v>38</v>
      </c>
      <c r="B85" s="8">
        <v>2022.8377660938029</v>
      </c>
      <c r="C85" s="14">
        <v>883.39704131108488</v>
      </c>
      <c r="D85" s="77">
        <v>147.23284021851416</v>
      </c>
      <c r="E85" s="77">
        <v>147.23284021851416</v>
      </c>
      <c r="F85" s="77">
        <v>147.23284021851416</v>
      </c>
      <c r="G85" s="77">
        <v>147.23284021851416</v>
      </c>
      <c r="H85" s="77">
        <v>147.23284021851416</v>
      </c>
      <c r="I85" s="77">
        <v>147.23284021851416</v>
      </c>
    </row>
    <row r="86" spans="1:9">
      <c r="A86" s="13">
        <v>39</v>
      </c>
      <c r="B86" s="8">
        <v>2024.0277717055671</v>
      </c>
      <c r="C86" s="14">
        <v>1035.4996141070335</v>
      </c>
      <c r="D86" s="77">
        <v>172.58326901783892</v>
      </c>
      <c r="E86" s="77">
        <v>172.58326901783892</v>
      </c>
      <c r="F86" s="77">
        <v>172.58326901783892</v>
      </c>
      <c r="G86" s="77">
        <v>172.58326901783892</v>
      </c>
      <c r="H86" s="77">
        <v>172.58326901783892</v>
      </c>
      <c r="I86" s="77">
        <v>172.58326901783892</v>
      </c>
    </row>
    <row r="87" spans="1:9">
      <c r="A87" s="13">
        <v>40</v>
      </c>
      <c r="B87" s="8">
        <v>2023.062202957366</v>
      </c>
      <c r="C87" s="14">
        <v>863.44224060522686</v>
      </c>
      <c r="D87" s="77">
        <v>143.90704010087114</v>
      </c>
      <c r="E87" s="77">
        <v>143.90704010087114</v>
      </c>
      <c r="F87" s="77">
        <v>143.90704010087114</v>
      </c>
      <c r="G87" s="77">
        <v>143.90704010087114</v>
      </c>
      <c r="H87" s="77">
        <v>143.90704010087114</v>
      </c>
      <c r="I87" s="77">
        <v>143.90704010087114</v>
      </c>
    </row>
    <row r="88" spans="1:9">
      <c r="A88" s="13">
        <v>41</v>
      </c>
      <c r="B88" s="8">
        <v>2025.0956710921719</v>
      </c>
      <c r="C88" s="14">
        <v>1183.893139132115</v>
      </c>
      <c r="D88" s="77">
        <v>197.31552318868583</v>
      </c>
      <c r="E88" s="77">
        <v>197.31552318868583</v>
      </c>
      <c r="F88" s="77">
        <v>197.31552318868583</v>
      </c>
      <c r="G88" s="77">
        <v>197.31552318868583</v>
      </c>
      <c r="H88" s="77">
        <v>197.31552318868583</v>
      </c>
      <c r="I88" s="77">
        <v>197.31552318868583</v>
      </c>
    </row>
    <row r="89" spans="1:9">
      <c r="A89" s="13">
        <v>42</v>
      </c>
      <c r="B89" s="8">
        <v>2025.2251089472711</v>
      </c>
      <c r="C89" s="14">
        <v>1165.9875486479998</v>
      </c>
      <c r="D89" s="77">
        <v>194.33125810799996</v>
      </c>
      <c r="E89" s="77">
        <v>194.33125810799996</v>
      </c>
      <c r="F89" s="77">
        <v>194.33125810799996</v>
      </c>
      <c r="G89" s="77">
        <v>194.33125810799996</v>
      </c>
      <c r="H89" s="77">
        <v>194.33125810799996</v>
      </c>
      <c r="I89" s="77">
        <v>194.33125810799996</v>
      </c>
    </row>
    <row r="90" spans="1:9">
      <c r="A90" s="13">
        <v>43</v>
      </c>
      <c r="B90" s="8">
        <v>2024.4770234605587</v>
      </c>
      <c r="C90" s="14">
        <v>1186.5401651766133</v>
      </c>
      <c r="D90" s="77">
        <v>197.75669419610222</v>
      </c>
      <c r="E90" s="77">
        <v>197.75669419610222</v>
      </c>
      <c r="F90" s="77">
        <v>197.75669419610222</v>
      </c>
      <c r="G90" s="77">
        <v>197.75669419610222</v>
      </c>
      <c r="H90" s="77">
        <v>197.75669419610222</v>
      </c>
      <c r="I90" s="77">
        <v>197.75669419610222</v>
      </c>
    </row>
    <row r="91" spans="1:9">
      <c r="A91" s="13">
        <v>44</v>
      </c>
      <c r="B91" s="8">
        <v>2023.4079810728845</v>
      </c>
      <c r="C91" s="14">
        <v>887.43727884839529</v>
      </c>
      <c r="D91" s="77">
        <v>147.90621314139921</v>
      </c>
      <c r="E91" s="77">
        <v>147.90621314139921</v>
      </c>
      <c r="F91" s="77">
        <v>147.90621314139921</v>
      </c>
      <c r="G91" s="77">
        <v>147.90621314139921</v>
      </c>
      <c r="H91" s="77">
        <v>147.90621314139921</v>
      </c>
      <c r="I91" s="77">
        <v>147.90621314139921</v>
      </c>
    </row>
    <row r="92" spans="1:9">
      <c r="A92" s="13">
        <v>45</v>
      </c>
      <c r="B92" s="8">
        <v>2023.3954820144208</v>
      </c>
      <c r="C92" s="14">
        <v>879.91904970588496</v>
      </c>
      <c r="D92" s="77">
        <v>146.65317495098083</v>
      </c>
      <c r="E92" s="77">
        <v>146.65317495098083</v>
      </c>
      <c r="F92" s="77">
        <v>146.65317495098083</v>
      </c>
      <c r="G92" s="77">
        <v>146.65317495098083</v>
      </c>
      <c r="H92" s="77">
        <v>146.65317495098083</v>
      </c>
      <c r="I92" s="77">
        <v>146.65317495098083</v>
      </c>
    </row>
    <row r="93" spans="1:9">
      <c r="A93" s="13">
        <v>46</v>
      </c>
      <c r="B93" s="8">
        <v>2023.6645519262654</v>
      </c>
      <c r="C93" s="14">
        <v>985.79248982442721</v>
      </c>
      <c r="D93" s="77">
        <v>164.29874830407121</v>
      </c>
      <c r="E93" s="77">
        <v>164.29874830407121</v>
      </c>
      <c r="F93" s="77">
        <v>164.29874830407121</v>
      </c>
      <c r="G93" s="77">
        <v>164.29874830407121</v>
      </c>
      <c r="H93" s="77">
        <v>164.29874830407121</v>
      </c>
      <c r="I93" s="77">
        <v>164.29874830407121</v>
      </c>
    </row>
    <row r="94" spans="1:9">
      <c r="A94" s="13">
        <v>47</v>
      </c>
      <c r="B94" s="8">
        <v>2022.8674219245408</v>
      </c>
      <c r="C94" s="14">
        <v>892.31773695925619</v>
      </c>
      <c r="D94" s="77">
        <v>148.71962282654269</v>
      </c>
      <c r="E94" s="77">
        <v>148.71962282654269</v>
      </c>
      <c r="F94" s="77">
        <v>148.71962282654269</v>
      </c>
      <c r="G94" s="77">
        <v>148.71962282654269</v>
      </c>
      <c r="H94" s="77">
        <v>148.71962282654269</v>
      </c>
      <c r="I94" s="77">
        <v>148.71962282654269</v>
      </c>
    </row>
    <row r="95" spans="1:9">
      <c r="A95" s="13">
        <v>48</v>
      </c>
      <c r="B95" s="8">
        <v>2023.1061008679733</v>
      </c>
      <c r="C95" s="14">
        <v>1005.2637097655694</v>
      </c>
      <c r="D95" s="77">
        <v>167.54395162759491</v>
      </c>
      <c r="E95" s="77">
        <v>167.54395162759491</v>
      </c>
      <c r="F95" s="77">
        <v>167.54395162759491</v>
      </c>
      <c r="G95" s="77">
        <v>167.54395162759491</v>
      </c>
      <c r="H95" s="77">
        <v>167.54395162759491</v>
      </c>
      <c r="I95" s="77">
        <v>167.54395162759491</v>
      </c>
    </row>
    <row r="96" spans="1:9">
      <c r="A96" s="13">
        <v>49</v>
      </c>
      <c r="B96" s="8">
        <v>2023.7948414012433</v>
      </c>
      <c r="C96" s="14">
        <v>892.46335448356717</v>
      </c>
      <c r="D96" s="77">
        <v>148.74389241392785</v>
      </c>
      <c r="E96" s="77">
        <v>148.74389241392785</v>
      </c>
      <c r="F96" s="77">
        <v>148.74389241392785</v>
      </c>
      <c r="G96" s="77">
        <v>148.74389241392785</v>
      </c>
      <c r="H96" s="77">
        <v>148.74389241392785</v>
      </c>
      <c r="I96" s="77">
        <v>148.74389241392785</v>
      </c>
    </row>
    <row r="97" spans="1:9">
      <c r="A97" s="13">
        <v>50</v>
      </c>
      <c r="B97" s="8">
        <v>2022.8880861500713</v>
      </c>
      <c r="C97" s="14">
        <v>870.31696582280881</v>
      </c>
      <c r="D97" s="77">
        <v>145.05282763713481</v>
      </c>
      <c r="E97" s="77">
        <v>145.05282763713481</v>
      </c>
      <c r="F97" s="77">
        <v>145.05282763713481</v>
      </c>
      <c r="G97" s="77">
        <v>145.05282763713481</v>
      </c>
      <c r="H97" s="77">
        <v>145.05282763713481</v>
      </c>
      <c r="I97" s="77">
        <v>145.05282763713481</v>
      </c>
    </row>
    <row r="98" spans="1:9">
      <c r="A98" s="13">
        <v>51</v>
      </c>
      <c r="B98" s="8">
        <v>2022.7061596094247</v>
      </c>
      <c r="C98" s="14">
        <v>832.82802827433522</v>
      </c>
      <c r="D98" s="77">
        <v>138.80467137905586</v>
      </c>
      <c r="E98" s="77">
        <v>138.80467137905586</v>
      </c>
      <c r="F98" s="77">
        <v>138.80467137905586</v>
      </c>
      <c r="G98" s="77">
        <v>138.80467137905586</v>
      </c>
      <c r="H98" s="77">
        <v>138.80467137905586</v>
      </c>
      <c r="I98" s="77">
        <v>138.80467137905586</v>
      </c>
    </row>
    <row r="99" spans="1:9">
      <c r="A99" s="13">
        <v>52</v>
      </c>
      <c r="B99" s="8">
        <v>2022.5123764879586</v>
      </c>
      <c r="C99" s="14">
        <v>798.61284006553808</v>
      </c>
      <c r="D99" s="77">
        <v>133.10214001092302</v>
      </c>
      <c r="E99" s="77">
        <v>133.10214001092302</v>
      </c>
      <c r="F99" s="77">
        <v>133.10214001092302</v>
      </c>
      <c r="G99" s="77">
        <v>133.10214001092302</v>
      </c>
      <c r="H99" s="77">
        <v>133.10214001092302</v>
      </c>
      <c r="I99" s="77">
        <v>133.10214001092302</v>
      </c>
    </row>
    <row r="100" spans="1:9">
      <c r="A100" s="13">
        <v>53</v>
      </c>
      <c r="B100" s="8">
        <v>2024.2584307297984</v>
      </c>
      <c r="C100" s="14">
        <v>985.1726654977</v>
      </c>
      <c r="D100" s="77">
        <v>164.19544424961666</v>
      </c>
      <c r="E100" s="77">
        <v>164.19544424961666</v>
      </c>
      <c r="F100" s="77">
        <v>164.19544424961666</v>
      </c>
      <c r="G100" s="77">
        <v>164.19544424961666</v>
      </c>
      <c r="H100" s="77">
        <v>164.19544424961666</v>
      </c>
      <c r="I100" s="77">
        <v>164.19544424961666</v>
      </c>
    </row>
    <row r="101" spans="1:9">
      <c r="A101" s="13">
        <v>54</v>
      </c>
      <c r="B101" s="8">
        <v>2023.2468238204492</v>
      </c>
      <c r="C101" s="14">
        <v>988.85138514282926</v>
      </c>
      <c r="D101" s="77">
        <v>164.80856419047154</v>
      </c>
      <c r="E101" s="77">
        <v>164.80856419047154</v>
      </c>
      <c r="F101" s="77">
        <v>164.80856419047154</v>
      </c>
      <c r="G101" s="77">
        <v>164.80856419047154</v>
      </c>
      <c r="H101" s="77">
        <v>164.80856419047154</v>
      </c>
      <c r="I101" s="77">
        <v>164.80856419047154</v>
      </c>
    </row>
    <row r="102" spans="1:9">
      <c r="A102" s="13">
        <v>55</v>
      </c>
      <c r="B102" s="8">
        <v>2022.9301273320193</v>
      </c>
      <c r="C102" s="14">
        <v>861.79271845051255</v>
      </c>
      <c r="D102" s="77">
        <v>143.63211974175209</v>
      </c>
      <c r="E102" s="77">
        <v>143.63211974175209</v>
      </c>
      <c r="F102" s="77">
        <v>143.63211974175209</v>
      </c>
      <c r="G102" s="77">
        <v>143.63211974175209</v>
      </c>
      <c r="H102" s="77">
        <v>143.63211974175209</v>
      </c>
      <c r="I102" s="77">
        <v>143.63211974175209</v>
      </c>
    </row>
    <row r="103" spans="1:9">
      <c r="A103" s="13">
        <v>56</v>
      </c>
      <c r="B103" s="8">
        <v>2024.8128095246072</v>
      </c>
      <c r="C103" s="14">
        <v>1055.1137307613117</v>
      </c>
      <c r="D103" s="77">
        <v>175.8522884602186</v>
      </c>
      <c r="E103" s="77">
        <v>175.8522884602186</v>
      </c>
      <c r="F103" s="77">
        <v>175.8522884602186</v>
      </c>
      <c r="G103" s="77">
        <v>175.8522884602186</v>
      </c>
      <c r="H103" s="77">
        <v>175.8522884602186</v>
      </c>
      <c r="I103" s="77">
        <v>175.8522884602186</v>
      </c>
    </row>
    <row r="104" spans="1:9">
      <c r="A104" s="13">
        <v>57</v>
      </c>
      <c r="B104" s="8">
        <v>2023.4304801602295</v>
      </c>
      <c r="C104" s="14">
        <v>920.29592331267224</v>
      </c>
      <c r="D104" s="77">
        <v>153.38265388544536</v>
      </c>
      <c r="E104" s="77">
        <v>153.38265388544536</v>
      </c>
      <c r="F104" s="77">
        <v>153.38265388544536</v>
      </c>
      <c r="G104" s="77">
        <v>153.38265388544536</v>
      </c>
      <c r="H104" s="77">
        <v>153.38265388544536</v>
      </c>
      <c r="I104" s="77">
        <v>153.38265388544536</v>
      </c>
    </row>
    <row r="105" spans="1:9">
      <c r="A105" s="13">
        <v>58</v>
      </c>
      <c r="B105" s="8">
        <v>2024.4770375845048</v>
      </c>
      <c r="C105" s="14">
        <v>1130.8391529375581</v>
      </c>
      <c r="D105" s="77">
        <v>188.47319215625967</v>
      </c>
      <c r="E105" s="77">
        <v>188.47319215625967</v>
      </c>
      <c r="F105" s="77">
        <v>188.47319215625967</v>
      </c>
      <c r="G105" s="77">
        <v>188.47319215625967</v>
      </c>
      <c r="H105" s="77">
        <v>188.47319215625967</v>
      </c>
      <c r="I105" s="77">
        <v>188.47319215625967</v>
      </c>
    </row>
    <row r="106" spans="1:9">
      <c r="A106" s="13">
        <v>59</v>
      </c>
      <c r="B106" s="8">
        <v>2023.4241429922124</v>
      </c>
      <c r="C106" s="14">
        <v>956.38513360719128</v>
      </c>
      <c r="D106" s="77">
        <v>159.39752226786521</v>
      </c>
      <c r="E106" s="77">
        <v>159.39752226786521</v>
      </c>
      <c r="F106" s="77">
        <v>159.39752226786521</v>
      </c>
      <c r="G106" s="77">
        <v>159.39752226786521</v>
      </c>
      <c r="H106" s="77">
        <v>159.39752226786521</v>
      </c>
      <c r="I106" s="77">
        <v>159.39752226786521</v>
      </c>
    </row>
    <row r="107" spans="1:9">
      <c r="A107" s="13">
        <v>60</v>
      </c>
      <c r="B107" s="8">
        <v>2022.8737097184667</v>
      </c>
      <c r="C107" s="14">
        <v>876.78113975940528</v>
      </c>
      <c r="D107" s="77">
        <v>146.13018995990089</v>
      </c>
      <c r="E107" s="77">
        <v>146.13018995990089</v>
      </c>
      <c r="F107" s="77">
        <v>146.13018995990089</v>
      </c>
      <c r="G107" s="77">
        <v>146.13018995990089</v>
      </c>
      <c r="H107" s="77">
        <v>146.13018995990089</v>
      </c>
      <c r="I107" s="77">
        <v>146.13018995990089</v>
      </c>
    </row>
    <row r="108" spans="1:9">
      <c r="A108" s="13">
        <v>61</v>
      </c>
      <c r="B108" s="8">
        <v>2023.3540770394195</v>
      </c>
      <c r="C108" s="14">
        <v>918.78250907154234</v>
      </c>
      <c r="D108" s="77">
        <v>153.13041817859039</v>
      </c>
      <c r="E108" s="77">
        <v>153.13041817859039</v>
      </c>
      <c r="F108" s="77">
        <v>153.13041817859039</v>
      </c>
      <c r="G108" s="77">
        <v>153.13041817859039</v>
      </c>
      <c r="H108" s="77">
        <v>153.13041817859039</v>
      </c>
      <c r="I108" s="77">
        <v>153.13041817859039</v>
      </c>
    </row>
    <row r="109" spans="1:9">
      <c r="A109" s="13">
        <v>62</v>
      </c>
      <c r="B109" s="8">
        <v>2024.7647766935549</v>
      </c>
      <c r="C109" s="14">
        <v>1139.9462389680768</v>
      </c>
      <c r="D109" s="77">
        <v>189.99103982801282</v>
      </c>
      <c r="E109" s="77">
        <v>189.99103982801282</v>
      </c>
      <c r="F109" s="77">
        <v>189.99103982801282</v>
      </c>
      <c r="G109" s="77">
        <v>189.99103982801282</v>
      </c>
      <c r="H109" s="77">
        <v>189.99103982801282</v>
      </c>
      <c r="I109" s="77">
        <v>189.99103982801282</v>
      </c>
    </row>
    <row r="110" spans="1:9">
      <c r="A110" s="13">
        <v>63</v>
      </c>
      <c r="B110" s="8">
        <v>2024.2350859019937</v>
      </c>
      <c r="C110" s="14">
        <v>1064.7397326610328</v>
      </c>
      <c r="D110" s="77">
        <v>177.45662211017213</v>
      </c>
      <c r="E110" s="77">
        <v>177.45662211017213</v>
      </c>
      <c r="F110" s="77">
        <v>177.45662211017213</v>
      </c>
      <c r="G110" s="77">
        <v>177.45662211017213</v>
      </c>
      <c r="H110" s="77">
        <v>177.45662211017213</v>
      </c>
      <c r="I110" s="77">
        <v>177.45662211017213</v>
      </c>
    </row>
    <row r="111" spans="1:9">
      <c r="A111" s="13">
        <v>64</v>
      </c>
      <c r="B111" s="8">
        <v>2023.9051870381761</v>
      </c>
      <c r="C111" s="14">
        <v>928.86763334679779</v>
      </c>
      <c r="D111" s="77">
        <v>154.81127222446631</v>
      </c>
      <c r="E111" s="77">
        <v>154.81127222446631</v>
      </c>
      <c r="F111" s="77">
        <v>154.81127222446631</v>
      </c>
      <c r="G111" s="77">
        <v>154.81127222446631</v>
      </c>
      <c r="H111" s="77">
        <v>154.81127222446631</v>
      </c>
      <c r="I111" s="77">
        <v>154.81127222446631</v>
      </c>
    </row>
    <row r="112" spans="1:9">
      <c r="A112" s="13">
        <v>65</v>
      </c>
      <c r="B112" s="8">
        <v>2023.1267168908157</v>
      </c>
      <c r="C112" s="14">
        <v>904.91435848783613</v>
      </c>
      <c r="D112" s="77">
        <v>150.81905974797269</v>
      </c>
      <c r="E112" s="77">
        <v>150.81905974797269</v>
      </c>
      <c r="F112" s="77">
        <v>150.81905974797269</v>
      </c>
      <c r="G112" s="77">
        <v>150.81905974797269</v>
      </c>
      <c r="H112" s="77">
        <v>150.81905974797269</v>
      </c>
      <c r="I112" s="77">
        <v>150.81905974797269</v>
      </c>
    </row>
    <row r="113" spans="1:9">
      <c r="A113" s="13">
        <v>66</v>
      </c>
      <c r="B113" s="8">
        <v>2024.7910662807344</v>
      </c>
      <c r="C113" s="14">
        <v>1145.7595184248614</v>
      </c>
      <c r="D113" s="77">
        <v>190.95991973747689</v>
      </c>
      <c r="E113" s="77">
        <v>190.95991973747689</v>
      </c>
      <c r="F113" s="77">
        <v>190.95991973747689</v>
      </c>
      <c r="G113" s="77">
        <v>190.95991973747689</v>
      </c>
      <c r="H113" s="77">
        <v>190.95991973747689</v>
      </c>
      <c r="I113" s="77">
        <v>190.95991973747689</v>
      </c>
    </row>
    <row r="114" spans="1:9">
      <c r="A114" s="13">
        <v>67</v>
      </c>
      <c r="B114" s="8">
        <v>2023.0777881241927</v>
      </c>
      <c r="C114" s="14">
        <v>890.17691075859591</v>
      </c>
      <c r="D114" s="77">
        <v>148.36281845976598</v>
      </c>
      <c r="E114" s="77">
        <v>148.36281845976598</v>
      </c>
      <c r="F114" s="77">
        <v>148.36281845976598</v>
      </c>
      <c r="G114" s="77">
        <v>148.36281845976598</v>
      </c>
      <c r="H114" s="77">
        <v>148.36281845976598</v>
      </c>
      <c r="I114" s="77">
        <v>148.36281845976598</v>
      </c>
    </row>
    <row r="115" spans="1:9">
      <c r="A115" s="13">
        <v>68</v>
      </c>
      <c r="B115" s="8">
        <v>2023.8812084274982</v>
      </c>
      <c r="C115" s="14">
        <v>985.36733672594403</v>
      </c>
      <c r="D115" s="77">
        <v>164.22788945432401</v>
      </c>
      <c r="E115" s="77">
        <v>164.22788945432401</v>
      </c>
      <c r="F115" s="77">
        <v>164.22788945432401</v>
      </c>
      <c r="G115" s="77">
        <v>164.22788945432401</v>
      </c>
      <c r="H115" s="77">
        <v>164.22788945432401</v>
      </c>
      <c r="I115" s="77">
        <v>164.22788945432401</v>
      </c>
    </row>
    <row r="116" spans="1:9">
      <c r="A116" s="13">
        <v>69</v>
      </c>
      <c r="B116" s="8">
        <v>2023.0416348526192</v>
      </c>
      <c r="C116" s="14">
        <v>913.93178912019562</v>
      </c>
      <c r="D116" s="77">
        <v>152.32196485336593</v>
      </c>
      <c r="E116" s="77">
        <v>152.32196485336593</v>
      </c>
      <c r="F116" s="77">
        <v>152.32196485336593</v>
      </c>
      <c r="G116" s="77">
        <v>152.32196485336593</v>
      </c>
      <c r="H116" s="77">
        <v>152.32196485336593</v>
      </c>
      <c r="I116" s="77">
        <v>152.32196485336593</v>
      </c>
    </row>
    <row r="117" spans="1:9">
      <c r="A117" s="13">
        <v>70</v>
      </c>
      <c r="B117" s="8">
        <v>2022.5876995207952</v>
      </c>
      <c r="C117" s="14">
        <v>869.62001178132471</v>
      </c>
      <c r="D117" s="77">
        <v>144.93666863022079</v>
      </c>
      <c r="E117" s="77">
        <v>144.93666863022079</v>
      </c>
      <c r="F117" s="77">
        <v>144.93666863022079</v>
      </c>
      <c r="G117" s="77">
        <v>144.93666863022079</v>
      </c>
      <c r="H117" s="77">
        <v>144.93666863022079</v>
      </c>
      <c r="I117" s="77">
        <v>144.93666863022079</v>
      </c>
    </row>
    <row r="118" spans="1:9">
      <c r="A118" s="13">
        <v>71</v>
      </c>
      <c r="B118" s="8">
        <v>2023.1221118956971</v>
      </c>
      <c r="C118" s="14">
        <v>882.15337847989167</v>
      </c>
      <c r="D118" s="77">
        <v>147.02556307998194</v>
      </c>
      <c r="E118" s="77">
        <v>147.02556307998194</v>
      </c>
      <c r="F118" s="77">
        <v>147.02556307998194</v>
      </c>
      <c r="G118" s="77">
        <v>147.02556307998194</v>
      </c>
      <c r="H118" s="77">
        <v>147.02556307998194</v>
      </c>
      <c r="I118" s="77">
        <v>147.02556307998194</v>
      </c>
    </row>
    <row r="119" spans="1:9">
      <c r="A119" s="13">
        <v>72</v>
      </c>
      <c r="B119" s="8">
        <v>2023.18238752347</v>
      </c>
      <c r="C119" s="14">
        <v>895.16878687284259</v>
      </c>
      <c r="D119" s="77">
        <v>149.19479781214042</v>
      </c>
      <c r="E119" s="77">
        <v>149.19479781214042</v>
      </c>
      <c r="F119" s="77">
        <v>149.19479781214042</v>
      </c>
      <c r="G119" s="77">
        <v>149.19479781214042</v>
      </c>
      <c r="H119" s="77">
        <v>149.19479781214042</v>
      </c>
      <c r="I119" s="77">
        <v>149.19479781214042</v>
      </c>
    </row>
    <row r="120" spans="1:9">
      <c r="A120" s="13">
        <v>73</v>
      </c>
      <c r="B120" s="8">
        <v>2023.4828405946871</v>
      </c>
      <c r="C120" s="14">
        <v>959.97290986782093</v>
      </c>
      <c r="D120" s="77">
        <v>159.99548497797016</v>
      </c>
      <c r="E120" s="77">
        <v>159.99548497797016</v>
      </c>
      <c r="F120" s="77">
        <v>159.99548497797016</v>
      </c>
      <c r="G120" s="77">
        <v>159.99548497797016</v>
      </c>
      <c r="H120" s="77">
        <v>159.99548497797016</v>
      </c>
      <c r="I120" s="77">
        <v>159.99548497797016</v>
      </c>
    </row>
    <row r="121" spans="1:9">
      <c r="A121" s="13">
        <v>74</v>
      </c>
      <c r="B121" s="8">
        <v>2023.3385070971237</v>
      </c>
      <c r="C121" s="14">
        <v>981.57301502688563</v>
      </c>
      <c r="D121" s="77">
        <v>163.59550250448095</v>
      </c>
      <c r="E121" s="77">
        <v>163.59550250448095</v>
      </c>
      <c r="F121" s="77">
        <v>163.59550250448095</v>
      </c>
      <c r="G121" s="77">
        <v>163.59550250448095</v>
      </c>
      <c r="H121" s="77">
        <v>163.59550250448095</v>
      </c>
      <c r="I121" s="77">
        <v>163.59550250448095</v>
      </c>
    </row>
    <row r="122" spans="1:9">
      <c r="A122" s="13">
        <v>75</v>
      </c>
      <c r="B122" s="8">
        <v>2025.42947094693</v>
      </c>
      <c r="C122" s="14">
        <v>1141.2597090046918</v>
      </c>
      <c r="D122" s="77">
        <v>190.20995150078195</v>
      </c>
      <c r="E122" s="77">
        <v>190.20995150078195</v>
      </c>
      <c r="F122" s="77">
        <v>190.20995150078195</v>
      </c>
      <c r="G122" s="77">
        <v>190.20995150078195</v>
      </c>
      <c r="H122" s="77">
        <v>190.20995150078195</v>
      </c>
      <c r="I122" s="77">
        <v>190.20995150078195</v>
      </c>
    </row>
    <row r="123" spans="1:9">
      <c r="A123" s="13">
        <v>76</v>
      </c>
      <c r="B123" s="8">
        <v>2022.8833441367804</v>
      </c>
      <c r="C123" s="14">
        <v>891.90566701089483</v>
      </c>
      <c r="D123" s="77">
        <v>148.65094450181581</v>
      </c>
      <c r="E123" s="77">
        <v>148.65094450181581</v>
      </c>
      <c r="F123" s="77">
        <v>148.65094450181581</v>
      </c>
      <c r="G123" s="77">
        <v>148.65094450181581</v>
      </c>
      <c r="H123" s="77">
        <v>148.65094450181581</v>
      </c>
      <c r="I123" s="77">
        <v>148.65094450181581</v>
      </c>
    </row>
    <row r="124" spans="1:9">
      <c r="A124" s="13">
        <v>77</v>
      </c>
      <c r="B124" s="8">
        <v>2023.2674416294658</v>
      </c>
      <c r="C124" s="14">
        <v>963.22425707824823</v>
      </c>
      <c r="D124" s="77">
        <v>160.53737617970805</v>
      </c>
      <c r="E124" s="77">
        <v>160.53737617970805</v>
      </c>
      <c r="F124" s="77">
        <v>160.53737617970805</v>
      </c>
      <c r="G124" s="77">
        <v>160.53737617970805</v>
      </c>
      <c r="H124" s="77">
        <v>160.53737617970805</v>
      </c>
      <c r="I124" s="77">
        <v>160.53737617970805</v>
      </c>
    </row>
    <row r="125" spans="1:9">
      <c r="A125" s="13">
        <v>78</v>
      </c>
      <c r="B125" s="8">
        <v>2023.4761950678142</v>
      </c>
      <c r="C125" s="14">
        <v>931.03888204688201</v>
      </c>
      <c r="D125" s="77">
        <v>155.17314700781367</v>
      </c>
      <c r="E125" s="77">
        <v>155.17314700781367</v>
      </c>
      <c r="F125" s="77">
        <v>155.17314700781367</v>
      </c>
      <c r="G125" s="77">
        <v>155.17314700781367</v>
      </c>
      <c r="H125" s="77">
        <v>155.17314700781367</v>
      </c>
      <c r="I125" s="77">
        <v>155.17314700781367</v>
      </c>
    </row>
    <row r="126" spans="1:9">
      <c r="A126" s="13">
        <v>79</v>
      </c>
      <c r="B126" s="8">
        <v>2024.4056125698535</v>
      </c>
      <c r="C126" s="14">
        <v>1009.5567393653783</v>
      </c>
      <c r="D126" s="77">
        <v>168.25945656089638</v>
      </c>
      <c r="E126" s="77">
        <v>168.25945656089638</v>
      </c>
      <c r="F126" s="77">
        <v>168.25945656089638</v>
      </c>
      <c r="G126" s="77">
        <v>168.25945656089638</v>
      </c>
      <c r="H126" s="77">
        <v>168.25945656089638</v>
      </c>
      <c r="I126" s="77">
        <v>168.25945656089638</v>
      </c>
    </row>
    <row r="127" spans="1:9">
      <c r="A127" s="13">
        <v>80</v>
      </c>
      <c r="B127" s="8">
        <v>2023.0024305922461</v>
      </c>
      <c r="C127" s="14">
        <v>918.7152222168894</v>
      </c>
      <c r="D127" s="77">
        <v>153.1192037028149</v>
      </c>
      <c r="E127" s="77">
        <v>153.1192037028149</v>
      </c>
      <c r="F127" s="77">
        <v>153.1192037028149</v>
      </c>
      <c r="G127" s="77">
        <v>153.1192037028149</v>
      </c>
      <c r="H127" s="77">
        <v>153.1192037028149</v>
      </c>
      <c r="I127" s="77">
        <v>153.1192037028149</v>
      </c>
    </row>
    <row r="128" spans="1:9">
      <c r="A128" s="13">
        <v>81</v>
      </c>
      <c r="B128" s="8">
        <v>2023.1205178028267</v>
      </c>
      <c r="C128" s="14">
        <v>884.2378731468317</v>
      </c>
      <c r="D128" s="77">
        <v>147.37297885780529</v>
      </c>
      <c r="E128" s="77">
        <v>147.37297885780529</v>
      </c>
      <c r="F128" s="77">
        <v>147.37297885780529</v>
      </c>
      <c r="G128" s="77">
        <v>147.37297885780529</v>
      </c>
      <c r="H128" s="77">
        <v>147.37297885780529</v>
      </c>
      <c r="I128" s="77">
        <v>147.37297885780529</v>
      </c>
    </row>
    <row r="129" spans="1:9">
      <c r="A129" s="13">
        <v>82</v>
      </c>
      <c r="B129" s="8">
        <v>2023.0919347456465</v>
      </c>
      <c r="C129" s="14">
        <v>900.52795683569661</v>
      </c>
      <c r="D129" s="77">
        <v>150.08799280594943</v>
      </c>
      <c r="E129" s="77">
        <v>150.08799280594943</v>
      </c>
      <c r="F129" s="77">
        <v>150.08799280594943</v>
      </c>
      <c r="G129" s="77">
        <v>150.08799280594943</v>
      </c>
      <c r="H129" s="77">
        <v>150.08799280594943</v>
      </c>
      <c r="I129" s="77">
        <v>150.08799280594943</v>
      </c>
    </row>
    <row r="130" spans="1:9">
      <c r="A130" s="13">
        <v>83</v>
      </c>
      <c r="B130" s="8">
        <v>2023.5558741009511</v>
      </c>
      <c r="C130" s="14">
        <v>892.14160891480776</v>
      </c>
      <c r="D130" s="77">
        <v>148.69026815246795</v>
      </c>
      <c r="E130" s="77">
        <v>148.69026815246795</v>
      </c>
      <c r="F130" s="77">
        <v>148.69026815246795</v>
      </c>
      <c r="G130" s="77">
        <v>148.69026815246795</v>
      </c>
      <c r="H130" s="77">
        <v>148.69026815246795</v>
      </c>
      <c r="I130" s="77">
        <v>148.69026815246795</v>
      </c>
    </row>
    <row r="131" spans="1:9">
      <c r="A131" s="13">
        <v>84</v>
      </c>
      <c r="B131" s="8">
        <v>2023.0209970569922</v>
      </c>
      <c r="C131" s="14">
        <v>847.21529992968283</v>
      </c>
      <c r="D131" s="77">
        <v>141.20254998828048</v>
      </c>
      <c r="E131" s="77">
        <v>141.20254998828048</v>
      </c>
      <c r="F131" s="77">
        <v>141.20254998828048</v>
      </c>
      <c r="G131" s="77">
        <v>141.20254998828048</v>
      </c>
      <c r="H131" s="77">
        <v>141.20254998828048</v>
      </c>
      <c r="I131" s="77">
        <v>141.20254998828048</v>
      </c>
    </row>
    <row r="132" spans="1:9">
      <c r="A132" s="13">
        <v>85</v>
      </c>
      <c r="B132" s="8">
        <v>2023.2530459417169</v>
      </c>
      <c r="C132" s="14">
        <v>916.53325432046734</v>
      </c>
      <c r="D132" s="77">
        <v>152.75554238674457</v>
      </c>
      <c r="E132" s="77">
        <v>152.75554238674457</v>
      </c>
      <c r="F132" s="77">
        <v>152.75554238674457</v>
      </c>
      <c r="G132" s="77">
        <v>152.75554238674457</v>
      </c>
      <c r="H132" s="77">
        <v>152.75554238674457</v>
      </c>
      <c r="I132" s="77">
        <v>152.75554238674457</v>
      </c>
    </row>
    <row r="133" spans="1:9">
      <c r="A133" s="13">
        <v>86</v>
      </c>
      <c r="B133" s="8">
        <v>2023.969178037991</v>
      </c>
      <c r="C133" s="14">
        <v>989.04965582851867</v>
      </c>
      <c r="D133" s="77">
        <v>164.84160930475312</v>
      </c>
      <c r="E133" s="77">
        <v>164.84160930475312</v>
      </c>
      <c r="F133" s="77">
        <v>164.84160930475312</v>
      </c>
      <c r="G133" s="77">
        <v>164.84160930475312</v>
      </c>
      <c r="H133" s="77">
        <v>164.84160930475312</v>
      </c>
      <c r="I133" s="77">
        <v>164.84160930475312</v>
      </c>
    </row>
    <row r="134" spans="1:9">
      <c r="A134" s="13">
        <v>87</v>
      </c>
      <c r="B134" s="8">
        <v>2023.2296960513415</v>
      </c>
      <c r="C134" s="14">
        <v>918.79111850117999</v>
      </c>
      <c r="D134" s="77">
        <v>153.13185308352999</v>
      </c>
      <c r="E134" s="77">
        <v>153.13185308352999</v>
      </c>
      <c r="F134" s="77">
        <v>153.13185308352999</v>
      </c>
      <c r="G134" s="77">
        <v>153.13185308352999</v>
      </c>
      <c r="H134" s="77">
        <v>153.13185308352999</v>
      </c>
      <c r="I134" s="77">
        <v>153.13185308352999</v>
      </c>
    </row>
    <row r="135" spans="1:9">
      <c r="A135" s="13">
        <v>88</v>
      </c>
      <c r="B135" s="8">
        <v>2022.99081669619</v>
      </c>
      <c r="C135" s="14">
        <v>893.97036798778652</v>
      </c>
      <c r="D135" s="77">
        <v>148.99506133129776</v>
      </c>
      <c r="E135" s="77">
        <v>148.99506133129776</v>
      </c>
      <c r="F135" s="77">
        <v>148.99506133129776</v>
      </c>
      <c r="G135" s="77">
        <v>148.99506133129776</v>
      </c>
      <c r="H135" s="77">
        <v>148.99506133129776</v>
      </c>
      <c r="I135" s="77">
        <v>148.99506133129776</v>
      </c>
    </row>
    <row r="136" spans="1:9">
      <c r="A136" s="13">
        <v>89</v>
      </c>
      <c r="B136" s="8">
        <v>2023.0784437354234</v>
      </c>
      <c r="C136" s="14">
        <v>901.46433836386097</v>
      </c>
      <c r="D136" s="77">
        <v>150.24405639397682</v>
      </c>
      <c r="E136" s="77">
        <v>150.24405639397682</v>
      </c>
      <c r="F136" s="77">
        <v>150.24405639397682</v>
      </c>
      <c r="G136" s="77">
        <v>150.24405639397682</v>
      </c>
      <c r="H136" s="77">
        <v>150.24405639397682</v>
      </c>
      <c r="I136" s="77">
        <v>150.24405639397682</v>
      </c>
    </row>
    <row r="137" spans="1:9">
      <c r="A137" s="13">
        <v>90</v>
      </c>
      <c r="B137" s="8">
        <v>2023.0577576417963</v>
      </c>
      <c r="C137" s="14">
        <v>822.64873672492445</v>
      </c>
      <c r="D137" s="77">
        <v>137.10812278748742</v>
      </c>
      <c r="E137" s="77">
        <v>137.10812278748742</v>
      </c>
      <c r="F137" s="77">
        <v>137.10812278748742</v>
      </c>
      <c r="G137" s="77">
        <v>137.10812278748742</v>
      </c>
      <c r="H137" s="77">
        <v>137.10812278748742</v>
      </c>
      <c r="I137" s="77">
        <v>137.10812278748742</v>
      </c>
    </row>
    <row r="138" spans="1:9">
      <c r="A138" s="13">
        <v>91</v>
      </c>
      <c r="B138" s="8">
        <v>2023.0373615234521</v>
      </c>
      <c r="C138" s="14">
        <v>858.96020726392783</v>
      </c>
      <c r="D138" s="77">
        <v>143.16003454398796</v>
      </c>
      <c r="E138" s="77">
        <v>143.16003454398796</v>
      </c>
      <c r="F138" s="77">
        <v>143.16003454398796</v>
      </c>
      <c r="G138" s="77">
        <v>143.16003454398796</v>
      </c>
      <c r="H138" s="77">
        <v>143.16003454398796</v>
      </c>
      <c r="I138" s="77">
        <v>143.16003454398796</v>
      </c>
    </row>
    <row r="139" spans="1:9">
      <c r="A139" s="13">
        <v>92</v>
      </c>
      <c r="B139" s="8">
        <v>2025.9900632101105</v>
      </c>
      <c r="C139" s="14">
        <v>1297.1731756037836</v>
      </c>
      <c r="D139" s="77">
        <v>216.19552926729727</v>
      </c>
      <c r="E139" s="77">
        <v>216.19552926729727</v>
      </c>
      <c r="F139" s="77">
        <v>216.19552926729727</v>
      </c>
      <c r="G139" s="77">
        <v>216.19552926729727</v>
      </c>
      <c r="H139" s="77">
        <v>216.19552926729727</v>
      </c>
      <c r="I139" s="77">
        <v>216.19552926729727</v>
      </c>
    </row>
    <row r="140" spans="1:9">
      <c r="A140" s="13">
        <v>93</v>
      </c>
      <c r="B140" s="8">
        <v>2023.1599162298428</v>
      </c>
      <c r="C140" s="14">
        <v>911.91805979008404</v>
      </c>
      <c r="D140" s="77">
        <v>151.98634329834735</v>
      </c>
      <c r="E140" s="77">
        <v>151.98634329834735</v>
      </c>
      <c r="F140" s="77">
        <v>151.98634329834735</v>
      </c>
      <c r="G140" s="77">
        <v>151.98634329834735</v>
      </c>
      <c r="H140" s="77">
        <v>151.98634329834735</v>
      </c>
      <c r="I140" s="77">
        <v>151.98634329834735</v>
      </c>
    </row>
    <row r="141" spans="1:9">
      <c r="A141" s="13">
        <v>94</v>
      </c>
      <c r="B141" s="8">
        <v>2024.0347265231571</v>
      </c>
      <c r="C141" s="14">
        <v>984.81756833149166</v>
      </c>
      <c r="D141" s="77">
        <v>164.13626138858194</v>
      </c>
      <c r="E141" s="77">
        <v>164.13626138858194</v>
      </c>
      <c r="F141" s="77">
        <v>164.13626138858194</v>
      </c>
      <c r="G141" s="77">
        <v>164.13626138858194</v>
      </c>
      <c r="H141" s="77">
        <v>164.13626138858194</v>
      </c>
      <c r="I141" s="77">
        <v>164.13626138858194</v>
      </c>
    </row>
    <row r="142" spans="1:9">
      <c r="A142" s="13">
        <v>95</v>
      </c>
      <c r="B142" s="8">
        <v>2022.7912650122116</v>
      </c>
      <c r="C142" s="14">
        <v>902.47409007317708</v>
      </c>
      <c r="D142" s="77">
        <v>150.41234834552952</v>
      </c>
      <c r="E142" s="77">
        <v>150.41234834552952</v>
      </c>
      <c r="F142" s="77">
        <v>150.41234834552952</v>
      </c>
      <c r="G142" s="77">
        <v>150.41234834552952</v>
      </c>
      <c r="H142" s="77">
        <v>150.41234834552952</v>
      </c>
      <c r="I142" s="77">
        <v>150.41234834552952</v>
      </c>
    </row>
    <row r="143" spans="1:9">
      <c r="A143" s="13">
        <v>96</v>
      </c>
      <c r="B143" s="8">
        <v>2022.9727454796312</v>
      </c>
      <c r="C143" s="14">
        <v>857.04207157219321</v>
      </c>
      <c r="D143" s="77">
        <v>142.8403452620322</v>
      </c>
      <c r="E143" s="77">
        <v>142.8403452620322</v>
      </c>
      <c r="F143" s="77">
        <v>142.8403452620322</v>
      </c>
      <c r="G143" s="77">
        <v>142.8403452620322</v>
      </c>
      <c r="H143" s="77">
        <v>142.8403452620322</v>
      </c>
      <c r="I143" s="77">
        <v>142.8403452620322</v>
      </c>
    </row>
    <row r="144" spans="1:9">
      <c r="A144" s="13">
        <v>97</v>
      </c>
      <c r="B144" s="8">
        <v>2024.4318398655753</v>
      </c>
      <c r="C144" s="14">
        <v>1035.8644279099356</v>
      </c>
      <c r="D144" s="77">
        <v>172.6440713183226</v>
      </c>
      <c r="E144" s="77">
        <v>172.6440713183226</v>
      </c>
      <c r="F144" s="77">
        <v>172.6440713183226</v>
      </c>
      <c r="G144" s="77">
        <v>172.6440713183226</v>
      </c>
      <c r="H144" s="77">
        <v>172.6440713183226</v>
      </c>
      <c r="I144" s="77">
        <v>172.6440713183226</v>
      </c>
    </row>
    <row r="145" spans="1:9">
      <c r="A145" s="13">
        <v>98</v>
      </c>
      <c r="B145" s="8">
        <v>2025.1373608516274</v>
      </c>
      <c r="C145" s="14">
        <v>1107.517215524357</v>
      </c>
      <c r="D145" s="77">
        <v>184.58620258739282</v>
      </c>
      <c r="E145" s="77">
        <v>184.58620258739282</v>
      </c>
      <c r="F145" s="77">
        <v>184.58620258739282</v>
      </c>
      <c r="G145" s="77">
        <v>184.58620258739282</v>
      </c>
      <c r="H145" s="77">
        <v>184.58620258739282</v>
      </c>
      <c r="I145" s="77">
        <v>184.58620258739282</v>
      </c>
    </row>
    <row r="146" spans="1:9">
      <c r="A146" s="13">
        <v>99</v>
      </c>
      <c r="B146" s="8">
        <v>2025.1824601658509</v>
      </c>
      <c r="C146" s="14">
        <v>1075.847470052362</v>
      </c>
      <c r="D146" s="77">
        <v>179.30791167539368</v>
      </c>
      <c r="E146" s="77">
        <v>179.30791167539368</v>
      </c>
      <c r="F146" s="77">
        <v>179.30791167539368</v>
      </c>
      <c r="G146" s="77">
        <v>179.30791167539368</v>
      </c>
      <c r="H146" s="77">
        <v>179.30791167539368</v>
      </c>
      <c r="I146" s="77">
        <v>179.30791167539368</v>
      </c>
    </row>
    <row r="147" spans="1:9">
      <c r="A147" s="13">
        <v>100</v>
      </c>
      <c r="B147" s="8">
        <v>2025.0708267586124</v>
      </c>
      <c r="C147" s="14">
        <v>1114.4988019667685</v>
      </c>
      <c r="D147" s="77">
        <v>185.74980032779476</v>
      </c>
      <c r="E147" s="77">
        <v>185.74980032779476</v>
      </c>
      <c r="F147" s="77">
        <v>185.74980032779476</v>
      </c>
      <c r="G147" s="77">
        <v>185.74980032779476</v>
      </c>
      <c r="H147" s="77">
        <v>185.74980032779476</v>
      </c>
      <c r="I147" s="77">
        <v>185.74980032779476</v>
      </c>
    </row>
    <row r="148" spans="1:9">
      <c r="A148" s="13">
        <v>101</v>
      </c>
      <c r="B148" s="8">
        <v>2023.1400441732351</v>
      </c>
      <c r="C148" s="14">
        <v>886.1726647300801</v>
      </c>
      <c r="D148" s="77">
        <v>147.69544412168003</v>
      </c>
      <c r="E148" s="77">
        <v>147.69544412168003</v>
      </c>
      <c r="F148" s="77">
        <v>147.69544412168003</v>
      </c>
      <c r="G148" s="77">
        <v>147.69544412168003</v>
      </c>
      <c r="H148" s="77">
        <v>147.69544412168003</v>
      </c>
      <c r="I148" s="77">
        <v>147.69544412168003</v>
      </c>
    </row>
    <row r="149" spans="1:9">
      <c r="A149" s="13">
        <v>102</v>
      </c>
      <c r="B149" s="8">
        <v>2023.1414332201712</v>
      </c>
      <c r="C149" s="14">
        <v>900.89089859748083</v>
      </c>
      <c r="D149" s="77">
        <v>150.14848309958015</v>
      </c>
      <c r="E149" s="77">
        <v>150.14848309958015</v>
      </c>
      <c r="F149" s="77">
        <v>150.14848309958015</v>
      </c>
      <c r="G149" s="77">
        <v>150.14848309958015</v>
      </c>
      <c r="H149" s="77">
        <v>150.14848309958015</v>
      </c>
      <c r="I149" s="77">
        <v>150.14848309958015</v>
      </c>
    </row>
    <row r="150" spans="1:9">
      <c r="A150" s="13">
        <v>103</v>
      </c>
      <c r="B150" s="8">
        <v>2022.8888636785782</v>
      </c>
      <c r="C150" s="14">
        <v>831.29708784257366</v>
      </c>
      <c r="D150" s="77">
        <v>138.54951464042895</v>
      </c>
      <c r="E150" s="77">
        <v>138.54951464042895</v>
      </c>
      <c r="F150" s="77">
        <v>138.54951464042895</v>
      </c>
      <c r="G150" s="77">
        <v>138.54951464042895</v>
      </c>
      <c r="H150" s="77">
        <v>138.54951464042895</v>
      </c>
      <c r="I150" s="77">
        <v>138.54951464042895</v>
      </c>
    </row>
    <row r="151" spans="1:9">
      <c r="A151" s="13">
        <v>104</v>
      </c>
      <c r="B151" s="8">
        <v>2022.8680603048617</v>
      </c>
      <c r="C151" s="14">
        <v>858.74827492332793</v>
      </c>
      <c r="D151" s="77">
        <v>143.12471248722133</v>
      </c>
      <c r="E151" s="77">
        <v>143.12471248722133</v>
      </c>
      <c r="F151" s="77">
        <v>143.12471248722133</v>
      </c>
      <c r="G151" s="77">
        <v>143.12471248722133</v>
      </c>
      <c r="H151" s="77">
        <v>143.12471248722133</v>
      </c>
      <c r="I151" s="77">
        <v>143.12471248722133</v>
      </c>
    </row>
    <row r="152" spans="1:9">
      <c r="A152" s="13">
        <v>105</v>
      </c>
      <c r="B152" s="8">
        <v>2023.0189931105986</v>
      </c>
      <c r="C152" s="14">
        <v>934.57315748568681</v>
      </c>
      <c r="D152" s="77">
        <v>155.76219291428114</v>
      </c>
      <c r="E152" s="77">
        <v>155.76219291428114</v>
      </c>
      <c r="F152" s="77">
        <v>155.76219291428114</v>
      </c>
      <c r="G152" s="77">
        <v>155.76219291428114</v>
      </c>
      <c r="H152" s="77">
        <v>155.76219291428114</v>
      </c>
      <c r="I152" s="77">
        <v>155.76219291428114</v>
      </c>
    </row>
    <row r="153" spans="1:9">
      <c r="A153" s="13">
        <v>106</v>
      </c>
      <c r="B153" s="8">
        <v>2023.3794255807209</v>
      </c>
      <c r="C153" s="14">
        <v>863.40811640939467</v>
      </c>
      <c r="D153" s="77">
        <v>143.90135273489912</v>
      </c>
      <c r="E153" s="77">
        <v>143.90135273489912</v>
      </c>
      <c r="F153" s="77">
        <v>143.90135273489912</v>
      </c>
      <c r="G153" s="77">
        <v>143.90135273489912</v>
      </c>
      <c r="H153" s="77">
        <v>143.90135273489912</v>
      </c>
      <c r="I153" s="77">
        <v>143.90135273489912</v>
      </c>
    </row>
    <row r="154" spans="1:9">
      <c r="A154" s="13">
        <v>107</v>
      </c>
      <c r="B154" s="8">
        <v>2024.2327804908196</v>
      </c>
      <c r="C154" s="14">
        <v>1052.2937978417103</v>
      </c>
      <c r="D154" s="77">
        <v>175.38229964028505</v>
      </c>
      <c r="E154" s="77">
        <v>175.38229964028505</v>
      </c>
      <c r="F154" s="77">
        <v>175.38229964028505</v>
      </c>
      <c r="G154" s="77">
        <v>175.38229964028505</v>
      </c>
      <c r="H154" s="77">
        <v>175.38229964028505</v>
      </c>
      <c r="I154" s="77">
        <v>175.38229964028505</v>
      </c>
    </row>
    <row r="155" spans="1:9">
      <c r="A155" s="13">
        <v>108</v>
      </c>
      <c r="B155" s="8">
        <v>2023.1669365169628</v>
      </c>
      <c r="C155" s="14">
        <v>936.70805118116152</v>
      </c>
      <c r="D155" s="77">
        <v>156.11800853019358</v>
      </c>
      <c r="E155" s="77">
        <v>156.11800853019358</v>
      </c>
      <c r="F155" s="77">
        <v>156.11800853019358</v>
      </c>
      <c r="G155" s="77">
        <v>156.11800853019358</v>
      </c>
      <c r="H155" s="77">
        <v>156.11800853019358</v>
      </c>
      <c r="I155" s="77">
        <v>156.11800853019358</v>
      </c>
    </row>
    <row r="156" spans="1:9">
      <c r="A156" s="13">
        <v>109</v>
      </c>
      <c r="B156" s="8">
        <v>2023.8767381086843</v>
      </c>
      <c r="C156" s="14">
        <v>1014.2003257369861</v>
      </c>
      <c r="D156" s="77">
        <v>169.03338762283101</v>
      </c>
      <c r="E156" s="77">
        <v>169.03338762283101</v>
      </c>
      <c r="F156" s="77">
        <v>169.03338762283101</v>
      </c>
      <c r="G156" s="77">
        <v>169.03338762283101</v>
      </c>
      <c r="H156" s="77">
        <v>169.03338762283101</v>
      </c>
      <c r="I156" s="77">
        <v>169.03338762283101</v>
      </c>
    </row>
    <row r="157" spans="1:9">
      <c r="A157" s="13">
        <v>110</v>
      </c>
      <c r="B157" s="8">
        <v>2022.7592259193491</v>
      </c>
      <c r="C157" s="14">
        <v>821.37971093143517</v>
      </c>
      <c r="D157" s="77">
        <v>136.89661848857253</v>
      </c>
      <c r="E157" s="77">
        <v>136.89661848857253</v>
      </c>
      <c r="F157" s="77">
        <v>136.89661848857253</v>
      </c>
      <c r="G157" s="77">
        <v>136.89661848857253</v>
      </c>
      <c r="H157" s="77">
        <v>136.89661848857253</v>
      </c>
      <c r="I157" s="77">
        <v>136.89661848857253</v>
      </c>
    </row>
    <row r="158" spans="1:9">
      <c r="A158" s="13">
        <v>111</v>
      </c>
      <c r="B158" s="8">
        <v>2022.7563629413066</v>
      </c>
      <c r="C158" s="14">
        <v>839.3889604407583</v>
      </c>
      <c r="D158" s="77">
        <v>139.89816007345971</v>
      </c>
      <c r="E158" s="77">
        <v>139.89816007345971</v>
      </c>
      <c r="F158" s="77">
        <v>139.89816007345971</v>
      </c>
      <c r="G158" s="77">
        <v>139.89816007345971</v>
      </c>
      <c r="H158" s="77">
        <v>139.89816007345971</v>
      </c>
      <c r="I158" s="77">
        <v>139.89816007345971</v>
      </c>
    </row>
    <row r="159" spans="1:9">
      <c r="A159" s="13">
        <v>112</v>
      </c>
      <c r="B159" s="8">
        <v>2023.1576973755191</v>
      </c>
      <c r="C159" s="14">
        <v>924.28341489692843</v>
      </c>
      <c r="D159" s="77">
        <v>154.04723581615474</v>
      </c>
      <c r="E159" s="77">
        <v>154.04723581615474</v>
      </c>
      <c r="F159" s="77">
        <v>154.04723581615474</v>
      </c>
      <c r="G159" s="77">
        <v>154.04723581615474</v>
      </c>
      <c r="H159" s="77">
        <v>154.04723581615474</v>
      </c>
      <c r="I159" s="77">
        <v>154.04723581615474</v>
      </c>
    </row>
    <row r="160" spans="1:9">
      <c r="A160" s="13">
        <v>113</v>
      </c>
      <c r="B160" s="8">
        <v>2022.603881788423</v>
      </c>
      <c r="C160" s="14">
        <v>834.69402332699997</v>
      </c>
      <c r="D160" s="77">
        <v>139.11567055449999</v>
      </c>
      <c r="E160" s="77">
        <v>139.11567055449999</v>
      </c>
      <c r="F160" s="77">
        <v>139.11567055449999</v>
      </c>
      <c r="G160" s="77">
        <v>139.11567055449999</v>
      </c>
      <c r="H160" s="77">
        <v>139.11567055449999</v>
      </c>
      <c r="I160" s="77">
        <v>139.11567055449999</v>
      </c>
    </row>
    <row r="161" spans="1:9">
      <c r="A161" s="13">
        <v>114</v>
      </c>
      <c r="B161" s="8">
        <v>2025.2802025222536</v>
      </c>
      <c r="C161" s="14">
        <v>1180.0722874695598</v>
      </c>
      <c r="D161" s="77">
        <v>196.67871457825996</v>
      </c>
      <c r="E161" s="77">
        <v>196.67871457825996</v>
      </c>
      <c r="F161" s="77">
        <v>196.67871457825996</v>
      </c>
      <c r="G161" s="77">
        <v>196.67871457825996</v>
      </c>
      <c r="H161" s="77">
        <v>196.67871457825996</v>
      </c>
      <c r="I161" s="77">
        <v>196.67871457825996</v>
      </c>
    </row>
    <row r="162" spans="1:9">
      <c r="A162" s="13">
        <v>115</v>
      </c>
      <c r="B162" s="8">
        <v>2023.1907898022046</v>
      </c>
      <c r="C162" s="14">
        <v>957.10027705925813</v>
      </c>
      <c r="D162" s="77">
        <v>159.51671284320969</v>
      </c>
      <c r="E162" s="77">
        <v>159.51671284320969</v>
      </c>
      <c r="F162" s="77">
        <v>159.51671284320969</v>
      </c>
      <c r="G162" s="77">
        <v>159.51671284320969</v>
      </c>
      <c r="H162" s="77">
        <v>159.51671284320969</v>
      </c>
      <c r="I162" s="77">
        <v>159.51671284320969</v>
      </c>
    </row>
    <row r="163" spans="1:9">
      <c r="A163" s="13">
        <v>116</v>
      </c>
      <c r="B163" s="8">
        <v>2024.9447772060139</v>
      </c>
      <c r="C163" s="14">
        <v>1095.5893667177929</v>
      </c>
      <c r="D163" s="77">
        <v>182.59822778629882</v>
      </c>
      <c r="E163" s="77">
        <v>182.59822778629882</v>
      </c>
      <c r="F163" s="77">
        <v>182.59822778629882</v>
      </c>
      <c r="G163" s="77">
        <v>182.59822778629882</v>
      </c>
      <c r="H163" s="77">
        <v>182.59822778629882</v>
      </c>
      <c r="I163" s="77">
        <v>182.59822778629882</v>
      </c>
    </row>
    <row r="164" spans="1:9">
      <c r="A164" s="13">
        <v>117</v>
      </c>
      <c r="B164" s="8">
        <v>2025.7393078107821</v>
      </c>
      <c r="C164" s="14">
        <v>1211.9974575770796</v>
      </c>
      <c r="D164" s="77">
        <v>201.9995762628466</v>
      </c>
      <c r="E164" s="77">
        <v>201.9995762628466</v>
      </c>
      <c r="F164" s="77">
        <v>201.9995762628466</v>
      </c>
      <c r="G164" s="77">
        <v>201.9995762628466</v>
      </c>
      <c r="H164" s="77">
        <v>201.9995762628466</v>
      </c>
      <c r="I164" s="77">
        <v>201.9995762628466</v>
      </c>
    </row>
    <row r="165" spans="1:9">
      <c r="A165" s="13">
        <v>118</v>
      </c>
      <c r="B165" s="8">
        <v>2024.6643162225866</v>
      </c>
      <c r="C165" s="14">
        <v>1084.2914053353088</v>
      </c>
      <c r="D165" s="77">
        <v>180.71523422255146</v>
      </c>
      <c r="E165" s="77">
        <v>180.71523422255146</v>
      </c>
      <c r="F165" s="77">
        <v>180.71523422255146</v>
      </c>
      <c r="G165" s="77">
        <v>180.71523422255146</v>
      </c>
      <c r="H165" s="77">
        <v>180.71523422255146</v>
      </c>
      <c r="I165" s="77">
        <v>180.71523422255146</v>
      </c>
    </row>
    <row r="166" spans="1:9">
      <c r="A166" s="13">
        <v>119</v>
      </c>
      <c r="B166" s="8">
        <v>2023.0947213881275</v>
      </c>
      <c r="C166" s="14">
        <v>817.74463507710061</v>
      </c>
      <c r="D166" s="77">
        <v>136.29077251285011</v>
      </c>
      <c r="E166" s="77">
        <v>136.29077251285011</v>
      </c>
      <c r="F166" s="77">
        <v>136.29077251285011</v>
      </c>
      <c r="G166" s="77">
        <v>136.29077251285011</v>
      </c>
      <c r="H166" s="77">
        <v>136.29077251285011</v>
      </c>
      <c r="I166" s="77">
        <v>136.29077251285011</v>
      </c>
    </row>
    <row r="167" spans="1:9">
      <c r="A167" s="13">
        <v>120</v>
      </c>
      <c r="B167" s="8">
        <v>2022.6640832311709</v>
      </c>
      <c r="C167" s="14">
        <v>867.77017545072067</v>
      </c>
      <c r="D167" s="77">
        <v>144.62836257512012</v>
      </c>
      <c r="E167" s="77">
        <v>144.62836257512012</v>
      </c>
      <c r="F167" s="77">
        <v>144.62836257512012</v>
      </c>
      <c r="G167" s="77">
        <v>144.62836257512012</v>
      </c>
      <c r="H167" s="77">
        <v>144.62836257512012</v>
      </c>
      <c r="I167" s="77">
        <v>144.62836257512012</v>
      </c>
    </row>
    <row r="168" spans="1:9">
      <c r="A168" s="13">
        <v>121</v>
      </c>
      <c r="B168" s="8">
        <v>2024.7576611730456</v>
      </c>
      <c r="C168" s="14">
        <v>1111.4743552781638</v>
      </c>
      <c r="D168" s="77">
        <v>185.24572587969396</v>
      </c>
      <c r="E168" s="77">
        <v>185.24572587969396</v>
      </c>
      <c r="F168" s="77">
        <v>185.24572587969396</v>
      </c>
      <c r="G168" s="77">
        <v>185.24572587969396</v>
      </c>
      <c r="H168" s="77">
        <v>185.24572587969396</v>
      </c>
      <c r="I168" s="77">
        <v>185.24572587969396</v>
      </c>
    </row>
    <row r="169" spans="1:9">
      <c r="A169" s="13">
        <v>122</v>
      </c>
      <c r="B169" s="8">
        <v>2023.2075960869925</v>
      </c>
      <c r="C169" s="14">
        <v>931.89118687533517</v>
      </c>
      <c r="D169" s="77">
        <v>155.31519781255585</v>
      </c>
      <c r="E169" s="77">
        <v>155.31519781255585</v>
      </c>
      <c r="F169" s="77">
        <v>155.31519781255585</v>
      </c>
      <c r="G169" s="77">
        <v>155.31519781255585</v>
      </c>
      <c r="H169" s="77">
        <v>155.31519781255585</v>
      </c>
      <c r="I169" s="77">
        <v>155.31519781255585</v>
      </c>
    </row>
    <row r="170" spans="1:9">
      <c r="A170" s="13">
        <v>123</v>
      </c>
      <c r="B170" s="8">
        <v>2022.917652479452</v>
      </c>
      <c r="C170" s="14">
        <v>890.35324981674296</v>
      </c>
      <c r="D170" s="77">
        <v>148.39220830279049</v>
      </c>
      <c r="E170" s="77">
        <v>148.39220830279049</v>
      </c>
      <c r="F170" s="77">
        <v>148.39220830279049</v>
      </c>
      <c r="G170" s="77">
        <v>148.39220830279049</v>
      </c>
      <c r="H170" s="77">
        <v>148.39220830279049</v>
      </c>
      <c r="I170" s="77">
        <v>148.39220830279049</v>
      </c>
    </row>
    <row r="171" spans="1:9">
      <c r="A171" s="13">
        <v>124</v>
      </c>
      <c r="B171" s="8">
        <v>2023.5404524505409</v>
      </c>
      <c r="C171" s="14">
        <v>1001.0497689179347</v>
      </c>
      <c r="D171" s="77">
        <v>166.8416281529891</v>
      </c>
      <c r="E171" s="77">
        <v>166.8416281529891</v>
      </c>
      <c r="F171" s="77">
        <v>166.8416281529891</v>
      </c>
      <c r="G171" s="77">
        <v>166.8416281529891</v>
      </c>
      <c r="H171" s="77">
        <v>166.8416281529891</v>
      </c>
      <c r="I171" s="77">
        <v>166.8416281529891</v>
      </c>
    </row>
    <row r="172" spans="1:9">
      <c r="A172" s="13">
        <v>125</v>
      </c>
      <c r="B172" s="8">
        <v>2022.9173659990875</v>
      </c>
      <c r="C172" s="14">
        <v>855.16932530719407</v>
      </c>
      <c r="D172" s="77">
        <v>142.52822088453235</v>
      </c>
      <c r="E172" s="77">
        <v>142.52822088453235</v>
      </c>
      <c r="F172" s="77">
        <v>142.52822088453235</v>
      </c>
      <c r="G172" s="77">
        <v>142.52822088453235</v>
      </c>
      <c r="H172" s="77">
        <v>142.52822088453235</v>
      </c>
      <c r="I172" s="77">
        <v>142.52822088453235</v>
      </c>
    </row>
    <row r="173" spans="1:9">
      <c r="A173" s="13">
        <v>126</v>
      </c>
      <c r="B173" s="8">
        <v>2023.2668127689685</v>
      </c>
      <c r="C173" s="14">
        <v>961.38219640313798</v>
      </c>
      <c r="D173" s="77">
        <v>160.23036606718966</v>
      </c>
      <c r="E173" s="77">
        <v>160.23036606718966</v>
      </c>
      <c r="F173" s="77">
        <v>160.23036606718966</v>
      </c>
      <c r="G173" s="77">
        <v>160.23036606718966</v>
      </c>
      <c r="H173" s="77">
        <v>160.23036606718966</v>
      </c>
      <c r="I173" s="77">
        <v>160.23036606718966</v>
      </c>
    </row>
    <row r="174" spans="1:9">
      <c r="A174" s="13">
        <v>127</v>
      </c>
      <c r="B174" s="8">
        <v>2022.9854999690881</v>
      </c>
      <c r="C174" s="14">
        <v>868.59007152040385</v>
      </c>
      <c r="D174" s="77">
        <v>144.76501192006731</v>
      </c>
      <c r="E174" s="77">
        <v>144.76501192006731</v>
      </c>
      <c r="F174" s="77">
        <v>144.76501192006731</v>
      </c>
      <c r="G174" s="77">
        <v>144.76501192006731</v>
      </c>
      <c r="H174" s="77">
        <v>144.76501192006731</v>
      </c>
      <c r="I174" s="77">
        <v>144.76501192006731</v>
      </c>
    </row>
    <row r="175" spans="1:9">
      <c r="A175" s="13">
        <v>128</v>
      </c>
      <c r="B175" s="8">
        <v>2022.7357025686861</v>
      </c>
      <c r="C175" s="14">
        <v>913.82607078827436</v>
      </c>
      <c r="D175" s="77">
        <v>152.30434513137905</v>
      </c>
      <c r="E175" s="77">
        <v>152.30434513137905</v>
      </c>
      <c r="F175" s="77">
        <v>152.30434513137905</v>
      </c>
      <c r="G175" s="77">
        <v>152.30434513137905</v>
      </c>
      <c r="H175" s="77">
        <v>152.30434513137905</v>
      </c>
      <c r="I175" s="77">
        <v>152.30434513137905</v>
      </c>
    </row>
    <row r="176" spans="1:9">
      <c r="A176" s="13">
        <v>129</v>
      </c>
      <c r="B176" s="8">
        <v>2023.1810057250984</v>
      </c>
      <c r="C176" s="14">
        <v>887.80196035643201</v>
      </c>
      <c r="D176" s="77">
        <v>147.96699339273866</v>
      </c>
      <c r="E176" s="77">
        <v>147.96699339273866</v>
      </c>
      <c r="F176" s="77">
        <v>147.96699339273866</v>
      </c>
      <c r="G176" s="77">
        <v>147.96699339273866</v>
      </c>
      <c r="H176" s="77">
        <v>147.96699339273866</v>
      </c>
      <c r="I176" s="77">
        <v>147.96699339273866</v>
      </c>
    </row>
    <row r="177" spans="1:9">
      <c r="A177" s="13">
        <v>130</v>
      </c>
      <c r="B177" s="8">
        <v>2023.5516575670283</v>
      </c>
      <c r="C177" s="14">
        <v>933.71124071852728</v>
      </c>
      <c r="D177" s="77">
        <v>155.61854011975456</v>
      </c>
      <c r="E177" s="77">
        <v>155.61854011975456</v>
      </c>
      <c r="F177" s="77">
        <v>155.61854011975456</v>
      </c>
      <c r="G177" s="77">
        <v>155.61854011975456</v>
      </c>
      <c r="H177" s="77">
        <v>155.61854011975456</v>
      </c>
      <c r="I177" s="77">
        <v>155.61854011975456</v>
      </c>
    </row>
    <row r="178" spans="1:9">
      <c r="A178" s="13">
        <v>131</v>
      </c>
      <c r="B178" s="8">
        <v>2023.0745924725807</v>
      </c>
      <c r="C178" s="14">
        <v>872.52238490850391</v>
      </c>
      <c r="D178" s="77">
        <v>145.42039748475065</v>
      </c>
      <c r="E178" s="77">
        <v>145.42039748475065</v>
      </c>
      <c r="F178" s="77">
        <v>145.42039748475065</v>
      </c>
      <c r="G178" s="77">
        <v>145.42039748475065</v>
      </c>
      <c r="H178" s="77">
        <v>145.42039748475065</v>
      </c>
      <c r="I178" s="77">
        <v>145.42039748475065</v>
      </c>
    </row>
    <row r="179" spans="1:9">
      <c r="A179" s="13">
        <v>132</v>
      </c>
      <c r="B179" s="8">
        <v>2023.2317501207942</v>
      </c>
      <c r="C179" s="14">
        <v>873.33459328617664</v>
      </c>
      <c r="D179" s="77">
        <v>145.5557655476961</v>
      </c>
      <c r="E179" s="77">
        <v>145.5557655476961</v>
      </c>
      <c r="F179" s="77">
        <v>145.5557655476961</v>
      </c>
      <c r="G179" s="77">
        <v>145.5557655476961</v>
      </c>
      <c r="H179" s="77">
        <v>145.5557655476961</v>
      </c>
      <c r="I179" s="77">
        <v>145.5557655476961</v>
      </c>
    </row>
    <row r="180" spans="1:9">
      <c r="A180" s="13">
        <v>133</v>
      </c>
      <c r="B180" s="8">
        <v>2022.8541643646211</v>
      </c>
      <c r="C180" s="14">
        <v>877.60960508417202</v>
      </c>
      <c r="D180" s="77">
        <v>146.26826751402868</v>
      </c>
      <c r="E180" s="77">
        <v>146.26826751402868</v>
      </c>
      <c r="F180" s="77">
        <v>146.26826751402868</v>
      </c>
      <c r="G180" s="77">
        <v>146.26826751402868</v>
      </c>
      <c r="H180" s="77">
        <v>146.26826751402868</v>
      </c>
      <c r="I180" s="77">
        <v>146.26826751402868</v>
      </c>
    </row>
    <row r="181" spans="1:9">
      <c r="A181" s="13">
        <v>134</v>
      </c>
      <c r="B181" s="8">
        <v>2024.6952438969811</v>
      </c>
      <c r="C181" s="14">
        <v>1074.0804610459477</v>
      </c>
      <c r="D181" s="77">
        <v>179.0134101743246</v>
      </c>
      <c r="E181" s="77">
        <v>179.0134101743246</v>
      </c>
      <c r="F181" s="77">
        <v>179.0134101743246</v>
      </c>
      <c r="G181" s="77">
        <v>179.0134101743246</v>
      </c>
      <c r="H181" s="77">
        <v>179.0134101743246</v>
      </c>
      <c r="I181" s="77">
        <v>179.0134101743246</v>
      </c>
    </row>
    <row r="182" spans="1:9">
      <c r="A182" s="13">
        <v>135</v>
      </c>
      <c r="B182" s="8">
        <v>2023.1708999075631</v>
      </c>
      <c r="C182" s="14">
        <v>886.30712048517796</v>
      </c>
      <c r="D182" s="77">
        <v>147.71785341419633</v>
      </c>
      <c r="E182" s="77">
        <v>147.71785341419633</v>
      </c>
      <c r="F182" s="77">
        <v>147.71785341419633</v>
      </c>
      <c r="G182" s="77">
        <v>147.71785341419633</v>
      </c>
      <c r="H182" s="77">
        <v>147.71785341419633</v>
      </c>
      <c r="I182" s="77">
        <v>147.71785341419633</v>
      </c>
    </row>
    <row r="183" spans="1:9">
      <c r="A183" s="13">
        <v>136</v>
      </c>
      <c r="B183" s="8">
        <v>2025.2365950873641</v>
      </c>
      <c r="C183" s="14">
        <v>1237.3828922985797</v>
      </c>
      <c r="D183" s="77">
        <v>206.23048204976328</v>
      </c>
      <c r="E183" s="77">
        <v>206.23048204976328</v>
      </c>
      <c r="F183" s="77">
        <v>206.23048204976328</v>
      </c>
      <c r="G183" s="77">
        <v>206.23048204976328</v>
      </c>
      <c r="H183" s="77">
        <v>206.23048204976328</v>
      </c>
      <c r="I183" s="77">
        <v>206.23048204976328</v>
      </c>
    </row>
    <row r="184" spans="1:9">
      <c r="A184" s="13">
        <v>137</v>
      </c>
      <c r="B184" s="8">
        <v>2022.9312843909604</v>
      </c>
      <c r="C184" s="14">
        <v>832.72445836108773</v>
      </c>
      <c r="D184" s="77">
        <v>138.78740972684795</v>
      </c>
      <c r="E184" s="77">
        <v>138.78740972684795</v>
      </c>
      <c r="F184" s="77">
        <v>138.78740972684795</v>
      </c>
      <c r="G184" s="77">
        <v>138.78740972684795</v>
      </c>
      <c r="H184" s="77">
        <v>138.78740972684795</v>
      </c>
      <c r="I184" s="77">
        <v>138.78740972684795</v>
      </c>
    </row>
    <row r="185" spans="1:9">
      <c r="A185" s="13">
        <v>138</v>
      </c>
      <c r="B185" s="8">
        <v>2023.3412671968692</v>
      </c>
      <c r="C185" s="14">
        <v>908.31953969809581</v>
      </c>
      <c r="D185" s="77">
        <v>151.38658994968264</v>
      </c>
      <c r="E185" s="77">
        <v>151.38658994968264</v>
      </c>
      <c r="F185" s="77">
        <v>151.38658994968264</v>
      </c>
      <c r="G185" s="77">
        <v>151.38658994968264</v>
      </c>
      <c r="H185" s="77">
        <v>151.38658994968264</v>
      </c>
      <c r="I185" s="77">
        <v>151.38658994968264</v>
      </c>
    </row>
    <row r="186" spans="1:9">
      <c r="A186" s="13">
        <v>139</v>
      </c>
      <c r="B186" s="8">
        <v>2023.6082545900149</v>
      </c>
      <c r="C186" s="14">
        <v>958.36147884256366</v>
      </c>
      <c r="D186" s="77">
        <v>159.72691314042729</v>
      </c>
      <c r="E186" s="77">
        <v>159.72691314042729</v>
      </c>
      <c r="F186" s="77">
        <v>159.72691314042729</v>
      </c>
      <c r="G186" s="77">
        <v>159.72691314042729</v>
      </c>
      <c r="H186" s="77">
        <v>159.72691314042729</v>
      </c>
      <c r="I186" s="77">
        <v>159.72691314042729</v>
      </c>
    </row>
    <row r="187" spans="1:9">
      <c r="A187" s="13">
        <v>140</v>
      </c>
      <c r="B187" s="8">
        <v>2023.0952013174151</v>
      </c>
      <c r="C187" s="14">
        <v>861.1567682607739</v>
      </c>
      <c r="D187" s="77">
        <v>143.52612804346231</v>
      </c>
      <c r="E187" s="77">
        <v>143.52612804346231</v>
      </c>
      <c r="F187" s="77">
        <v>143.52612804346231</v>
      </c>
      <c r="G187" s="77">
        <v>143.52612804346231</v>
      </c>
      <c r="H187" s="77">
        <v>143.52612804346231</v>
      </c>
      <c r="I187" s="77">
        <v>143.52612804346231</v>
      </c>
    </row>
    <row r="188" spans="1:9">
      <c r="A188" s="13">
        <v>141</v>
      </c>
      <c r="B188" s="8">
        <v>2022.6737423041668</v>
      </c>
      <c r="C188" s="14">
        <v>800.63760602752996</v>
      </c>
      <c r="D188" s="77">
        <v>133.43960100458833</v>
      </c>
      <c r="E188" s="77">
        <v>133.43960100458833</v>
      </c>
      <c r="F188" s="77">
        <v>133.43960100458833</v>
      </c>
      <c r="G188" s="77">
        <v>133.43960100458833</v>
      </c>
      <c r="H188" s="77">
        <v>133.43960100458833</v>
      </c>
      <c r="I188" s="77">
        <v>133.43960100458833</v>
      </c>
    </row>
    <row r="189" spans="1:9">
      <c r="A189" s="13">
        <v>142</v>
      </c>
      <c r="B189" s="8">
        <v>2024.7464659159061</v>
      </c>
      <c r="C189" s="14">
        <v>1121.2683393818097</v>
      </c>
      <c r="D189" s="77">
        <v>186.87805656363494</v>
      </c>
      <c r="E189" s="77">
        <v>186.87805656363494</v>
      </c>
      <c r="F189" s="77">
        <v>186.87805656363494</v>
      </c>
      <c r="G189" s="77">
        <v>186.87805656363494</v>
      </c>
      <c r="H189" s="77">
        <v>186.87805656363494</v>
      </c>
      <c r="I189" s="77">
        <v>186.87805656363494</v>
      </c>
    </row>
    <row r="190" spans="1:9">
      <c r="A190" s="13">
        <v>143</v>
      </c>
      <c r="B190" s="8">
        <v>2023.3558063159455</v>
      </c>
      <c r="C190" s="14">
        <v>917.60803973284328</v>
      </c>
      <c r="D190" s="77">
        <v>152.9346732888072</v>
      </c>
      <c r="E190" s="77">
        <v>152.9346732888072</v>
      </c>
      <c r="F190" s="77">
        <v>152.9346732888072</v>
      </c>
      <c r="G190" s="77">
        <v>152.9346732888072</v>
      </c>
      <c r="H190" s="77">
        <v>152.9346732888072</v>
      </c>
      <c r="I190" s="77">
        <v>152.9346732888072</v>
      </c>
    </row>
    <row r="191" spans="1:9">
      <c r="A191" s="13">
        <v>144</v>
      </c>
      <c r="B191" s="8">
        <v>2023.9054236851989</v>
      </c>
      <c r="C191" s="14">
        <v>1021.1952565564561</v>
      </c>
      <c r="D191" s="77">
        <v>170.19920942607601</v>
      </c>
      <c r="E191" s="77">
        <v>170.19920942607601</v>
      </c>
      <c r="F191" s="77">
        <v>170.19920942607601</v>
      </c>
      <c r="G191" s="77">
        <v>170.19920942607601</v>
      </c>
      <c r="H191" s="77">
        <v>170.19920942607601</v>
      </c>
      <c r="I191" s="77">
        <v>170.19920942607601</v>
      </c>
    </row>
    <row r="192" spans="1:9">
      <c r="A192" s="13">
        <v>145</v>
      </c>
      <c r="B192" s="8">
        <v>2024.8336304072109</v>
      </c>
      <c r="C192" s="14">
        <v>1029.7749141058764</v>
      </c>
      <c r="D192" s="77">
        <v>171.62915235097941</v>
      </c>
      <c r="E192" s="77">
        <v>171.62915235097941</v>
      </c>
      <c r="F192" s="77">
        <v>171.62915235097941</v>
      </c>
      <c r="G192" s="77">
        <v>171.62915235097941</v>
      </c>
      <c r="H192" s="77">
        <v>171.62915235097941</v>
      </c>
      <c r="I192" s="77">
        <v>171.62915235097941</v>
      </c>
    </row>
    <row r="193" spans="1:9">
      <c r="A193" s="13">
        <v>146</v>
      </c>
      <c r="B193" s="8">
        <v>2025.2333370630126</v>
      </c>
      <c r="C193" s="14">
        <v>1165.7228380982597</v>
      </c>
      <c r="D193" s="77">
        <v>194.28713968304328</v>
      </c>
      <c r="E193" s="77">
        <v>194.28713968304328</v>
      </c>
      <c r="F193" s="77">
        <v>194.28713968304328</v>
      </c>
      <c r="G193" s="77">
        <v>194.28713968304328</v>
      </c>
      <c r="H193" s="77">
        <v>194.28713968304328</v>
      </c>
      <c r="I193" s="77">
        <v>194.28713968304328</v>
      </c>
    </row>
    <row r="194" spans="1:9">
      <c r="A194" s="13">
        <v>147</v>
      </c>
      <c r="B194" s="8">
        <v>2024.8099247874611</v>
      </c>
      <c r="C194" s="14">
        <v>1150.1533894909235</v>
      </c>
      <c r="D194" s="77">
        <v>191.69223158182058</v>
      </c>
      <c r="E194" s="77">
        <v>191.69223158182058</v>
      </c>
      <c r="F194" s="77">
        <v>191.69223158182058</v>
      </c>
      <c r="G194" s="77">
        <v>191.69223158182058</v>
      </c>
      <c r="H194" s="77">
        <v>191.69223158182058</v>
      </c>
      <c r="I194" s="77">
        <v>191.69223158182058</v>
      </c>
    </row>
    <row r="195" spans="1:9">
      <c r="A195" s="13">
        <v>148</v>
      </c>
      <c r="B195" s="8">
        <v>2022.9424874019041</v>
      </c>
      <c r="C195" s="14">
        <v>833.42648258083761</v>
      </c>
      <c r="D195" s="77">
        <v>138.90441376347295</v>
      </c>
      <c r="E195" s="77">
        <v>138.90441376347295</v>
      </c>
      <c r="F195" s="77">
        <v>138.90441376347295</v>
      </c>
      <c r="G195" s="77">
        <v>138.90441376347295</v>
      </c>
      <c r="H195" s="77">
        <v>138.90441376347295</v>
      </c>
      <c r="I195" s="77">
        <v>138.90441376347295</v>
      </c>
    </row>
    <row r="196" spans="1:9">
      <c r="A196" s="13">
        <v>149</v>
      </c>
      <c r="B196" s="8">
        <v>2024.8104816849598</v>
      </c>
      <c r="C196" s="14">
        <v>1115.7224412578757</v>
      </c>
      <c r="D196" s="77">
        <v>185.95374020964596</v>
      </c>
      <c r="E196" s="77">
        <v>185.95374020964596</v>
      </c>
      <c r="F196" s="77">
        <v>185.95374020964596</v>
      </c>
      <c r="G196" s="77">
        <v>185.95374020964596</v>
      </c>
      <c r="H196" s="77">
        <v>185.95374020964596</v>
      </c>
      <c r="I196" s="77">
        <v>185.95374020964596</v>
      </c>
    </row>
    <row r="197" spans="1:9">
      <c r="A197" s="13">
        <v>150</v>
      </c>
      <c r="B197" s="8">
        <v>2024.1838349167922</v>
      </c>
      <c r="C197" s="14">
        <v>1024.9683147733699</v>
      </c>
      <c r="D197" s="77">
        <v>170.82805246222833</v>
      </c>
      <c r="E197" s="77">
        <v>170.82805246222833</v>
      </c>
      <c r="F197" s="77">
        <v>170.82805246222833</v>
      </c>
      <c r="G197" s="77">
        <v>170.82805246222833</v>
      </c>
      <c r="H197" s="77">
        <v>170.82805246222833</v>
      </c>
      <c r="I197" s="77">
        <v>170.82805246222833</v>
      </c>
    </row>
    <row r="198" spans="1:9">
      <c r="A198" s="13">
        <v>151</v>
      </c>
      <c r="B198" s="8">
        <v>2022.8415806256437</v>
      </c>
      <c r="C198" s="14">
        <v>887.21656705808016</v>
      </c>
      <c r="D198" s="77">
        <v>147.86942784301337</v>
      </c>
      <c r="E198" s="77">
        <v>147.86942784301337</v>
      </c>
      <c r="F198" s="77">
        <v>147.86942784301337</v>
      </c>
      <c r="G198" s="77">
        <v>147.86942784301337</v>
      </c>
      <c r="H198" s="77">
        <v>147.86942784301337</v>
      </c>
      <c r="I198" s="77">
        <v>147.86942784301337</v>
      </c>
    </row>
    <row r="199" spans="1:9">
      <c r="A199" s="13">
        <v>152</v>
      </c>
      <c r="B199" s="8">
        <v>2023.3769414362305</v>
      </c>
      <c r="C199" s="14">
        <v>956.84884127292776</v>
      </c>
      <c r="D199" s="77">
        <v>159.47480687882128</v>
      </c>
      <c r="E199" s="77">
        <v>159.47480687882128</v>
      </c>
      <c r="F199" s="77">
        <v>159.47480687882128</v>
      </c>
      <c r="G199" s="77">
        <v>159.47480687882128</v>
      </c>
      <c r="H199" s="77">
        <v>159.47480687882128</v>
      </c>
      <c r="I199" s="77">
        <v>159.47480687882128</v>
      </c>
    </row>
    <row r="200" spans="1:9">
      <c r="A200" s="13">
        <v>153</v>
      </c>
      <c r="B200" s="8">
        <v>2022.9395001348773</v>
      </c>
      <c r="C200" s="14">
        <v>879.90168511803734</v>
      </c>
      <c r="D200" s="77">
        <v>146.65028085300622</v>
      </c>
      <c r="E200" s="77">
        <v>146.65028085300622</v>
      </c>
      <c r="F200" s="77">
        <v>146.65028085300622</v>
      </c>
      <c r="G200" s="77">
        <v>146.65028085300622</v>
      </c>
      <c r="H200" s="77">
        <v>146.65028085300622</v>
      </c>
      <c r="I200" s="77">
        <v>146.65028085300622</v>
      </c>
    </row>
    <row r="201" spans="1:9">
      <c r="A201" s="13">
        <v>154</v>
      </c>
      <c r="B201" s="8">
        <v>2023.5577250440224</v>
      </c>
      <c r="C201" s="14">
        <v>901.77154411372521</v>
      </c>
      <c r="D201" s="77">
        <v>150.29525735228754</v>
      </c>
      <c r="E201" s="77">
        <v>150.29525735228754</v>
      </c>
      <c r="F201" s="77">
        <v>150.29525735228754</v>
      </c>
      <c r="G201" s="77">
        <v>150.29525735228754</v>
      </c>
      <c r="H201" s="77">
        <v>150.29525735228754</v>
      </c>
      <c r="I201" s="77">
        <v>150.29525735228754</v>
      </c>
    </row>
    <row r="202" spans="1:9">
      <c r="A202" s="13">
        <v>155</v>
      </c>
      <c r="B202" s="8">
        <v>2024.9295764708631</v>
      </c>
      <c r="C202" s="14">
        <v>1141.8392816840101</v>
      </c>
      <c r="D202" s="77">
        <v>190.30654694733502</v>
      </c>
      <c r="E202" s="77">
        <v>190.30654694733502</v>
      </c>
      <c r="F202" s="77">
        <v>190.30654694733502</v>
      </c>
      <c r="G202" s="77">
        <v>190.30654694733502</v>
      </c>
      <c r="H202" s="77">
        <v>190.30654694733502</v>
      </c>
      <c r="I202" s="77">
        <v>190.30654694733502</v>
      </c>
    </row>
    <row r="203" spans="1:9">
      <c r="A203" s="13">
        <v>156</v>
      </c>
      <c r="B203" s="8">
        <v>2023.9023074595273</v>
      </c>
      <c r="C203" s="14">
        <v>957.28504190790761</v>
      </c>
      <c r="D203" s="77">
        <v>159.54750698465128</v>
      </c>
      <c r="E203" s="77">
        <v>159.54750698465128</v>
      </c>
      <c r="F203" s="77">
        <v>159.54750698465128</v>
      </c>
      <c r="G203" s="77">
        <v>159.54750698465128</v>
      </c>
      <c r="H203" s="77">
        <v>159.54750698465128</v>
      </c>
      <c r="I203" s="77">
        <v>159.54750698465128</v>
      </c>
    </row>
    <row r="204" spans="1:9">
      <c r="A204" s="13">
        <v>157</v>
      </c>
      <c r="B204" s="8">
        <v>2023.4542657692234</v>
      </c>
      <c r="C204" s="14">
        <v>948.71400810722196</v>
      </c>
      <c r="D204" s="77">
        <v>158.11900135120365</v>
      </c>
      <c r="E204" s="77">
        <v>158.11900135120365</v>
      </c>
      <c r="F204" s="77">
        <v>158.11900135120365</v>
      </c>
      <c r="G204" s="77">
        <v>158.11900135120365</v>
      </c>
      <c r="H204" s="77">
        <v>158.11900135120365</v>
      </c>
      <c r="I204" s="77">
        <v>158.11900135120365</v>
      </c>
    </row>
    <row r="205" spans="1:9">
      <c r="A205" s="13">
        <v>158</v>
      </c>
      <c r="B205" s="8">
        <v>2023.2041761586781</v>
      </c>
      <c r="C205" s="14">
        <v>924.18790016999492</v>
      </c>
      <c r="D205" s="77">
        <v>154.03131669499916</v>
      </c>
      <c r="E205" s="77">
        <v>154.03131669499916</v>
      </c>
      <c r="F205" s="77">
        <v>154.03131669499916</v>
      </c>
      <c r="G205" s="77">
        <v>154.03131669499916</v>
      </c>
      <c r="H205" s="77">
        <v>154.03131669499916</v>
      </c>
      <c r="I205" s="77">
        <v>154.03131669499916</v>
      </c>
    </row>
    <row r="206" spans="1:9">
      <c r="A206" s="13">
        <v>159</v>
      </c>
      <c r="B206" s="8">
        <v>2023.3013185254249</v>
      </c>
      <c r="C206" s="14">
        <v>938.9591081193995</v>
      </c>
      <c r="D206" s="77">
        <v>156.49318468656659</v>
      </c>
      <c r="E206" s="77">
        <v>156.49318468656659</v>
      </c>
      <c r="F206" s="77">
        <v>156.49318468656659</v>
      </c>
      <c r="G206" s="77">
        <v>156.49318468656659</v>
      </c>
      <c r="H206" s="77">
        <v>156.49318468656659</v>
      </c>
      <c r="I206" s="77">
        <v>156.49318468656659</v>
      </c>
    </row>
    <row r="207" spans="1:9">
      <c r="A207" s="13">
        <v>160</v>
      </c>
      <c r="B207" s="8">
        <v>2024.8490596265945</v>
      </c>
      <c r="C207" s="14">
        <v>1043.6784241940711</v>
      </c>
      <c r="D207" s="77">
        <v>173.94640403234519</v>
      </c>
      <c r="E207" s="77">
        <v>173.94640403234519</v>
      </c>
      <c r="F207" s="77">
        <v>173.94640403234519</v>
      </c>
      <c r="G207" s="77">
        <v>173.94640403234519</v>
      </c>
      <c r="H207" s="77">
        <v>173.94640403234519</v>
      </c>
      <c r="I207" s="77">
        <v>173.94640403234519</v>
      </c>
    </row>
    <row r="208" spans="1:9">
      <c r="A208" s="13">
        <v>161</v>
      </c>
      <c r="B208" s="8">
        <v>2024.8864914997218</v>
      </c>
      <c r="C208" s="14">
        <v>1109.4386079978672</v>
      </c>
      <c r="D208" s="77">
        <v>184.90643466631118</v>
      </c>
      <c r="E208" s="77">
        <v>184.90643466631118</v>
      </c>
      <c r="F208" s="77">
        <v>184.90643466631118</v>
      </c>
      <c r="G208" s="77">
        <v>184.90643466631118</v>
      </c>
      <c r="H208" s="77">
        <v>184.90643466631118</v>
      </c>
      <c r="I208" s="77">
        <v>184.90643466631118</v>
      </c>
    </row>
    <row r="209" spans="1:9">
      <c r="A209" s="13">
        <v>162</v>
      </c>
      <c r="B209" s="8">
        <v>2023.1439234265069</v>
      </c>
      <c r="C209" s="14">
        <v>806.99313658294216</v>
      </c>
      <c r="D209" s="77">
        <v>134.49885609715702</v>
      </c>
      <c r="E209" s="77">
        <v>134.49885609715702</v>
      </c>
      <c r="F209" s="77">
        <v>134.49885609715702</v>
      </c>
      <c r="G209" s="77">
        <v>134.49885609715702</v>
      </c>
      <c r="H209" s="77">
        <v>134.49885609715702</v>
      </c>
      <c r="I209" s="77">
        <v>134.49885609715702</v>
      </c>
    </row>
    <row r="210" spans="1:9">
      <c r="A210" s="13">
        <v>163</v>
      </c>
      <c r="B210" s="8">
        <v>2025.1473050125994</v>
      </c>
      <c r="C210" s="14">
        <v>1125.3035607002059</v>
      </c>
      <c r="D210" s="77">
        <v>187.55059345003431</v>
      </c>
      <c r="E210" s="77">
        <v>187.55059345003431</v>
      </c>
      <c r="F210" s="77">
        <v>187.55059345003431</v>
      </c>
      <c r="G210" s="77">
        <v>187.55059345003431</v>
      </c>
      <c r="H210" s="77">
        <v>187.55059345003431</v>
      </c>
      <c r="I210" s="77">
        <v>187.55059345003431</v>
      </c>
    </row>
    <row r="211" spans="1:9">
      <c r="A211" s="13">
        <v>164</v>
      </c>
      <c r="B211" s="8">
        <v>2023.2742716019809</v>
      </c>
      <c r="C211" s="14">
        <v>908.54707204022077</v>
      </c>
      <c r="D211" s="77">
        <v>151.42451200670345</v>
      </c>
      <c r="E211" s="77">
        <v>151.42451200670345</v>
      </c>
      <c r="F211" s="77">
        <v>151.42451200670345</v>
      </c>
      <c r="G211" s="77">
        <v>151.42451200670345</v>
      </c>
      <c r="H211" s="77">
        <v>151.42451200670345</v>
      </c>
      <c r="I211" s="77">
        <v>151.42451200670345</v>
      </c>
    </row>
    <row r="212" spans="1:9">
      <c r="A212" s="13">
        <v>165</v>
      </c>
      <c r="B212" s="8">
        <v>2025.0604125120769</v>
      </c>
      <c r="C212" s="14">
        <v>1155.4896710103308</v>
      </c>
      <c r="D212" s="77">
        <v>192.58161183505513</v>
      </c>
      <c r="E212" s="77">
        <v>192.58161183505513</v>
      </c>
      <c r="F212" s="77">
        <v>192.58161183505513</v>
      </c>
      <c r="G212" s="77">
        <v>192.58161183505513</v>
      </c>
      <c r="H212" s="77">
        <v>192.58161183505513</v>
      </c>
      <c r="I212" s="77">
        <v>192.58161183505513</v>
      </c>
    </row>
    <row r="213" spans="1:9">
      <c r="A213" s="13">
        <v>166</v>
      </c>
      <c r="B213" s="8">
        <v>2024.1123673030829</v>
      </c>
      <c r="C213" s="14">
        <v>998.93162812547155</v>
      </c>
      <c r="D213" s="77">
        <v>166.4886046875786</v>
      </c>
      <c r="E213" s="77">
        <v>166.4886046875786</v>
      </c>
      <c r="F213" s="77">
        <v>166.4886046875786</v>
      </c>
      <c r="G213" s="77">
        <v>166.4886046875786</v>
      </c>
      <c r="H213" s="77">
        <v>166.4886046875786</v>
      </c>
      <c r="I213" s="77">
        <v>166.4886046875786</v>
      </c>
    </row>
    <row r="214" spans="1:9">
      <c r="A214" s="13">
        <v>167</v>
      </c>
      <c r="B214" s="8">
        <v>2022.8227752473156</v>
      </c>
      <c r="C214" s="14">
        <v>840.46175596410626</v>
      </c>
      <c r="D214" s="77">
        <v>140.07695932735103</v>
      </c>
      <c r="E214" s="77">
        <v>140.07695932735103</v>
      </c>
      <c r="F214" s="77">
        <v>140.07695932735103</v>
      </c>
      <c r="G214" s="77">
        <v>140.07695932735103</v>
      </c>
      <c r="H214" s="77">
        <v>140.07695932735103</v>
      </c>
      <c r="I214" s="77">
        <v>140.07695932735103</v>
      </c>
    </row>
    <row r="215" spans="1:9">
      <c r="A215" s="13">
        <v>168</v>
      </c>
      <c r="B215" s="8">
        <v>2022.9229171600023</v>
      </c>
      <c r="C215" s="14">
        <v>887.81080791890815</v>
      </c>
      <c r="D215" s="77">
        <v>147.96846798648468</v>
      </c>
      <c r="E215" s="77">
        <v>147.96846798648468</v>
      </c>
      <c r="F215" s="77">
        <v>147.96846798648468</v>
      </c>
      <c r="G215" s="77">
        <v>147.96846798648468</v>
      </c>
      <c r="H215" s="77">
        <v>147.96846798648468</v>
      </c>
      <c r="I215" s="77">
        <v>147.96846798648468</v>
      </c>
    </row>
    <row r="216" spans="1:9">
      <c r="A216" s="13">
        <v>169</v>
      </c>
      <c r="B216" s="8">
        <v>2024.7302535870692</v>
      </c>
      <c r="C216" s="14">
        <v>1042.4367826340954</v>
      </c>
      <c r="D216" s="77">
        <v>173.73946377234924</v>
      </c>
      <c r="E216" s="77">
        <v>173.73946377234924</v>
      </c>
      <c r="F216" s="77">
        <v>173.73946377234924</v>
      </c>
      <c r="G216" s="77">
        <v>173.73946377234924</v>
      </c>
      <c r="H216" s="77">
        <v>173.73946377234924</v>
      </c>
      <c r="I216" s="77">
        <v>173.73946377234924</v>
      </c>
    </row>
    <row r="217" spans="1:9">
      <c r="A217" s="13">
        <v>170</v>
      </c>
      <c r="B217" s="8">
        <v>2024.5682983407792</v>
      </c>
      <c r="C217" s="14">
        <v>1023.2446824395901</v>
      </c>
      <c r="D217" s="77">
        <v>170.54078040659834</v>
      </c>
      <c r="E217" s="77">
        <v>170.54078040659834</v>
      </c>
      <c r="F217" s="77">
        <v>170.54078040659834</v>
      </c>
      <c r="G217" s="77">
        <v>170.54078040659834</v>
      </c>
      <c r="H217" s="77">
        <v>170.54078040659834</v>
      </c>
      <c r="I217" s="77">
        <v>170.54078040659834</v>
      </c>
    </row>
    <row r="218" spans="1:9">
      <c r="A218" s="13">
        <v>171</v>
      </c>
      <c r="B218" s="8">
        <v>2022.9846112047737</v>
      </c>
      <c r="C218" s="14">
        <v>848.85840594918091</v>
      </c>
      <c r="D218" s="77">
        <v>141.47640099153014</v>
      </c>
      <c r="E218" s="77">
        <v>141.47640099153014</v>
      </c>
      <c r="F218" s="77">
        <v>141.47640099153014</v>
      </c>
      <c r="G218" s="77">
        <v>141.47640099153014</v>
      </c>
      <c r="H218" s="77">
        <v>141.47640099153014</v>
      </c>
      <c r="I218" s="77">
        <v>141.47640099153014</v>
      </c>
    </row>
    <row r="219" spans="1:9">
      <c r="A219" s="13">
        <v>172</v>
      </c>
      <c r="B219" s="8">
        <v>2022.7576957985939</v>
      </c>
      <c r="C219" s="14">
        <v>818.38685241809367</v>
      </c>
      <c r="D219" s="77">
        <v>136.39780873634894</v>
      </c>
      <c r="E219" s="77">
        <v>136.39780873634894</v>
      </c>
      <c r="F219" s="77">
        <v>136.39780873634894</v>
      </c>
      <c r="G219" s="77">
        <v>136.39780873634894</v>
      </c>
      <c r="H219" s="77">
        <v>136.39780873634894</v>
      </c>
      <c r="I219" s="77">
        <v>136.39780873634894</v>
      </c>
    </row>
    <row r="220" spans="1:9">
      <c r="A220" s="13">
        <v>173</v>
      </c>
      <c r="B220" s="8">
        <v>2023.0943224084565</v>
      </c>
      <c r="C220" s="14">
        <v>862.99651239394871</v>
      </c>
      <c r="D220" s="77">
        <v>143.83275206565813</v>
      </c>
      <c r="E220" s="77">
        <v>143.83275206565813</v>
      </c>
      <c r="F220" s="77">
        <v>143.83275206565813</v>
      </c>
      <c r="G220" s="77">
        <v>143.83275206565813</v>
      </c>
      <c r="H220" s="77">
        <v>143.83275206565813</v>
      </c>
      <c r="I220" s="77">
        <v>143.83275206565813</v>
      </c>
    </row>
    <row r="221" spans="1:9">
      <c r="A221" s="13">
        <v>174</v>
      </c>
      <c r="B221" s="8">
        <v>2023.1514244742409</v>
      </c>
      <c r="C221" s="14">
        <v>938.30907679580855</v>
      </c>
      <c r="D221" s="77">
        <v>156.38484613263475</v>
      </c>
      <c r="E221" s="77">
        <v>156.38484613263475</v>
      </c>
      <c r="F221" s="77">
        <v>156.38484613263475</v>
      </c>
      <c r="G221" s="77">
        <v>156.38484613263475</v>
      </c>
      <c r="H221" s="77">
        <v>156.38484613263475</v>
      </c>
      <c r="I221" s="77">
        <v>156.38484613263475</v>
      </c>
    </row>
    <row r="222" spans="1:9">
      <c r="A222" s="13">
        <v>175</v>
      </c>
      <c r="B222" s="8">
        <v>2024.4880742276234</v>
      </c>
      <c r="C222" s="14">
        <v>1018.5949937071366</v>
      </c>
      <c r="D222" s="77">
        <v>169.76583228452276</v>
      </c>
      <c r="E222" s="77">
        <v>169.76583228452276</v>
      </c>
      <c r="F222" s="77">
        <v>169.76583228452276</v>
      </c>
      <c r="G222" s="77">
        <v>169.76583228452276</v>
      </c>
      <c r="H222" s="77">
        <v>169.76583228452276</v>
      </c>
      <c r="I222" s="77">
        <v>169.76583228452276</v>
      </c>
    </row>
    <row r="223" spans="1:9">
      <c r="A223" s="13">
        <v>176</v>
      </c>
      <c r="B223" s="8">
        <v>2022.9895249707365</v>
      </c>
      <c r="C223" s="14">
        <v>877.19652975467613</v>
      </c>
      <c r="D223" s="77">
        <v>146.19942162577937</v>
      </c>
      <c r="E223" s="77">
        <v>146.19942162577937</v>
      </c>
      <c r="F223" s="77">
        <v>146.19942162577937</v>
      </c>
      <c r="G223" s="77">
        <v>146.19942162577937</v>
      </c>
      <c r="H223" s="77">
        <v>146.19942162577937</v>
      </c>
      <c r="I223" s="77">
        <v>146.19942162577937</v>
      </c>
    </row>
    <row r="224" spans="1:9">
      <c r="A224" s="13">
        <v>177</v>
      </c>
      <c r="B224" s="8">
        <v>2025.3386693893515</v>
      </c>
      <c r="C224" s="14">
        <v>1219.9919759136314</v>
      </c>
      <c r="D224" s="77">
        <v>203.33199598560523</v>
      </c>
      <c r="E224" s="77">
        <v>203.33199598560523</v>
      </c>
      <c r="F224" s="77">
        <v>203.33199598560523</v>
      </c>
      <c r="G224" s="77">
        <v>203.33199598560523</v>
      </c>
      <c r="H224" s="77">
        <v>203.33199598560523</v>
      </c>
      <c r="I224" s="77">
        <v>203.33199598560523</v>
      </c>
    </row>
    <row r="225" spans="1:9">
      <c r="A225" s="13">
        <v>178</v>
      </c>
      <c r="B225" s="8">
        <v>2023.6534533931817</v>
      </c>
      <c r="C225" s="14">
        <v>950.48346168198179</v>
      </c>
      <c r="D225" s="77">
        <v>158.4139102803303</v>
      </c>
      <c r="E225" s="77">
        <v>158.4139102803303</v>
      </c>
      <c r="F225" s="77">
        <v>158.4139102803303</v>
      </c>
      <c r="G225" s="77">
        <v>158.4139102803303</v>
      </c>
      <c r="H225" s="77">
        <v>158.4139102803303</v>
      </c>
      <c r="I225" s="77">
        <v>158.4139102803303</v>
      </c>
    </row>
    <row r="226" spans="1:9">
      <c r="A226" s="13">
        <v>179</v>
      </c>
      <c r="B226" s="8">
        <v>2023.4783120182999</v>
      </c>
      <c r="C226" s="14">
        <v>960.88298032412297</v>
      </c>
      <c r="D226" s="77">
        <v>160.14716338735383</v>
      </c>
      <c r="E226" s="77">
        <v>160.14716338735383</v>
      </c>
      <c r="F226" s="77">
        <v>160.14716338735383</v>
      </c>
      <c r="G226" s="77">
        <v>160.14716338735383</v>
      </c>
      <c r="H226" s="77">
        <v>160.14716338735383</v>
      </c>
      <c r="I226" s="77">
        <v>160.14716338735383</v>
      </c>
    </row>
    <row r="227" spans="1:9">
      <c r="A227" s="13">
        <v>180</v>
      </c>
      <c r="B227" s="8">
        <v>2023.2870542652208</v>
      </c>
      <c r="C227" s="14">
        <v>927.49315747977914</v>
      </c>
      <c r="D227" s="77">
        <v>154.58219291329652</v>
      </c>
      <c r="E227" s="77">
        <v>154.58219291329652</v>
      </c>
      <c r="F227" s="77">
        <v>154.58219291329652</v>
      </c>
      <c r="G227" s="77">
        <v>154.58219291329652</v>
      </c>
      <c r="H227" s="77">
        <v>154.58219291329652</v>
      </c>
      <c r="I227" s="77">
        <v>154.58219291329652</v>
      </c>
    </row>
    <row r="228" spans="1:9">
      <c r="A228" s="13">
        <v>181</v>
      </c>
      <c r="B228" s="8">
        <v>2023.0341329088706</v>
      </c>
      <c r="C228" s="14">
        <v>901.80422197782298</v>
      </c>
      <c r="D228" s="77">
        <v>150.30070366297051</v>
      </c>
      <c r="E228" s="77">
        <v>150.30070366297051</v>
      </c>
      <c r="F228" s="77">
        <v>150.30070366297051</v>
      </c>
      <c r="G228" s="77">
        <v>150.30070366297051</v>
      </c>
      <c r="H228" s="77">
        <v>150.30070366297051</v>
      </c>
      <c r="I228" s="77">
        <v>150.30070366297051</v>
      </c>
    </row>
    <row r="229" spans="1:9">
      <c r="A229" s="13">
        <v>182</v>
      </c>
      <c r="B229" s="8">
        <v>2023.5544144405719</v>
      </c>
      <c r="C229" s="14">
        <v>991.65798983913351</v>
      </c>
      <c r="D229" s="77">
        <v>165.27633163985558</v>
      </c>
      <c r="E229" s="77">
        <v>165.27633163985558</v>
      </c>
      <c r="F229" s="77">
        <v>165.27633163985558</v>
      </c>
      <c r="G229" s="77">
        <v>165.27633163985558</v>
      </c>
      <c r="H229" s="77">
        <v>165.27633163985558</v>
      </c>
      <c r="I229" s="77">
        <v>165.27633163985558</v>
      </c>
    </row>
    <row r="230" spans="1:9">
      <c r="A230" s="13">
        <v>183</v>
      </c>
      <c r="B230" s="8">
        <v>2023.0430560101006</v>
      </c>
      <c r="C230" s="14">
        <v>923.6972444907608</v>
      </c>
      <c r="D230" s="77">
        <v>153.94954074846012</v>
      </c>
      <c r="E230" s="77">
        <v>153.94954074846012</v>
      </c>
      <c r="F230" s="77">
        <v>153.94954074846012</v>
      </c>
      <c r="G230" s="77">
        <v>153.94954074846012</v>
      </c>
      <c r="H230" s="77">
        <v>153.94954074846012</v>
      </c>
      <c r="I230" s="77">
        <v>153.94954074846012</v>
      </c>
    </row>
    <row r="231" spans="1:9">
      <c r="A231" s="13">
        <v>184</v>
      </c>
      <c r="B231" s="8">
        <v>2023.2786398795463</v>
      </c>
      <c r="C231" s="14">
        <v>891.82902546810885</v>
      </c>
      <c r="D231" s="77">
        <v>148.63817091135147</v>
      </c>
      <c r="E231" s="77">
        <v>148.63817091135147</v>
      </c>
      <c r="F231" s="77">
        <v>148.63817091135147</v>
      </c>
      <c r="G231" s="77">
        <v>148.63817091135147</v>
      </c>
      <c r="H231" s="77">
        <v>148.63817091135147</v>
      </c>
      <c r="I231" s="77">
        <v>148.63817091135147</v>
      </c>
    </row>
    <row r="232" spans="1:9">
      <c r="A232" s="13">
        <v>185</v>
      </c>
      <c r="B232" s="8">
        <v>2024.0510533871823</v>
      </c>
      <c r="C232" s="14">
        <v>981.79882576230273</v>
      </c>
      <c r="D232" s="77">
        <v>163.63313762705044</v>
      </c>
      <c r="E232" s="77">
        <v>163.63313762705044</v>
      </c>
      <c r="F232" s="77">
        <v>163.63313762705044</v>
      </c>
      <c r="G232" s="77">
        <v>163.63313762705044</v>
      </c>
      <c r="H232" s="77">
        <v>163.63313762705044</v>
      </c>
      <c r="I232" s="77">
        <v>163.63313762705044</v>
      </c>
    </row>
    <row r="233" spans="1:9">
      <c r="A233" s="13">
        <v>186</v>
      </c>
      <c r="B233" s="8">
        <v>2023.2813323370201</v>
      </c>
      <c r="C233" s="14">
        <v>1034.2898816784088</v>
      </c>
      <c r="D233" s="77">
        <v>172.38164694640147</v>
      </c>
      <c r="E233" s="77">
        <v>172.38164694640147</v>
      </c>
      <c r="F233" s="77">
        <v>172.38164694640147</v>
      </c>
      <c r="G233" s="77">
        <v>172.38164694640147</v>
      </c>
      <c r="H233" s="77">
        <v>172.38164694640147</v>
      </c>
      <c r="I233" s="77">
        <v>172.38164694640147</v>
      </c>
    </row>
    <row r="234" spans="1:9">
      <c r="A234" s="13">
        <v>187</v>
      </c>
      <c r="B234" s="8">
        <v>2024.935891519403</v>
      </c>
      <c r="C234" s="14">
        <v>1199.2115083068863</v>
      </c>
      <c r="D234" s="77">
        <v>199.8685847178144</v>
      </c>
      <c r="E234" s="77">
        <v>199.8685847178144</v>
      </c>
      <c r="F234" s="77">
        <v>199.8685847178144</v>
      </c>
      <c r="G234" s="77">
        <v>199.8685847178144</v>
      </c>
      <c r="H234" s="77">
        <v>199.8685847178144</v>
      </c>
      <c r="I234" s="77">
        <v>199.8685847178144</v>
      </c>
    </row>
    <row r="235" spans="1:9">
      <c r="A235" s="13">
        <v>188</v>
      </c>
      <c r="B235" s="8">
        <v>2023.0205826188669</v>
      </c>
      <c r="C235" s="14">
        <v>873.16454958730719</v>
      </c>
      <c r="D235" s="77">
        <v>145.52742493121787</v>
      </c>
      <c r="E235" s="77">
        <v>145.52742493121787</v>
      </c>
      <c r="F235" s="77">
        <v>145.52742493121787</v>
      </c>
      <c r="G235" s="77">
        <v>145.52742493121787</v>
      </c>
      <c r="H235" s="77">
        <v>145.52742493121787</v>
      </c>
      <c r="I235" s="77">
        <v>145.52742493121787</v>
      </c>
    </row>
    <row r="236" spans="1:9">
      <c r="A236" s="13">
        <v>189</v>
      </c>
      <c r="B236" s="8">
        <v>2023.3327535744017</v>
      </c>
      <c r="C236" s="14">
        <v>885.75660209933926</v>
      </c>
      <c r="D236" s="77">
        <v>147.62610034988987</v>
      </c>
      <c r="E236" s="77">
        <v>147.62610034988987</v>
      </c>
      <c r="F236" s="77">
        <v>147.62610034988987</v>
      </c>
      <c r="G236" s="77">
        <v>147.62610034988987</v>
      </c>
      <c r="H236" s="77">
        <v>147.62610034988987</v>
      </c>
      <c r="I236" s="77">
        <v>147.62610034988987</v>
      </c>
    </row>
    <row r="237" spans="1:9">
      <c r="A237" s="13">
        <v>190</v>
      </c>
      <c r="B237" s="8">
        <v>2022.8270517444544</v>
      </c>
      <c r="C237" s="14">
        <v>876.58731917667933</v>
      </c>
      <c r="D237" s="77">
        <v>146.09788652944655</v>
      </c>
      <c r="E237" s="77">
        <v>146.09788652944655</v>
      </c>
      <c r="F237" s="77">
        <v>146.09788652944655</v>
      </c>
      <c r="G237" s="77">
        <v>146.09788652944655</v>
      </c>
      <c r="H237" s="77">
        <v>146.09788652944655</v>
      </c>
      <c r="I237" s="77">
        <v>146.09788652944655</v>
      </c>
    </row>
    <row r="238" spans="1:9">
      <c r="A238" s="13">
        <v>191</v>
      </c>
      <c r="B238" s="8">
        <v>2022.8854360252867</v>
      </c>
      <c r="C238" s="14">
        <v>889.12690131609747</v>
      </c>
      <c r="D238" s="77">
        <v>148.18781688601624</v>
      </c>
      <c r="E238" s="77">
        <v>148.18781688601624</v>
      </c>
      <c r="F238" s="77">
        <v>148.18781688601624</v>
      </c>
      <c r="G238" s="77">
        <v>148.18781688601624</v>
      </c>
      <c r="H238" s="77">
        <v>148.18781688601624</v>
      </c>
      <c r="I238" s="77">
        <v>148.18781688601624</v>
      </c>
    </row>
    <row r="239" spans="1:9">
      <c r="A239" s="13">
        <v>192</v>
      </c>
      <c r="B239" s="8">
        <v>2022.9764165805839</v>
      </c>
      <c r="C239" s="14">
        <v>869.22296077349552</v>
      </c>
      <c r="D239" s="77">
        <v>144.87049346224924</v>
      </c>
      <c r="E239" s="77">
        <v>144.87049346224924</v>
      </c>
      <c r="F239" s="77">
        <v>144.87049346224924</v>
      </c>
      <c r="G239" s="77">
        <v>144.87049346224924</v>
      </c>
      <c r="H239" s="77">
        <v>144.87049346224924</v>
      </c>
      <c r="I239" s="77">
        <v>144.87049346224924</v>
      </c>
    </row>
    <row r="240" spans="1:9">
      <c r="A240" s="13">
        <v>193</v>
      </c>
      <c r="B240" s="8">
        <v>2023.1578252324666</v>
      </c>
      <c r="C240" s="14">
        <v>907.27343538138678</v>
      </c>
      <c r="D240" s="77">
        <v>151.21223923023112</v>
      </c>
      <c r="E240" s="77">
        <v>151.21223923023112</v>
      </c>
      <c r="F240" s="77">
        <v>151.21223923023112</v>
      </c>
      <c r="G240" s="77">
        <v>151.21223923023112</v>
      </c>
      <c r="H240" s="77">
        <v>151.21223923023112</v>
      </c>
      <c r="I240" s="77">
        <v>151.21223923023112</v>
      </c>
    </row>
    <row r="241" spans="1:9">
      <c r="A241" s="13">
        <v>194</v>
      </c>
      <c r="B241" s="8">
        <v>2023.2061107857351</v>
      </c>
      <c r="C241" s="14">
        <v>864.4699337086621</v>
      </c>
      <c r="D241" s="77">
        <v>144.07832228477702</v>
      </c>
      <c r="E241" s="77">
        <v>144.07832228477702</v>
      </c>
      <c r="F241" s="77">
        <v>144.07832228477702</v>
      </c>
      <c r="G241" s="77">
        <v>144.07832228477702</v>
      </c>
      <c r="H241" s="77">
        <v>144.07832228477702</v>
      </c>
      <c r="I241" s="77">
        <v>144.07832228477702</v>
      </c>
    </row>
    <row r="242" spans="1:9">
      <c r="A242" s="13">
        <v>195</v>
      </c>
      <c r="B242" s="8">
        <v>2024.8370682699749</v>
      </c>
      <c r="C242" s="14">
        <v>1087.6214500038802</v>
      </c>
      <c r="D242" s="77">
        <v>181.27024166731337</v>
      </c>
      <c r="E242" s="77">
        <v>181.27024166731337</v>
      </c>
      <c r="F242" s="77">
        <v>181.27024166731337</v>
      </c>
      <c r="G242" s="77">
        <v>181.27024166731337</v>
      </c>
      <c r="H242" s="77">
        <v>181.27024166731337</v>
      </c>
      <c r="I242" s="77">
        <v>181.27024166731337</v>
      </c>
    </row>
    <row r="243" spans="1:9">
      <c r="A243" s="13">
        <v>196</v>
      </c>
      <c r="B243" s="8">
        <v>2024.7986728584015</v>
      </c>
      <c r="C243" s="14">
        <v>1086.4169800222817</v>
      </c>
      <c r="D243" s="77">
        <v>181.06949667038029</v>
      </c>
      <c r="E243" s="77">
        <v>181.06949667038029</v>
      </c>
      <c r="F243" s="77">
        <v>181.06949667038029</v>
      </c>
      <c r="G243" s="77">
        <v>181.06949667038029</v>
      </c>
      <c r="H243" s="77">
        <v>181.06949667038029</v>
      </c>
      <c r="I243" s="77">
        <v>181.06949667038029</v>
      </c>
    </row>
    <row r="244" spans="1:9">
      <c r="A244" s="13">
        <v>197</v>
      </c>
      <c r="B244" s="8">
        <v>2024.3925338696529</v>
      </c>
      <c r="C244" s="14">
        <v>1042.8918601491253</v>
      </c>
      <c r="D244" s="77">
        <v>173.8153100248542</v>
      </c>
      <c r="E244" s="77">
        <v>173.8153100248542</v>
      </c>
      <c r="F244" s="77">
        <v>173.8153100248542</v>
      </c>
      <c r="G244" s="77">
        <v>173.8153100248542</v>
      </c>
      <c r="H244" s="77">
        <v>173.8153100248542</v>
      </c>
      <c r="I244" s="77">
        <v>173.8153100248542</v>
      </c>
    </row>
    <row r="245" spans="1:9">
      <c r="A245" s="13">
        <v>198</v>
      </c>
      <c r="B245" s="8">
        <v>2023.0075202781302</v>
      </c>
      <c r="C245" s="14">
        <v>844.14780631329995</v>
      </c>
      <c r="D245" s="77">
        <v>140.69130105221666</v>
      </c>
      <c r="E245" s="77">
        <v>140.69130105221666</v>
      </c>
      <c r="F245" s="77">
        <v>140.69130105221666</v>
      </c>
      <c r="G245" s="77">
        <v>140.69130105221666</v>
      </c>
      <c r="H245" s="77">
        <v>140.69130105221666</v>
      </c>
      <c r="I245" s="77">
        <v>140.69130105221666</v>
      </c>
    </row>
    <row r="246" spans="1:9">
      <c r="A246" s="13">
        <v>199</v>
      </c>
      <c r="B246" s="8">
        <v>2023.3039204427698</v>
      </c>
      <c r="C246" s="14">
        <v>892.75994044753497</v>
      </c>
      <c r="D246" s="77">
        <v>148.79332340792249</v>
      </c>
      <c r="E246" s="77">
        <v>148.79332340792249</v>
      </c>
      <c r="F246" s="77">
        <v>148.79332340792249</v>
      </c>
      <c r="G246" s="77">
        <v>148.79332340792249</v>
      </c>
      <c r="H246" s="77">
        <v>148.79332340792249</v>
      </c>
      <c r="I246" s="77">
        <v>148.79332340792249</v>
      </c>
    </row>
    <row r="247" spans="1:9">
      <c r="A247" s="13">
        <v>200</v>
      </c>
      <c r="B247" s="8">
        <v>2023.794890240096</v>
      </c>
      <c r="C247" s="14">
        <v>956.91314600700093</v>
      </c>
      <c r="D247" s="77">
        <v>159.48552433450016</v>
      </c>
      <c r="E247" s="77">
        <v>159.48552433450016</v>
      </c>
      <c r="F247" s="77">
        <v>159.48552433450016</v>
      </c>
      <c r="G247" s="77">
        <v>159.48552433450016</v>
      </c>
      <c r="H247" s="77">
        <v>159.48552433450016</v>
      </c>
      <c r="I247" s="77">
        <v>159.48552433450016</v>
      </c>
    </row>
    <row r="248" spans="1:9">
      <c r="A248" s="13">
        <v>201</v>
      </c>
      <c r="B248" s="8">
        <v>2023.1481940466983</v>
      </c>
      <c r="C248" s="14">
        <v>926.5164464113949</v>
      </c>
      <c r="D248" s="77">
        <v>154.41940773523248</v>
      </c>
      <c r="E248" s="77">
        <v>154.41940773523248</v>
      </c>
      <c r="F248" s="77">
        <v>154.41940773523248</v>
      </c>
      <c r="G248" s="77">
        <v>154.41940773523248</v>
      </c>
      <c r="H248" s="77">
        <v>154.41940773523248</v>
      </c>
      <c r="I248" s="77">
        <v>154.41940773523248</v>
      </c>
    </row>
    <row r="249" spans="1:9">
      <c r="A249" s="13">
        <v>202</v>
      </c>
      <c r="B249" s="8">
        <v>2024.7272540891065</v>
      </c>
      <c r="C249" s="14">
        <v>1089.2025543556088</v>
      </c>
      <c r="D249" s="77">
        <v>181.53375905926814</v>
      </c>
      <c r="E249" s="77">
        <v>181.53375905926814</v>
      </c>
      <c r="F249" s="77">
        <v>181.53375905926814</v>
      </c>
      <c r="G249" s="77">
        <v>181.53375905926814</v>
      </c>
      <c r="H249" s="77">
        <v>181.53375905926814</v>
      </c>
      <c r="I249" s="77">
        <v>181.53375905926814</v>
      </c>
    </row>
    <row r="250" spans="1:9">
      <c r="A250" s="13">
        <v>203</v>
      </c>
      <c r="B250" s="8">
        <v>2023.038897517057</v>
      </c>
      <c r="C250" s="14">
        <v>891.38180535531069</v>
      </c>
      <c r="D250" s="77">
        <v>148.56363422588512</v>
      </c>
      <c r="E250" s="77">
        <v>148.56363422588512</v>
      </c>
      <c r="F250" s="77">
        <v>148.56363422588512</v>
      </c>
      <c r="G250" s="77">
        <v>148.56363422588512</v>
      </c>
      <c r="H250" s="77">
        <v>148.56363422588512</v>
      </c>
      <c r="I250" s="77">
        <v>148.56363422588512</v>
      </c>
    </row>
    <row r="251" spans="1:9">
      <c r="A251" s="13">
        <v>204</v>
      </c>
      <c r="B251" s="8">
        <v>2024.727232241547</v>
      </c>
      <c r="C251" s="14">
        <v>1084.2022739975664</v>
      </c>
      <c r="D251" s="77">
        <v>180.70037899959439</v>
      </c>
      <c r="E251" s="77">
        <v>180.70037899959439</v>
      </c>
      <c r="F251" s="77">
        <v>180.70037899959439</v>
      </c>
      <c r="G251" s="77">
        <v>180.70037899959439</v>
      </c>
      <c r="H251" s="77">
        <v>180.70037899959439</v>
      </c>
      <c r="I251" s="77">
        <v>180.70037899959439</v>
      </c>
    </row>
    <row r="252" spans="1:9">
      <c r="A252" s="13">
        <v>205</v>
      </c>
      <c r="B252" s="8">
        <v>2023.2335722230152</v>
      </c>
      <c r="C252" s="14">
        <v>835.37738467989129</v>
      </c>
      <c r="D252" s="77">
        <v>139.22956411331521</v>
      </c>
      <c r="E252" s="77">
        <v>139.22956411331521</v>
      </c>
      <c r="F252" s="77">
        <v>139.22956411331521</v>
      </c>
      <c r="G252" s="77">
        <v>139.22956411331521</v>
      </c>
      <c r="H252" s="77">
        <v>139.22956411331521</v>
      </c>
      <c r="I252" s="77">
        <v>139.22956411331521</v>
      </c>
    </row>
    <row r="253" spans="1:9">
      <c r="A253" s="13">
        <v>206</v>
      </c>
      <c r="B253" s="8">
        <v>2023.3065870023961</v>
      </c>
      <c r="C253" s="14">
        <v>884.19537281285886</v>
      </c>
      <c r="D253" s="77">
        <v>147.36589546880981</v>
      </c>
      <c r="E253" s="77">
        <v>147.36589546880981</v>
      </c>
      <c r="F253" s="77">
        <v>147.36589546880981</v>
      </c>
      <c r="G253" s="77">
        <v>147.36589546880981</v>
      </c>
      <c r="H253" s="77">
        <v>147.36589546880981</v>
      </c>
      <c r="I253" s="77">
        <v>147.36589546880981</v>
      </c>
    </row>
    <row r="254" spans="1:9">
      <c r="A254" s="13">
        <v>207</v>
      </c>
      <c r="B254" s="8">
        <v>2024.7778724319262</v>
      </c>
      <c r="C254" s="14">
        <v>1063.0887540650945</v>
      </c>
      <c r="D254" s="77">
        <v>177.18145901084907</v>
      </c>
      <c r="E254" s="77">
        <v>177.18145901084907</v>
      </c>
      <c r="F254" s="77">
        <v>177.18145901084907</v>
      </c>
      <c r="G254" s="77">
        <v>177.18145901084907</v>
      </c>
      <c r="H254" s="77">
        <v>177.18145901084907</v>
      </c>
      <c r="I254" s="77">
        <v>177.18145901084907</v>
      </c>
    </row>
    <row r="255" spans="1:9">
      <c r="A255" s="13">
        <v>208</v>
      </c>
      <c r="B255" s="8">
        <v>2022.9002501961495</v>
      </c>
      <c r="C255" s="14">
        <v>828.32183566582557</v>
      </c>
      <c r="D255" s="77">
        <v>138.05363927763759</v>
      </c>
      <c r="E255" s="77">
        <v>138.05363927763759</v>
      </c>
      <c r="F255" s="77">
        <v>138.05363927763759</v>
      </c>
      <c r="G255" s="77">
        <v>138.05363927763759</v>
      </c>
      <c r="H255" s="77">
        <v>138.05363927763759</v>
      </c>
      <c r="I255" s="77">
        <v>138.05363927763759</v>
      </c>
    </row>
    <row r="256" spans="1:9">
      <c r="A256" s="13">
        <v>209</v>
      </c>
      <c r="B256" s="8">
        <v>2022.9885757441909</v>
      </c>
      <c r="C256" s="14">
        <v>838.13855898880865</v>
      </c>
      <c r="D256" s="77">
        <v>139.68975983146811</v>
      </c>
      <c r="E256" s="77">
        <v>139.68975983146811</v>
      </c>
      <c r="F256" s="77">
        <v>139.68975983146811</v>
      </c>
      <c r="G256" s="77">
        <v>139.68975983146811</v>
      </c>
      <c r="H256" s="77">
        <v>139.68975983146811</v>
      </c>
      <c r="I256" s="77">
        <v>139.68975983146811</v>
      </c>
    </row>
    <row r="257" spans="1:9">
      <c r="A257" s="13">
        <v>210</v>
      </c>
      <c r="B257" s="8">
        <v>2023.0742802894633</v>
      </c>
      <c r="C257" s="14">
        <v>866.36031937313578</v>
      </c>
      <c r="D257" s="77">
        <v>144.39338656218931</v>
      </c>
      <c r="E257" s="77">
        <v>144.39338656218931</v>
      </c>
      <c r="F257" s="77">
        <v>144.39338656218931</v>
      </c>
      <c r="G257" s="77">
        <v>144.39338656218931</v>
      </c>
      <c r="H257" s="77">
        <v>144.39338656218931</v>
      </c>
      <c r="I257" s="77">
        <v>144.39338656218931</v>
      </c>
    </row>
    <row r="258" spans="1:9">
      <c r="A258" s="13">
        <v>211</v>
      </c>
      <c r="B258" s="8">
        <v>2022.9672805190912</v>
      </c>
      <c r="C258" s="14">
        <v>853.54091991005475</v>
      </c>
      <c r="D258" s="77">
        <v>142.25681998500912</v>
      </c>
      <c r="E258" s="77">
        <v>142.25681998500912</v>
      </c>
      <c r="F258" s="77">
        <v>142.25681998500912</v>
      </c>
      <c r="G258" s="77">
        <v>142.25681998500912</v>
      </c>
      <c r="H258" s="77">
        <v>142.25681998500912</v>
      </c>
      <c r="I258" s="77">
        <v>142.25681998500912</v>
      </c>
    </row>
    <row r="259" spans="1:9">
      <c r="A259" s="13">
        <v>212</v>
      </c>
      <c r="B259" s="8">
        <v>2023.5015755226023</v>
      </c>
      <c r="C259" s="14">
        <v>945.81212974779351</v>
      </c>
      <c r="D259" s="77">
        <v>157.63535495796557</v>
      </c>
      <c r="E259" s="77">
        <v>157.63535495796557</v>
      </c>
      <c r="F259" s="77">
        <v>157.63535495796557</v>
      </c>
      <c r="G259" s="77">
        <v>157.63535495796557</v>
      </c>
      <c r="H259" s="77">
        <v>157.63535495796557</v>
      </c>
      <c r="I259" s="77">
        <v>157.63535495796557</v>
      </c>
    </row>
    <row r="260" spans="1:9">
      <c r="A260" s="13">
        <v>213</v>
      </c>
      <c r="B260" s="8">
        <v>2023.1370085514441</v>
      </c>
      <c r="C260" s="14">
        <v>931.25015106882768</v>
      </c>
      <c r="D260" s="77">
        <v>155.20835851147129</v>
      </c>
      <c r="E260" s="77">
        <v>155.20835851147129</v>
      </c>
      <c r="F260" s="77">
        <v>155.20835851147129</v>
      </c>
      <c r="G260" s="77">
        <v>155.20835851147129</v>
      </c>
      <c r="H260" s="77">
        <v>155.20835851147129</v>
      </c>
      <c r="I260" s="77">
        <v>155.20835851147129</v>
      </c>
    </row>
    <row r="261" spans="1:9">
      <c r="A261" s="13">
        <v>214</v>
      </c>
      <c r="B261" s="8">
        <v>2022.7580837546409</v>
      </c>
      <c r="C261" s="14">
        <v>830.55089826855237</v>
      </c>
      <c r="D261" s="77">
        <v>138.42514971142541</v>
      </c>
      <c r="E261" s="77">
        <v>138.42514971142541</v>
      </c>
      <c r="F261" s="77">
        <v>138.42514971142541</v>
      </c>
      <c r="G261" s="77">
        <v>138.42514971142541</v>
      </c>
      <c r="H261" s="77">
        <v>138.42514971142541</v>
      </c>
      <c r="I261" s="77">
        <v>138.42514971142541</v>
      </c>
    </row>
    <row r="262" spans="1:9">
      <c r="A262" s="13">
        <v>215</v>
      </c>
      <c r="B262" s="8">
        <v>2023.0004184556662</v>
      </c>
      <c r="C262" s="14">
        <v>888.85463787627521</v>
      </c>
      <c r="D262" s="77">
        <v>148.14243964604586</v>
      </c>
      <c r="E262" s="77">
        <v>148.14243964604586</v>
      </c>
      <c r="F262" s="77">
        <v>148.14243964604586</v>
      </c>
      <c r="G262" s="77">
        <v>148.14243964604586</v>
      </c>
      <c r="H262" s="77">
        <v>148.14243964604586</v>
      </c>
      <c r="I262" s="77">
        <v>148.14243964604586</v>
      </c>
    </row>
    <row r="263" spans="1:9">
      <c r="A263" s="13">
        <v>216</v>
      </c>
      <c r="B263" s="8">
        <v>2023.037634275847</v>
      </c>
      <c r="C263" s="14">
        <v>842.77037504439545</v>
      </c>
      <c r="D263" s="77">
        <v>140.46172917406591</v>
      </c>
      <c r="E263" s="77">
        <v>140.46172917406591</v>
      </c>
      <c r="F263" s="77">
        <v>140.46172917406591</v>
      </c>
      <c r="G263" s="77">
        <v>140.46172917406591</v>
      </c>
      <c r="H263" s="77">
        <v>140.46172917406591</v>
      </c>
      <c r="I263" s="77">
        <v>140.46172917406591</v>
      </c>
    </row>
    <row r="264" spans="1:9">
      <c r="A264" s="13">
        <v>217</v>
      </c>
      <c r="B264" s="8">
        <v>2023.0448600280331</v>
      </c>
      <c r="C264" s="14">
        <v>839.59953777239912</v>
      </c>
      <c r="D264" s="77">
        <v>139.93325629539984</v>
      </c>
      <c r="E264" s="77">
        <v>139.93325629539984</v>
      </c>
      <c r="F264" s="77">
        <v>139.93325629539984</v>
      </c>
      <c r="G264" s="77">
        <v>139.93325629539984</v>
      </c>
      <c r="H264" s="77">
        <v>139.93325629539984</v>
      </c>
      <c r="I264" s="77">
        <v>139.93325629539984</v>
      </c>
    </row>
    <row r="265" spans="1:9">
      <c r="A265" s="13">
        <v>218</v>
      </c>
      <c r="B265" s="8">
        <v>2022.6940066274117</v>
      </c>
      <c r="C265" s="14">
        <v>787.22679595583497</v>
      </c>
      <c r="D265" s="77">
        <v>131.20446599263917</v>
      </c>
      <c r="E265" s="77">
        <v>131.20446599263917</v>
      </c>
      <c r="F265" s="77">
        <v>131.20446599263917</v>
      </c>
      <c r="G265" s="77">
        <v>131.20446599263917</v>
      </c>
      <c r="H265" s="77">
        <v>131.20446599263917</v>
      </c>
      <c r="I265" s="77">
        <v>131.20446599263917</v>
      </c>
    </row>
    <row r="266" spans="1:9">
      <c r="A266" s="13">
        <v>219</v>
      </c>
      <c r="B266" s="8">
        <v>2022.870357201426</v>
      </c>
      <c r="C266" s="14">
        <v>871.80679157254372</v>
      </c>
      <c r="D266" s="77">
        <v>145.30113192875729</v>
      </c>
      <c r="E266" s="77">
        <v>145.30113192875729</v>
      </c>
      <c r="F266" s="77">
        <v>145.30113192875729</v>
      </c>
      <c r="G266" s="77">
        <v>145.30113192875729</v>
      </c>
      <c r="H266" s="77">
        <v>145.30113192875729</v>
      </c>
      <c r="I266" s="77">
        <v>145.30113192875729</v>
      </c>
    </row>
    <row r="267" spans="1:9">
      <c r="A267" s="13">
        <v>220</v>
      </c>
      <c r="B267" s="8">
        <v>2023.5737474545297</v>
      </c>
      <c r="C267" s="14">
        <v>968.22678586420943</v>
      </c>
      <c r="D267" s="77">
        <v>161.37113097736824</v>
      </c>
      <c r="E267" s="77">
        <v>161.37113097736824</v>
      </c>
      <c r="F267" s="77">
        <v>161.37113097736824</v>
      </c>
      <c r="G267" s="77">
        <v>161.37113097736824</v>
      </c>
      <c r="H267" s="77">
        <v>161.37113097736824</v>
      </c>
      <c r="I267" s="77">
        <v>161.37113097736824</v>
      </c>
    </row>
    <row r="268" spans="1:9">
      <c r="A268" s="13">
        <v>221</v>
      </c>
      <c r="B268" s="8">
        <v>2025.0542054791654</v>
      </c>
      <c r="C268" s="14">
        <v>1080.9638375551203</v>
      </c>
      <c r="D268" s="77">
        <v>180.16063959252006</v>
      </c>
      <c r="E268" s="77">
        <v>180.16063959252006</v>
      </c>
      <c r="F268" s="77">
        <v>180.16063959252006</v>
      </c>
      <c r="G268" s="77">
        <v>180.16063959252006</v>
      </c>
      <c r="H268" s="77">
        <v>180.16063959252006</v>
      </c>
      <c r="I268" s="77">
        <v>180.16063959252006</v>
      </c>
    </row>
    <row r="269" spans="1:9">
      <c r="A269" s="13">
        <v>222</v>
      </c>
      <c r="B269" s="8">
        <v>2022.6056980137103</v>
      </c>
      <c r="C269" s="14">
        <v>879.20374822488918</v>
      </c>
      <c r="D269" s="77">
        <v>146.53395803748154</v>
      </c>
      <c r="E269" s="77">
        <v>146.53395803748154</v>
      </c>
      <c r="F269" s="77">
        <v>146.53395803748154</v>
      </c>
      <c r="G269" s="77">
        <v>146.53395803748154</v>
      </c>
      <c r="H269" s="77">
        <v>146.53395803748154</v>
      </c>
      <c r="I269" s="77">
        <v>146.53395803748154</v>
      </c>
    </row>
    <row r="270" spans="1:9">
      <c r="A270" s="13">
        <v>223</v>
      </c>
      <c r="B270" s="8">
        <v>2022.8116492923689</v>
      </c>
      <c r="C270" s="14">
        <v>827.63332038779936</v>
      </c>
      <c r="D270" s="77">
        <v>137.9388867312999</v>
      </c>
      <c r="E270" s="77">
        <v>137.9388867312999</v>
      </c>
      <c r="F270" s="77">
        <v>137.9388867312999</v>
      </c>
      <c r="G270" s="77">
        <v>137.9388867312999</v>
      </c>
      <c r="H270" s="77">
        <v>137.9388867312999</v>
      </c>
      <c r="I270" s="77">
        <v>137.9388867312999</v>
      </c>
    </row>
    <row r="271" spans="1:9">
      <c r="A271" s="13">
        <v>224</v>
      </c>
      <c r="B271" s="8">
        <v>2023.579285983345</v>
      </c>
      <c r="C271" s="14">
        <v>923.11125981856856</v>
      </c>
      <c r="D271" s="77">
        <v>153.8518766364281</v>
      </c>
      <c r="E271" s="77">
        <v>153.8518766364281</v>
      </c>
      <c r="F271" s="77">
        <v>153.8518766364281</v>
      </c>
      <c r="G271" s="77">
        <v>153.8518766364281</v>
      </c>
      <c r="H271" s="77">
        <v>153.8518766364281</v>
      </c>
      <c r="I271" s="77">
        <v>153.8518766364281</v>
      </c>
    </row>
    <row r="272" spans="1:9">
      <c r="A272" s="13">
        <v>225</v>
      </c>
      <c r="B272" s="8">
        <v>2024.8738599810511</v>
      </c>
      <c r="C272" s="14">
        <v>1073.4140607265874</v>
      </c>
      <c r="D272" s="77">
        <v>178.90234345443125</v>
      </c>
      <c r="E272" s="77">
        <v>178.90234345443125</v>
      </c>
      <c r="F272" s="77">
        <v>178.90234345443125</v>
      </c>
      <c r="G272" s="77">
        <v>178.90234345443125</v>
      </c>
      <c r="H272" s="77">
        <v>178.90234345443125</v>
      </c>
      <c r="I272" s="77">
        <v>178.90234345443125</v>
      </c>
    </row>
    <row r="273" spans="1:9">
      <c r="A273" s="13">
        <v>226</v>
      </c>
      <c r="B273" s="8">
        <v>2025.1514111607337</v>
      </c>
      <c r="C273" s="14">
        <v>1135.3508491150174</v>
      </c>
      <c r="D273" s="77">
        <v>189.22514151916957</v>
      </c>
      <c r="E273" s="77">
        <v>189.22514151916957</v>
      </c>
      <c r="F273" s="77">
        <v>189.22514151916957</v>
      </c>
      <c r="G273" s="77">
        <v>189.22514151916957</v>
      </c>
      <c r="H273" s="77">
        <v>189.22514151916957</v>
      </c>
      <c r="I273" s="77">
        <v>189.22514151916957</v>
      </c>
    </row>
    <row r="274" spans="1:9">
      <c r="A274" s="13">
        <v>227</v>
      </c>
      <c r="B274" s="8">
        <v>2024.7665282392334</v>
      </c>
      <c r="C274" s="14">
        <v>1149.0444051788286</v>
      </c>
      <c r="D274" s="77">
        <v>191.50740086313809</v>
      </c>
      <c r="E274" s="77">
        <v>191.50740086313809</v>
      </c>
      <c r="F274" s="77">
        <v>191.50740086313809</v>
      </c>
      <c r="G274" s="77">
        <v>191.50740086313809</v>
      </c>
      <c r="H274" s="77">
        <v>191.50740086313809</v>
      </c>
      <c r="I274" s="77">
        <v>191.50740086313809</v>
      </c>
    </row>
    <row r="275" spans="1:9">
      <c r="A275" s="13">
        <v>228</v>
      </c>
      <c r="B275" s="8">
        <v>2023.3430685926955</v>
      </c>
      <c r="C275" s="14">
        <v>895.15825244536416</v>
      </c>
      <c r="D275" s="77">
        <v>149.19304207422735</v>
      </c>
      <c r="E275" s="77">
        <v>149.19304207422735</v>
      </c>
      <c r="F275" s="77">
        <v>149.19304207422735</v>
      </c>
      <c r="G275" s="77">
        <v>149.19304207422735</v>
      </c>
      <c r="H275" s="77">
        <v>149.19304207422735</v>
      </c>
      <c r="I275" s="77">
        <v>149.19304207422735</v>
      </c>
    </row>
    <row r="276" spans="1:9">
      <c r="A276" s="13">
        <v>229</v>
      </c>
      <c r="B276" s="8">
        <v>2023.1370009646082</v>
      </c>
      <c r="C276" s="14">
        <v>896.73159072282522</v>
      </c>
      <c r="D276" s="77">
        <v>149.45526512047087</v>
      </c>
      <c r="E276" s="77">
        <v>149.45526512047087</v>
      </c>
      <c r="F276" s="77">
        <v>149.45526512047087</v>
      </c>
      <c r="G276" s="77">
        <v>149.45526512047087</v>
      </c>
      <c r="H276" s="77">
        <v>149.45526512047087</v>
      </c>
      <c r="I276" s="77">
        <v>149.45526512047087</v>
      </c>
    </row>
    <row r="277" spans="1:9">
      <c r="A277" s="13">
        <v>230</v>
      </c>
      <c r="B277" s="8">
        <v>2022.9671029448773</v>
      </c>
      <c r="C277" s="14">
        <v>918.22943603870317</v>
      </c>
      <c r="D277" s="77">
        <v>153.03823933978387</v>
      </c>
      <c r="E277" s="77">
        <v>153.03823933978387</v>
      </c>
      <c r="F277" s="77">
        <v>153.03823933978387</v>
      </c>
      <c r="G277" s="77">
        <v>153.03823933978387</v>
      </c>
      <c r="H277" s="77">
        <v>153.03823933978387</v>
      </c>
      <c r="I277" s="77">
        <v>153.03823933978387</v>
      </c>
    </row>
    <row r="278" spans="1:9">
      <c r="A278" s="13">
        <v>231</v>
      </c>
      <c r="B278" s="8">
        <v>2024.1615657872801</v>
      </c>
      <c r="C278" s="14">
        <v>1038.5282226331017</v>
      </c>
      <c r="D278" s="77">
        <v>173.08803710551695</v>
      </c>
      <c r="E278" s="77">
        <v>173.08803710551695</v>
      </c>
      <c r="F278" s="77">
        <v>173.08803710551695</v>
      </c>
      <c r="G278" s="77">
        <v>173.08803710551695</v>
      </c>
      <c r="H278" s="77">
        <v>173.08803710551695</v>
      </c>
      <c r="I278" s="77">
        <v>173.08803710551695</v>
      </c>
    </row>
    <row r="279" spans="1:9">
      <c r="A279" s="13">
        <v>232</v>
      </c>
      <c r="B279" s="8">
        <v>2022.8443955276141</v>
      </c>
      <c r="C279" s="14">
        <v>869.7619282137307</v>
      </c>
      <c r="D279" s="77">
        <v>144.96032136895511</v>
      </c>
      <c r="E279" s="77">
        <v>144.96032136895511</v>
      </c>
      <c r="F279" s="77">
        <v>144.96032136895511</v>
      </c>
      <c r="G279" s="77">
        <v>144.96032136895511</v>
      </c>
      <c r="H279" s="77">
        <v>144.96032136895511</v>
      </c>
      <c r="I279" s="77">
        <v>144.96032136895511</v>
      </c>
    </row>
    <row r="280" spans="1:9">
      <c r="A280" s="13">
        <v>233</v>
      </c>
      <c r="B280" s="8">
        <v>2022.9431075211342</v>
      </c>
      <c r="C280" s="14">
        <v>893.40230138261472</v>
      </c>
      <c r="D280" s="77">
        <v>148.90038356376911</v>
      </c>
      <c r="E280" s="77">
        <v>148.90038356376911</v>
      </c>
      <c r="F280" s="77">
        <v>148.90038356376911</v>
      </c>
      <c r="G280" s="77">
        <v>148.90038356376911</v>
      </c>
      <c r="H280" s="77">
        <v>148.90038356376911</v>
      </c>
      <c r="I280" s="77">
        <v>148.90038356376911</v>
      </c>
    </row>
    <row r="281" spans="1:9">
      <c r="A281" s="13">
        <v>234</v>
      </c>
      <c r="B281" s="8">
        <v>2023.5964347472695</v>
      </c>
      <c r="C281" s="14">
        <v>948.697956375226</v>
      </c>
      <c r="D281" s="77">
        <v>158.11632606253767</v>
      </c>
      <c r="E281" s="77">
        <v>158.11632606253767</v>
      </c>
      <c r="F281" s="77">
        <v>158.11632606253767</v>
      </c>
      <c r="G281" s="77">
        <v>158.11632606253767</v>
      </c>
      <c r="H281" s="77">
        <v>158.11632606253767</v>
      </c>
      <c r="I281" s="77">
        <v>158.11632606253767</v>
      </c>
    </row>
    <row r="282" spans="1:9">
      <c r="A282" s="13">
        <v>235</v>
      </c>
      <c r="B282" s="8">
        <v>2023.6068556647749</v>
      </c>
      <c r="C282" s="14">
        <v>901.4302156397963</v>
      </c>
      <c r="D282" s="77">
        <v>150.23836927329938</v>
      </c>
      <c r="E282" s="77">
        <v>150.23836927329938</v>
      </c>
      <c r="F282" s="77">
        <v>150.23836927329938</v>
      </c>
      <c r="G282" s="77">
        <v>150.23836927329938</v>
      </c>
      <c r="H282" s="77">
        <v>150.23836927329938</v>
      </c>
      <c r="I282" s="77">
        <v>150.23836927329938</v>
      </c>
    </row>
    <row r="283" spans="1:9">
      <c r="A283" s="13">
        <v>236</v>
      </c>
      <c r="B283" s="8">
        <v>2023.4757774369796</v>
      </c>
      <c r="C283" s="14">
        <v>906.48024808522382</v>
      </c>
      <c r="D283" s="77">
        <v>151.0800413475373</v>
      </c>
      <c r="E283" s="77">
        <v>151.0800413475373</v>
      </c>
      <c r="F283" s="77">
        <v>151.0800413475373</v>
      </c>
      <c r="G283" s="77">
        <v>151.0800413475373</v>
      </c>
      <c r="H283" s="77">
        <v>151.0800413475373</v>
      </c>
      <c r="I283" s="77">
        <v>151.0800413475373</v>
      </c>
    </row>
    <row r="284" spans="1:9">
      <c r="A284" s="13">
        <v>237</v>
      </c>
      <c r="B284" s="8">
        <v>2024.0384281266513</v>
      </c>
      <c r="C284" s="14">
        <v>1010.3292201164317</v>
      </c>
      <c r="D284" s="77">
        <v>168.3882033527386</v>
      </c>
      <c r="E284" s="77">
        <v>168.3882033527386</v>
      </c>
      <c r="F284" s="77">
        <v>168.3882033527386</v>
      </c>
      <c r="G284" s="77">
        <v>168.3882033527386</v>
      </c>
      <c r="H284" s="77">
        <v>168.3882033527386</v>
      </c>
      <c r="I284" s="77">
        <v>168.3882033527386</v>
      </c>
    </row>
    <row r="285" spans="1:9">
      <c r="A285" s="13">
        <v>238</v>
      </c>
      <c r="B285" s="8">
        <v>2023.7807698499576</v>
      </c>
      <c r="C285" s="14">
        <v>1003.6495679992454</v>
      </c>
      <c r="D285" s="77">
        <v>167.27492799987422</v>
      </c>
      <c r="E285" s="77">
        <v>167.27492799987422</v>
      </c>
      <c r="F285" s="77">
        <v>167.27492799987422</v>
      </c>
      <c r="G285" s="77">
        <v>167.27492799987422</v>
      </c>
      <c r="H285" s="77">
        <v>167.27492799987422</v>
      </c>
      <c r="I285" s="77">
        <v>167.27492799987422</v>
      </c>
    </row>
    <row r="286" spans="1:9">
      <c r="A286" s="13">
        <v>239</v>
      </c>
      <c r="B286" s="8">
        <v>2023.4677734107925</v>
      </c>
      <c r="C286" s="14">
        <v>941.25484973793164</v>
      </c>
      <c r="D286" s="77">
        <v>156.87580828965528</v>
      </c>
      <c r="E286" s="77">
        <v>156.87580828965528</v>
      </c>
      <c r="F286" s="77">
        <v>156.87580828965528</v>
      </c>
      <c r="G286" s="77">
        <v>156.87580828965528</v>
      </c>
      <c r="H286" s="77">
        <v>156.87580828965528</v>
      </c>
      <c r="I286" s="77">
        <v>156.87580828965528</v>
      </c>
    </row>
    <row r="287" spans="1:9">
      <c r="A287" s="13">
        <v>240</v>
      </c>
      <c r="B287" s="8">
        <v>2022.7221471756054</v>
      </c>
      <c r="C287" s="14">
        <v>871.04888037467663</v>
      </c>
      <c r="D287" s="77">
        <v>145.17481339577944</v>
      </c>
      <c r="E287" s="77">
        <v>145.17481339577944</v>
      </c>
      <c r="F287" s="77">
        <v>145.17481339577944</v>
      </c>
      <c r="G287" s="77">
        <v>145.17481339577944</v>
      </c>
      <c r="H287" s="77">
        <v>145.17481339577944</v>
      </c>
      <c r="I287" s="77">
        <v>145.17481339577944</v>
      </c>
    </row>
    <row r="288" spans="1:9">
      <c r="A288" s="13">
        <v>241</v>
      </c>
      <c r="B288" s="8">
        <v>2023.2248853906049</v>
      </c>
      <c r="C288" s="14">
        <v>895.56566284702785</v>
      </c>
      <c r="D288" s="77">
        <v>149.26094380783798</v>
      </c>
      <c r="E288" s="77">
        <v>149.26094380783798</v>
      </c>
      <c r="F288" s="77">
        <v>149.26094380783798</v>
      </c>
      <c r="G288" s="77">
        <v>149.26094380783798</v>
      </c>
      <c r="H288" s="77">
        <v>149.26094380783798</v>
      </c>
      <c r="I288" s="77">
        <v>149.26094380783798</v>
      </c>
    </row>
    <row r="289" spans="1:9">
      <c r="A289" s="13">
        <v>242</v>
      </c>
      <c r="B289" s="8">
        <v>2023.1267103381726</v>
      </c>
      <c r="C289" s="14">
        <v>929.06712252452496</v>
      </c>
      <c r="D289" s="77">
        <v>154.84452042075415</v>
      </c>
      <c r="E289" s="77">
        <v>154.84452042075415</v>
      </c>
      <c r="F289" s="77">
        <v>154.84452042075415</v>
      </c>
      <c r="G289" s="77">
        <v>154.84452042075415</v>
      </c>
      <c r="H289" s="77">
        <v>154.84452042075415</v>
      </c>
      <c r="I289" s="77">
        <v>154.84452042075415</v>
      </c>
    </row>
    <row r="290" spans="1:9">
      <c r="A290" s="13">
        <v>243</v>
      </c>
      <c r="B290" s="8">
        <v>2023.2698369262905</v>
      </c>
      <c r="C290" s="14">
        <v>880.98955647289051</v>
      </c>
      <c r="D290" s="77">
        <v>146.83159274548174</v>
      </c>
      <c r="E290" s="77">
        <v>146.83159274548174</v>
      </c>
      <c r="F290" s="77">
        <v>146.83159274548174</v>
      </c>
      <c r="G290" s="77">
        <v>146.83159274548174</v>
      </c>
      <c r="H290" s="77">
        <v>146.83159274548174</v>
      </c>
      <c r="I290" s="77">
        <v>146.83159274548174</v>
      </c>
    </row>
    <row r="291" spans="1:9">
      <c r="A291" s="13">
        <v>244</v>
      </c>
      <c r="B291" s="8">
        <v>2022.8397072167902</v>
      </c>
      <c r="C291" s="14">
        <v>874.56765473355313</v>
      </c>
      <c r="D291" s="77">
        <v>145.76127578892553</v>
      </c>
      <c r="E291" s="77">
        <v>145.76127578892553</v>
      </c>
      <c r="F291" s="77">
        <v>145.76127578892553</v>
      </c>
      <c r="G291" s="77">
        <v>145.76127578892553</v>
      </c>
      <c r="H291" s="77">
        <v>145.76127578892553</v>
      </c>
      <c r="I291" s="77">
        <v>145.76127578892553</v>
      </c>
    </row>
    <row r="292" spans="1:9">
      <c r="A292" s="13">
        <v>245</v>
      </c>
      <c r="B292" s="8">
        <v>2022.9574507201373</v>
      </c>
      <c r="C292" s="14">
        <v>881.23322349012221</v>
      </c>
      <c r="D292" s="77">
        <v>146.87220391502038</v>
      </c>
      <c r="E292" s="77">
        <v>146.87220391502038</v>
      </c>
      <c r="F292" s="77">
        <v>146.87220391502038</v>
      </c>
      <c r="G292" s="77">
        <v>146.87220391502038</v>
      </c>
      <c r="H292" s="77">
        <v>146.87220391502038</v>
      </c>
      <c r="I292" s="77">
        <v>146.87220391502038</v>
      </c>
    </row>
    <row r="293" spans="1:9">
      <c r="A293" s="13">
        <v>246</v>
      </c>
      <c r="B293" s="8">
        <v>2023.4242047534012</v>
      </c>
      <c r="C293" s="14">
        <v>975.56332399318967</v>
      </c>
      <c r="D293" s="77">
        <v>162.59388733219828</v>
      </c>
      <c r="E293" s="77">
        <v>162.59388733219828</v>
      </c>
      <c r="F293" s="77">
        <v>162.59388733219828</v>
      </c>
      <c r="G293" s="77">
        <v>162.59388733219828</v>
      </c>
      <c r="H293" s="77">
        <v>162.59388733219828</v>
      </c>
      <c r="I293" s="77">
        <v>162.59388733219828</v>
      </c>
    </row>
    <row r="294" spans="1:9">
      <c r="A294" s="13">
        <v>247</v>
      </c>
      <c r="B294" s="8">
        <v>2023.0478708251248</v>
      </c>
      <c r="C294" s="14">
        <v>895.9679129606028</v>
      </c>
      <c r="D294" s="77">
        <v>149.3279854934338</v>
      </c>
      <c r="E294" s="77">
        <v>149.3279854934338</v>
      </c>
      <c r="F294" s="77">
        <v>149.3279854934338</v>
      </c>
      <c r="G294" s="77">
        <v>149.3279854934338</v>
      </c>
      <c r="H294" s="77">
        <v>149.3279854934338</v>
      </c>
      <c r="I294" s="77">
        <v>149.3279854934338</v>
      </c>
    </row>
    <row r="295" spans="1:9">
      <c r="A295" s="13">
        <v>248</v>
      </c>
      <c r="B295" s="8">
        <v>2023.131631702322</v>
      </c>
      <c r="C295" s="14">
        <v>905.79193943300311</v>
      </c>
      <c r="D295" s="77">
        <v>150.96532323883386</v>
      </c>
      <c r="E295" s="77">
        <v>150.96532323883386</v>
      </c>
      <c r="F295" s="77">
        <v>150.96532323883386</v>
      </c>
      <c r="G295" s="77">
        <v>150.96532323883386</v>
      </c>
      <c r="H295" s="77">
        <v>150.96532323883386</v>
      </c>
      <c r="I295" s="77">
        <v>150.96532323883386</v>
      </c>
    </row>
    <row r="296" spans="1:9">
      <c r="A296" s="13">
        <v>249</v>
      </c>
      <c r="B296" s="8">
        <v>2022.5770447471725</v>
      </c>
      <c r="C296" s="14">
        <v>804.27010981628678</v>
      </c>
      <c r="D296" s="77">
        <v>134.04501830271445</v>
      </c>
      <c r="E296" s="77">
        <v>134.04501830271445</v>
      </c>
      <c r="F296" s="77">
        <v>134.04501830271445</v>
      </c>
      <c r="G296" s="77">
        <v>134.04501830271445</v>
      </c>
      <c r="H296" s="77">
        <v>134.04501830271445</v>
      </c>
      <c r="I296" s="77">
        <v>134.04501830271445</v>
      </c>
    </row>
    <row r="297" spans="1:9">
      <c r="A297" s="13">
        <v>250</v>
      </c>
      <c r="B297" s="8">
        <v>2023.3505343379168</v>
      </c>
      <c r="C297" s="14">
        <v>949.56018276024395</v>
      </c>
      <c r="D297" s="77">
        <v>158.26003046004067</v>
      </c>
      <c r="E297" s="77">
        <v>158.26003046004067</v>
      </c>
      <c r="F297" s="77">
        <v>158.26003046004067</v>
      </c>
      <c r="G297" s="77">
        <v>158.26003046004067</v>
      </c>
      <c r="H297" s="77">
        <v>158.26003046004067</v>
      </c>
      <c r="I297" s="77">
        <v>158.26003046004067</v>
      </c>
    </row>
    <row r="298" spans="1:9">
      <c r="A298" s="13">
        <v>251</v>
      </c>
      <c r="B298" s="8">
        <v>2022.9944135902967</v>
      </c>
      <c r="C298" s="14">
        <v>830.68054873712492</v>
      </c>
      <c r="D298" s="77">
        <v>138.44675812285416</v>
      </c>
      <c r="E298" s="77">
        <v>138.44675812285416</v>
      </c>
      <c r="F298" s="77">
        <v>138.44675812285416</v>
      </c>
      <c r="G298" s="77">
        <v>138.44675812285416</v>
      </c>
      <c r="H298" s="77">
        <v>138.44675812285416</v>
      </c>
      <c r="I298" s="77">
        <v>138.44675812285416</v>
      </c>
    </row>
    <row r="299" spans="1:9">
      <c r="A299" s="13">
        <v>252</v>
      </c>
      <c r="B299" s="8">
        <v>2022.7871254540016</v>
      </c>
      <c r="C299" s="14">
        <v>921.05942892964458</v>
      </c>
      <c r="D299" s="77">
        <v>153.50990482160742</v>
      </c>
      <c r="E299" s="77">
        <v>153.50990482160742</v>
      </c>
      <c r="F299" s="77">
        <v>153.50990482160742</v>
      </c>
      <c r="G299" s="77">
        <v>153.50990482160742</v>
      </c>
      <c r="H299" s="77">
        <v>153.50990482160742</v>
      </c>
      <c r="I299" s="77">
        <v>153.50990482160742</v>
      </c>
    </row>
    <row r="300" spans="1:9">
      <c r="A300" s="13">
        <v>253</v>
      </c>
      <c r="B300" s="8">
        <v>2023.3783005085554</v>
      </c>
      <c r="C300" s="14">
        <v>951.05169355249939</v>
      </c>
      <c r="D300" s="77">
        <v>158.50861559208323</v>
      </c>
      <c r="E300" s="77">
        <v>158.50861559208323</v>
      </c>
      <c r="F300" s="77">
        <v>158.50861559208323</v>
      </c>
      <c r="G300" s="77">
        <v>158.50861559208323</v>
      </c>
      <c r="H300" s="77">
        <v>158.50861559208323</v>
      </c>
      <c r="I300" s="77">
        <v>158.50861559208323</v>
      </c>
    </row>
    <row r="301" spans="1:9">
      <c r="A301" s="13">
        <v>254</v>
      </c>
      <c r="B301" s="8">
        <v>2023.356193452245</v>
      </c>
      <c r="C301" s="14">
        <v>992.78653816961003</v>
      </c>
      <c r="D301" s="77">
        <v>165.46442302826833</v>
      </c>
      <c r="E301" s="77">
        <v>165.46442302826833</v>
      </c>
      <c r="F301" s="77">
        <v>165.46442302826833</v>
      </c>
      <c r="G301" s="77">
        <v>165.46442302826833</v>
      </c>
      <c r="H301" s="77">
        <v>165.46442302826833</v>
      </c>
      <c r="I301" s="77">
        <v>165.46442302826833</v>
      </c>
    </row>
    <row r="302" spans="1:9">
      <c r="A302" s="13">
        <v>255</v>
      </c>
      <c r="B302" s="8">
        <v>2023.7465535984134</v>
      </c>
      <c r="C302" s="14">
        <v>968.67833945634322</v>
      </c>
      <c r="D302" s="77">
        <v>161.44638990939055</v>
      </c>
      <c r="E302" s="77">
        <v>161.44638990939055</v>
      </c>
      <c r="F302" s="77">
        <v>161.44638990939055</v>
      </c>
      <c r="G302" s="77">
        <v>161.44638990939055</v>
      </c>
      <c r="H302" s="77">
        <v>161.44638990939055</v>
      </c>
      <c r="I302" s="77">
        <v>161.44638990939055</v>
      </c>
    </row>
    <row r="303" spans="1:9">
      <c r="A303" s="13">
        <v>256</v>
      </c>
      <c r="B303" s="8">
        <v>2025.2384701874389</v>
      </c>
      <c r="C303" s="14">
        <v>1156.2538189408745</v>
      </c>
      <c r="D303" s="77">
        <v>192.70896982347907</v>
      </c>
      <c r="E303" s="77">
        <v>192.70896982347907</v>
      </c>
      <c r="F303" s="77">
        <v>192.70896982347907</v>
      </c>
      <c r="G303" s="77">
        <v>192.70896982347907</v>
      </c>
      <c r="H303" s="77">
        <v>192.70896982347907</v>
      </c>
      <c r="I303" s="77">
        <v>192.70896982347907</v>
      </c>
    </row>
    <row r="304" spans="1:9">
      <c r="A304" s="13">
        <v>257</v>
      </c>
      <c r="B304" s="8">
        <v>2023.1359257971178</v>
      </c>
      <c r="C304" s="14">
        <v>951.4518212161239</v>
      </c>
      <c r="D304" s="77">
        <v>158.57530353602064</v>
      </c>
      <c r="E304" s="77">
        <v>158.57530353602064</v>
      </c>
      <c r="F304" s="77">
        <v>158.57530353602064</v>
      </c>
      <c r="G304" s="77">
        <v>158.57530353602064</v>
      </c>
      <c r="H304" s="77">
        <v>158.57530353602064</v>
      </c>
      <c r="I304" s="77">
        <v>158.57530353602064</v>
      </c>
    </row>
    <row r="305" spans="1:9">
      <c r="A305" s="13">
        <v>258</v>
      </c>
      <c r="B305" s="8">
        <v>2023.1591479280646</v>
      </c>
      <c r="C305" s="14">
        <v>968.06034978951664</v>
      </c>
      <c r="D305" s="77">
        <v>161.34339163158612</v>
      </c>
      <c r="E305" s="77">
        <v>161.34339163158612</v>
      </c>
      <c r="F305" s="77">
        <v>161.34339163158612</v>
      </c>
      <c r="G305" s="77">
        <v>161.34339163158612</v>
      </c>
      <c r="H305" s="77">
        <v>161.34339163158612</v>
      </c>
      <c r="I305" s="77">
        <v>161.34339163158612</v>
      </c>
    </row>
    <row r="306" spans="1:9">
      <c r="A306" s="13">
        <v>259</v>
      </c>
      <c r="B306" s="8">
        <v>2024.5379728885048</v>
      </c>
      <c r="C306" s="14">
        <v>1084.8304058439371</v>
      </c>
      <c r="D306" s="77">
        <v>180.80506764065618</v>
      </c>
      <c r="E306" s="77">
        <v>180.80506764065618</v>
      </c>
      <c r="F306" s="77">
        <v>180.80506764065618</v>
      </c>
      <c r="G306" s="77">
        <v>180.80506764065618</v>
      </c>
      <c r="H306" s="77">
        <v>180.80506764065618</v>
      </c>
      <c r="I306" s="77">
        <v>180.80506764065618</v>
      </c>
    </row>
    <row r="307" spans="1:9">
      <c r="A307" s="13">
        <v>260</v>
      </c>
      <c r="B307" s="8">
        <v>2024.7650430419299</v>
      </c>
      <c r="C307" s="14">
        <v>1184.1072463713992</v>
      </c>
      <c r="D307" s="77">
        <v>197.35120772856655</v>
      </c>
      <c r="E307" s="77">
        <v>197.35120772856655</v>
      </c>
      <c r="F307" s="77">
        <v>197.35120772856655</v>
      </c>
      <c r="G307" s="77">
        <v>197.35120772856655</v>
      </c>
      <c r="H307" s="77">
        <v>197.35120772856655</v>
      </c>
      <c r="I307" s="77">
        <v>197.35120772856655</v>
      </c>
    </row>
    <row r="308" spans="1:9">
      <c r="A308" s="13">
        <v>261</v>
      </c>
      <c r="B308" s="8">
        <v>2022.8127137268432</v>
      </c>
      <c r="C308" s="14">
        <v>805.11185208543372</v>
      </c>
      <c r="D308" s="77">
        <v>134.18530868090562</v>
      </c>
      <c r="E308" s="77">
        <v>134.18530868090562</v>
      </c>
      <c r="F308" s="77">
        <v>134.18530868090562</v>
      </c>
      <c r="G308" s="77">
        <v>134.18530868090562</v>
      </c>
      <c r="H308" s="77">
        <v>134.18530868090562</v>
      </c>
      <c r="I308" s="77">
        <v>134.18530868090562</v>
      </c>
    </row>
    <row r="309" spans="1:9">
      <c r="A309" s="13">
        <v>262</v>
      </c>
      <c r="B309" s="8">
        <v>2023.0201733158381</v>
      </c>
      <c r="C309" s="14">
        <v>868.26724500483351</v>
      </c>
      <c r="D309" s="77">
        <v>144.71120750080559</v>
      </c>
      <c r="E309" s="77">
        <v>144.71120750080559</v>
      </c>
      <c r="F309" s="77">
        <v>144.71120750080559</v>
      </c>
      <c r="G309" s="77">
        <v>144.71120750080559</v>
      </c>
      <c r="H309" s="77">
        <v>144.71120750080559</v>
      </c>
      <c r="I309" s="77">
        <v>144.71120750080559</v>
      </c>
    </row>
    <row r="310" spans="1:9">
      <c r="A310" s="13">
        <v>263</v>
      </c>
      <c r="B310" s="8">
        <v>2024.3987582885454</v>
      </c>
      <c r="C310" s="14">
        <v>961.6681139424395</v>
      </c>
      <c r="D310" s="77">
        <v>160.27801899040659</v>
      </c>
      <c r="E310" s="77">
        <v>160.27801899040659</v>
      </c>
      <c r="F310" s="77">
        <v>160.27801899040659</v>
      </c>
      <c r="G310" s="77">
        <v>160.27801899040659</v>
      </c>
      <c r="H310" s="77">
        <v>160.27801899040659</v>
      </c>
      <c r="I310" s="77">
        <v>160.27801899040659</v>
      </c>
    </row>
    <row r="311" spans="1:9">
      <c r="A311" s="13">
        <v>264</v>
      </c>
      <c r="B311" s="8">
        <v>2023.554800373975</v>
      </c>
      <c r="C311" s="14">
        <v>1004.0124538421824</v>
      </c>
      <c r="D311" s="77">
        <v>167.33540897369707</v>
      </c>
      <c r="E311" s="77">
        <v>167.33540897369707</v>
      </c>
      <c r="F311" s="77">
        <v>167.33540897369707</v>
      </c>
      <c r="G311" s="77">
        <v>167.33540897369707</v>
      </c>
      <c r="H311" s="77">
        <v>167.33540897369707</v>
      </c>
      <c r="I311" s="77">
        <v>167.33540897369707</v>
      </c>
    </row>
    <row r="312" spans="1:9">
      <c r="A312" s="13">
        <v>265</v>
      </c>
      <c r="B312" s="8">
        <v>2023.8680514957334</v>
      </c>
      <c r="C312" s="14">
        <v>993.38280050352421</v>
      </c>
      <c r="D312" s="77">
        <v>165.56380008392071</v>
      </c>
      <c r="E312" s="77">
        <v>165.56380008392071</v>
      </c>
      <c r="F312" s="77">
        <v>165.56380008392071</v>
      </c>
      <c r="G312" s="77">
        <v>165.56380008392071</v>
      </c>
      <c r="H312" s="77">
        <v>165.56380008392071</v>
      </c>
      <c r="I312" s="77">
        <v>165.56380008392071</v>
      </c>
    </row>
    <row r="313" spans="1:9">
      <c r="A313" s="13">
        <v>266</v>
      </c>
      <c r="B313" s="8">
        <v>2023.3379901787162</v>
      </c>
      <c r="C313" s="14">
        <v>911.01341217042511</v>
      </c>
      <c r="D313" s="77">
        <v>151.83556869507086</v>
      </c>
      <c r="E313" s="77">
        <v>151.83556869507086</v>
      </c>
      <c r="F313" s="77">
        <v>151.83556869507086</v>
      </c>
      <c r="G313" s="77">
        <v>151.83556869507086</v>
      </c>
      <c r="H313" s="77">
        <v>151.83556869507086</v>
      </c>
      <c r="I313" s="77">
        <v>151.83556869507086</v>
      </c>
    </row>
    <row r="314" spans="1:9">
      <c r="A314" s="13">
        <v>267</v>
      </c>
      <c r="B314" s="8">
        <v>2024.3703689380222</v>
      </c>
      <c r="C314" s="14">
        <v>1004.2574999234835</v>
      </c>
      <c r="D314" s="77">
        <v>167.37624998724723</v>
      </c>
      <c r="E314" s="77">
        <v>167.37624998724723</v>
      </c>
      <c r="F314" s="77">
        <v>167.37624998724723</v>
      </c>
      <c r="G314" s="77">
        <v>167.37624998724723</v>
      </c>
      <c r="H314" s="77">
        <v>167.37624998724723</v>
      </c>
      <c r="I314" s="77">
        <v>167.37624998724723</v>
      </c>
    </row>
    <row r="315" spans="1:9">
      <c r="A315" s="13">
        <v>268</v>
      </c>
      <c r="B315" s="8">
        <v>2022.7010466491208</v>
      </c>
      <c r="C315" s="14">
        <v>799.89211091941047</v>
      </c>
      <c r="D315" s="77">
        <v>133.31535181990174</v>
      </c>
      <c r="E315" s="77">
        <v>133.31535181990174</v>
      </c>
      <c r="F315" s="77">
        <v>133.31535181990174</v>
      </c>
      <c r="G315" s="77">
        <v>133.31535181990174</v>
      </c>
      <c r="H315" s="77">
        <v>133.31535181990174</v>
      </c>
      <c r="I315" s="77">
        <v>133.31535181990174</v>
      </c>
    </row>
    <row r="316" spans="1:9">
      <c r="A316" s="13">
        <v>269</v>
      </c>
      <c r="B316" s="8">
        <v>2023.9442877445506</v>
      </c>
      <c r="C316" s="14">
        <v>981.77738201993714</v>
      </c>
      <c r="D316" s="77">
        <v>163.62956366998952</v>
      </c>
      <c r="E316" s="77">
        <v>163.62956366998952</v>
      </c>
      <c r="F316" s="77">
        <v>163.62956366998952</v>
      </c>
      <c r="G316" s="77">
        <v>163.62956366998952</v>
      </c>
      <c r="H316" s="77">
        <v>163.62956366998952</v>
      </c>
      <c r="I316" s="77">
        <v>163.62956366998952</v>
      </c>
    </row>
    <row r="317" spans="1:9">
      <c r="A317" s="13">
        <v>270</v>
      </c>
      <c r="B317" s="8">
        <v>2023.1424573279462</v>
      </c>
      <c r="C317" s="14">
        <v>868.03722186810899</v>
      </c>
      <c r="D317" s="77">
        <v>144.67287031135149</v>
      </c>
      <c r="E317" s="77">
        <v>144.67287031135149</v>
      </c>
      <c r="F317" s="77">
        <v>144.67287031135149</v>
      </c>
      <c r="G317" s="77">
        <v>144.67287031135149</v>
      </c>
      <c r="H317" s="77">
        <v>144.67287031135149</v>
      </c>
      <c r="I317" s="77">
        <v>144.67287031135149</v>
      </c>
    </row>
    <row r="318" spans="1:9">
      <c r="A318" s="13">
        <v>271</v>
      </c>
      <c r="B318" s="8">
        <v>2022.9651588718443</v>
      </c>
      <c r="C318" s="14">
        <v>944.20260396436925</v>
      </c>
      <c r="D318" s="77">
        <v>157.3671006607282</v>
      </c>
      <c r="E318" s="77">
        <v>157.3671006607282</v>
      </c>
      <c r="F318" s="77">
        <v>157.3671006607282</v>
      </c>
      <c r="G318" s="77">
        <v>157.3671006607282</v>
      </c>
      <c r="H318" s="77">
        <v>157.3671006607282</v>
      </c>
      <c r="I318" s="77">
        <v>157.3671006607282</v>
      </c>
    </row>
    <row r="319" spans="1:9">
      <c r="A319" s="13">
        <v>272</v>
      </c>
      <c r="B319" s="8">
        <v>2022.8853458941785</v>
      </c>
      <c r="C319" s="14">
        <v>910.58499931752499</v>
      </c>
      <c r="D319" s="77">
        <v>151.76416655292084</v>
      </c>
      <c r="E319" s="77">
        <v>151.76416655292084</v>
      </c>
      <c r="F319" s="77">
        <v>151.76416655292084</v>
      </c>
      <c r="G319" s="77">
        <v>151.76416655292084</v>
      </c>
      <c r="H319" s="77">
        <v>151.76416655292084</v>
      </c>
      <c r="I319" s="77">
        <v>151.76416655292084</v>
      </c>
    </row>
    <row r="320" spans="1:9">
      <c r="A320" s="13">
        <v>273</v>
      </c>
      <c r="B320" s="8">
        <v>2025.0850847000925</v>
      </c>
      <c r="C320" s="14">
        <v>1113.6051914833499</v>
      </c>
      <c r="D320" s="77">
        <v>185.60086524722499</v>
      </c>
      <c r="E320" s="77">
        <v>185.60086524722499</v>
      </c>
      <c r="F320" s="77">
        <v>185.60086524722499</v>
      </c>
      <c r="G320" s="77">
        <v>185.60086524722499</v>
      </c>
      <c r="H320" s="77">
        <v>185.60086524722499</v>
      </c>
      <c r="I320" s="77">
        <v>185.60086524722499</v>
      </c>
    </row>
    <row r="321" spans="1:9">
      <c r="A321" s="13">
        <v>274</v>
      </c>
      <c r="B321" s="8">
        <v>2022.8515937697655</v>
      </c>
      <c r="C321" s="14">
        <v>878.44220356395704</v>
      </c>
      <c r="D321" s="77">
        <v>146.40703392732618</v>
      </c>
      <c r="E321" s="77">
        <v>146.40703392732618</v>
      </c>
      <c r="F321" s="77">
        <v>146.40703392732618</v>
      </c>
      <c r="G321" s="77">
        <v>146.40703392732618</v>
      </c>
      <c r="H321" s="77">
        <v>146.40703392732618</v>
      </c>
      <c r="I321" s="77">
        <v>146.40703392732618</v>
      </c>
    </row>
    <row r="322" spans="1:9">
      <c r="A322" s="13">
        <v>275</v>
      </c>
      <c r="B322" s="8">
        <v>2023.7394057278636</v>
      </c>
      <c r="C322" s="14">
        <v>973.74190617977706</v>
      </c>
      <c r="D322" s="77">
        <v>162.2903176966295</v>
      </c>
      <c r="E322" s="77">
        <v>162.2903176966295</v>
      </c>
      <c r="F322" s="77">
        <v>162.2903176966295</v>
      </c>
      <c r="G322" s="77">
        <v>162.2903176966295</v>
      </c>
      <c r="H322" s="77">
        <v>162.2903176966295</v>
      </c>
      <c r="I322" s="77">
        <v>162.2903176966295</v>
      </c>
    </row>
    <row r="323" spans="1:9">
      <c r="A323" s="13">
        <v>276</v>
      </c>
      <c r="B323" s="8">
        <v>2023.1325677496245</v>
      </c>
      <c r="C323" s="14">
        <v>903.72153220799692</v>
      </c>
      <c r="D323" s="77">
        <v>150.62025536799948</v>
      </c>
      <c r="E323" s="77">
        <v>150.62025536799948</v>
      </c>
      <c r="F323" s="77">
        <v>150.62025536799948</v>
      </c>
      <c r="G323" s="77">
        <v>150.62025536799948</v>
      </c>
      <c r="H323" s="77">
        <v>150.62025536799948</v>
      </c>
      <c r="I323" s="77">
        <v>150.62025536799948</v>
      </c>
    </row>
    <row r="324" spans="1:9">
      <c r="A324" s="13">
        <v>277</v>
      </c>
      <c r="B324" s="8">
        <v>2023.1764319056399</v>
      </c>
      <c r="C324" s="14">
        <v>894.78953095848806</v>
      </c>
      <c r="D324" s="77">
        <v>149.13158849308135</v>
      </c>
      <c r="E324" s="77">
        <v>149.13158849308135</v>
      </c>
      <c r="F324" s="77">
        <v>149.13158849308135</v>
      </c>
      <c r="G324" s="77">
        <v>149.13158849308135</v>
      </c>
      <c r="H324" s="77">
        <v>149.13158849308135</v>
      </c>
      <c r="I324" s="77">
        <v>149.13158849308135</v>
      </c>
    </row>
    <row r="325" spans="1:9">
      <c r="A325" s="13">
        <v>278</v>
      </c>
      <c r="B325" s="8">
        <v>2023.4671160797284</v>
      </c>
      <c r="C325" s="14">
        <v>987.08039702558824</v>
      </c>
      <c r="D325" s="77">
        <v>164.5133995042647</v>
      </c>
      <c r="E325" s="77">
        <v>164.5133995042647</v>
      </c>
      <c r="F325" s="77">
        <v>164.5133995042647</v>
      </c>
      <c r="G325" s="77">
        <v>164.5133995042647</v>
      </c>
      <c r="H325" s="77">
        <v>164.5133995042647</v>
      </c>
      <c r="I325" s="77">
        <v>164.5133995042647</v>
      </c>
    </row>
    <row r="326" spans="1:9">
      <c r="A326" s="13">
        <v>279</v>
      </c>
      <c r="B326" s="8">
        <v>2023.6299868465999</v>
      </c>
      <c r="C326" s="14">
        <v>992.96825193438372</v>
      </c>
      <c r="D326" s="77">
        <v>165.49470865573062</v>
      </c>
      <c r="E326" s="77">
        <v>165.49470865573062</v>
      </c>
      <c r="F326" s="77">
        <v>165.49470865573062</v>
      </c>
      <c r="G326" s="77">
        <v>165.49470865573062</v>
      </c>
      <c r="H326" s="77">
        <v>165.49470865573062</v>
      </c>
      <c r="I326" s="77">
        <v>165.49470865573062</v>
      </c>
    </row>
    <row r="327" spans="1:9">
      <c r="A327" s="13">
        <v>280</v>
      </c>
      <c r="B327" s="8">
        <v>2022.8047558403557</v>
      </c>
      <c r="C327" s="14">
        <v>817.81014522849807</v>
      </c>
      <c r="D327" s="77">
        <v>136.30169087141635</v>
      </c>
      <c r="E327" s="77">
        <v>136.30169087141635</v>
      </c>
      <c r="F327" s="77">
        <v>136.30169087141635</v>
      </c>
      <c r="G327" s="77">
        <v>136.30169087141635</v>
      </c>
      <c r="H327" s="77">
        <v>136.30169087141635</v>
      </c>
      <c r="I327" s="77">
        <v>136.30169087141635</v>
      </c>
    </row>
    <row r="328" spans="1:9">
      <c r="A328" s="13">
        <v>281</v>
      </c>
      <c r="B328" s="8">
        <v>2023.2866595366677</v>
      </c>
      <c r="C328" s="14">
        <v>950.48135472912088</v>
      </c>
      <c r="D328" s="77">
        <v>158.41355912152014</v>
      </c>
      <c r="E328" s="77">
        <v>158.41355912152014</v>
      </c>
      <c r="F328" s="77">
        <v>158.41355912152014</v>
      </c>
      <c r="G328" s="77">
        <v>158.41355912152014</v>
      </c>
      <c r="H328" s="77">
        <v>158.41355912152014</v>
      </c>
      <c r="I328" s="77">
        <v>158.41355912152014</v>
      </c>
    </row>
    <row r="329" spans="1:9">
      <c r="A329" s="13">
        <v>282</v>
      </c>
      <c r="B329" s="8">
        <v>2023.3643019959959</v>
      </c>
      <c r="C329" s="14">
        <v>930.17304766338577</v>
      </c>
      <c r="D329" s="77">
        <v>155.02884127723095</v>
      </c>
      <c r="E329" s="77">
        <v>155.02884127723095</v>
      </c>
      <c r="F329" s="77">
        <v>155.02884127723095</v>
      </c>
      <c r="G329" s="77">
        <v>155.02884127723095</v>
      </c>
      <c r="H329" s="77">
        <v>155.02884127723095</v>
      </c>
      <c r="I329" s="77">
        <v>155.02884127723095</v>
      </c>
    </row>
    <row r="330" spans="1:9">
      <c r="A330" s="13">
        <v>283</v>
      </c>
      <c r="B330" s="8">
        <v>2023.3001629660678</v>
      </c>
      <c r="C330" s="14">
        <v>892.99922865008637</v>
      </c>
      <c r="D330" s="77">
        <v>148.83320477501439</v>
      </c>
      <c r="E330" s="77">
        <v>148.83320477501439</v>
      </c>
      <c r="F330" s="77">
        <v>148.83320477501439</v>
      </c>
      <c r="G330" s="77">
        <v>148.83320477501439</v>
      </c>
      <c r="H330" s="77">
        <v>148.83320477501439</v>
      </c>
      <c r="I330" s="77">
        <v>148.83320477501439</v>
      </c>
    </row>
    <row r="331" spans="1:9">
      <c r="A331" s="13">
        <v>284</v>
      </c>
      <c r="B331" s="8">
        <v>2023.0459740319959</v>
      </c>
      <c r="C331" s="14">
        <v>943.13461334477677</v>
      </c>
      <c r="D331" s="77">
        <v>157.18910222412947</v>
      </c>
      <c r="E331" s="77">
        <v>157.18910222412947</v>
      </c>
      <c r="F331" s="77">
        <v>157.18910222412947</v>
      </c>
      <c r="G331" s="77">
        <v>157.18910222412947</v>
      </c>
      <c r="H331" s="77">
        <v>157.18910222412947</v>
      </c>
      <c r="I331" s="77">
        <v>157.18910222412947</v>
      </c>
    </row>
    <row r="332" spans="1:9">
      <c r="A332" s="13">
        <v>285</v>
      </c>
      <c r="B332" s="8">
        <v>2024.7249794614759</v>
      </c>
      <c r="C332" s="14">
        <v>1100.3441032325013</v>
      </c>
      <c r="D332" s="77">
        <v>183.39068387208354</v>
      </c>
      <c r="E332" s="77">
        <v>183.39068387208354</v>
      </c>
      <c r="F332" s="77">
        <v>183.39068387208354</v>
      </c>
      <c r="G332" s="77">
        <v>183.39068387208354</v>
      </c>
      <c r="H332" s="77">
        <v>183.39068387208354</v>
      </c>
      <c r="I332" s="77">
        <v>183.39068387208354</v>
      </c>
    </row>
    <row r="333" spans="1:9">
      <c r="A333" s="13">
        <v>286</v>
      </c>
      <c r="B333" s="8">
        <v>2023.1693754954454</v>
      </c>
      <c r="C333" s="14">
        <v>914.66815644668429</v>
      </c>
      <c r="D333" s="77">
        <v>152.44469274111404</v>
      </c>
      <c r="E333" s="77">
        <v>152.44469274111404</v>
      </c>
      <c r="F333" s="77">
        <v>152.44469274111404</v>
      </c>
      <c r="G333" s="77">
        <v>152.44469274111404</v>
      </c>
      <c r="H333" s="77">
        <v>152.44469274111404</v>
      </c>
      <c r="I333" s="77">
        <v>152.44469274111404</v>
      </c>
    </row>
    <row r="334" spans="1:9">
      <c r="A334" s="13">
        <v>287</v>
      </c>
      <c r="B334" s="8">
        <v>2023.2727809003225</v>
      </c>
      <c r="C334" s="14">
        <v>914.46818049291926</v>
      </c>
      <c r="D334" s="77">
        <v>152.41136341548653</v>
      </c>
      <c r="E334" s="77">
        <v>152.41136341548653</v>
      </c>
      <c r="F334" s="77">
        <v>152.41136341548653</v>
      </c>
      <c r="G334" s="77">
        <v>152.41136341548653</v>
      </c>
      <c r="H334" s="77">
        <v>152.41136341548653</v>
      </c>
      <c r="I334" s="77">
        <v>152.41136341548653</v>
      </c>
    </row>
    <row r="335" spans="1:9">
      <c r="A335" s="13">
        <v>288</v>
      </c>
      <c r="B335" s="8">
        <v>2022.9580445892886</v>
      </c>
      <c r="C335" s="14">
        <v>822.53053201425507</v>
      </c>
      <c r="D335" s="77">
        <v>137.08842200237584</v>
      </c>
      <c r="E335" s="77">
        <v>137.08842200237584</v>
      </c>
      <c r="F335" s="77">
        <v>137.08842200237584</v>
      </c>
      <c r="G335" s="77">
        <v>137.08842200237584</v>
      </c>
      <c r="H335" s="77">
        <v>137.08842200237584</v>
      </c>
      <c r="I335" s="77">
        <v>137.08842200237584</v>
      </c>
    </row>
    <row r="336" spans="1:9">
      <c r="A336" s="13">
        <v>289</v>
      </c>
      <c r="B336" s="8">
        <v>2023.358202950343</v>
      </c>
      <c r="C336" s="14">
        <v>959.49800746570747</v>
      </c>
      <c r="D336" s="77">
        <v>159.9163345776179</v>
      </c>
      <c r="E336" s="77">
        <v>159.9163345776179</v>
      </c>
      <c r="F336" s="77">
        <v>159.9163345776179</v>
      </c>
      <c r="G336" s="77">
        <v>159.9163345776179</v>
      </c>
      <c r="H336" s="77">
        <v>159.9163345776179</v>
      </c>
      <c r="I336" s="77">
        <v>159.9163345776179</v>
      </c>
    </row>
    <row r="337" spans="1:9">
      <c r="A337" s="13">
        <v>290</v>
      </c>
      <c r="B337" s="8">
        <v>2023.2861154921998</v>
      </c>
      <c r="C337" s="14">
        <v>883.66092620938048</v>
      </c>
      <c r="D337" s="77">
        <v>147.27682103489676</v>
      </c>
      <c r="E337" s="77">
        <v>147.27682103489676</v>
      </c>
      <c r="F337" s="77">
        <v>147.27682103489676</v>
      </c>
      <c r="G337" s="77">
        <v>147.27682103489676</v>
      </c>
      <c r="H337" s="77">
        <v>147.27682103489676</v>
      </c>
      <c r="I337" s="77">
        <v>147.27682103489676</v>
      </c>
    </row>
    <row r="338" spans="1:9">
      <c r="A338" s="13">
        <v>291</v>
      </c>
      <c r="B338" s="8">
        <v>2023.3477393067774</v>
      </c>
      <c r="C338" s="14">
        <v>920.58561056399662</v>
      </c>
      <c r="D338" s="77">
        <v>153.43093509399944</v>
      </c>
      <c r="E338" s="77">
        <v>153.43093509399944</v>
      </c>
      <c r="F338" s="77">
        <v>153.43093509399944</v>
      </c>
      <c r="G338" s="77">
        <v>153.43093509399944</v>
      </c>
      <c r="H338" s="77">
        <v>153.43093509399944</v>
      </c>
      <c r="I338" s="77">
        <v>153.43093509399944</v>
      </c>
    </row>
    <row r="339" spans="1:9">
      <c r="A339" s="13">
        <v>292</v>
      </c>
      <c r="B339" s="8">
        <v>2022.7749274243745</v>
      </c>
      <c r="C339" s="14">
        <v>803.30709133953928</v>
      </c>
      <c r="D339" s="77">
        <v>133.88451522325656</v>
      </c>
      <c r="E339" s="77">
        <v>133.88451522325656</v>
      </c>
      <c r="F339" s="77">
        <v>133.88451522325656</v>
      </c>
      <c r="G339" s="77">
        <v>133.88451522325656</v>
      </c>
      <c r="H339" s="77">
        <v>133.88451522325656</v>
      </c>
      <c r="I339" s="77">
        <v>133.88451522325656</v>
      </c>
    </row>
    <row r="340" spans="1:9">
      <c r="A340" s="13">
        <v>293</v>
      </c>
      <c r="B340" s="8">
        <v>2023.7091856706061</v>
      </c>
      <c r="C340" s="14">
        <v>981.89728623959877</v>
      </c>
      <c r="D340" s="77">
        <v>163.6495477065998</v>
      </c>
      <c r="E340" s="77">
        <v>163.6495477065998</v>
      </c>
      <c r="F340" s="77">
        <v>163.6495477065998</v>
      </c>
      <c r="G340" s="77">
        <v>163.6495477065998</v>
      </c>
      <c r="H340" s="77">
        <v>163.6495477065998</v>
      </c>
      <c r="I340" s="77">
        <v>163.6495477065998</v>
      </c>
    </row>
    <row r="341" spans="1:9">
      <c r="A341" s="13">
        <v>294</v>
      </c>
      <c r="B341" s="8">
        <v>2022.7403955442007</v>
      </c>
      <c r="C341" s="14">
        <v>815.24049592796405</v>
      </c>
      <c r="D341" s="77">
        <v>135.87341598799401</v>
      </c>
      <c r="E341" s="77">
        <v>135.87341598799401</v>
      </c>
      <c r="F341" s="77">
        <v>135.87341598799401</v>
      </c>
      <c r="G341" s="77">
        <v>135.87341598799401</v>
      </c>
      <c r="H341" s="77">
        <v>135.87341598799401</v>
      </c>
      <c r="I341" s="77">
        <v>135.87341598799401</v>
      </c>
    </row>
    <row r="342" spans="1:9">
      <c r="A342" s="13">
        <v>295</v>
      </c>
      <c r="B342" s="8">
        <v>2022.8186277443656</v>
      </c>
      <c r="C342" s="14">
        <v>830.12113526486144</v>
      </c>
      <c r="D342" s="77">
        <v>138.35352254414357</v>
      </c>
      <c r="E342" s="77">
        <v>138.35352254414357</v>
      </c>
      <c r="F342" s="77">
        <v>138.35352254414357</v>
      </c>
      <c r="G342" s="77">
        <v>138.35352254414357</v>
      </c>
      <c r="H342" s="77">
        <v>138.35352254414357</v>
      </c>
      <c r="I342" s="77">
        <v>138.35352254414357</v>
      </c>
    </row>
    <row r="343" spans="1:9">
      <c r="A343" s="13">
        <v>296</v>
      </c>
      <c r="B343" s="8">
        <v>2023.2584128920901</v>
      </c>
      <c r="C343" s="14">
        <v>1005.7536417878505</v>
      </c>
      <c r="D343" s="77">
        <v>167.62560696464175</v>
      </c>
      <c r="E343" s="77">
        <v>167.62560696464175</v>
      </c>
      <c r="F343" s="77">
        <v>167.62560696464175</v>
      </c>
      <c r="G343" s="77">
        <v>167.62560696464175</v>
      </c>
      <c r="H343" s="77">
        <v>167.62560696464175</v>
      </c>
      <c r="I343" s="77">
        <v>167.62560696464175</v>
      </c>
    </row>
    <row r="344" spans="1:9">
      <c r="A344" s="13">
        <v>297</v>
      </c>
      <c r="B344" s="8">
        <v>2023.0235396331234</v>
      </c>
      <c r="C344" s="14">
        <v>877.04493391111123</v>
      </c>
      <c r="D344" s="77">
        <v>146.17415565185186</v>
      </c>
      <c r="E344" s="77">
        <v>146.17415565185186</v>
      </c>
      <c r="F344" s="77">
        <v>146.17415565185186</v>
      </c>
      <c r="G344" s="77">
        <v>146.17415565185186</v>
      </c>
      <c r="H344" s="77">
        <v>146.17415565185186</v>
      </c>
      <c r="I344" s="77">
        <v>146.17415565185186</v>
      </c>
    </row>
    <row r="345" spans="1:9">
      <c r="A345" s="13">
        <v>298</v>
      </c>
      <c r="B345" s="8">
        <v>2023.0774368171967</v>
      </c>
      <c r="C345" s="14">
        <v>901.92224727230587</v>
      </c>
      <c r="D345" s="77">
        <v>150.32037454538431</v>
      </c>
      <c r="E345" s="77">
        <v>150.32037454538431</v>
      </c>
      <c r="F345" s="77">
        <v>150.32037454538431</v>
      </c>
      <c r="G345" s="77">
        <v>150.32037454538431</v>
      </c>
      <c r="H345" s="77">
        <v>150.32037454538431</v>
      </c>
      <c r="I345" s="77">
        <v>150.32037454538431</v>
      </c>
    </row>
    <row r="346" spans="1:9">
      <c r="A346" s="13">
        <v>299</v>
      </c>
      <c r="B346" s="8">
        <v>2023.1049657795129</v>
      </c>
      <c r="C346" s="14">
        <v>950.12920515218411</v>
      </c>
      <c r="D346" s="77">
        <v>158.35486752536403</v>
      </c>
      <c r="E346" s="77">
        <v>158.35486752536403</v>
      </c>
      <c r="F346" s="77">
        <v>158.35486752536403</v>
      </c>
      <c r="G346" s="77">
        <v>158.35486752536403</v>
      </c>
      <c r="H346" s="77">
        <v>158.35486752536403</v>
      </c>
      <c r="I346" s="77">
        <v>158.35486752536403</v>
      </c>
    </row>
    <row r="347" spans="1:9">
      <c r="A347" s="13">
        <v>300</v>
      </c>
      <c r="B347" s="8">
        <v>2023.2837551283476</v>
      </c>
      <c r="C347" s="14">
        <v>962.99246367318165</v>
      </c>
      <c r="D347" s="77">
        <v>160.49874394553026</v>
      </c>
      <c r="E347" s="77">
        <v>160.49874394553026</v>
      </c>
      <c r="F347" s="77">
        <v>160.49874394553026</v>
      </c>
      <c r="G347" s="77">
        <v>160.49874394553026</v>
      </c>
      <c r="H347" s="77">
        <v>160.49874394553026</v>
      </c>
      <c r="I347" s="77">
        <v>160.49874394553026</v>
      </c>
    </row>
    <row r="348" spans="1:9">
      <c r="A348" s="13">
        <v>301</v>
      </c>
      <c r="B348" s="8">
        <v>2023.4776485919588</v>
      </c>
      <c r="C348" s="14">
        <v>923.31527477759744</v>
      </c>
      <c r="D348" s="77">
        <v>153.88587912959957</v>
      </c>
      <c r="E348" s="77">
        <v>153.88587912959957</v>
      </c>
      <c r="F348" s="77">
        <v>153.88587912959957</v>
      </c>
      <c r="G348" s="77">
        <v>153.88587912959957</v>
      </c>
      <c r="H348" s="77">
        <v>153.88587912959957</v>
      </c>
      <c r="I348" s="77">
        <v>153.88587912959957</v>
      </c>
    </row>
    <row r="349" spans="1:9">
      <c r="A349" s="13">
        <v>302</v>
      </c>
      <c r="B349" s="8">
        <v>2022.8649230108401</v>
      </c>
      <c r="C349" s="14">
        <v>864.67571763741933</v>
      </c>
      <c r="D349" s="77">
        <v>144.11261960623656</v>
      </c>
      <c r="E349" s="77">
        <v>144.11261960623656</v>
      </c>
      <c r="F349" s="77">
        <v>144.11261960623656</v>
      </c>
      <c r="G349" s="77">
        <v>144.11261960623656</v>
      </c>
      <c r="H349" s="77">
        <v>144.11261960623656</v>
      </c>
      <c r="I349" s="77">
        <v>144.11261960623656</v>
      </c>
    </row>
    <row r="350" spans="1:9">
      <c r="A350" s="13">
        <v>303</v>
      </c>
      <c r="B350" s="8">
        <v>2023.2466269398267</v>
      </c>
      <c r="C350" s="14">
        <v>897.99151352911201</v>
      </c>
      <c r="D350" s="77">
        <v>149.66525225485199</v>
      </c>
      <c r="E350" s="77">
        <v>149.66525225485199</v>
      </c>
      <c r="F350" s="77">
        <v>149.66525225485199</v>
      </c>
      <c r="G350" s="77">
        <v>149.66525225485199</v>
      </c>
      <c r="H350" s="77">
        <v>149.66525225485199</v>
      </c>
      <c r="I350" s="77">
        <v>149.66525225485199</v>
      </c>
    </row>
    <row r="351" spans="1:9">
      <c r="A351" s="13">
        <v>304</v>
      </c>
      <c r="B351" s="8">
        <v>2022.7326322647534</v>
      </c>
      <c r="C351" s="14">
        <v>881.59380519077672</v>
      </c>
      <c r="D351" s="77">
        <v>146.93230086512946</v>
      </c>
      <c r="E351" s="77">
        <v>146.93230086512946</v>
      </c>
      <c r="F351" s="77">
        <v>146.93230086512946</v>
      </c>
      <c r="G351" s="77">
        <v>146.93230086512946</v>
      </c>
      <c r="H351" s="77">
        <v>146.93230086512946</v>
      </c>
      <c r="I351" s="77">
        <v>146.93230086512946</v>
      </c>
    </row>
    <row r="352" spans="1:9">
      <c r="A352" s="13">
        <v>305</v>
      </c>
      <c r="B352" s="8">
        <v>2024.8837131999783</v>
      </c>
      <c r="C352" s="14">
        <v>1121.8192308127977</v>
      </c>
      <c r="D352" s="77">
        <v>186.96987180213296</v>
      </c>
      <c r="E352" s="77">
        <v>186.96987180213296</v>
      </c>
      <c r="F352" s="77">
        <v>186.96987180213296</v>
      </c>
      <c r="G352" s="77">
        <v>186.96987180213296</v>
      </c>
      <c r="H352" s="77">
        <v>186.96987180213296</v>
      </c>
      <c r="I352" s="77">
        <v>186.96987180213296</v>
      </c>
    </row>
    <row r="353" spans="1:9">
      <c r="A353" s="13">
        <v>306</v>
      </c>
      <c r="B353" s="8">
        <v>2022.9742928034441</v>
      </c>
      <c r="C353" s="14">
        <v>857.52262494212209</v>
      </c>
      <c r="D353" s="77">
        <v>142.92043749035369</v>
      </c>
      <c r="E353" s="77">
        <v>142.92043749035369</v>
      </c>
      <c r="F353" s="77">
        <v>142.92043749035369</v>
      </c>
      <c r="G353" s="77">
        <v>142.92043749035369</v>
      </c>
      <c r="H353" s="77">
        <v>142.92043749035369</v>
      </c>
      <c r="I353" s="77">
        <v>142.92043749035369</v>
      </c>
    </row>
    <row r="354" spans="1:9">
      <c r="A354" s="13">
        <v>307</v>
      </c>
      <c r="B354" s="8">
        <v>2023.3190351306828</v>
      </c>
      <c r="C354" s="14">
        <v>897.1523888582368</v>
      </c>
      <c r="D354" s="77">
        <v>149.52539814303947</v>
      </c>
      <c r="E354" s="77">
        <v>149.52539814303947</v>
      </c>
      <c r="F354" s="77">
        <v>149.52539814303947</v>
      </c>
      <c r="G354" s="77">
        <v>149.52539814303947</v>
      </c>
      <c r="H354" s="77">
        <v>149.52539814303947</v>
      </c>
      <c r="I354" s="77">
        <v>149.52539814303947</v>
      </c>
    </row>
    <row r="355" spans="1:9">
      <c r="A355" s="13">
        <v>308</v>
      </c>
      <c r="B355" s="8">
        <v>2023.4456541928375</v>
      </c>
      <c r="C355" s="14">
        <v>919.97183005458612</v>
      </c>
      <c r="D355" s="77">
        <v>153.32863834243102</v>
      </c>
      <c r="E355" s="77">
        <v>153.32863834243102</v>
      </c>
      <c r="F355" s="77">
        <v>153.32863834243102</v>
      </c>
      <c r="G355" s="77">
        <v>153.32863834243102</v>
      </c>
      <c r="H355" s="77">
        <v>153.32863834243102</v>
      </c>
      <c r="I355" s="77">
        <v>153.32863834243102</v>
      </c>
    </row>
    <row r="356" spans="1:9">
      <c r="A356" s="13">
        <v>309</v>
      </c>
      <c r="B356" s="8">
        <v>2022.6834730780217</v>
      </c>
      <c r="C356" s="14">
        <v>878.63311146909825</v>
      </c>
      <c r="D356" s="77">
        <v>146.43885191151637</v>
      </c>
      <c r="E356" s="77">
        <v>146.43885191151637</v>
      </c>
      <c r="F356" s="77">
        <v>146.43885191151637</v>
      </c>
      <c r="G356" s="77">
        <v>146.43885191151637</v>
      </c>
      <c r="H356" s="77">
        <v>146.43885191151637</v>
      </c>
      <c r="I356" s="77">
        <v>146.43885191151637</v>
      </c>
    </row>
    <row r="357" spans="1:9">
      <c r="A357" s="13">
        <v>310</v>
      </c>
      <c r="B357" s="8">
        <v>2022.8021274878631</v>
      </c>
      <c r="C357" s="14">
        <v>860.68318733563558</v>
      </c>
      <c r="D357" s="77">
        <v>143.44719788927259</v>
      </c>
      <c r="E357" s="77">
        <v>143.44719788927259</v>
      </c>
      <c r="F357" s="77">
        <v>143.44719788927259</v>
      </c>
      <c r="G357" s="77">
        <v>143.44719788927259</v>
      </c>
      <c r="H357" s="77">
        <v>143.44719788927259</v>
      </c>
      <c r="I357" s="77">
        <v>143.44719788927259</v>
      </c>
    </row>
    <row r="358" spans="1:9">
      <c r="A358" s="13">
        <v>311</v>
      </c>
      <c r="B358" s="8">
        <v>2023.1239857083883</v>
      </c>
      <c r="C358" s="14">
        <v>882.6685509259114</v>
      </c>
      <c r="D358" s="77">
        <v>147.11142515431857</v>
      </c>
      <c r="E358" s="77">
        <v>147.11142515431857</v>
      </c>
      <c r="F358" s="77">
        <v>147.11142515431857</v>
      </c>
      <c r="G358" s="77">
        <v>147.11142515431857</v>
      </c>
      <c r="H358" s="77">
        <v>147.11142515431857</v>
      </c>
      <c r="I358" s="77">
        <v>147.11142515431857</v>
      </c>
    </row>
    <row r="359" spans="1:9">
      <c r="A359" s="13">
        <v>312</v>
      </c>
      <c r="B359" s="8">
        <v>2023.4529963162961</v>
      </c>
      <c r="C359" s="14">
        <v>965.94877786818142</v>
      </c>
      <c r="D359" s="77">
        <v>160.99146297803023</v>
      </c>
      <c r="E359" s="77">
        <v>160.99146297803023</v>
      </c>
      <c r="F359" s="77">
        <v>160.99146297803023</v>
      </c>
      <c r="G359" s="77">
        <v>160.99146297803023</v>
      </c>
      <c r="H359" s="77">
        <v>160.99146297803023</v>
      </c>
      <c r="I359" s="77">
        <v>160.99146297803023</v>
      </c>
    </row>
    <row r="360" spans="1:9">
      <c r="A360" s="13">
        <v>313</v>
      </c>
      <c r="B360" s="8">
        <v>2024.6734588774634</v>
      </c>
      <c r="C360" s="14">
        <v>1079.4869938928323</v>
      </c>
      <c r="D360" s="77">
        <v>179.91449898213872</v>
      </c>
      <c r="E360" s="77">
        <v>179.91449898213872</v>
      </c>
      <c r="F360" s="77">
        <v>179.91449898213872</v>
      </c>
      <c r="G360" s="77">
        <v>179.91449898213872</v>
      </c>
      <c r="H360" s="77">
        <v>179.91449898213872</v>
      </c>
      <c r="I360" s="77">
        <v>179.91449898213872</v>
      </c>
    </row>
    <row r="361" spans="1:9">
      <c r="A361" s="13">
        <v>314</v>
      </c>
      <c r="B361" s="8">
        <v>2023.0647858710543</v>
      </c>
      <c r="C361" s="14">
        <v>884.51962521635676</v>
      </c>
      <c r="D361" s="77">
        <v>147.41993753605945</v>
      </c>
      <c r="E361" s="77">
        <v>147.41993753605945</v>
      </c>
      <c r="F361" s="77">
        <v>147.41993753605945</v>
      </c>
      <c r="G361" s="77">
        <v>147.41993753605945</v>
      </c>
      <c r="H361" s="77">
        <v>147.41993753605945</v>
      </c>
      <c r="I361" s="77">
        <v>147.41993753605945</v>
      </c>
    </row>
    <row r="362" spans="1:9">
      <c r="A362" s="13">
        <v>315</v>
      </c>
      <c r="B362" s="8">
        <v>2022.9314069575389</v>
      </c>
      <c r="C362" s="14">
        <v>861.28150025888328</v>
      </c>
      <c r="D362" s="77">
        <v>143.54691670981387</v>
      </c>
      <c r="E362" s="77">
        <v>143.54691670981387</v>
      </c>
      <c r="F362" s="77">
        <v>143.54691670981387</v>
      </c>
      <c r="G362" s="77">
        <v>143.54691670981387</v>
      </c>
      <c r="H362" s="77">
        <v>143.54691670981387</v>
      </c>
      <c r="I362" s="77">
        <v>143.54691670981387</v>
      </c>
    </row>
    <row r="363" spans="1:9">
      <c r="A363" s="13">
        <v>316</v>
      </c>
      <c r="B363" s="8">
        <v>2024.8111259628074</v>
      </c>
      <c r="C363" s="14">
        <v>1093.0907442164319</v>
      </c>
      <c r="D363" s="77">
        <v>182.18179070273865</v>
      </c>
      <c r="E363" s="77">
        <v>182.18179070273865</v>
      </c>
      <c r="F363" s="77">
        <v>182.18179070273865</v>
      </c>
      <c r="G363" s="77">
        <v>182.18179070273865</v>
      </c>
      <c r="H363" s="77">
        <v>182.18179070273865</v>
      </c>
      <c r="I363" s="77">
        <v>182.18179070273865</v>
      </c>
    </row>
    <row r="364" spans="1:9">
      <c r="A364" s="13">
        <v>317</v>
      </c>
      <c r="B364" s="8">
        <v>2023.4484416300725</v>
      </c>
      <c r="C364" s="14">
        <v>953.24071427269121</v>
      </c>
      <c r="D364" s="77">
        <v>158.87345237878188</v>
      </c>
      <c r="E364" s="77">
        <v>158.87345237878188</v>
      </c>
      <c r="F364" s="77">
        <v>158.87345237878188</v>
      </c>
      <c r="G364" s="77">
        <v>158.87345237878188</v>
      </c>
      <c r="H364" s="77">
        <v>158.87345237878188</v>
      </c>
      <c r="I364" s="77">
        <v>158.87345237878188</v>
      </c>
    </row>
    <row r="365" spans="1:9">
      <c r="A365" s="13">
        <v>318</v>
      </c>
      <c r="B365" s="8">
        <v>2023.1509933027112</v>
      </c>
      <c r="C365" s="14">
        <v>940.53124991662082</v>
      </c>
      <c r="D365" s="77">
        <v>156.7552083194368</v>
      </c>
      <c r="E365" s="77">
        <v>156.7552083194368</v>
      </c>
      <c r="F365" s="77">
        <v>156.7552083194368</v>
      </c>
      <c r="G365" s="77">
        <v>156.7552083194368</v>
      </c>
      <c r="H365" s="77">
        <v>156.7552083194368</v>
      </c>
      <c r="I365" s="77">
        <v>156.7552083194368</v>
      </c>
    </row>
    <row r="366" spans="1:9">
      <c r="A366" s="13">
        <v>319</v>
      </c>
      <c r="B366" s="8">
        <v>2023.2422150681214</v>
      </c>
      <c r="C366" s="14">
        <v>927.97757356583372</v>
      </c>
      <c r="D366" s="77">
        <v>154.66292892763894</v>
      </c>
      <c r="E366" s="77">
        <v>154.66292892763894</v>
      </c>
      <c r="F366" s="77">
        <v>154.66292892763894</v>
      </c>
      <c r="G366" s="77">
        <v>154.66292892763894</v>
      </c>
      <c r="H366" s="77">
        <v>154.66292892763894</v>
      </c>
      <c r="I366" s="77">
        <v>154.66292892763894</v>
      </c>
    </row>
    <row r="367" spans="1:9">
      <c r="A367" s="13">
        <v>320</v>
      </c>
      <c r="B367" s="8">
        <v>2023.2644971693853</v>
      </c>
      <c r="C367" s="14">
        <v>861.33478589153458</v>
      </c>
      <c r="D367" s="77">
        <v>143.55579764858911</v>
      </c>
      <c r="E367" s="77">
        <v>143.55579764858911</v>
      </c>
      <c r="F367" s="77">
        <v>143.55579764858911</v>
      </c>
      <c r="G367" s="77">
        <v>143.55579764858911</v>
      </c>
      <c r="H367" s="77">
        <v>143.55579764858911</v>
      </c>
      <c r="I367" s="77">
        <v>143.55579764858911</v>
      </c>
    </row>
    <row r="368" spans="1:9">
      <c r="A368" s="13">
        <v>321</v>
      </c>
      <c r="B368" s="8">
        <v>2023.3622719934026</v>
      </c>
      <c r="C368" s="14">
        <v>901.87700874887582</v>
      </c>
      <c r="D368" s="77">
        <v>150.3128347914793</v>
      </c>
      <c r="E368" s="77">
        <v>150.3128347914793</v>
      </c>
      <c r="F368" s="77">
        <v>150.3128347914793</v>
      </c>
      <c r="G368" s="77">
        <v>150.3128347914793</v>
      </c>
      <c r="H368" s="77">
        <v>150.3128347914793</v>
      </c>
      <c r="I368" s="77">
        <v>150.3128347914793</v>
      </c>
    </row>
    <row r="369" spans="1:9">
      <c r="A369" s="13">
        <v>322</v>
      </c>
      <c r="B369" s="8">
        <v>2023.038363897999</v>
      </c>
      <c r="C369" s="14">
        <v>903.69578278145013</v>
      </c>
      <c r="D369" s="77">
        <v>150.61596379690835</v>
      </c>
      <c r="E369" s="77">
        <v>150.61596379690835</v>
      </c>
      <c r="F369" s="77">
        <v>150.61596379690835</v>
      </c>
      <c r="G369" s="77">
        <v>150.61596379690835</v>
      </c>
      <c r="H369" s="77">
        <v>150.61596379690835</v>
      </c>
      <c r="I369" s="77">
        <v>150.61596379690835</v>
      </c>
    </row>
    <row r="370" spans="1:9">
      <c r="A370" s="13">
        <v>323</v>
      </c>
      <c r="B370" s="8">
        <v>2022.9858526644894</v>
      </c>
      <c r="C370" s="14">
        <v>897.59231525880944</v>
      </c>
      <c r="D370" s="77">
        <v>149.59871920980157</v>
      </c>
      <c r="E370" s="77">
        <v>149.59871920980157</v>
      </c>
      <c r="F370" s="77">
        <v>149.59871920980157</v>
      </c>
      <c r="G370" s="77">
        <v>149.59871920980157</v>
      </c>
      <c r="H370" s="77">
        <v>149.59871920980157</v>
      </c>
      <c r="I370" s="77">
        <v>149.59871920980157</v>
      </c>
    </row>
    <row r="371" spans="1:9">
      <c r="A371" s="13">
        <v>324</v>
      </c>
      <c r="B371" s="8">
        <v>2023.32317172842</v>
      </c>
      <c r="C371" s="14">
        <v>863.9245840943978</v>
      </c>
      <c r="D371" s="77">
        <v>143.98743068239963</v>
      </c>
      <c r="E371" s="77">
        <v>143.98743068239963</v>
      </c>
      <c r="F371" s="77">
        <v>143.98743068239963</v>
      </c>
      <c r="G371" s="77">
        <v>143.98743068239963</v>
      </c>
      <c r="H371" s="77">
        <v>143.98743068239963</v>
      </c>
      <c r="I371" s="77">
        <v>143.98743068239963</v>
      </c>
    </row>
    <row r="372" spans="1:9">
      <c r="A372" s="13">
        <v>325</v>
      </c>
      <c r="B372" s="8">
        <v>2024.5588462736448</v>
      </c>
      <c r="C372" s="14">
        <v>1139.7718094297281</v>
      </c>
      <c r="D372" s="77">
        <v>189.96196823828802</v>
      </c>
      <c r="E372" s="77">
        <v>189.96196823828802</v>
      </c>
      <c r="F372" s="77">
        <v>189.96196823828802</v>
      </c>
      <c r="G372" s="77">
        <v>189.96196823828802</v>
      </c>
      <c r="H372" s="77">
        <v>189.96196823828802</v>
      </c>
      <c r="I372" s="77">
        <v>189.96196823828802</v>
      </c>
    </row>
    <row r="373" spans="1:9">
      <c r="A373" s="13">
        <v>326</v>
      </c>
      <c r="B373" s="8">
        <v>2022.8209595105327</v>
      </c>
      <c r="C373" s="14">
        <v>842.36410543136265</v>
      </c>
      <c r="D373" s="77">
        <v>140.39401757189378</v>
      </c>
      <c r="E373" s="77">
        <v>140.39401757189378</v>
      </c>
      <c r="F373" s="77">
        <v>140.39401757189378</v>
      </c>
      <c r="G373" s="77">
        <v>140.39401757189378</v>
      </c>
      <c r="H373" s="77">
        <v>140.39401757189378</v>
      </c>
      <c r="I373" s="77">
        <v>140.39401757189378</v>
      </c>
    </row>
    <row r="374" spans="1:9">
      <c r="A374" s="13">
        <v>327</v>
      </c>
      <c r="B374" s="8">
        <v>2023.5274490099146</v>
      </c>
      <c r="C374" s="14">
        <v>940.09886236203215</v>
      </c>
      <c r="D374" s="77">
        <v>156.68314372700536</v>
      </c>
      <c r="E374" s="77">
        <v>156.68314372700536</v>
      </c>
      <c r="F374" s="77">
        <v>156.68314372700536</v>
      </c>
      <c r="G374" s="77">
        <v>156.68314372700536</v>
      </c>
      <c r="H374" s="77">
        <v>156.68314372700536</v>
      </c>
      <c r="I374" s="77">
        <v>156.68314372700536</v>
      </c>
    </row>
    <row r="375" spans="1:9">
      <c r="A375" s="13">
        <v>328</v>
      </c>
      <c r="B375" s="8">
        <v>2025.3183307274908</v>
      </c>
      <c r="C375" s="14">
        <v>1168.3240730443363</v>
      </c>
      <c r="D375" s="77">
        <v>194.72067884072271</v>
      </c>
      <c r="E375" s="77">
        <v>194.72067884072271</v>
      </c>
      <c r="F375" s="77">
        <v>194.72067884072271</v>
      </c>
      <c r="G375" s="77">
        <v>194.72067884072271</v>
      </c>
      <c r="H375" s="77">
        <v>194.72067884072271</v>
      </c>
      <c r="I375" s="77">
        <v>194.72067884072271</v>
      </c>
    </row>
    <row r="376" spans="1:9">
      <c r="A376" s="13">
        <v>329</v>
      </c>
      <c r="B376" s="8">
        <v>2024.9769414658576</v>
      </c>
      <c r="C376" s="14">
        <v>1099.0153805764437</v>
      </c>
      <c r="D376" s="77">
        <v>183.16923009607396</v>
      </c>
      <c r="E376" s="77">
        <v>183.16923009607396</v>
      </c>
      <c r="F376" s="77">
        <v>183.16923009607396</v>
      </c>
      <c r="G376" s="77">
        <v>183.16923009607396</v>
      </c>
      <c r="H376" s="77">
        <v>183.16923009607396</v>
      </c>
      <c r="I376" s="77">
        <v>183.16923009607396</v>
      </c>
    </row>
    <row r="377" spans="1:9">
      <c r="A377" s="13">
        <v>330</v>
      </c>
      <c r="B377" s="8">
        <v>2023.7547084030473</v>
      </c>
      <c r="C377" s="14">
        <v>943.28042037385455</v>
      </c>
      <c r="D377" s="77">
        <v>157.21340339564242</v>
      </c>
      <c r="E377" s="77">
        <v>157.21340339564242</v>
      </c>
      <c r="F377" s="77">
        <v>157.21340339564242</v>
      </c>
      <c r="G377" s="77">
        <v>157.21340339564242</v>
      </c>
      <c r="H377" s="77">
        <v>157.21340339564242</v>
      </c>
      <c r="I377" s="77">
        <v>157.21340339564242</v>
      </c>
    </row>
    <row r="378" spans="1:9">
      <c r="A378" s="13">
        <v>331</v>
      </c>
      <c r="B378" s="8">
        <v>2024.9322437609503</v>
      </c>
      <c r="C378" s="14">
        <v>1165.7507096538393</v>
      </c>
      <c r="D378" s="77">
        <v>194.29178494230655</v>
      </c>
      <c r="E378" s="77">
        <v>194.29178494230655</v>
      </c>
      <c r="F378" s="77">
        <v>194.29178494230655</v>
      </c>
      <c r="G378" s="77">
        <v>194.29178494230655</v>
      </c>
      <c r="H378" s="77">
        <v>194.29178494230655</v>
      </c>
      <c r="I378" s="77">
        <v>194.29178494230655</v>
      </c>
    </row>
    <row r="379" spans="1:9">
      <c r="A379" s="13">
        <v>332</v>
      </c>
      <c r="B379" s="8">
        <v>2023.2878042977297</v>
      </c>
      <c r="C379" s="14">
        <v>890.45722975312879</v>
      </c>
      <c r="D379" s="77">
        <v>148.40953829218813</v>
      </c>
      <c r="E379" s="77">
        <v>148.40953829218813</v>
      </c>
      <c r="F379" s="77">
        <v>148.40953829218813</v>
      </c>
      <c r="G379" s="77">
        <v>148.40953829218813</v>
      </c>
      <c r="H379" s="77">
        <v>148.40953829218813</v>
      </c>
      <c r="I379" s="77">
        <v>148.40953829218813</v>
      </c>
    </row>
    <row r="380" spans="1:9">
      <c r="A380" s="13">
        <v>333</v>
      </c>
      <c r="B380" s="8">
        <v>2023.4385544598806</v>
      </c>
      <c r="C380" s="14">
        <v>922.16296232379125</v>
      </c>
      <c r="D380" s="77">
        <v>153.69382705396521</v>
      </c>
      <c r="E380" s="77">
        <v>153.69382705396521</v>
      </c>
      <c r="F380" s="77">
        <v>153.69382705396521</v>
      </c>
      <c r="G380" s="77">
        <v>153.69382705396521</v>
      </c>
      <c r="H380" s="77">
        <v>153.69382705396521</v>
      </c>
      <c r="I380" s="77">
        <v>153.69382705396521</v>
      </c>
    </row>
    <row r="381" spans="1:9">
      <c r="A381" s="13">
        <v>334</v>
      </c>
      <c r="B381" s="8">
        <v>2023.1935083007286</v>
      </c>
      <c r="C381" s="14">
        <v>925.7086830102744</v>
      </c>
      <c r="D381" s="77">
        <v>154.28478050171239</v>
      </c>
      <c r="E381" s="77">
        <v>154.28478050171239</v>
      </c>
      <c r="F381" s="77">
        <v>154.28478050171239</v>
      </c>
      <c r="G381" s="77">
        <v>154.28478050171239</v>
      </c>
      <c r="H381" s="77">
        <v>154.28478050171239</v>
      </c>
      <c r="I381" s="77">
        <v>154.28478050171239</v>
      </c>
    </row>
    <row r="382" spans="1:9">
      <c r="A382" s="13">
        <v>335</v>
      </c>
      <c r="B382" s="8">
        <v>2025.4979017054902</v>
      </c>
      <c r="C382" s="14">
        <v>1238.7271065138493</v>
      </c>
      <c r="D382" s="77">
        <v>206.45451775230822</v>
      </c>
      <c r="E382" s="77">
        <v>206.45451775230822</v>
      </c>
      <c r="F382" s="77">
        <v>206.45451775230822</v>
      </c>
      <c r="G382" s="77">
        <v>206.45451775230822</v>
      </c>
      <c r="H382" s="77">
        <v>206.45451775230822</v>
      </c>
      <c r="I382" s="77">
        <v>206.45451775230822</v>
      </c>
    </row>
    <row r="383" spans="1:9">
      <c r="A383" s="13">
        <v>336</v>
      </c>
      <c r="B383" s="8">
        <v>2023.4305107511182</v>
      </c>
      <c r="C383" s="14">
        <v>974.52248518943156</v>
      </c>
      <c r="D383" s="77">
        <v>162.4204141982386</v>
      </c>
      <c r="E383" s="77">
        <v>162.4204141982386</v>
      </c>
      <c r="F383" s="77">
        <v>162.4204141982386</v>
      </c>
      <c r="G383" s="77">
        <v>162.4204141982386</v>
      </c>
      <c r="H383" s="77">
        <v>162.4204141982386</v>
      </c>
      <c r="I383" s="77">
        <v>162.4204141982386</v>
      </c>
    </row>
    <row r="384" spans="1:9">
      <c r="A384" s="13">
        <v>337</v>
      </c>
      <c r="B384" s="8">
        <v>2022.9829486194076</v>
      </c>
      <c r="C384" s="14">
        <v>875.36572471652801</v>
      </c>
      <c r="D384" s="77">
        <v>145.89428745275467</v>
      </c>
      <c r="E384" s="77">
        <v>145.89428745275467</v>
      </c>
      <c r="F384" s="77">
        <v>145.89428745275467</v>
      </c>
      <c r="G384" s="77">
        <v>145.89428745275467</v>
      </c>
      <c r="H384" s="77">
        <v>145.89428745275467</v>
      </c>
      <c r="I384" s="77">
        <v>145.89428745275467</v>
      </c>
    </row>
    <row r="385" spans="1:9">
      <c r="A385" s="13">
        <v>338</v>
      </c>
      <c r="B385" s="8">
        <v>2024.5845128321423</v>
      </c>
      <c r="C385" s="14">
        <v>1022.6056784305973</v>
      </c>
      <c r="D385" s="77">
        <v>170.43427973843288</v>
      </c>
      <c r="E385" s="77">
        <v>170.43427973843288</v>
      </c>
      <c r="F385" s="77">
        <v>170.43427973843288</v>
      </c>
      <c r="G385" s="77">
        <v>170.43427973843288</v>
      </c>
      <c r="H385" s="77">
        <v>170.43427973843288</v>
      </c>
      <c r="I385" s="77">
        <v>170.43427973843288</v>
      </c>
    </row>
    <row r="386" spans="1:9">
      <c r="A386" s="13">
        <v>339</v>
      </c>
      <c r="B386" s="8">
        <v>2023.3363734553411</v>
      </c>
      <c r="C386" s="14">
        <v>890.41174196978636</v>
      </c>
      <c r="D386" s="77">
        <v>148.40195699496439</v>
      </c>
      <c r="E386" s="77">
        <v>148.40195699496439</v>
      </c>
      <c r="F386" s="77">
        <v>148.40195699496439</v>
      </c>
      <c r="G386" s="77">
        <v>148.40195699496439</v>
      </c>
      <c r="H386" s="77">
        <v>148.40195699496439</v>
      </c>
      <c r="I386" s="77">
        <v>148.40195699496439</v>
      </c>
    </row>
    <row r="387" spans="1:9">
      <c r="A387" s="13">
        <v>340</v>
      </c>
      <c r="B387" s="8">
        <v>2024.2473375108095</v>
      </c>
      <c r="C387" s="14">
        <v>1104.1026704198487</v>
      </c>
      <c r="D387" s="77">
        <v>184.01711173664145</v>
      </c>
      <c r="E387" s="77">
        <v>184.01711173664145</v>
      </c>
      <c r="F387" s="77">
        <v>184.01711173664145</v>
      </c>
      <c r="G387" s="77">
        <v>184.01711173664145</v>
      </c>
      <c r="H387" s="77">
        <v>184.01711173664145</v>
      </c>
      <c r="I387" s="77">
        <v>184.01711173664145</v>
      </c>
    </row>
    <row r="388" spans="1:9">
      <c r="A388" s="13">
        <v>341</v>
      </c>
      <c r="B388" s="8">
        <v>2024.8337178936233</v>
      </c>
      <c r="C388" s="14">
        <v>1151.2134034180956</v>
      </c>
      <c r="D388" s="77">
        <v>191.86890056968261</v>
      </c>
      <c r="E388" s="77">
        <v>191.86890056968261</v>
      </c>
      <c r="F388" s="77">
        <v>191.86890056968261</v>
      </c>
      <c r="G388" s="77">
        <v>191.86890056968261</v>
      </c>
      <c r="H388" s="77">
        <v>191.86890056968261</v>
      </c>
      <c r="I388" s="77">
        <v>191.86890056968261</v>
      </c>
    </row>
    <row r="389" spans="1:9">
      <c r="A389" s="13">
        <v>342</v>
      </c>
      <c r="B389" s="8">
        <v>2023.3874618667478</v>
      </c>
      <c r="C389" s="14">
        <v>907.40225820541718</v>
      </c>
      <c r="D389" s="77">
        <v>151.23370970090286</v>
      </c>
      <c r="E389" s="77">
        <v>151.23370970090286</v>
      </c>
      <c r="F389" s="77">
        <v>151.23370970090286</v>
      </c>
      <c r="G389" s="77">
        <v>151.23370970090286</v>
      </c>
      <c r="H389" s="77">
        <v>151.23370970090286</v>
      </c>
      <c r="I389" s="77">
        <v>151.23370970090286</v>
      </c>
    </row>
    <row r="390" spans="1:9">
      <c r="A390" s="13">
        <v>343</v>
      </c>
      <c r="B390" s="8">
        <v>2023.3952207776956</v>
      </c>
      <c r="C390" s="14">
        <v>973.18980081889129</v>
      </c>
      <c r="D390" s="77">
        <v>162.19830013648189</v>
      </c>
      <c r="E390" s="77">
        <v>162.19830013648189</v>
      </c>
      <c r="F390" s="77">
        <v>162.19830013648189</v>
      </c>
      <c r="G390" s="77">
        <v>162.19830013648189</v>
      </c>
      <c r="H390" s="77">
        <v>162.19830013648189</v>
      </c>
      <c r="I390" s="77">
        <v>162.19830013648189</v>
      </c>
    </row>
    <row r="391" spans="1:9">
      <c r="A391" s="13">
        <v>344</v>
      </c>
      <c r="B391" s="8">
        <v>2024.7499543789247</v>
      </c>
      <c r="C391" s="14">
        <v>1123.2389892937747</v>
      </c>
      <c r="D391" s="77">
        <v>187.20649821562913</v>
      </c>
      <c r="E391" s="77">
        <v>187.20649821562913</v>
      </c>
      <c r="F391" s="77">
        <v>187.20649821562913</v>
      </c>
      <c r="G391" s="77">
        <v>187.20649821562913</v>
      </c>
      <c r="H391" s="77">
        <v>187.20649821562913</v>
      </c>
      <c r="I391" s="77">
        <v>187.20649821562913</v>
      </c>
    </row>
    <row r="392" spans="1:9">
      <c r="A392" s="13">
        <v>345</v>
      </c>
      <c r="B392" s="8">
        <v>2022.9632992550451</v>
      </c>
      <c r="C392" s="14">
        <v>880.98899785208914</v>
      </c>
      <c r="D392" s="77">
        <v>146.83149964201485</v>
      </c>
      <c r="E392" s="77">
        <v>146.83149964201485</v>
      </c>
      <c r="F392" s="77">
        <v>146.83149964201485</v>
      </c>
      <c r="G392" s="77">
        <v>146.83149964201485</v>
      </c>
      <c r="H392" s="77">
        <v>146.83149964201485</v>
      </c>
      <c r="I392" s="77">
        <v>146.83149964201485</v>
      </c>
    </row>
    <row r="393" spans="1:9">
      <c r="A393" s="13">
        <v>346</v>
      </c>
      <c r="B393" s="8">
        <v>2022.8207086923239</v>
      </c>
      <c r="C393" s="14">
        <v>870.95976851055423</v>
      </c>
      <c r="D393" s="77">
        <v>145.1599614184257</v>
      </c>
      <c r="E393" s="77">
        <v>145.1599614184257</v>
      </c>
      <c r="F393" s="77">
        <v>145.1599614184257</v>
      </c>
      <c r="G393" s="77">
        <v>145.1599614184257</v>
      </c>
      <c r="H393" s="77">
        <v>145.1599614184257</v>
      </c>
      <c r="I393" s="77">
        <v>145.1599614184257</v>
      </c>
    </row>
    <row r="394" spans="1:9">
      <c r="A394" s="13">
        <v>347</v>
      </c>
      <c r="B394" s="8">
        <v>2025.7148792694027</v>
      </c>
      <c r="C394" s="14">
        <v>1242.9757619641184</v>
      </c>
      <c r="D394" s="77">
        <v>207.16262699401975</v>
      </c>
      <c r="E394" s="77">
        <v>207.16262699401975</v>
      </c>
      <c r="F394" s="77">
        <v>207.16262699401975</v>
      </c>
      <c r="G394" s="77">
        <v>207.16262699401975</v>
      </c>
      <c r="H394" s="77">
        <v>207.16262699401975</v>
      </c>
      <c r="I394" s="77">
        <v>207.16262699401975</v>
      </c>
    </row>
    <row r="395" spans="1:9">
      <c r="A395" s="13">
        <v>348</v>
      </c>
      <c r="B395" s="8">
        <v>2022.8039630070757</v>
      </c>
      <c r="C395" s="14">
        <v>836.46343528240345</v>
      </c>
      <c r="D395" s="77">
        <v>139.41057254706723</v>
      </c>
      <c r="E395" s="77">
        <v>139.41057254706723</v>
      </c>
      <c r="F395" s="77">
        <v>139.41057254706723</v>
      </c>
      <c r="G395" s="77">
        <v>139.41057254706723</v>
      </c>
      <c r="H395" s="77">
        <v>139.41057254706723</v>
      </c>
      <c r="I395" s="77">
        <v>139.41057254706723</v>
      </c>
    </row>
    <row r="396" spans="1:9">
      <c r="A396" s="13">
        <v>349</v>
      </c>
      <c r="B396" s="8">
        <v>2022.6350016400793</v>
      </c>
      <c r="C396" s="14">
        <v>869.41644254893652</v>
      </c>
      <c r="D396" s="77">
        <v>144.90274042482275</v>
      </c>
      <c r="E396" s="77">
        <v>144.90274042482275</v>
      </c>
      <c r="F396" s="77">
        <v>144.90274042482275</v>
      </c>
      <c r="G396" s="77">
        <v>144.90274042482275</v>
      </c>
      <c r="H396" s="77">
        <v>144.90274042482275</v>
      </c>
      <c r="I396" s="77">
        <v>144.90274042482275</v>
      </c>
    </row>
    <row r="397" spans="1:9">
      <c r="A397" s="13">
        <v>350</v>
      </c>
      <c r="B397" s="8">
        <v>2023.107008006268</v>
      </c>
      <c r="C397" s="14">
        <v>880.78874929702192</v>
      </c>
      <c r="D397" s="77">
        <v>146.79812488283699</v>
      </c>
      <c r="E397" s="77">
        <v>146.79812488283699</v>
      </c>
      <c r="F397" s="77">
        <v>146.79812488283699</v>
      </c>
      <c r="G397" s="77">
        <v>146.79812488283699</v>
      </c>
      <c r="H397" s="77">
        <v>146.79812488283699</v>
      </c>
      <c r="I397" s="77">
        <v>146.79812488283699</v>
      </c>
    </row>
    <row r="398" spans="1:9">
      <c r="A398" s="13">
        <v>351</v>
      </c>
      <c r="B398" s="8">
        <v>2023.8262879879653</v>
      </c>
      <c r="C398" s="14">
        <v>919.92827916349006</v>
      </c>
      <c r="D398" s="77">
        <v>153.32137986058169</v>
      </c>
      <c r="E398" s="77">
        <v>153.32137986058169</v>
      </c>
      <c r="F398" s="77">
        <v>153.32137986058169</v>
      </c>
      <c r="G398" s="77">
        <v>153.32137986058169</v>
      </c>
      <c r="H398" s="77">
        <v>153.32137986058169</v>
      </c>
      <c r="I398" s="77">
        <v>153.32137986058169</v>
      </c>
    </row>
    <row r="399" spans="1:9">
      <c r="A399" s="13">
        <v>352</v>
      </c>
      <c r="B399" s="8">
        <v>2025.1529091652856</v>
      </c>
      <c r="C399" s="14">
        <v>1124.9521593199925</v>
      </c>
      <c r="D399" s="77">
        <v>187.49202655333207</v>
      </c>
      <c r="E399" s="77">
        <v>187.49202655333207</v>
      </c>
      <c r="F399" s="77">
        <v>187.49202655333207</v>
      </c>
      <c r="G399" s="77">
        <v>187.49202655333207</v>
      </c>
      <c r="H399" s="77">
        <v>187.49202655333207</v>
      </c>
      <c r="I399" s="77">
        <v>187.49202655333207</v>
      </c>
    </row>
    <row r="400" spans="1:9">
      <c r="A400" s="13">
        <v>353</v>
      </c>
      <c r="B400" s="8">
        <v>2025.183615810342</v>
      </c>
      <c r="C400" s="14">
        <v>1170.7108768789165</v>
      </c>
      <c r="D400" s="77">
        <v>195.1184794798194</v>
      </c>
      <c r="E400" s="77">
        <v>195.1184794798194</v>
      </c>
      <c r="F400" s="77">
        <v>195.1184794798194</v>
      </c>
      <c r="G400" s="77">
        <v>195.1184794798194</v>
      </c>
      <c r="H400" s="77">
        <v>195.1184794798194</v>
      </c>
      <c r="I400" s="77">
        <v>195.1184794798194</v>
      </c>
    </row>
    <row r="401" spans="1:9">
      <c r="A401" s="13">
        <v>354</v>
      </c>
      <c r="B401" s="8">
        <v>2023.1175280570428</v>
      </c>
      <c r="C401" s="14">
        <v>927.02544811712266</v>
      </c>
      <c r="D401" s="77">
        <v>154.50424135285377</v>
      </c>
      <c r="E401" s="77">
        <v>154.50424135285377</v>
      </c>
      <c r="F401" s="77">
        <v>154.50424135285377</v>
      </c>
      <c r="G401" s="77">
        <v>154.50424135285377</v>
      </c>
      <c r="H401" s="77">
        <v>154.50424135285377</v>
      </c>
      <c r="I401" s="77">
        <v>154.50424135285377</v>
      </c>
    </row>
    <row r="402" spans="1:9">
      <c r="A402" s="13">
        <v>355</v>
      </c>
      <c r="B402" s="8">
        <v>2023.0753060212369</v>
      </c>
      <c r="C402" s="14">
        <v>915.99166660242133</v>
      </c>
      <c r="D402" s="77">
        <v>152.66527776707022</v>
      </c>
      <c r="E402" s="77">
        <v>152.66527776707022</v>
      </c>
      <c r="F402" s="77">
        <v>152.66527776707022</v>
      </c>
      <c r="G402" s="77">
        <v>152.66527776707022</v>
      </c>
      <c r="H402" s="77">
        <v>152.66527776707022</v>
      </c>
      <c r="I402" s="77">
        <v>152.66527776707022</v>
      </c>
    </row>
    <row r="403" spans="1:9">
      <c r="A403" s="13">
        <v>356</v>
      </c>
      <c r="B403" s="8">
        <v>2023.3171653942434</v>
      </c>
      <c r="C403" s="14">
        <v>907.19714872299426</v>
      </c>
      <c r="D403" s="77">
        <v>151.1995247871657</v>
      </c>
      <c r="E403" s="77">
        <v>151.1995247871657</v>
      </c>
      <c r="F403" s="77">
        <v>151.1995247871657</v>
      </c>
      <c r="G403" s="77">
        <v>151.1995247871657</v>
      </c>
      <c r="H403" s="77">
        <v>151.1995247871657</v>
      </c>
      <c r="I403" s="77">
        <v>151.1995247871657</v>
      </c>
    </row>
    <row r="404" spans="1:9">
      <c r="A404" s="13">
        <v>357</v>
      </c>
      <c r="B404" s="8">
        <v>2023.7440387221477</v>
      </c>
      <c r="C404" s="14">
        <v>1019.2741382052606</v>
      </c>
      <c r="D404" s="77">
        <v>169.87902303421009</v>
      </c>
      <c r="E404" s="77">
        <v>169.87902303421009</v>
      </c>
      <c r="F404" s="77">
        <v>169.87902303421009</v>
      </c>
      <c r="G404" s="77">
        <v>169.87902303421009</v>
      </c>
      <c r="H404" s="77">
        <v>169.87902303421009</v>
      </c>
      <c r="I404" s="77">
        <v>169.87902303421009</v>
      </c>
    </row>
    <row r="405" spans="1:9">
      <c r="A405" s="13">
        <v>358</v>
      </c>
      <c r="B405" s="8">
        <v>2022.9303292459829</v>
      </c>
      <c r="C405" s="14">
        <v>918.2714522965648</v>
      </c>
      <c r="D405" s="77">
        <v>153.04524204942746</v>
      </c>
      <c r="E405" s="77">
        <v>153.04524204942746</v>
      </c>
      <c r="F405" s="77">
        <v>153.04524204942746</v>
      </c>
      <c r="G405" s="77">
        <v>153.04524204942746</v>
      </c>
      <c r="H405" s="77">
        <v>153.04524204942746</v>
      </c>
      <c r="I405" s="77">
        <v>153.04524204942746</v>
      </c>
    </row>
    <row r="406" spans="1:9">
      <c r="A406" s="13">
        <v>359</v>
      </c>
      <c r="B406" s="8">
        <v>2024.9715701230241</v>
      </c>
      <c r="C406" s="14">
        <v>1145.5385068246424</v>
      </c>
      <c r="D406" s="77">
        <v>190.92308447077372</v>
      </c>
      <c r="E406" s="77">
        <v>190.92308447077372</v>
      </c>
      <c r="F406" s="77">
        <v>190.92308447077372</v>
      </c>
      <c r="G406" s="77">
        <v>190.92308447077372</v>
      </c>
      <c r="H406" s="77">
        <v>190.92308447077372</v>
      </c>
      <c r="I406" s="77">
        <v>190.92308447077372</v>
      </c>
    </row>
    <row r="407" spans="1:9">
      <c r="A407" s="13">
        <v>360</v>
      </c>
      <c r="B407" s="8">
        <v>2024.3566766294612</v>
      </c>
      <c r="C407" s="14">
        <v>1051.5213349188141</v>
      </c>
      <c r="D407" s="77">
        <v>175.25355581980236</v>
      </c>
      <c r="E407" s="77">
        <v>175.25355581980236</v>
      </c>
      <c r="F407" s="77">
        <v>175.25355581980236</v>
      </c>
      <c r="G407" s="77">
        <v>175.25355581980236</v>
      </c>
      <c r="H407" s="77">
        <v>175.25355581980236</v>
      </c>
      <c r="I407" s="77">
        <v>175.25355581980236</v>
      </c>
    </row>
    <row r="408" spans="1:9">
      <c r="A408" s="13">
        <v>361</v>
      </c>
      <c r="B408" s="8">
        <v>2022.9695071887065</v>
      </c>
      <c r="C408" s="14">
        <v>901.94018583926641</v>
      </c>
      <c r="D408" s="77">
        <v>150.32336430654439</v>
      </c>
      <c r="E408" s="77">
        <v>150.32336430654439</v>
      </c>
      <c r="F408" s="77">
        <v>150.32336430654439</v>
      </c>
      <c r="G408" s="77">
        <v>150.32336430654439</v>
      </c>
      <c r="H408" s="77">
        <v>150.32336430654439</v>
      </c>
      <c r="I408" s="77">
        <v>150.32336430654439</v>
      </c>
    </row>
    <row r="409" spans="1:9">
      <c r="A409" s="13">
        <v>362</v>
      </c>
      <c r="B409" s="8">
        <v>2023.0057814848672</v>
      </c>
      <c r="C409" s="14">
        <v>891.36807334989976</v>
      </c>
      <c r="D409" s="77">
        <v>148.56134555831662</v>
      </c>
      <c r="E409" s="77">
        <v>148.56134555831662</v>
      </c>
      <c r="F409" s="77">
        <v>148.56134555831662</v>
      </c>
      <c r="G409" s="77">
        <v>148.56134555831662</v>
      </c>
      <c r="H409" s="77">
        <v>148.56134555831662</v>
      </c>
      <c r="I409" s="77">
        <v>148.56134555831662</v>
      </c>
    </row>
    <row r="410" spans="1:9">
      <c r="A410" s="13">
        <v>363</v>
      </c>
      <c r="B410" s="8">
        <v>2024.9080070162395</v>
      </c>
      <c r="C410" s="14">
        <v>1120.0215683639567</v>
      </c>
      <c r="D410" s="77">
        <v>186.67026139399277</v>
      </c>
      <c r="E410" s="77">
        <v>186.67026139399277</v>
      </c>
      <c r="F410" s="77">
        <v>186.67026139399277</v>
      </c>
      <c r="G410" s="77">
        <v>186.67026139399277</v>
      </c>
      <c r="H410" s="77">
        <v>186.67026139399277</v>
      </c>
      <c r="I410" s="77">
        <v>186.67026139399277</v>
      </c>
    </row>
    <row r="411" spans="1:9">
      <c r="A411" s="13">
        <v>364</v>
      </c>
      <c r="B411" s="8">
        <v>2025.8120762225381</v>
      </c>
      <c r="C411" s="14">
        <v>1261.5292730911187</v>
      </c>
      <c r="D411" s="77">
        <v>210.25487884851978</v>
      </c>
      <c r="E411" s="77">
        <v>210.25487884851978</v>
      </c>
      <c r="F411" s="77">
        <v>210.25487884851978</v>
      </c>
      <c r="G411" s="77">
        <v>210.25487884851978</v>
      </c>
      <c r="H411" s="77">
        <v>210.25487884851978</v>
      </c>
      <c r="I411" s="77">
        <v>210.25487884851978</v>
      </c>
    </row>
    <row r="412" spans="1:9">
      <c r="A412" s="13">
        <v>365</v>
      </c>
      <c r="B412" s="8">
        <v>2023.4136207325241</v>
      </c>
      <c r="C412" s="14">
        <v>955.73141501352484</v>
      </c>
      <c r="D412" s="77">
        <v>159.28856916892082</v>
      </c>
      <c r="E412" s="77">
        <v>159.28856916892082</v>
      </c>
      <c r="F412" s="77">
        <v>159.28856916892082</v>
      </c>
      <c r="G412" s="77">
        <v>159.28856916892082</v>
      </c>
      <c r="H412" s="77">
        <v>159.28856916892082</v>
      </c>
      <c r="I412" s="77">
        <v>159.28856916892082</v>
      </c>
    </row>
    <row r="413" spans="1:9">
      <c r="A413" s="13">
        <v>366</v>
      </c>
      <c r="B413" s="8">
        <v>2025.5576682162098</v>
      </c>
      <c r="C413" s="14">
        <v>1233.3490277166779</v>
      </c>
      <c r="D413" s="77">
        <v>205.55817128611298</v>
      </c>
      <c r="E413" s="77">
        <v>205.55817128611298</v>
      </c>
      <c r="F413" s="77">
        <v>205.55817128611298</v>
      </c>
      <c r="G413" s="77">
        <v>205.55817128611298</v>
      </c>
      <c r="H413" s="77">
        <v>205.55817128611298</v>
      </c>
      <c r="I413" s="77">
        <v>205.55817128611298</v>
      </c>
    </row>
    <row r="414" spans="1:9">
      <c r="A414" s="13">
        <v>367</v>
      </c>
      <c r="B414" s="8">
        <v>2023.5508415492322</v>
      </c>
      <c r="C414" s="14">
        <v>1024.6522695305382</v>
      </c>
      <c r="D414" s="77">
        <v>170.77537825508969</v>
      </c>
      <c r="E414" s="77">
        <v>170.77537825508969</v>
      </c>
      <c r="F414" s="77">
        <v>170.77537825508969</v>
      </c>
      <c r="G414" s="77">
        <v>170.77537825508969</v>
      </c>
      <c r="H414" s="77">
        <v>170.77537825508969</v>
      </c>
      <c r="I414" s="77">
        <v>170.77537825508969</v>
      </c>
    </row>
    <row r="415" spans="1:9">
      <c r="A415" s="13">
        <v>368</v>
      </c>
      <c r="B415" s="8">
        <v>2024.8431911377891</v>
      </c>
      <c r="C415" s="14">
        <v>1190.4945355326108</v>
      </c>
      <c r="D415" s="77">
        <v>198.41575592210179</v>
      </c>
      <c r="E415" s="77">
        <v>198.41575592210179</v>
      </c>
      <c r="F415" s="77">
        <v>198.41575592210179</v>
      </c>
      <c r="G415" s="77">
        <v>198.41575592210179</v>
      </c>
      <c r="H415" s="77">
        <v>198.41575592210179</v>
      </c>
      <c r="I415" s="77">
        <v>198.41575592210179</v>
      </c>
    </row>
    <row r="416" spans="1:9">
      <c r="A416" s="13">
        <v>369</v>
      </c>
      <c r="B416" s="8">
        <v>2023.7446916270999</v>
      </c>
      <c r="C416" s="14">
        <v>956.64830348614362</v>
      </c>
      <c r="D416" s="77">
        <v>159.44138391435726</v>
      </c>
      <c r="E416" s="77">
        <v>159.44138391435726</v>
      </c>
      <c r="F416" s="77">
        <v>159.44138391435726</v>
      </c>
      <c r="G416" s="77">
        <v>159.44138391435726</v>
      </c>
      <c r="H416" s="77">
        <v>159.44138391435726</v>
      </c>
      <c r="I416" s="77">
        <v>159.44138391435726</v>
      </c>
    </row>
    <row r="417" spans="1:9">
      <c r="A417" s="13">
        <v>370</v>
      </c>
      <c r="B417" s="8">
        <v>2023.4053450008</v>
      </c>
      <c r="C417" s="14">
        <v>938.10278418408643</v>
      </c>
      <c r="D417" s="77">
        <v>156.35046403068108</v>
      </c>
      <c r="E417" s="77">
        <v>156.35046403068108</v>
      </c>
      <c r="F417" s="77">
        <v>156.35046403068108</v>
      </c>
      <c r="G417" s="77">
        <v>156.35046403068108</v>
      </c>
      <c r="H417" s="77">
        <v>156.35046403068108</v>
      </c>
      <c r="I417" s="77">
        <v>156.35046403068108</v>
      </c>
    </row>
    <row r="418" spans="1:9">
      <c r="A418" s="13">
        <v>371</v>
      </c>
      <c r="B418" s="8">
        <v>2024.133599285944</v>
      </c>
      <c r="C418" s="14">
        <v>962.86478527896475</v>
      </c>
      <c r="D418" s="77">
        <v>160.4774642131608</v>
      </c>
      <c r="E418" s="77">
        <v>160.4774642131608</v>
      </c>
      <c r="F418" s="77">
        <v>160.4774642131608</v>
      </c>
      <c r="G418" s="77">
        <v>160.4774642131608</v>
      </c>
      <c r="H418" s="77">
        <v>160.4774642131608</v>
      </c>
      <c r="I418" s="77">
        <v>160.4774642131608</v>
      </c>
    </row>
    <row r="419" spans="1:9">
      <c r="A419" s="13">
        <v>372</v>
      </c>
      <c r="B419" s="8">
        <v>2023.0075730375638</v>
      </c>
      <c r="C419" s="14">
        <v>917.13695237331729</v>
      </c>
      <c r="D419" s="77">
        <v>152.85615872888621</v>
      </c>
      <c r="E419" s="77">
        <v>152.85615872888621</v>
      </c>
      <c r="F419" s="77">
        <v>152.85615872888621</v>
      </c>
      <c r="G419" s="77">
        <v>152.85615872888621</v>
      </c>
      <c r="H419" s="77">
        <v>152.85615872888621</v>
      </c>
      <c r="I419" s="77">
        <v>152.85615872888621</v>
      </c>
    </row>
    <row r="420" spans="1:9">
      <c r="A420" s="13">
        <v>373</v>
      </c>
      <c r="B420" s="8">
        <v>2023.184026849234</v>
      </c>
      <c r="C420" s="14">
        <v>937.68749140608531</v>
      </c>
      <c r="D420" s="77">
        <v>156.28124856768088</v>
      </c>
      <c r="E420" s="77">
        <v>156.28124856768088</v>
      </c>
      <c r="F420" s="77">
        <v>156.28124856768088</v>
      </c>
      <c r="G420" s="77">
        <v>156.28124856768088</v>
      </c>
      <c r="H420" s="77">
        <v>156.28124856768088</v>
      </c>
      <c r="I420" s="77">
        <v>156.28124856768088</v>
      </c>
    </row>
    <row r="421" spans="1:9">
      <c r="A421" s="13">
        <v>374</v>
      </c>
      <c r="B421" s="8">
        <v>2024.5591061303103</v>
      </c>
      <c r="C421" s="14">
        <v>1094.3318089498903</v>
      </c>
      <c r="D421" s="77">
        <v>182.38863482498172</v>
      </c>
      <c r="E421" s="77">
        <v>182.38863482498172</v>
      </c>
      <c r="F421" s="77">
        <v>182.38863482498172</v>
      </c>
      <c r="G421" s="77">
        <v>182.38863482498172</v>
      </c>
      <c r="H421" s="77">
        <v>182.38863482498172</v>
      </c>
      <c r="I421" s="77">
        <v>182.38863482498172</v>
      </c>
    </row>
    <row r="422" spans="1:9">
      <c r="A422" s="13">
        <v>375</v>
      </c>
      <c r="B422" s="8">
        <v>2024.5284629032981</v>
      </c>
      <c r="C422" s="14">
        <v>1046.9712620071125</v>
      </c>
      <c r="D422" s="77">
        <v>174.49521033451876</v>
      </c>
      <c r="E422" s="77">
        <v>174.49521033451876</v>
      </c>
      <c r="F422" s="77">
        <v>174.49521033451876</v>
      </c>
      <c r="G422" s="77">
        <v>174.49521033451876</v>
      </c>
      <c r="H422" s="77">
        <v>174.49521033451876</v>
      </c>
      <c r="I422" s="77">
        <v>174.49521033451876</v>
      </c>
    </row>
    <row r="423" spans="1:9">
      <c r="A423" s="13">
        <v>376</v>
      </c>
      <c r="B423" s="8">
        <v>2023.3761747153376</v>
      </c>
      <c r="C423" s="14">
        <v>921.61048903234814</v>
      </c>
      <c r="D423" s="77">
        <v>153.60174817205802</v>
      </c>
      <c r="E423" s="77">
        <v>153.60174817205802</v>
      </c>
      <c r="F423" s="77">
        <v>153.60174817205802</v>
      </c>
      <c r="G423" s="77">
        <v>153.60174817205802</v>
      </c>
      <c r="H423" s="77">
        <v>153.60174817205802</v>
      </c>
      <c r="I423" s="77">
        <v>153.60174817205802</v>
      </c>
    </row>
    <row r="424" spans="1:9">
      <c r="A424" s="13">
        <v>377</v>
      </c>
      <c r="B424" s="8">
        <v>2022.9187338745423</v>
      </c>
      <c r="C424" s="14">
        <v>862.80531291331351</v>
      </c>
      <c r="D424" s="77">
        <v>143.80088548555224</v>
      </c>
      <c r="E424" s="77">
        <v>143.80088548555224</v>
      </c>
      <c r="F424" s="77">
        <v>143.80088548555224</v>
      </c>
      <c r="G424" s="77">
        <v>143.80088548555224</v>
      </c>
      <c r="H424" s="77">
        <v>143.80088548555224</v>
      </c>
      <c r="I424" s="77">
        <v>143.80088548555224</v>
      </c>
    </row>
    <row r="425" spans="1:9">
      <c r="A425" s="13">
        <v>378</v>
      </c>
      <c r="B425" s="8">
        <v>2024.6528707499594</v>
      </c>
      <c r="C425" s="14">
        <v>1043.315053056911</v>
      </c>
      <c r="D425" s="77">
        <v>173.88584217615184</v>
      </c>
      <c r="E425" s="77">
        <v>173.88584217615184</v>
      </c>
      <c r="F425" s="77">
        <v>173.88584217615184</v>
      </c>
      <c r="G425" s="77">
        <v>173.88584217615184</v>
      </c>
      <c r="H425" s="77">
        <v>173.88584217615184</v>
      </c>
      <c r="I425" s="77">
        <v>173.88584217615184</v>
      </c>
    </row>
    <row r="426" spans="1:9">
      <c r="A426" s="13">
        <v>379</v>
      </c>
      <c r="B426" s="8">
        <v>2023.838505026069</v>
      </c>
      <c r="C426" s="14">
        <v>1008.8062155684252</v>
      </c>
      <c r="D426" s="77">
        <v>168.1343692614042</v>
      </c>
      <c r="E426" s="77">
        <v>168.1343692614042</v>
      </c>
      <c r="F426" s="77">
        <v>168.1343692614042</v>
      </c>
      <c r="G426" s="77">
        <v>168.1343692614042</v>
      </c>
      <c r="H426" s="77">
        <v>168.1343692614042</v>
      </c>
      <c r="I426" s="77">
        <v>168.1343692614042</v>
      </c>
    </row>
    <row r="427" spans="1:9">
      <c r="A427" s="13">
        <v>380</v>
      </c>
      <c r="B427" s="8">
        <v>2023.3933972157608</v>
      </c>
      <c r="C427" s="14">
        <v>873.74572822800394</v>
      </c>
      <c r="D427" s="77">
        <v>145.62428803800066</v>
      </c>
      <c r="E427" s="77">
        <v>145.62428803800066</v>
      </c>
      <c r="F427" s="77">
        <v>145.62428803800066</v>
      </c>
      <c r="G427" s="77">
        <v>145.62428803800066</v>
      </c>
      <c r="H427" s="77">
        <v>145.62428803800066</v>
      </c>
      <c r="I427" s="77">
        <v>145.62428803800066</v>
      </c>
    </row>
    <row r="428" spans="1:9">
      <c r="A428" s="13">
        <v>381</v>
      </c>
      <c r="B428" s="8">
        <v>2023.0683314118462</v>
      </c>
      <c r="C428" s="14">
        <v>947.88930101329584</v>
      </c>
      <c r="D428" s="77">
        <v>157.98155016888265</v>
      </c>
      <c r="E428" s="77">
        <v>157.98155016888265</v>
      </c>
      <c r="F428" s="77">
        <v>157.98155016888265</v>
      </c>
      <c r="G428" s="77">
        <v>157.98155016888265</v>
      </c>
      <c r="H428" s="77">
        <v>157.98155016888265</v>
      </c>
      <c r="I428" s="77">
        <v>157.98155016888265</v>
      </c>
    </row>
    <row r="429" spans="1:9">
      <c r="A429" s="13">
        <v>382</v>
      </c>
      <c r="B429" s="8">
        <v>2024.4494770045635</v>
      </c>
      <c r="C429" s="14">
        <v>1053.7415048711368</v>
      </c>
      <c r="D429" s="77">
        <v>175.62358414518948</v>
      </c>
      <c r="E429" s="77">
        <v>175.62358414518948</v>
      </c>
      <c r="F429" s="77">
        <v>175.62358414518948</v>
      </c>
      <c r="G429" s="77">
        <v>175.62358414518948</v>
      </c>
      <c r="H429" s="77">
        <v>175.62358414518948</v>
      </c>
      <c r="I429" s="77">
        <v>175.62358414518948</v>
      </c>
    </row>
    <row r="430" spans="1:9">
      <c r="A430" s="13">
        <v>383</v>
      </c>
      <c r="B430" s="8">
        <v>2023.9477843702357</v>
      </c>
      <c r="C430" s="14">
        <v>964.45189461011148</v>
      </c>
      <c r="D430" s="77">
        <v>160.74198243501857</v>
      </c>
      <c r="E430" s="77">
        <v>160.74198243501857</v>
      </c>
      <c r="F430" s="77">
        <v>160.74198243501857</v>
      </c>
      <c r="G430" s="77">
        <v>160.74198243501857</v>
      </c>
      <c r="H430" s="77">
        <v>160.74198243501857</v>
      </c>
      <c r="I430" s="77">
        <v>160.74198243501857</v>
      </c>
    </row>
    <row r="431" spans="1:9">
      <c r="A431" s="13">
        <v>384</v>
      </c>
      <c r="B431" s="8">
        <v>2023.2719218910515</v>
      </c>
      <c r="C431" s="14">
        <v>898.22999732328151</v>
      </c>
      <c r="D431" s="77">
        <v>149.70499955388024</v>
      </c>
      <c r="E431" s="77">
        <v>149.70499955388024</v>
      </c>
      <c r="F431" s="77">
        <v>149.70499955388024</v>
      </c>
      <c r="G431" s="77">
        <v>149.70499955388024</v>
      </c>
      <c r="H431" s="77">
        <v>149.70499955388024</v>
      </c>
      <c r="I431" s="77">
        <v>149.70499955388024</v>
      </c>
    </row>
    <row r="432" spans="1:9">
      <c r="A432" s="13">
        <v>385</v>
      </c>
      <c r="B432" s="8">
        <v>2023.3235887789424</v>
      </c>
      <c r="C432" s="14">
        <v>864.81114641851912</v>
      </c>
      <c r="D432" s="77">
        <v>144.13519106975318</v>
      </c>
      <c r="E432" s="77">
        <v>144.13519106975318</v>
      </c>
      <c r="F432" s="77">
        <v>144.13519106975318</v>
      </c>
      <c r="G432" s="77">
        <v>144.13519106975318</v>
      </c>
      <c r="H432" s="77">
        <v>144.13519106975318</v>
      </c>
      <c r="I432" s="77">
        <v>144.13519106975318</v>
      </c>
    </row>
    <row r="433" spans="1:9">
      <c r="A433" s="13">
        <v>386</v>
      </c>
      <c r="B433" s="8">
        <v>2023.3634862871791</v>
      </c>
      <c r="C433" s="14">
        <v>944.19357282401882</v>
      </c>
      <c r="D433" s="77">
        <v>157.3655954706698</v>
      </c>
      <c r="E433" s="77">
        <v>157.3655954706698</v>
      </c>
      <c r="F433" s="77">
        <v>157.3655954706698</v>
      </c>
      <c r="G433" s="77">
        <v>157.3655954706698</v>
      </c>
      <c r="H433" s="77">
        <v>157.3655954706698</v>
      </c>
      <c r="I433" s="77">
        <v>157.3655954706698</v>
      </c>
    </row>
    <row r="434" spans="1:9">
      <c r="A434" s="13">
        <v>387</v>
      </c>
      <c r="B434" s="8">
        <v>2024.7941142109021</v>
      </c>
      <c r="C434" s="14">
        <v>1064.9996117749645</v>
      </c>
      <c r="D434" s="77">
        <v>177.49993529582741</v>
      </c>
      <c r="E434" s="77">
        <v>177.49993529582741</v>
      </c>
      <c r="F434" s="77">
        <v>177.49993529582741</v>
      </c>
      <c r="G434" s="77">
        <v>177.49993529582741</v>
      </c>
      <c r="H434" s="77">
        <v>177.49993529582741</v>
      </c>
      <c r="I434" s="77">
        <v>177.49993529582741</v>
      </c>
    </row>
    <row r="435" spans="1:9">
      <c r="A435" s="13">
        <v>388</v>
      </c>
      <c r="B435" s="8">
        <v>2025.7910742819179</v>
      </c>
      <c r="C435" s="14">
        <v>1271.8377700971487</v>
      </c>
      <c r="D435" s="77">
        <v>211.97296168285811</v>
      </c>
      <c r="E435" s="77">
        <v>211.97296168285811</v>
      </c>
      <c r="F435" s="77">
        <v>211.97296168285811</v>
      </c>
      <c r="G435" s="77">
        <v>211.97296168285811</v>
      </c>
      <c r="H435" s="77">
        <v>211.97296168285811</v>
      </c>
      <c r="I435" s="77">
        <v>211.97296168285811</v>
      </c>
    </row>
    <row r="436" spans="1:9">
      <c r="A436" s="13">
        <v>389</v>
      </c>
      <c r="B436" s="8">
        <v>2024.3876207659582</v>
      </c>
      <c r="C436" s="14">
        <v>1040.0925075374466</v>
      </c>
      <c r="D436" s="77">
        <v>173.34875125624112</v>
      </c>
      <c r="E436" s="77">
        <v>173.34875125624112</v>
      </c>
      <c r="F436" s="77">
        <v>173.34875125624112</v>
      </c>
      <c r="G436" s="77">
        <v>173.34875125624112</v>
      </c>
      <c r="H436" s="77">
        <v>173.34875125624112</v>
      </c>
      <c r="I436" s="77">
        <v>173.34875125624112</v>
      </c>
    </row>
    <row r="437" spans="1:9">
      <c r="A437" s="13">
        <v>390</v>
      </c>
      <c r="B437" s="8">
        <v>2025.0714779788411</v>
      </c>
      <c r="C437" s="14">
        <v>1229.4025555255525</v>
      </c>
      <c r="D437" s="77">
        <v>204.90042592092541</v>
      </c>
      <c r="E437" s="77">
        <v>204.90042592092541</v>
      </c>
      <c r="F437" s="77">
        <v>204.90042592092541</v>
      </c>
      <c r="G437" s="77">
        <v>204.90042592092541</v>
      </c>
      <c r="H437" s="77">
        <v>204.90042592092541</v>
      </c>
      <c r="I437" s="77">
        <v>204.90042592092541</v>
      </c>
    </row>
    <row r="438" spans="1:9">
      <c r="A438" s="13">
        <v>391</v>
      </c>
      <c r="B438" s="8">
        <v>2023.3568692866943</v>
      </c>
      <c r="C438" s="14">
        <v>894.49555124007429</v>
      </c>
      <c r="D438" s="77">
        <v>149.08259187334571</v>
      </c>
      <c r="E438" s="77">
        <v>149.08259187334571</v>
      </c>
      <c r="F438" s="77">
        <v>149.08259187334571</v>
      </c>
      <c r="G438" s="77">
        <v>149.08259187334571</v>
      </c>
      <c r="H438" s="77">
        <v>149.08259187334571</v>
      </c>
      <c r="I438" s="77">
        <v>149.08259187334571</v>
      </c>
    </row>
    <row r="439" spans="1:9">
      <c r="A439" s="13">
        <v>392</v>
      </c>
      <c r="B439" s="8">
        <v>2023.7757579598137</v>
      </c>
      <c r="C439" s="14">
        <v>1063.7185681139526</v>
      </c>
      <c r="D439" s="77">
        <v>177.2864280189921</v>
      </c>
      <c r="E439" s="77">
        <v>177.2864280189921</v>
      </c>
      <c r="F439" s="77">
        <v>177.2864280189921</v>
      </c>
      <c r="G439" s="77">
        <v>177.2864280189921</v>
      </c>
      <c r="H439" s="77">
        <v>177.2864280189921</v>
      </c>
      <c r="I439" s="77">
        <v>177.2864280189921</v>
      </c>
    </row>
    <row r="440" spans="1:9">
      <c r="A440" s="13">
        <v>393</v>
      </c>
      <c r="B440" s="8">
        <v>2023.1004447227128</v>
      </c>
      <c r="C440" s="14">
        <v>858.84287641542119</v>
      </c>
      <c r="D440" s="77">
        <v>143.14047940257021</v>
      </c>
      <c r="E440" s="77">
        <v>143.14047940257021</v>
      </c>
      <c r="F440" s="77">
        <v>143.14047940257021</v>
      </c>
      <c r="G440" s="77">
        <v>143.14047940257021</v>
      </c>
      <c r="H440" s="77">
        <v>143.14047940257021</v>
      </c>
      <c r="I440" s="77">
        <v>143.14047940257021</v>
      </c>
    </row>
    <row r="441" spans="1:9">
      <c r="A441" s="13">
        <v>394</v>
      </c>
      <c r="B441" s="8">
        <v>2022.9273353314445</v>
      </c>
      <c r="C441" s="14">
        <v>844.90174261493701</v>
      </c>
      <c r="D441" s="77">
        <v>140.81695710248951</v>
      </c>
      <c r="E441" s="77">
        <v>140.81695710248951</v>
      </c>
      <c r="F441" s="77">
        <v>140.81695710248951</v>
      </c>
      <c r="G441" s="77">
        <v>140.81695710248951</v>
      </c>
      <c r="H441" s="77">
        <v>140.81695710248951</v>
      </c>
      <c r="I441" s="77">
        <v>140.81695710248951</v>
      </c>
    </row>
    <row r="442" spans="1:9">
      <c r="A442" s="13">
        <v>395</v>
      </c>
      <c r="B442" s="8">
        <v>2022.6973257828463</v>
      </c>
      <c r="C442" s="14">
        <v>909.62495974194724</v>
      </c>
      <c r="D442" s="77">
        <v>151.6041599569912</v>
      </c>
      <c r="E442" s="77">
        <v>151.6041599569912</v>
      </c>
      <c r="F442" s="77">
        <v>151.6041599569912</v>
      </c>
      <c r="G442" s="77">
        <v>151.6041599569912</v>
      </c>
      <c r="H442" s="77">
        <v>151.6041599569912</v>
      </c>
      <c r="I442" s="77">
        <v>151.6041599569912</v>
      </c>
    </row>
    <row r="443" spans="1:9">
      <c r="A443" s="13">
        <v>396</v>
      </c>
      <c r="B443" s="8">
        <v>2024.9043718458106</v>
      </c>
      <c r="C443" s="14">
        <v>1068.8281339104271</v>
      </c>
      <c r="D443" s="77">
        <v>178.13802231840452</v>
      </c>
      <c r="E443" s="77">
        <v>178.13802231840452</v>
      </c>
      <c r="F443" s="77">
        <v>178.13802231840452</v>
      </c>
      <c r="G443" s="77">
        <v>178.13802231840452</v>
      </c>
      <c r="H443" s="77">
        <v>178.13802231840452</v>
      </c>
      <c r="I443" s="77">
        <v>178.13802231840452</v>
      </c>
    </row>
    <row r="444" spans="1:9">
      <c r="A444" s="13">
        <v>397</v>
      </c>
      <c r="B444" s="8">
        <v>2023.3672216330374</v>
      </c>
      <c r="C444" s="14">
        <v>942.35763286999031</v>
      </c>
      <c r="D444" s="77">
        <v>157.05960547833172</v>
      </c>
      <c r="E444" s="77">
        <v>157.05960547833172</v>
      </c>
      <c r="F444" s="77">
        <v>157.05960547833172</v>
      </c>
      <c r="G444" s="77">
        <v>157.05960547833172</v>
      </c>
      <c r="H444" s="77">
        <v>157.05960547833172</v>
      </c>
      <c r="I444" s="77">
        <v>157.05960547833172</v>
      </c>
    </row>
    <row r="445" spans="1:9">
      <c r="A445" s="13">
        <v>398</v>
      </c>
      <c r="B445" s="8">
        <v>2023.3152459582568</v>
      </c>
      <c r="C445" s="14">
        <v>933.52210981517123</v>
      </c>
      <c r="D445" s="77">
        <v>155.58701830252855</v>
      </c>
      <c r="E445" s="77">
        <v>155.58701830252855</v>
      </c>
      <c r="F445" s="77">
        <v>155.58701830252855</v>
      </c>
      <c r="G445" s="77">
        <v>155.58701830252855</v>
      </c>
      <c r="H445" s="77">
        <v>155.58701830252855</v>
      </c>
      <c r="I445" s="77">
        <v>155.58701830252855</v>
      </c>
    </row>
    <row r="446" spans="1:9">
      <c r="A446" s="13">
        <v>399</v>
      </c>
      <c r="B446" s="8">
        <v>2023.20319066107</v>
      </c>
      <c r="C446" s="14">
        <v>919.46895650667102</v>
      </c>
      <c r="D446" s="77">
        <v>153.24482608444518</v>
      </c>
      <c r="E446" s="77">
        <v>153.24482608444518</v>
      </c>
      <c r="F446" s="77">
        <v>153.24482608444518</v>
      </c>
      <c r="G446" s="77">
        <v>153.24482608444518</v>
      </c>
      <c r="H446" s="77">
        <v>153.24482608444518</v>
      </c>
      <c r="I446" s="77">
        <v>153.24482608444518</v>
      </c>
    </row>
    <row r="447" spans="1:9">
      <c r="A447" s="13">
        <v>400</v>
      </c>
      <c r="B447" s="8">
        <v>2024.9513894666825</v>
      </c>
      <c r="C447" s="14">
        <v>1143.5540675208258</v>
      </c>
      <c r="D447" s="77">
        <v>190.5923445868043</v>
      </c>
      <c r="E447" s="77">
        <v>190.5923445868043</v>
      </c>
      <c r="F447" s="77">
        <v>190.5923445868043</v>
      </c>
      <c r="G447" s="77">
        <v>190.5923445868043</v>
      </c>
      <c r="H447" s="77">
        <v>190.5923445868043</v>
      </c>
      <c r="I447" s="77">
        <v>190.5923445868043</v>
      </c>
    </row>
    <row r="448" spans="1:9">
      <c r="A448" s="13">
        <v>401</v>
      </c>
      <c r="B448" s="8">
        <v>2022.7973697672226</v>
      </c>
      <c r="C448" s="14">
        <v>850.74489969180638</v>
      </c>
      <c r="D448" s="77">
        <v>141.79081661530105</v>
      </c>
      <c r="E448" s="77">
        <v>141.79081661530105</v>
      </c>
      <c r="F448" s="77">
        <v>141.79081661530105</v>
      </c>
      <c r="G448" s="77">
        <v>141.79081661530105</v>
      </c>
      <c r="H448" s="77">
        <v>141.79081661530105</v>
      </c>
      <c r="I448" s="77">
        <v>141.79081661530105</v>
      </c>
    </row>
    <row r="449" spans="1:9">
      <c r="A449" s="13">
        <v>402</v>
      </c>
      <c r="B449" s="8">
        <v>2023.7128320153031</v>
      </c>
      <c r="C449" s="14">
        <v>1014.6385864973379</v>
      </c>
      <c r="D449" s="77">
        <v>169.10643108288966</v>
      </c>
      <c r="E449" s="77">
        <v>169.10643108288966</v>
      </c>
      <c r="F449" s="77">
        <v>169.10643108288966</v>
      </c>
      <c r="G449" s="77">
        <v>169.10643108288966</v>
      </c>
      <c r="H449" s="77">
        <v>169.10643108288966</v>
      </c>
      <c r="I449" s="77">
        <v>169.10643108288966</v>
      </c>
    </row>
    <row r="450" spans="1:9">
      <c r="A450" s="13">
        <v>403</v>
      </c>
      <c r="B450" s="8">
        <v>2023.2850756406933</v>
      </c>
      <c r="C450" s="14">
        <v>914.5661984001822</v>
      </c>
      <c r="D450" s="77">
        <v>152.42769973336371</v>
      </c>
      <c r="E450" s="77">
        <v>152.42769973336371</v>
      </c>
      <c r="F450" s="77">
        <v>152.42769973336371</v>
      </c>
      <c r="G450" s="77">
        <v>152.42769973336371</v>
      </c>
      <c r="H450" s="77">
        <v>152.42769973336371</v>
      </c>
      <c r="I450" s="77">
        <v>152.42769973336371</v>
      </c>
    </row>
    <row r="451" spans="1:9">
      <c r="A451" s="13">
        <v>404</v>
      </c>
      <c r="B451" s="8">
        <v>2024.8369329765692</v>
      </c>
      <c r="C451" s="14">
        <v>1137.9737324298828</v>
      </c>
      <c r="D451" s="77">
        <v>189.6622887383138</v>
      </c>
      <c r="E451" s="77">
        <v>189.6622887383138</v>
      </c>
      <c r="F451" s="77">
        <v>189.6622887383138</v>
      </c>
      <c r="G451" s="77">
        <v>189.6622887383138</v>
      </c>
      <c r="H451" s="77">
        <v>189.6622887383138</v>
      </c>
      <c r="I451" s="77">
        <v>189.6622887383138</v>
      </c>
    </row>
    <row r="452" spans="1:9">
      <c r="A452" s="13">
        <v>405</v>
      </c>
      <c r="B452" s="8">
        <v>2024.9777948084632</v>
      </c>
      <c r="C452" s="14">
        <v>1117.9680430963406</v>
      </c>
      <c r="D452" s="77">
        <v>186.32800718272344</v>
      </c>
      <c r="E452" s="77">
        <v>186.32800718272344</v>
      </c>
      <c r="F452" s="77">
        <v>186.32800718272344</v>
      </c>
      <c r="G452" s="77">
        <v>186.32800718272344</v>
      </c>
      <c r="H452" s="77">
        <v>186.32800718272344</v>
      </c>
      <c r="I452" s="77">
        <v>186.32800718272344</v>
      </c>
    </row>
    <row r="453" spans="1:9">
      <c r="A453" s="13">
        <v>406</v>
      </c>
      <c r="B453" s="8">
        <v>2023.1853458004387</v>
      </c>
      <c r="C453" s="14">
        <v>869.68891265524439</v>
      </c>
      <c r="D453" s="77">
        <v>144.9481521092074</v>
      </c>
      <c r="E453" s="77">
        <v>144.9481521092074</v>
      </c>
      <c r="F453" s="77">
        <v>144.9481521092074</v>
      </c>
      <c r="G453" s="77">
        <v>144.9481521092074</v>
      </c>
      <c r="H453" s="77">
        <v>144.9481521092074</v>
      </c>
      <c r="I453" s="77">
        <v>144.9481521092074</v>
      </c>
    </row>
    <row r="454" spans="1:9">
      <c r="A454" s="13">
        <v>407</v>
      </c>
      <c r="B454" s="8">
        <v>2023.0460954701239</v>
      </c>
      <c r="C454" s="14">
        <v>888.42642940663143</v>
      </c>
      <c r="D454" s="77">
        <v>148.0710715677719</v>
      </c>
      <c r="E454" s="77">
        <v>148.0710715677719</v>
      </c>
      <c r="F454" s="77">
        <v>148.0710715677719</v>
      </c>
      <c r="G454" s="77">
        <v>148.0710715677719</v>
      </c>
      <c r="H454" s="77">
        <v>148.0710715677719</v>
      </c>
      <c r="I454" s="77">
        <v>148.0710715677719</v>
      </c>
    </row>
    <row r="455" spans="1:9">
      <c r="A455" s="13">
        <v>408</v>
      </c>
      <c r="B455" s="8">
        <v>2024.7967663571305</v>
      </c>
      <c r="C455" s="14">
        <v>1118.5910573002379</v>
      </c>
      <c r="D455" s="77">
        <v>186.43184288337298</v>
      </c>
      <c r="E455" s="77">
        <v>186.43184288337298</v>
      </c>
      <c r="F455" s="77">
        <v>186.43184288337298</v>
      </c>
      <c r="G455" s="77">
        <v>186.43184288337298</v>
      </c>
      <c r="H455" s="77">
        <v>186.43184288337298</v>
      </c>
      <c r="I455" s="77">
        <v>186.43184288337298</v>
      </c>
    </row>
    <row r="456" spans="1:9">
      <c r="A456" s="13">
        <v>409</v>
      </c>
      <c r="B456" s="8">
        <v>2025.4336683275685</v>
      </c>
      <c r="C456" s="14">
        <v>1210.8279445193823</v>
      </c>
      <c r="D456" s="77">
        <v>201.80465741989704</v>
      </c>
      <c r="E456" s="77">
        <v>201.80465741989704</v>
      </c>
      <c r="F456" s="77">
        <v>201.80465741989704</v>
      </c>
      <c r="G456" s="77">
        <v>201.80465741989704</v>
      </c>
      <c r="H456" s="77">
        <v>201.80465741989704</v>
      </c>
      <c r="I456" s="77">
        <v>201.80465741989704</v>
      </c>
    </row>
    <row r="457" spans="1:9">
      <c r="A457" s="13">
        <v>410</v>
      </c>
      <c r="B457" s="8">
        <v>2024.7742602980366</v>
      </c>
      <c r="C457" s="14">
        <v>1183.914030322396</v>
      </c>
      <c r="D457" s="77">
        <v>197.31900505373267</v>
      </c>
      <c r="E457" s="77">
        <v>197.31900505373267</v>
      </c>
      <c r="F457" s="77">
        <v>197.31900505373267</v>
      </c>
      <c r="G457" s="77">
        <v>197.31900505373267</v>
      </c>
      <c r="H457" s="77">
        <v>197.31900505373267</v>
      </c>
      <c r="I457" s="77">
        <v>197.31900505373267</v>
      </c>
    </row>
    <row r="458" spans="1:9">
      <c r="A458" s="13">
        <v>411</v>
      </c>
      <c r="B458" s="8">
        <v>2024.2605270689764</v>
      </c>
      <c r="C458" s="14">
        <v>1050.4052280665792</v>
      </c>
      <c r="D458" s="77">
        <v>175.06753801109653</v>
      </c>
      <c r="E458" s="77">
        <v>175.06753801109653</v>
      </c>
      <c r="F458" s="77">
        <v>175.06753801109653</v>
      </c>
      <c r="G458" s="77">
        <v>175.06753801109653</v>
      </c>
      <c r="H458" s="77">
        <v>175.06753801109653</v>
      </c>
      <c r="I458" s="77">
        <v>175.06753801109653</v>
      </c>
    </row>
    <row r="459" spans="1:9">
      <c r="A459" s="13">
        <v>412</v>
      </c>
      <c r="B459" s="8">
        <v>2024.5841860792127</v>
      </c>
      <c r="C459" s="14">
        <v>1044.2580611344324</v>
      </c>
      <c r="D459" s="77">
        <v>174.04301018907208</v>
      </c>
      <c r="E459" s="77">
        <v>174.04301018907208</v>
      </c>
      <c r="F459" s="77">
        <v>174.04301018907208</v>
      </c>
      <c r="G459" s="77">
        <v>174.04301018907208</v>
      </c>
      <c r="H459" s="77">
        <v>174.04301018907208</v>
      </c>
      <c r="I459" s="77">
        <v>174.04301018907208</v>
      </c>
    </row>
    <row r="460" spans="1:9">
      <c r="A460" s="13">
        <v>413</v>
      </c>
      <c r="B460" s="8">
        <v>2023.2335810107102</v>
      </c>
      <c r="C460" s="14">
        <v>856.76151406767269</v>
      </c>
      <c r="D460" s="77">
        <v>142.79358567794546</v>
      </c>
      <c r="E460" s="77">
        <v>142.79358567794546</v>
      </c>
      <c r="F460" s="77">
        <v>142.79358567794546</v>
      </c>
      <c r="G460" s="77">
        <v>142.79358567794546</v>
      </c>
      <c r="H460" s="77">
        <v>142.79358567794546</v>
      </c>
      <c r="I460" s="77">
        <v>142.79358567794546</v>
      </c>
    </row>
    <row r="461" spans="1:9">
      <c r="A461" s="13">
        <v>414</v>
      </c>
      <c r="B461" s="8">
        <v>2023.1480438387973</v>
      </c>
      <c r="C461" s="14">
        <v>895.87443314053996</v>
      </c>
      <c r="D461" s="77">
        <v>149.31240552342334</v>
      </c>
      <c r="E461" s="77">
        <v>149.31240552342334</v>
      </c>
      <c r="F461" s="77">
        <v>149.31240552342334</v>
      </c>
      <c r="G461" s="77">
        <v>149.31240552342334</v>
      </c>
      <c r="H461" s="77">
        <v>149.31240552342334</v>
      </c>
      <c r="I461" s="77">
        <v>149.31240552342334</v>
      </c>
    </row>
    <row r="462" spans="1:9">
      <c r="A462" s="13">
        <v>415</v>
      </c>
      <c r="B462" s="8">
        <v>2023.4744230820081</v>
      </c>
      <c r="C462" s="14">
        <v>1008.413731939803</v>
      </c>
      <c r="D462" s="77">
        <v>168.06895532330051</v>
      </c>
      <c r="E462" s="77">
        <v>168.06895532330051</v>
      </c>
      <c r="F462" s="77">
        <v>168.06895532330051</v>
      </c>
      <c r="G462" s="77">
        <v>168.06895532330051</v>
      </c>
      <c r="H462" s="77">
        <v>168.06895532330051</v>
      </c>
      <c r="I462" s="77">
        <v>168.06895532330051</v>
      </c>
    </row>
    <row r="463" spans="1:9">
      <c r="A463" s="13">
        <v>416</v>
      </c>
      <c r="B463" s="8">
        <v>2023.6096961283604</v>
      </c>
      <c r="C463" s="14">
        <v>997.6095135340272</v>
      </c>
      <c r="D463" s="77">
        <v>166.2682522556712</v>
      </c>
      <c r="E463" s="77">
        <v>166.2682522556712</v>
      </c>
      <c r="F463" s="77">
        <v>166.2682522556712</v>
      </c>
      <c r="G463" s="77">
        <v>166.2682522556712</v>
      </c>
      <c r="H463" s="77">
        <v>166.2682522556712</v>
      </c>
      <c r="I463" s="77">
        <v>166.2682522556712</v>
      </c>
    </row>
    <row r="464" spans="1:9">
      <c r="A464" s="13">
        <v>417</v>
      </c>
      <c r="B464" s="8">
        <v>2023.2076847469727</v>
      </c>
      <c r="C464" s="14">
        <v>858.54062514926272</v>
      </c>
      <c r="D464" s="77">
        <v>143.09010419154379</v>
      </c>
      <c r="E464" s="77">
        <v>143.09010419154379</v>
      </c>
      <c r="F464" s="77">
        <v>143.09010419154379</v>
      </c>
      <c r="G464" s="77">
        <v>143.09010419154379</v>
      </c>
      <c r="H464" s="77">
        <v>143.09010419154379</v>
      </c>
      <c r="I464" s="77">
        <v>143.09010419154379</v>
      </c>
    </row>
    <row r="465" spans="1:9">
      <c r="A465" s="13">
        <v>418</v>
      </c>
      <c r="B465" s="8">
        <v>2024.9517515143477</v>
      </c>
      <c r="C465" s="14">
        <v>1137.8574488937159</v>
      </c>
      <c r="D465" s="77">
        <v>189.64290814895264</v>
      </c>
      <c r="E465" s="77">
        <v>189.64290814895264</v>
      </c>
      <c r="F465" s="77">
        <v>189.64290814895264</v>
      </c>
      <c r="G465" s="77">
        <v>189.64290814895264</v>
      </c>
      <c r="H465" s="77">
        <v>189.64290814895264</v>
      </c>
      <c r="I465" s="77">
        <v>189.64290814895264</v>
      </c>
    </row>
    <row r="466" spans="1:9">
      <c r="A466" s="13">
        <v>419</v>
      </c>
      <c r="B466" s="8">
        <v>2023.3570833349095</v>
      </c>
      <c r="C466" s="14">
        <v>856.09833440019383</v>
      </c>
      <c r="D466" s="77">
        <v>142.68305573336565</v>
      </c>
      <c r="E466" s="77">
        <v>142.68305573336565</v>
      </c>
      <c r="F466" s="77">
        <v>142.68305573336565</v>
      </c>
      <c r="G466" s="77">
        <v>142.68305573336565</v>
      </c>
      <c r="H466" s="77">
        <v>142.68305573336565</v>
      </c>
      <c r="I466" s="77">
        <v>142.68305573336565</v>
      </c>
    </row>
    <row r="467" spans="1:9">
      <c r="A467" s="13">
        <v>420</v>
      </c>
      <c r="B467" s="8">
        <v>2024.341278412679</v>
      </c>
      <c r="C467" s="14">
        <v>1084.091642073568</v>
      </c>
      <c r="D467" s="77">
        <v>180.68194034559465</v>
      </c>
      <c r="E467" s="77">
        <v>180.68194034559465</v>
      </c>
      <c r="F467" s="77">
        <v>180.68194034559465</v>
      </c>
      <c r="G467" s="77">
        <v>180.68194034559465</v>
      </c>
      <c r="H467" s="77">
        <v>180.68194034559465</v>
      </c>
      <c r="I467" s="77">
        <v>180.68194034559465</v>
      </c>
    </row>
    <row r="468" spans="1:9">
      <c r="A468" s="13">
        <v>421</v>
      </c>
      <c r="B468" s="8">
        <v>2023.1523508813852</v>
      </c>
      <c r="C468" s="14">
        <v>920.7268381980532</v>
      </c>
      <c r="D468" s="77">
        <v>153.45447303300887</v>
      </c>
      <c r="E468" s="77">
        <v>153.45447303300887</v>
      </c>
      <c r="F468" s="77">
        <v>153.45447303300887</v>
      </c>
      <c r="G468" s="77">
        <v>153.45447303300887</v>
      </c>
      <c r="H468" s="77">
        <v>153.45447303300887</v>
      </c>
      <c r="I468" s="77">
        <v>153.45447303300887</v>
      </c>
    </row>
    <row r="469" spans="1:9">
      <c r="A469" s="13">
        <v>422</v>
      </c>
      <c r="B469" s="8">
        <v>2024.9889529093527</v>
      </c>
      <c r="C469" s="14">
        <v>1074.4260573040588</v>
      </c>
      <c r="D469" s="77">
        <v>179.07100955067645</v>
      </c>
      <c r="E469" s="77">
        <v>179.07100955067645</v>
      </c>
      <c r="F469" s="77">
        <v>179.07100955067645</v>
      </c>
      <c r="G469" s="77">
        <v>179.07100955067645</v>
      </c>
      <c r="H469" s="77">
        <v>179.07100955067645</v>
      </c>
      <c r="I469" s="77">
        <v>179.07100955067645</v>
      </c>
    </row>
    <row r="470" spans="1:9">
      <c r="A470" s="13">
        <v>423</v>
      </c>
      <c r="B470" s="8">
        <v>2022.9503526972469</v>
      </c>
      <c r="C470" s="14">
        <v>854.3164530025615</v>
      </c>
      <c r="D470" s="77">
        <v>142.38607550042693</v>
      </c>
      <c r="E470" s="77">
        <v>142.38607550042693</v>
      </c>
      <c r="F470" s="77">
        <v>142.38607550042693</v>
      </c>
      <c r="G470" s="77">
        <v>142.38607550042693</v>
      </c>
      <c r="H470" s="77">
        <v>142.38607550042693</v>
      </c>
      <c r="I470" s="77">
        <v>142.38607550042693</v>
      </c>
    </row>
    <row r="471" spans="1:9">
      <c r="A471" s="13">
        <v>424</v>
      </c>
      <c r="B471" s="8">
        <v>2024.3500196497025</v>
      </c>
      <c r="C471" s="14">
        <v>1061.9626252335718</v>
      </c>
      <c r="D471" s="77">
        <v>176.99377087226196</v>
      </c>
      <c r="E471" s="77">
        <v>176.99377087226196</v>
      </c>
      <c r="F471" s="77">
        <v>176.99377087226196</v>
      </c>
      <c r="G471" s="77">
        <v>176.99377087226196</v>
      </c>
      <c r="H471" s="77">
        <v>176.99377087226196</v>
      </c>
      <c r="I471" s="77">
        <v>176.99377087226196</v>
      </c>
    </row>
    <row r="472" spans="1:9">
      <c r="A472" s="13">
        <v>425</v>
      </c>
      <c r="B472" s="8">
        <v>2022.6974808041905</v>
      </c>
      <c r="C472" s="14">
        <v>837.0488194719394</v>
      </c>
      <c r="D472" s="77">
        <v>139.50813657865658</v>
      </c>
      <c r="E472" s="77">
        <v>139.50813657865658</v>
      </c>
      <c r="F472" s="77">
        <v>139.50813657865658</v>
      </c>
      <c r="G472" s="77">
        <v>139.50813657865658</v>
      </c>
      <c r="H472" s="77">
        <v>139.50813657865658</v>
      </c>
      <c r="I472" s="77">
        <v>139.50813657865658</v>
      </c>
    </row>
    <row r="473" spans="1:9">
      <c r="A473" s="13">
        <v>426</v>
      </c>
      <c r="B473" s="8">
        <v>2024.7657231347853</v>
      </c>
      <c r="C473" s="14">
        <v>1086.6564113940688</v>
      </c>
      <c r="D473" s="77">
        <v>181.10940189901146</v>
      </c>
      <c r="E473" s="77">
        <v>181.10940189901146</v>
      </c>
      <c r="F473" s="77">
        <v>181.10940189901146</v>
      </c>
      <c r="G473" s="77">
        <v>181.10940189901146</v>
      </c>
      <c r="H473" s="77">
        <v>181.10940189901146</v>
      </c>
      <c r="I473" s="77">
        <v>181.10940189901146</v>
      </c>
    </row>
    <row r="474" spans="1:9">
      <c r="A474" s="13">
        <v>427</v>
      </c>
      <c r="B474" s="8">
        <v>2023.6736177846731</v>
      </c>
      <c r="C474" s="14">
        <v>919.71001217956837</v>
      </c>
      <c r="D474" s="77">
        <v>153.28500202992805</v>
      </c>
      <c r="E474" s="77">
        <v>153.28500202992805</v>
      </c>
      <c r="F474" s="77">
        <v>153.28500202992805</v>
      </c>
      <c r="G474" s="77">
        <v>153.28500202992805</v>
      </c>
      <c r="H474" s="77">
        <v>153.28500202992805</v>
      </c>
      <c r="I474" s="77">
        <v>153.28500202992805</v>
      </c>
    </row>
    <row r="475" spans="1:9">
      <c r="A475" s="13">
        <v>428</v>
      </c>
      <c r="B475" s="8">
        <v>2025.113630070766</v>
      </c>
      <c r="C475" s="14">
        <v>1155.9539995582306</v>
      </c>
      <c r="D475" s="77">
        <v>192.65899992637176</v>
      </c>
      <c r="E475" s="77">
        <v>192.65899992637176</v>
      </c>
      <c r="F475" s="77">
        <v>192.65899992637176</v>
      </c>
      <c r="G475" s="77">
        <v>192.65899992637176</v>
      </c>
      <c r="H475" s="77">
        <v>192.65899992637176</v>
      </c>
      <c r="I475" s="77">
        <v>192.65899992637176</v>
      </c>
    </row>
    <row r="476" spans="1:9">
      <c r="A476" s="13">
        <v>429</v>
      </c>
      <c r="B476" s="8">
        <v>2023.0932288920537</v>
      </c>
      <c r="C476" s="14">
        <v>839.00144522916059</v>
      </c>
      <c r="D476" s="77">
        <v>139.8335742048601</v>
      </c>
      <c r="E476" s="77">
        <v>139.8335742048601</v>
      </c>
      <c r="F476" s="77">
        <v>139.8335742048601</v>
      </c>
      <c r="G476" s="77">
        <v>139.8335742048601</v>
      </c>
      <c r="H476" s="77">
        <v>139.8335742048601</v>
      </c>
      <c r="I476" s="77">
        <v>139.8335742048601</v>
      </c>
    </row>
    <row r="477" spans="1:9">
      <c r="A477" s="13">
        <v>430</v>
      </c>
      <c r="B477" s="8">
        <v>2023.4021405359028</v>
      </c>
      <c r="C477" s="14">
        <v>957.84490834957683</v>
      </c>
      <c r="D477" s="77">
        <v>159.64081805826279</v>
      </c>
      <c r="E477" s="77">
        <v>159.64081805826279</v>
      </c>
      <c r="F477" s="77">
        <v>159.64081805826279</v>
      </c>
      <c r="G477" s="77">
        <v>159.64081805826279</v>
      </c>
      <c r="H477" s="77">
        <v>159.64081805826279</v>
      </c>
      <c r="I477" s="77">
        <v>159.64081805826279</v>
      </c>
    </row>
    <row r="478" spans="1:9">
      <c r="A478" s="13">
        <v>431</v>
      </c>
      <c r="B478" s="8">
        <v>2024.5742480274782</v>
      </c>
      <c r="C478" s="14">
        <v>1077.344668422513</v>
      </c>
      <c r="D478" s="77">
        <v>179.55744473708549</v>
      </c>
      <c r="E478" s="77">
        <v>179.55744473708549</v>
      </c>
      <c r="F478" s="77">
        <v>179.55744473708549</v>
      </c>
      <c r="G478" s="77">
        <v>179.55744473708549</v>
      </c>
      <c r="H478" s="77">
        <v>179.55744473708549</v>
      </c>
      <c r="I478" s="77">
        <v>179.55744473708549</v>
      </c>
    </row>
    <row r="479" spans="1:9">
      <c r="A479" s="13">
        <v>432</v>
      </c>
      <c r="B479" s="8">
        <v>2024.6565223644939</v>
      </c>
      <c r="C479" s="14">
        <v>1058.8093598389248</v>
      </c>
      <c r="D479" s="77">
        <v>176.46822663982081</v>
      </c>
      <c r="E479" s="77">
        <v>176.46822663982081</v>
      </c>
      <c r="F479" s="77">
        <v>176.46822663982081</v>
      </c>
      <c r="G479" s="77">
        <v>176.46822663982081</v>
      </c>
      <c r="H479" s="77">
        <v>176.46822663982081</v>
      </c>
      <c r="I479" s="77">
        <v>176.46822663982081</v>
      </c>
    </row>
    <row r="480" spans="1:9">
      <c r="A480" s="13">
        <v>433</v>
      </c>
      <c r="B480" s="8">
        <v>2024.9581582633064</v>
      </c>
      <c r="C480" s="14">
        <v>1123.9233587220256</v>
      </c>
      <c r="D480" s="77">
        <v>187.32055978700427</v>
      </c>
      <c r="E480" s="77">
        <v>187.32055978700427</v>
      </c>
      <c r="F480" s="77">
        <v>187.32055978700427</v>
      </c>
      <c r="G480" s="77">
        <v>187.32055978700427</v>
      </c>
      <c r="H480" s="77">
        <v>187.32055978700427</v>
      </c>
      <c r="I480" s="77">
        <v>187.32055978700427</v>
      </c>
    </row>
    <row r="481" spans="1:9">
      <c r="A481" s="13">
        <v>434</v>
      </c>
      <c r="B481" s="8">
        <v>2023.1863830909281</v>
      </c>
      <c r="C481" s="14">
        <v>869.51641447708982</v>
      </c>
      <c r="D481" s="77">
        <v>144.91940241284831</v>
      </c>
      <c r="E481" s="77">
        <v>144.91940241284831</v>
      </c>
      <c r="F481" s="77">
        <v>144.91940241284831</v>
      </c>
      <c r="G481" s="77">
        <v>144.91940241284831</v>
      </c>
      <c r="H481" s="77">
        <v>144.91940241284831</v>
      </c>
      <c r="I481" s="77">
        <v>144.91940241284831</v>
      </c>
    </row>
    <row r="482" spans="1:9">
      <c r="A482" s="13">
        <v>435</v>
      </c>
      <c r="B482" s="8">
        <v>2023.163163041191</v>
      </c>
      <c r="C482" s="14">
        <v>991.72148428800824</v>
      </c>
      <c r="D482" s="77">
        <v>165.28691404800136</v>
      </c>
      <c r="E482" s="77">
        <v>165.28691404800136</v>
      </c>
      <c r="F482" s="77">
        <v>165.28691404800136</v>
      </c>
      <c r="G482" s="77">
        <v>165.28691404800136</v>
      </c>
      <c r="H482" s="77">
        <v>165.28691404800136</v>
      </c>
      <c r="I482" s="77">
        <v>165.28691404800136</v>
      </c>
    </row>
    <row r="483" spans="1:9">
      <c r="A483" s="13">
        <v>436</v>
      </c>
      <c r="B483" s="8">
        <v>2023.1091580875425</v>
      </c>
      <c r="C483" s="14">
        <v>906.50116133080189</v>
      </c>
      <c r="D483" s="77">
        <v>151.08352688846699</v>
      </c>
      <c r="E483" s="77">
        <v>151.08352688846699</v>
      </c>
      <c r="F483" s="77">
        <v>151.08352688846699</v>
      </c>
      <c r="G483" s="77">
        <v>151.08352688846699</v>
      </c>
      <c r="H483" s="77">
        <v>151.08352688846699</v>
      </c>
      <c r="I483" s="77">
        <v>151.08352688846699</v>
      </c>
    </row>
    <row r="484" spans="1:9">
      <c r="A484" s="13">
        <v>437</v>
      </c>
      <c r="B484" s="8">
        <v>2023.125190425443</v>
      </c>
      <c r="C484" s="14">
        <v>880.93690832324512</v>
      </c>
      <c r="D484" s="77">
        <v>146.82281805387419</v>
      </c>
      <c r="E484" s="77">
        <v>146.82281805387419</v>
      </c>
      <c r="F484" s="77">
        <v>146.82281805387419</v>
      </c>
      <c r="G484" s="77">
        <v>146.82281805387419</v>
      </c>
      <c r="H484" s="77">
        <v>146.82281805387419</v>
      </c>
      <c r="I484" s="77">
        <v>146.82281805387419</v>
      </c>
    </row>
    <row r="485" spans="1:9">
      <c r="A485" s="13">
        <v>438</v>
      </c>
      <c r="B485" s="8">
        <v>2023.0057107866287</v>
      </c>
      <c r="C485" s="14">
        <v>902.36989070324876</v>
      </c>
      <c r="D485" s="77">
        <v>150.39498178387478</v>
      </c>
      <c r="E485" s="77">
        <v>150.39498178387478</v>
      </c>
      <c r="F485" s="77">
        <v>150.39498178387478</v>
      </c>
      <c r="G485" s="77">
        <v>150.39498178387478</v>
      </c>
      <c r="H485" s="77">
        <v>150.39498178387478</v>
      </c>
      <c r="I485" s="77">
        <v>150.39498178387478</v>
      </c>
    </row>
    <row r="486" spans="1:9">
      <c r="A486" s="13">
        <v>439</v>
      </c>
      <c r="B486" s="8">
        <v>2023.6804383241595</v>
      </c>
      <c r="C486" s="14">
        <v>1013.1930639998992</v>
      </c>
      <c r="D486" s="77">
        <v>168.86551066664987</v>
      </c>
      <c r="E486" s="77">
        <v>168.86551066664987</v>
      </c>
      <c r="F486" s="77">
        <v>168.86551066664987</v>
      </c>
      <c r="G486" s="77">
        <v>168.86551066664987</v>
      </c>
      <c r="H486" s="77">
        <v>168.86551066664987</v>
      </c>
      <c r="I486" s="77">
        <v>168.86551066664987</v>
      </c>
    </row>
    <row r="487" spans="1:9">
      <c r="A487" s="13">
        <v>440</v>
      </c>
      <c r="B487" s="8">
        <v>2023.6038300626415</v>
      </c>
      <c r="C487" s="14">
        <v>906.24760336010615</v>
      </c>
      <c r="D487" s="77">
        <v>151.04126722668437</v>
      </c>
      <c r="E487" s="77">
        <v>151.04126722668437</v>
      </c>
      <c r="F487" s="77">
        <v>151.04126722668437</v>
      </c>
      <c r="G487" s="77">
        <v>151.04126722668437</v>
      </c>
      <c r="H487" s="77">
        <v>151.04126722668437</v>
      </c>
      <c r="I487" s="77">
        <v>151.04126722668437</v>
      </c>
    </row>
    <row r="488" spans="1:9">
      <c r="A488" s="13">
        <v>441</v>
      </c>
      <c r="B488" s="8">
        <v>2023.3149485906285</v>
      </c>
      <c r="C488" s="14">
        <v>866.28854822095252</v>
      </c>
      <c r="D488" s="77">
        <v>144.38142470349209</v>
      </c>
      <c r="E488" s="77">
        <v>144.38142470349209</v>
      </c>
      <c r="F488" s="77">
        <v>144.38142470349209</v>
      </c>
      <c r="G488" s="77">
        <v>144.38142470349209</v>
      </c>
      <c r="H488" s="77">
        <v>144.38142470349209</v>
      </c>
      <c r="I488" s="77">
        <v>144.38142470349209</v>
      </c>
    </row>
    <row r="489" spans="1:9">
      <c r="A489" s="13">
        <v>442</v>
      </c>
      <c r="B489" s="8">
        <v>2022.8053959946546</v>
      </c>
      <c r="C489" s="14">
        <v>935.19796013245366</v>
      </c>
      <c r="D489" s="77">
        <v>155.86632668874228</v>
      </c>
      <c r="E489" s="77">
        <v>155.86632668874228</v>
      </c>
      <c r="F489" s="77">
        <v>155.86632668874228</v>
      </c>
      <c r="G489" s="77">
        <v>155.86632668874228</v>
      </c>
      <c r="H489" s="77">
        <v>155.86632668874228</v>
      </c>
      <c r="I489" s="77">
        <v>155.86632668874228</v>
      </c>
    </row>
    <row r="490" spans="1:9">
      <c r="A490" s="13">
        <v>443</v>
      </c>
      <c r="B490" s="8">
        <v>2023.3884539790861</v>
      </c>
      <c r="C490" s="14">
        <v>873.12557858502726</v>
      </c>
      <c r="D490" s="77">
        <v>145.5209297641712</v>
      </c>
      <c r="E490" s="77">
        <v>145.5209297641712</v>
      </c>
      <c r="F490" s="77">
        <v>145.5209297641712</v>
      </c>
      <c r="G490" s="77">
        <v>145.5209297641712</v>
      </c>
      <c r="H490" s="77">
        <v>145.5209297641712</v>
      </c>
      <c r="I490" s="77">
        <v>145.5209297641712</v>
      </c>
    </row>
    <row r="491" spans="1:9">
      <c r="A491" s="13">
        <v>444</v>
      </c>
      <c r="B491" s="8">
        <v>2023.2894925150142</v>
      </c>
      <c r="C491" s="14">
        <v>972.36922003335042</v>
      </c>
      <c r="D491" s="77">
        <v>162.06153667222506</v>
      </c>
      <c r="E491" s="77">
        <v>162.06153667222506</v>
      </c>
      <c r="F491" s="77">
        <v>162.06153667222506</v>
      </c>
      <c r="G491" s="77">
        <v>162.06153667222506</v>
      </c>
      <c r="H491" s="77">
        <v>162.06153667222506</v>
      </c>
      <c r="I491" s="77">
        <v>162.06153667222506</v>
      </c>
    </row>
    <row r="492" spans="1:9">
      <c r="A492" s="13">
        <v>445</v>
      </c>
      <c r="B492" s="8">
        <v>2024.159720635093</v>
      </c>
      <c r="C492" s="14">
        <v>1062.8456876326279</v>
      </c>
      <c r="D492" s="77">
        <v>177.14094793877132</v>
      </c>
      <c r="E492" s="77">
        <v>177.14094793877132</v>
      </c>
      <c r="F492" s="77">
        <v>177.14094793877132</v>
      </c>
      <c r="G492" s="77">
        <v>177.14094793877132</v>
      </c>
      <c r="H492" s="77">
        <v>177.14094793877132</v>
      </c>
      <c r="I492" s="77">
        <v>177.14094793877132</v>
      </c>
    </row>
    <row r="493" spans="1:9">
      <c r="A493" s="13">
        <v>446</v>
      </c>
      <c r="B493" s="8">
        <v>2024.3472039834346</v>
      </c>
      <c r="C493" s="14">
        <v>1029.0330750063774</v>
      </c>
      <c r="D493" s="77">
        <v>171.5055125010629</v>
      </c>
      <c r="E493" s="77">
        <v>171.5055125010629</v>
      </c>
      <c r="F493" s="77">
        <v>171.5055125010629</v>
      </c>
      <c r="G493" s="77">
        <v>171.5055125010629</v>
      </c>
      <c r="H493" s="77">
        <v>171.5055125010629</v>
      </c>
      <c r="I493" s="77">
        <v>171.5055125010629</v>
      </c>
    </row>
    <row r="494" spans="1:9">
      <c r="A494" s="13">
        <v>447</v>
      </c>
      <c r="B494" s="8">
        <v>2023.8277572494383</v>
      </c>
      <c r="C494" s="14">
        <v>970.73941244951823</v>
      </c>
      <c r="D494" s="77">
        <v>161.78990207491969</v>
      </c>
      <c r="E494" s="77">
        <v>161.78990207491969</v>
      </c>
      <c r="F494" s="77">
        <v>161.78990207491969</v>
      </c>
      <c r="G494" s="77">
        <v>161.78990207491969</v>
      </c>
      <c r="H494" s="77">
        <v>161.78990207491969</v>
      </c>
      <c r="I494" s="77">
        <v>161.78990207491969</v>
      </c>
    </row>
    <row r="495" spans="1:9">
      <c r="A495" s="13">
        <v>448</v>
      </c>
      <c r="B495" s="8">
        <v>2023.394131139959</v>
      </c>
      <c r="C495" s="14">
        <v>912.40173851458678</v>
      </c>
      <c r="D495" s="77">
        <v>152.06695641909781</v>
      </c>
      <c r="E495" s="77">
        <v>152.06695641909781</v>
      </c>
      <c r="F495" s="77">
        <v>152.06695641909781</v>
      </c>
      <c r="G495" s="77">
        <v>152.06695641909781</v>
      </c>
      <c r="H495" s="77">
        <v>152.06695641909781</v>
      </c>
      <c r="I495" s="77">
        <v>152.06695641909781</v>
      </c>
    </row>
    <row r="496" spans="1:9">
      <c r="A496" s="13">
        <v>449</v>
      </c>
      <c r="B496" s="8">
        <v>2023.2395048605226</v>
      </c>
      <c r="C496" s="14">
        <v>946.38290606223711</v>
      </c>
      <c r="D496" s="77">
        <v>157.73048434370619</v>
      </c>
      <c r="E496" s="77">
        <v>157.73048434370619</v>
      </c>
      <c r="F496" s="77">
        <v>157.73048434370619</v>
      </c>
      <c r="G496" s="77">
        <v>157.73048434370619</v>
      </c>
      <c r="H496" s="77">
        <v>157.73048434370619</v>
      </c>
      <c r="I496" s="77">
        <v>157.73048434370619</v>
      </c>
    </row>
    <row r="497" spans="1:9">
      <c r="A497" s="13">
        <v>450</v>
      </c>
      <c r="B497" s="8">
        <v>2023.3696760316188</v>
      </c>
      <c r="C497" s="14">
        <v>907.83692532089037</v>
      </c>
      <c r="D497" s="77">
        <v>151.30615422014839</v>
      </c>
      <c r="E497" s="77">
        <v>151.30615422014839</v>
      </c>
      <c r="F497" s="77">
        <v>151.30615422014839</v>
      </c>
      <c r="G497" s="77">
        <v>151.30615422014839</v>
      </c>
      <c r="H497" s="77">
        <v>151.30615422014839</v>
      </c>
      <c r="I497" s="77">
        <v>151.30615422014839</v>
      </c>
    </row>
    <row r="498" spans="1:9">
      <c r="A498" s="13">
        <v>451</v>
      </c>
      <c r="B498" s="8">
        <v>2023.5584365881136</v>
      </c>
      <c r="C498" s="14">
        <v>941.84390301637075</v>
      </c>
      <c r="D498" s="77">
        <v>156.97398383606179</v>
      </c>
      <c r="E498" s="77">
        <v>156.97398383606179</v>
      </c>
      <c r="F498" s="77">
        <v>156.97398383606179</v>
      </c>
      <c r="G498" s="77">
        <v>156.97398383606179</v>
      </c>
      <c r="H498" s="77">
        <v>156.97398383606179</v>
      </c>
      <c r="I498" s="77">
        <v>156.97398383606179</v>
      </c>
    </row>
    <row r="499" spans="1:9">
      <c r="A499" s="13">
        <v>452</v>
      </c>
      <c r="B499" s="8">
        <v>2025.5002415066342</v>
      </c>
      <c r="C499" s="14">
        <v>1157.5860746398466</v>
      </c>
      <c r="D499" s="77">
        <v>192.93101243997444</v>
      </c>
      <c r="E499" s="77">
        <v>192.93101243997444</v>
      </c>
      <c r="F499" s="77">
        <v>192.93101243997444</v>
      </c>
      <c r="G499" s="77">
        <v>192.93101243997444</v>
      </c>
      <c r="H499" s="77">
        <v>192.93101243997444</v>
      </c>
      <c r="I499" s="77">
        <v>192.93101243997444</v>
      </c>
    </row>
    <row r="500" spans="1:9">
      <c r="A500" s="13">
        <v>453</v>
      </c>
      <c r="B500" s="8">
        <v>2023.0164563114602</v>
      </c>
      <c r="C500" s="14">
        <v>875.60995646083688</v>
      </c>
      <c r="D500" s="77">
        <v>145.9349927434728</v>
      </c>
      <c r="E500" s="77">
        <v>145.9349927434728</v>
      </c>
      <c r="F500" s="77">
        <v>145.9349927434728</v>
      </c>
      <c r="G500" s="77">
        <v>145.9349927434728</v>
      </c>
      <c r="H500" s="77">
        <v>145.9349927434728</v>
      </c>
      <c r="I500" s="77">
        <v>145.9349927434728</v>
      </c>
    </row>
    <row r="501" spans="1:9">
      <c r="A501" s="13">
        <v>454</v>
      </c>
      <c r="B501" s="8">
        <v>2024.9761188238656</v>
      </c>
      <c r="C501" s="14">
        <v>1138.506044738941</v>
      </c>
      <c r="D501" s="77">
        <v>189.75100745649016</v>
      </c>
      <c r="E501" s="77">
        <v>189.75100745649016</v>
      </c>
      <c r="F501" s="77">
        <v>189.75100745649016</v>
      </c>
      <c r="G501" s="77">
        <v>189.75100745649016</v>
      </c>
      <c r="H501" s="77">
        <v>189.75100745649016</v>
      </c>
      <c r="I501" s="77">
        <v>189.75100745649016</v>
      </c>
    </row>
    <row r="502" spans="1:9">
      <c r="A502" s="13">
        <v>455</v>
      </c>
      <c r="B502" s="8">
        <v>2022.9902008526612</v>
      </c>
      <c r="C502" s="14">
        <v>922.01152087712558</v>
      </c>
      <c r="D502" s="77">
        <v>153.66858681285427</v>
      </c>
      <c r="E502" s="77">
        <v>153.66858681285427</v>
      </c>
      <c r="F502" s="77">
        <v>153.66858681285427</v>
      </c>
      <c r="G502" s="77">
        <v>153.66858681285427</v>
      </c>
      <c r="H502" s="77">
        <v>153.66858681285427</v>
      </c>
      <c r="I502" s="77">
        <v>153.66858681285427</v>
      </c>
    </row>
    <row r="503" spans="1:9">
      <c r="A503" s="13">
        <v>456</v>
      </c>
      <c r="B503" s="8">
        <v>2024.6294965436041</v>
      </c>
      <c r="C503" s="14">
        <v>1195.7025957559501</v>
      </c>
      <c r="D503" s="77">
        <v>199.28376595932502</v>
      </c>
      <c r="E503" s="77">
        <v>199.28376595932502</v>
      </c>
      <c r="F503" s="77">
        <v>199.28376595932502</v>
      </c>
      <c r="G503" s="77">
        <v>199.28376595932502</v>
      </c>
      <c r="H503" s="77">
        <v>199.28376595932502</v>
      </c>
      <c r="I503" s="77">
        <v>199.28376595932502</v>
      </c>
    </row>
    <row r="504" spans="1:9">
      <c r="A504" s="13">
        <v>457</v>
      </c>
      <c r="B504" s="8">
        <v>2025.0911217937189</v>
      </c>
      <c r="C504" s="14">
        <v>1099.9152135200532</v>
      </c>
      <c r="D504" s="77">
        <v>183.31920225334218</v>
      </c>
      <c r="E504" s="77">
        <v>183.31920225334218</v>
      </c>
      <c r="F504" s="77">
        <v>183.31920225334218</v>
      </c>
      <c r="G504" s="77">
        <v>183.31920225334218</v>
      </c>
      <c r="H504" s="77">
        <v>183.31920225334218</v>
      </c>
      <c r="I504" s="77">
        <v>183.31920225334218</v>
      </c>
    </row>
    <row r="505" spans="1:9">
      <c r="A505" s="13">
        <v>458</v>
      </c>
      <c r="B505" s="8">
        <v>2022.9269185469714</v>
      </c>
      <c r="C505" s="14">
        <v>928.01098747886363</v>
      </c>
      <c r="D505" s="77">
        <v>154.66849791314394</v>
      </c>
      <c r="E505" s="77">
        <v>154.66849791314394</v>
      </c>
      <c r="F505" s="77">
        <v>154.66849791314394</v>
      </c>
      <c r="G505" s="77">
        <v>154.66849791314394</v>
      </c>
      <c r="H505" s="77">
        <v>154.66849791314394</v>
      </c>
      <c r="I505" s="77">
        <v>154.66849791314394</v>
      </c>
    </row>
    <row r="506" spans="1:9">
      <c r="A506" s="13">
        <v>459</v>
      </c>
      <c r="B506" s="8">
        <v>2023.1893417656202</v>
      </c>
      <c r="C506" s="14">
        <v>850.79058337855292</v>
      </c>
      <c r="D506" s="77">
        <v>141.79843056309215</v>
      </c>
      <c r="E506" s="77">
        <v>141.79843056309215</v>
      </c>
      <c r="F506" s="77">
        <v>141.79843056309215</v>
      </c>
      <c r="G506" s="77">
        <v>141.79843056309215</v>
      </c>
      <c r="H506" s="77">
        <v>141.79843056309215</v>
      </c>
      <c r="I506" s="77">
        <v>141.79843056309215</v>
      </c>
    </row>
    <row r="507" spans="1:9">
      <c r="A507" s="13">
        <v>460</v>
      </c>
      <c r="B507" s="8">
        <v>2023.1163895262296</v>
      </c>
      <c r="C507" s="14">
        <v>915.20926380108358</v>
      </c>
      <c r="D507" s="77">
        <v>152.5348773001806</v>
      </c>
      <c r="E507" s="77">
        <v>152.5348773001806</v>
      </c>
      <c r="F507" s="77">
        <v>152.5348773001806</v>
      </c>
      <c r="G507" s="77">
        <v>152.5348773001806</v>
      </c>
      <c r="H507" s="77">
        <v>152.5348773001806</v>
      </c>
      <c r="I507" s="77">
        <v>152.5348773001806</v>
      </c>
    </row>
    <row r="508" spans="1:9">
      <c r="A508" s="13">
        <v>461</v>
      </c>
      <c r="B508" s="8">
        <v>2022.8597134076858</v>
      </c>
      <c r="C508" s="14">
        <v>936.51323852306632</v>
      </c>
      <c r="D508" s="77">
        <v>156.08553975384439</v>
      </c>
      <c r="E508" s="77">
        <v>156.08553975384439</v>
      </c>
      <c r="F508" s="77">
        <v>156.08553975384439</v>
      </c>
      <c r="G508" s="77">
        <v>156.08553975384439</v>
      </c>
      <c r="H508" s="77">
        <v>156.08553975384439</v>
      </c>
      <c r="I508" s="77">
        <v>156.08553975384439</v>
      </c>
    </row>
    <row r="509" spans="1:9">
      <c r="A509" s="13">
        <v>462</v>
      </c>
      <c r="B509" s="8">
        <v>2023.1210736980001</v>
      </c>
      <c r="C509" s="14">
        <v>964.86063677326297</v>
      </c>
      <c r="D509" s="77">
        <v>160.81010612887715</v>
      </c>
      <c r="E509" s="77">
        <v>160.81010612887715</v>
      </c>
      <c r="F509" s="77">
        <v>160.81010612887715</v>
      </c>
      <c r="G509" s="77">
        <v>160.81010612887715</v>
      </c>
      <c r="H509" s="77">
        <v>160.81010612887715</v>
      </c>
      <c r="I509" s="77">
        <v>160.81010612887715</v>
      </c>
    </row>
    <row r="510" spans="1:9">
      <c r="A510" s="13">
        <v>463</v>
      </c>
      <c r="B510" s="8">
        <v>2024.9137188777543</v>
      </c>
      <c r="C510" s="14">
        <v>1223.9008148551786</v>
      </c>
      <c r="D510" s="77">
        <v>203.98346914252977</v>
      </c>
      <c r="E510" s="77">
        <v>203.98346914252977</v>
      </c>
      <c r="F510" s="77">
        <v>203.98346914252977</v>
      </c>
      <c r="G510" s="77">
        <v>203.98346914252977</v>
      </c>
      <c r="H510" s="77">
        <v>203.98346914252977</v>
      </c>
      <c r="I510" s="77">
        <v>203.98346914252977</v>
      </c>
    </row>
    <row r="511" spans="1:9">
      <c r="A511" s="13">
        <v>464</v>
      </c>
      <c r="B511" s="8">
        <v>2023.4896654690324</v>
      </c>
      <c r="C511" s="14">
        <v>966.13494621361633</v>
      </c>
      <c r="D511" s="77">
        <v>161.02249103560271</v>
      </c>
      <c r="E511" s="77">
        <v>161.02249103560271</v>
      </c>
      <c r="F511" s="77">
        <v>161.02249103560271</v>
      </c>
      <c r="G511" s="77">
        <v>161.02249103560271</v>
      </c>
      <c r="H511" s="77">
        <v>161.02249103560271</v>
      </c>
      <c r="I511" s="77">
        <v>161.02249103560271</v>
      </c>
    </row>
    <row r="512" spans="1:9">
      <c r="A512" s="13">
        <v>465</v>
      </c>
      <c r="B512" s="8">
        <v>2023.398632914153</v>
      </c>
      <c r="C512" s="14">
        <v>935.15803702203891</v>
      </c>
      <c r="D512" s="77">
        <v>155.85967283700649</v>
      </c>
      <c r="E512" s="77">
        <v>155.85967283700649</v>
      </c>
      <c r="F512" s="77">
        <v>155.85967283700649</v>
      </c>
      <c r="G512" s="77">
        <v>155.85967283700649</v>
      </c>
      <c r="H512" s="77">
        <v>155.85967283700649</v>
      </c>
      <c r="I512" s="77">
        <v>155.85967283700649</v>
      </c>
    </row>
    <row r="513" spans="1:9">
      <c r="A513" s="13">
        <v>466</v>
      </c>
      <c r="B513" s="8">
        <v>2025.1221863840435</v>
      </c>
      <c r="C513" s="14">
        <v>1212.9200477300913</v>
      </c>
      <c r="D513" s="77">
        <v>202.15334128834854</v>
      </c>
      <c r="E513" s="77">
        <v>202.15334128834854</v>
      </c>
      <c r="F513" s="77">
        <v>202.15334128834854</v>
      </c>
      <c r="G513" s="77">
        <v>202.15334128834854</v>
      </c>
      <c r="H513" s="77">
        <v>202.15334128834854</v>
      </c>
      <c r="I513" s="77">
        <v>202.15334128834854</v>
      </c>
    </row>
    <row r="514" spans="1:9">
      <c r="A514" s="13">
        <v>467</v>
      </c>
      <c r="B514" s="8">
        <v>2025.2273291129541</v>
      </c>
      <c r="C514" s="14">
        <v>1145.8935129630056</v>
      </c>
      <c r="D514" s="77">
        <v>190.98225216050093</v>
      </c>
      <c r="E514" s="77">
        <v>190.98225216050093</v>
      </c>
      <c r="F514" s="77">
        <v>190.98225216050093</v>
      </c>
      <c r="G514" s="77">
        <v>190.98225216050093</v>
      </c>
      <c r="H514" s="77">
        <v>190.98225216050093</v>
      </c>
      <c r="I514" s="77">
        <v>190.98225216050093</v>
      </c>
    </row>
    <row r="515" spans="1:9">
      <c r="A515" s="13">
        <v>468</v>
      </c>
      <c r="B515" s="8">
        <v>2023.439587645611</v>
      </c>
      <c r="C515" s="14">
        <v>969.90249475371297</v>
      </c>
      <c r="D515" s="77">
        <v>161.65041579228549</v>
      </c>
      <c r="E515" s="77">
        <v>161.65041579228549</v>
      </c>
      <c r="F515" s="77">
        <v>161.65041579228549</v>
      </c>
      <c r="G515" s="77">
        <v>161.65041579228549</v>
      </c>
      <c r="H515" s="77">
        <v>161.65041579228549</v>
      </c>
      <c r="I515" s="77">
        <v>161.65041579228549</v>
      </c>
    </row>
    <row r="516" spans="1:9">
      <c r="A516" s="13">
        <v>469</v>
      </c>
      <c r="B516" s="8">
        <v>2023.7762080590314</v>
      </c>
      <c r="C516" s="14">
        <v>988.16020030025902</v>
      </c>
      <c r="D516" s="77">
        <v>164.69336671670985</v>
      </c>
      <c r="E516" s="77">
        <v>164.69336671670985</v>
      </c>
      <c r="F516" s="77">
        <v>164.69336671670985</v>
      </c>
      <c r="G516" s="77">
        <v>164.69336671670985</v>
      </c>
      <c r="H516" s="77">
        <v>164.69336671670985</v>
      </c>
      <c r="I516" s="77">
        <v>164.69336671670985</v>
      </c>
    </row>
    <row r="517" spans="1:9">
      <c r="A517" s="13">
        <v>470</v>
      </c>
      <c r="B517" s="8">
        <v>2022.9078002179044</v>
      </c>
      <c r="C517" s="14">
        <v>845.05615190347282</v>
      </c>
      <c r="D517" s="77">
        <v>140.84269198391215</v>
      </c>
      <c r="E517" s="77">
        <v>140.84269198391215</v>
      </c>
      <c r="F517" s="77">
        <v>140.84269198391215</v>
      </c>
      <c r="G517" s="77">
        <v>140.84269198391215</v>
      </c>
      <c r="H517" s="77">
        <v>140.84269198391215</v>
      </c>
      <c r="I517" s="77">
        <v>140.84269198391215</v>
      </c>
    </row>
    <row r="518" spans="1:9">
      <c r="A518" s="13">
        <v>471</v>
      </c>
      <c r="B518" s="8">
        <v>2023.5425277839181</v>
      </c>
      <c r="C518" s="14">
        <v>1032.0332906905508</v>
      </c>
      <c r="D518" s="77">
        <v>172.00554844842512</v>
      </c>
      <c r="E518" s="77">
        <v>172.00554844842512</v>
      </c>
      <c r="F518" s="77">
        <v>172.00554844842512</v>
      </c>
      <c r="G518" s="77">
        <v>172.00554844842512</v>
      </c>
      <c r="H518" s="77">
        <v>172.00554844842512</v>
      </c>
      <c r="I518" s="77">
        <v>172.00554844842512</v>
      </c>
    </row>
    <row r="519" spans="1:9">
      <c r="A519" s="13">
        <v>472</v>
      </c>
      <c r="B519" s="8">
        <v>2024.2871647759489</v>
      </c>
      <c r="C519" s="14">
        <v>946.67576049749141</v>
      </c>
      <c r="D519" s="77">
        <v>157.77929341624858</v>
      </c>
      <c r="E519" s="77">
        <v>157.77929341624858</v>
      </c>
      <c r="F519" s="77">
        <v>157.77929341624858</v>
      </c>
      <c r="G519" s="77">
        <v>157.77929341624858</v>
      </c>
      <c r="H519" s="77">
        <v>157.77929341624858</v>
      </c>
      <c r="I519" s="77">
        <v>157.77929341624858</v>
      </c>
    </row>
    <row r="520" spans="1:9">
      <c r="A520" s="13">
        <v>473</v>
      </c>
      <c r="B520" s="8">
        <v>2023.0136774663404</v>
      </c>
      <c r="C520" s="14">
        <v>854.63983363650618</v>
      </c>
      <c r="D520" s="77">
        <v>142.43997227275102</v>
      </c>
      <c r="E520" s="77">
        <v>142.43997227275102</v>
      </c>
      <c r="F520" s="77">
        <v>142.43997227275102</v>
      </c>
      <c r="G520" s="77">
        <v>142.43997227275102</v>
      </c>
      <c r="H520" s="77">
        <v>142.43997227275102</v>
      </c>
      <c r="I520" s="77">
        <v>142.43997227275102</v>
      </c>
    </row>
    <row r="521" spans="1:9">
      <c r="A521" s="13">
        <v>474</v>
      </c>
      <c r="B521" s="8">
        <v>2023.2976631706506</v>
      </c>
      <c r="C521" s="14">
        <v>899.18236635459448</v>
      </c>
      <c r="D521" s="77">
        <v>149.86372772576576</v>
      </c>
      <c r="E521" s="77">
        <v>149.86372772576576</v>
      </c>
      <c r="F521" s="77">
        <v>149.86372772576576</v>
      </c>
      <c r="G521" s="77">
        <v>149.86372772576576</v>
      </c>
      <c r="H521" s="77">
        <v>149.86372772576576</v>
      </c>
      <c r="I521" s="77">
        <v>149.86372772576576</v>
      </c>
    </row>
    <row r="522" spans="1:9">
      <c r="A522" s="13">
        <v>475</v>
      </c>
      <c r="B522" s="8">
        <v>2022.9905332194912</v>
      </c>
      <c r="C522" s="14">
        <v>905.39869033536229</v>
      </c>
      <c r="D522" s="77">
        <v>150.89978172256039</v>
      </c>
      <c r="E522" s="77">
        <v>150.89978172256039</v>
      </c>
      <c r="F522" s="77">
        <v>150.89978172256039</v>
      </c>
      <c r="G522" s="77">
        <v>150.89978172256039</v>
      </c>
      <c r="H522" s="77">
        <v>150.89978172256039</v>
      </c>
      <c r="I522" s="77">
        <v>150.89978172256039</v>
      </c>
    </row>
    <row r="523" spans="1:9">
      <c r="A523" s="13">
        <v>476</v>
      </c>
      <c r="B523" s="8">
        <v>2022.8476870562858</v>
      </c>
      <c r="C523" s="14">
        <v>863.13563937985998</v>
      </c>
      <c r="D523" s="77">
        <v>143.85593989664332</v>
      </c>
      <c r="E523" s="77">
        <v>143.85593989664332</v>
      </c>
      <c r="F523" s="77">
        <v>143.85593989664332</v>
      </c>
      <c r="G523" s="77">
        <v>143.85593989664332</v>
      </c>
      <c r="H523" s="77">
        <v>143.85593989664332</v>
      </c>
      <c r="I523" s="77">
        <v>143.85593989664332</v>
      </c>
    </row>
    <row r="524" spans="1:9">
      <c r="A524" s="13">
        <v>477</v>
      </c>
      <c r="B524" s="8">
        <v>2025.2453750680675</v>
      </c>
      <c r="C524" s="14">
        <v>1258.0605757290805</v>
      </c>
      <c r="D524" s="77">
        <v>209.6767626215134</v>
      </c>
      <c r="E524" s="77">
        <v>209.6767626215134</v>
      </c>
      <c r="F524" s="77">
        <v>209.6767626215134</v>
      </c>
      <c r="G524" s="77">
        <v>209.6767626215134</v>
      </c>
      <c r="H524" s="77">
        <v>209.6767626215134</v>
      </c>
      <c r="I524" s="77">
        <v>209.6767626215134</v>
      </c>
    </row>
    <row r="525" spans="1:9">
      <c r="A525" s="13">
        <v>478</v>
      </c>
      <c r="B525" s="8">
        <v>2022.875257781669</v>
      </c>
      <c r="C525" s="14">
        <v>897.83226858867158</v>
      </c>
      <c r="D525" s="77">
        <v>149.63871143144527</v>
      </c>
      <c r="E525" s="77">
        <v>149.63871143144527</v>
      </c>
      <c r="F525" s="77">
        <v>149.63871143144527</v>
      </c>
      <c r="G525" s="77">
        <v>149.63871143144527</v>
      </c>
      <c r="H525" s="77">
        <v>149.63871143144527</v>
      </c>
      <c r="I525" s="77">
        <v>149.63871143144527</v>
      </c>
    </row>
    <row r="526" spans="1:9">
      <c r="A526" s="13">
        <v>479</v>
      </c>
      <c r="B526" s="8">
        <v>2024.9722804110286</v>
      </c>
      <c r="C526" s="14">
        <v>1155.0748088301984</v>
      </c>
      <c r="D526" s="77">
        <v>192.51246813836642</v>
      </c>
      <c r="E526" s="77">
        <v>192.51246813836642</v>
      </c>
      <c r="F526" s="77">
        <v>192.51246813836642</v>
      </c>
      <c r="G526" s="77">
        <v>192.51246813836642</v>
      </c>
      <c r="H526" s="77">
        <v>192.51246813836642</v>
      </c>
      <c r="I526" s="77">
        <v>192.51246813836642</v>
      </c>
    </row>
    <row r="527" spans="1:9">
      <c r="A527" s="13">
        <v>480</v>
      </c>
      <c r="B527" s="8">
        <v>2023.4773662577154</v>
      </c>
      <c r="C527" s="14">
        <v>900.06977602086295</v>
      </c>
      <c r="D527" s="77">
        <v>150.0116293368105</v>
      </c>
      <c r="E527" s="77">
        <v>150.0116293368105</v>
      </c>
      <c r="F527" s="77">
        <v>150.0116293368105</v>
      </c>
      <c r="G527" s="77">
        <v>150.0116293368105</v>
      </c>
      <c r="H527" s="77">
        <v>150.0116293368105</v>
      </c>
      <c r="I527" s="77">
        <v>150.0116293368105</v>
      </c>
    </row>
    <row r="528" spans="1:9">
      <c r="A528" s="13">
        <v>481</v>
      </c>
      <c r="B528" s="8">
        <v>2023.0437234280278</v>
      </c>
      <c r="C528" s="14">
        <v>947.84871040136397</v>
      </c>
      <c r="D528" s="77">
        <v>157.97478506689399</v>
      </c>
      <c r="E528" s="77">
        <v>157.97478506689399</v>
      </c>
      <c r="F528" s="77">
        <v>157.97478506689399</v>
      </c>
      <c r="G528" s="77">
        <v>157.97478506689399</v>
      </c>
      <c r="H528" s="77">
        <v>157.97478506689399</v>
      </c>
      <c r="I528" s="77">
        <v>157.97478506689399</v>
      </c>
    </row>
    <row r="529" spans="1:9">
      <c r="A529" s="13">
        <v>482</v>
      </c>
      <c r="B529" s="8">
        <v>2025.2063555365853</v>
      </c>
      <c r="C529" s="14">
        <v>1272.7240723991836</v>
      </c>
      <c r="D529" s="77">
        <v>212.12067873319725</v>
      </c>
      <c r="E529" s="77">
        <v>212.12067873319725</v>
      </c>
      <c r="F529" s="77">
        <v>212.12067873319725</v>
      </c>
      <c r="G529" s="77">
        <v>212.12067873319725</v>
      </c>
      <c r="H529" s="77">
        <v>212.12067873319725</v>
      </c>
      <c r="I529" s="77">
        <v>212.12067873319725</v>
      </c>
    </row>
    <row r="530" spans="1:9">
      <c r="A530" s="13">
        <v>483</v>
      </c>
      <c r="B530" s="8">
        <v>2022.7310574394564</v>
      </c>
      <c r="C530" s="14">
        <v>851.86336448709551</v>
      </c>
      <c r="D530" s="77">
        <v>141.97722741451591</v>
      </c>
      <c r="E530" s="77">
        <v>141.97722741451591</v>
      </c>
      <c r="F530" s="77">
        <v>141.97722741451591</v>
      </c>
      <c r="G530" s="77">
        <v>141.97722741451591</v>
      </c>
      <c r="H530" s="77">
        <v>141.97722741451591</v>
      </c>
      <c r="I530" s="77">
        <v>141.97722741451591</v>
      </c>
    </row>
    <row r="531" spans="1:9">
      <c r="A531" s="13">
        <v>484</v>
      </c>
      <c r="B531" s="8">
        <v>2023.0459307746928</v>
      </c>
      <c r="C531" s="14">
        <v>913.15877972392184</v>
      </c>
      <c r="D531" s="77">
        <v>152.19312995398698</v>
      </c>
      <c r="E531" s="77">
        <v>152.19312995398698</v>
      </c>
      <c r="F531" s="77">
        <v>152.19312995398698</v>
      </c>
      <c r="G531" s="77">
        <v>152.19312995398698</v>
      </c>
      <c r="H531" s="77">
        <v>152.19312995398698</v>
      </c>
      <c r="I531" s="77">
        <v>152.19312995398698</v>
      </c>
    </row>
    <row r="532" spans="1:9">
      <c r="A532" s="13">
        <v>485</v>
      </c>
      <c r="B532" s="8">
        <v>2024.6330243924012</v>
      </c>
      <c r="C532" s="14">
        <v>1014.2986124137655</v>
      </c>
      <c r="D532" s="77">
        <v>169.04976873562757</v>
      </c>
      <c r="E532" s="77">
        <v>169.04976873562757</v>
      </c>
      <c r="F532" s="77">
        <v>169.04976873562757</v>
      </c>
      <c r="G532" s="77">
        <v>169.04976873562757</v>
      </c>
      <c r="H532" s="77">
        <v>169.04976873562757</v>
      </c>
      <c r="I532" s="77">
        <v>169.04976873562757</v>
      </c>
    </row>
    <row r="533" spans="1:9">
      <c r="A533" s="13">
        <v>486</v>
      </c>
      <c r="B533" s="8">
        <v>2025.383699684955</v>
      </c>
      <c r="C533" s="14">
        <v>1180.5353702396183</v>
      </c>
      <c r="D533" s="77">
        <v>196.75589503993638</v>
      </c>
      <c r="E533" s="77">
        <v>196.75589503993638</v>
      </c>
      <c r="F533" s="77">
        <v>196.75589503993638</v>
      </c>
      <c r="G533" s="77">
        <v>196.75589503993638</v>
      </c>
      <c r="H533" s="77">
        <v>196.75589503993638</v>
      </c>
      <c r="I533" s="77">
        <v>196.75589503993638</v>
      </c>
    </row>
    <row r="534" spans="1:9">
      <c r="A534" s="13">
        <v>487</v>
      </c>
      <c r="B534" s="8">
        <v>2024.5417390098446</v>
      </c>
      <c r="C534" s="14">
        <v>1076.8608315870422</v>
      </c>
      <c r="D534" s="77">
        <v>179.47680526450702</v>
      </c>
      <c r="E534" s="77">
        <v>179.47680526450702</v>
      </c>
      <c r="F534" s="77">
        <v>179.47680526450702</v>
      </c>
      <c r="G534" s="77">
        <v>179.47680526450702</v>
      </c>
      <c r="H534" s="77">
        <v>179.47680526450702</v>
      </c>
      <c r="I534" s="77">
        <v>179.47680526450702</v>
      </c>
    </row>
    <row r="535" spans="1:9">
      <c r="A535" s="13">
        <v>488</v>
      </c>
      <c r="B535" s="8">
        <v>2023.3860372167128</v>
      </c>
      <c r="C535" s="14">
        <v>985.99836791431505</v>
      </c>
      <c r="D535" s="77">
        <v>164.33306131905252</v>
      </c>
      <c r="E535" s="77">
        <v>164.33306131905252</v>
      </c>
      <c r="F535" s="77">
        <v>164.33306131905252</v>
      </c>
      <c r="G535" s="77">
        <v>164.33306131905252</v>
      </c>
      <c r="H535" s="77">
        <v>164.33306131905252</v>
      </c>
      <c r="I535" s="77">
        <v>164.33306131905252</v>
      </c>
    </row>
    <row r="536" spans="1:9">
      <c r="A536" s="13">
        <v>489</v>
      </c>
      <c r="B536" s="8">
        <v>2023.2399188126512</v>
      </c>
      <c r="C536" s="14">
        <v>898.26926574614856</v>
      </c>
      <c r="D536" s="77">
        <v>149.71154429102475</v>
      </c>
      <c r="E536" s="77">
        <v>149.71154429102475</v>
      </c>
      <c r="F536" s="77">
        <v>149.71154429102475</v>
      </c>
      <c r="G536" s="77">
        <v>149.71154429102475</v>
      </c>
      <c r="H536" s="77">
        <v>149.71154429102475</v>
      </c>
      <c r="I536" s="77">
        <v>149.71154429102475</v>
      </c>
    </row>
    <row r="537" spans="1:9">
      <c r="A537" s="13">
        <v>490</v>
      </c>
      <c r="B537" s="8">
        <v>2023.5111198686186</v>
      </c>
      <c r="C537" s="14">
        <v>887.5750597290438</v>
      </c>
      <c r="D537" s="77">
        <v>147.92917662150731</v>
      </c>
      <c r="E537" s="77">
        <v>147.92917662150731</v>
      </c>
      <c r="F537" s="77">
        <v>147.92917662150731</v>
      </c>
      <c r="G537" s="77">
        <v>147.92917662150731</v>
      </c>
      <c r="H537" s="77">
        <v>147.92917662150731</v>
      </c>
      <c r="I537" s="77">
        <v>147.92917662150731</v>
      </c>
    </row>
    <row r="538" spans="1:9">
      <c r="A538" s="13">
        <v>491</v>
      </c>
      <c r="B538" s="8">
        <v>2022.7874232507402</v>
      </c>
      <c r="C538" s="14">
        <v>855.24497968170203</v>
      </c>
      <c r="D538" s="77">
        <v>142.54082994695034</v>
      </c>
      <c r="E538" s="77">
        <v>142.54082994695034</v>
      </c>
      <c r="F538" s="77">
        <v>142.54082994695034</v>
      </c>
      <c r="G538" s="77">
        <v>142.54082994695034</v>
      </c>
      <c r="H538" s="77">
        <v>142.54082994695034</v>
      </c>
      <c r="I538" s="77">
        <v>142.54082994695034</v>
      </c>
    </row>
    <row r="539" spans="1:9">
      <c r="A539" s="13">
        <v>492</v>
      </c>
      <c r="B539" s="8">
        <v>2022.6824891625031</v>
      </c>
      <c r="C539" s="14">
        <v>855.66812778111694</v>
      </c>
      <c r="D539" s="77">
        <v>142.61135463018616</v>
      </c>
      <c r="E539" s="77">
        <v>142.61135463018616</v>
      </c>
      <c r="F539" s="77">
        <v>142.61135463018616</v>
      </c>
      <c r="G539" s="77">
        <v>142.61135463018616</v>
      </c>
      <c r="H539" s="77">
        <v>142.61135463018616</v>
      </c>
      <c r="I539" s="77">
        <v>142.61135463018616</v>
      </c>
    </row>
    <row r="540" spans="1:9">
      <c r="A540" s="13">
        <v>493</v>
      </c>
      <c r="B540" s="8">
        <v>2023.0609380155554</v>
      </c>
      <c r="C540" s="14">
        <v>903.02018696863172</v>
      </c>
      <c r="D540" s="77">
        <v>150.50336449477194</v>
      </c>
      <c r="E540" s="77">
        <v>150.50336449477194</v>
      </c>
      <c r="F540" s="77">
        <v>150.50336449477194</v>
      </c>
      <c r="G540" s="77">
        <v>150.50336449477194</v>
      </c>
      <c r="H540" s="77">
        <v>150.50336449477194</v>
      </c>
      <c r="I540" s="77">
        <v>150.50336449477194</v>
      </c>
    </row>
    <row r="541" spans="1:9">
      <c r="A541" s="13">
        <v>494</v>
      </c>
      <c r="B541" s="8">
        <v>2023.4200494261979</v>
      </c>
      <c r="C541" s="14">
        <v>949.1041800165699</v>
      </c>
      <c r="D541" s="77">
        <v>158.18403000276166</v>
      </c>
      <c r="E541" s="77">
        <v>158.18403000276166</v>
      </c>
      <c r="F541" s="77">
        <v>158.18403000276166</v>
      </c>
      <c r="G541" s="77">
        <v>158.18403000276166</v>
      </c>
      <c r="H541" s="77">
        <v>158.18403000276166</v>
      </c>
      <c r="I541" s="77">
        <v>158.18403000276166</v>
      </c>
    </row>
    <row r="542" spans="1:9">
      <c r="A542" s="13">
        <v>495</v>
      </c>
      <c r="B542" s="8">
        <v>2024.265778471947</v>
      </c>
      <c r="C542" s="14">
        <v>1123.6519388761149</v>
      </c>
      <c r="D542" s="77">
        <v>187.27532314601913</v>
      </c>
      <c r="E542" s="77">
        <v>187.27532314601913</v>
      </c>
      <c r="F542" s="77">
        <v>187.27532314601913</v>
      </c>
      <c r="G542" s="77">
        <v>187.27532314601913</v>
      </c>
      <c r="H542" s="77">
        <v>187.27532314601913</v>
      </c>
      <c r="I542" s="77">
        <v>187.27532314601913</v>
      </c>
    </row>
    <row r="543" spans="1:9">
      <c r="A543" s="13">
        <v>496</v>
      </c>
      <c r="B543" s="8">
        <v>2025.8572571243033</v>
      </c>
      <c r="C543" s="14">
        <v>1263.7792465147588</v>
      </c>
      <c r="D543" s="77">
        <v>210.62987441912648</v>
      </c>
      <c r="E543" s="77">
        <v>210.62987441912648</v>
      </c>
      <c r="F543" s="77">
        <v>210.62987441912648</v>
      </c>
      <c r="G543" s="77">
        <v>210.62987441912648</v>
      </c>
      <c r="H543" s="77">
        <v>210.62987441912648</v>
      </c>
      <c r="I543" s="77">
        <v>210.62987441912648</v>
      </c>
    </row>
    <row r="544" spans="1:9">
      <c r="A544" s="13">
        <v>497</v>
      </c>
      <c r="B544" s="8">
        <v>2023.1120276840816</v>
      </c>
      <c r="C544" s="14">
        <v>853.5168168468191</v>
      </c>
      <c r="D544" s="77">
        <v>142.25280280780319</v>
      </c>
      <c r="E544" s="77">
        <v>142.25280280780319</v>
      </c>
      <c r="F544" s="77">
        <v>142.25280280780319</v>
      </c>
      <c r="G544" s="77">
        <v>142.25280280780319</v>
      </c>
      <c r="H544" s="77">
        <v>142.25280280780319</v>
      </c>
      <c r="I544" s="77">
        <v>142.25280280780319</v>
      </c>
    </row>
    <row r="545" spans="1:9">
      <c r="A545" s="13">
        <v>498</v>
      </c>
      <c r="B545" s="8">
        <v>2023.5440130647141</v>
      </c>
      <c r="C545" s="14">
        <v>994.56364601022017</v>
      </c>
      <c r="D545" s="77">
        <v>165.76060766837003</v>
      </c>
      <c r="E545" s="77">
        <v>165.76060766837003</v>
      </c>
      <c r="F545" s="77">
        <v>165.76060766837003</v>
      </c>
      <c r="G545" s="77">
        <v>165.76060766837003</v>
      </c>
      <c r="H545" s="77">
        <v>165.76060766837003</v>
      </c>
      <c r="I545" s="77">
        <v>165.76060766837003</v>
      </c>
    </row>
    <row r="546" spans="1:9">
      <c r="A546" s="13">
        <v>499</v>
      </c>
      <c r="B546" s="8">
        <v>2023.2127544310345</v>
      </c>
      <c r="C546" s="14">
        <v>937.73712816311149</v>
      </c>
      <c r="D546" s="77">
        <v>156.28952136051859</v>
      </c>
      <c r="E546" s="77">
        <v>156.28952136051859</v>
      </c>
      <c r="F546" s="77">
        <v>156.28952136051859</v>
      </c>
      <c r="G546" s="77">
        <v>156.28952136051859</v>
      </c>
      <c r="H546" s="77">
        <v>156.28952136051859</v>
      </c>
      <c r="I546" s="77">
        <v>156.28952136051859</v>
      </c>
    </row>
    <row r="547" spans="1:9">
      <c r="A547" s="13">
        <v>500</v>
      </c>
      <c r="B547" s="8">
        <v>2023.3032146184321</v>
      </c>
      <c r="C547" s="14">
        <v>909.78683554919826</v>
      </c>
      <c r="D547" s="77">
        <v>151.63113925819971</v>
      </c>
      <c r="E547" s="77">
        <v>151.63113925819971</v>
      </c>
      <c r="F547" s="77">
        <v>151.63113925819971</v>
      </c>
      <c r="G547" s="77">
        <v>151.63113925819971</v>
      </c>
      <c r="H547" s="77">
        <v>151.63113925819971</v>
      </c>
      <c r="I547" s="77">
        <v>151.63113925819971</v>
      </c>
    </row>
    <row r="548" spans="1:9">
      <c r="A548" s="13">
        <v>501</v>
      </c>
      <c r="B548" s="8">
        <v>2022.9739790808915</v>
      </c>
      <c r="C548" s="14">
        <v>874.48117249063682</v>
      </c>
      <c r="D548" s="77">
        <v>145.7468620817728</v>
      </c>
      <c r="E548" s="77">
        <v>145.7468620817728</v>
      </c>
      <c r="F548" s="77">
        <v>145.7468620817728</v>
      </c>
      <c r="G548" s="77">
        <v>145.7468620817728</v>
      </c>
      <c r="H548" s="77">
        <v>145.7468620817728</v>
      </c>
      <c r="I548" s="77">
        <v>145.7468620817728</v>
      </c>
    </row>
    <row r="549" spans="1:9">
      <c r="A549" s="13">
        <v>502</v>
      </c>
      <c r="B549" s="8">
        <v>2022.9759227539801</v>
      </c>
      <c r="C549" s="14">
        <v>836.70320549203279</v>
      </c>
      <c r="D549" s="77">
        <v>139.45053424867214</v>
      </c>
      <c r="E549" s="77">
        <v>139.45053424867214</v>
      </c>
      <c r="F549" s="77">
        <v>139.45053424867214</v>
      </c>
      <c r="G549" s="77">
        <v>139.45053424867214</v>
      </c>
      <c r="H549" s="77">
        <v>139.45053424867214</v>
      </c>
      <c r="I549" s="77">
        <v>139.45053424867214</v>
      </c>
    </row>
    <row r="550" spans="1:9">
      <c r="A550" s="13">
        <v>503</v>
      </c>
      <c r="B550" s="8">
        <v>2022.8184889434303</v>
      </c>
      <c r="C550" s="14">
        <v>949.80376386619014</v>
      </c>
      <c r="D550" s="77">
        <v>158.30062731103169</v>
      </c>
      <c r="E550" s="77">
        <v>158.30062731103169</v>
      </c>
      <c r="F550" s="77">
        <v>158.30062731103169</v>
      </c>
      <c r="G550" s="77">
        <v>158.30062731103169</v>
      </c>
      <c r="H550" s="77">
        <v>158.30062731103169</v>
      </c>
      <c r="I550" s="77">
        <v>158.30062731103169</v>
      </c>
    </row>
    <row r="551" spans="1:9">
      <c r="A551" s="13">
        <v>504</v>
      </c>
      <c r="B551" s="8">
        <v>2022.9605668053471</v>
      </c>
      <c r="C551" s="14">
        <v>863.57584976570149</v>
      </c>
      <c r="D551" s="77">
        <v>143.92930829428357</v>
      </c>
      <c r="E551" s="77">
        <v>143.92930829428357</v>
      </c>
      <c r="F551" s="77">
        <v>143.92930829428357</v>
      </c>
      <c r="G551" s="77">
        <v>143.92930829428357</v>
      </c>
      <c r="H551" s="77">
        <v>143.92930829428357</v>
      </c>
      <c r="I551" s="77">
        <v>143.92930829428357</v>
      </c>
    </row>
    <row r="552" spans="1:9">
      <c r="A552" s="13">
        <v>505</v>
      </c>
      <c r="B552" s="8">
        <v>2024.9958299859493</v>
      </c>
      <c r="C552" s="14">
        <v>1046.7842878609008</v>
      </c>
      <c r="D552" s="77">
        <v>174.4640479768168</v>
      </c>
      <c r="E552" s="77">
        <v>174.4640479768168</v>
      </c>
      <c r="F552" s="77">
        <v>174.4640479768168</v>
      </c>
      <c r="G552" s="77">
        <v>174.4640479768168</v>
      </c>
      <c r="H552" s="77">
        <v>174.4640479768168</v>
      </c>
      <c r="I552" s="77">
        <v>174.4640479768168</v>
      </c>
    </row>
    <row r="553" spans="1:9">
      <c r="A553" s="13">
        <v>506</v>
      </c>
      <c r="B553" s="8">
        <v>2025.1682159322495</v>
      </c>
      <c r="C553" s="14">
        <v>1152.0979955956579</v>
      </c>
      <c r="D553" s="77">
        <v>192.01633259927632</v>
      </c>
      <c r="E553" s="77">
        <v>192.01633259927632</v>
      </c>
      <c r="F553" s="77">
        <v>192.01633259927632</v>
      </c>
      <c r="G553" s="77">
        <v>192.01633259927632</v>
      </c>
      <c r="H553" s="77">
        <v>192.01633259927632</v>
      </c>
      <c r="I553" s="77">
        <v>192.01633259927632</v>
      </c>
    </row>
    <row r="554" spans="1:9">
      <c r="A554" s="13">
        <v>507</v>
      </c>
      <c r="B554" s="8">
        <v>2024.8708945123039</v>
      </c>
      <c r="C554" s="14">
        <v>1180.5779482303626</v>
      </c>
      <c r="D554" s="77">
        <v>196.76299137172711</v>
      </c>
      <c r="E554" s="77">
        <v>196.76299137172711</v>
      </c>
      <c r="F554" s="77">
        <v>196.76299137172711</v>
      </c>
      <c r="G554" s="77">
        <v>196.76299137172711</v>
      </c>
      <c r="H554" s="77">
        <v>196.76299137172711</v>
      </c>
      <c r="I554" s="77">
        <v>196.76299137172711</v>
      </c>
    </row>
    <row r="555" spans="1:9">
      <c r="A555" s="13">
        <v>508</v>
      </c>
      <c r="B555" s="8">
        <v>2023.0502946430752</v>
      </c>
      <c r="C555" s="14">
        <v>943.64781118653445</v>
      </c>
      <c r="D555" s="77">
        <v>157.27463519775574</v>
      </c>
      <c r="E555" s="77">
        <v>157.27463519775574</v>
      </c>
      <c r="F555" s="77">
        <v>157.27463519775574</v>
      </c>
      <c r="G555" s="77">
        <v>157.27463519775574</v>
      </c>
      <c r="H555" s="77">
        <v>157.27463519775574</v>
      </c>
      <c r="I555" s="77">
        <v>157.27463519775574</v>
      </c>
    </row>
    <row r="556" spans="1:9">
      <c r="A556" s="13">
        <v>509</v>
      </c>
      <c r="B556" s="8">
        <v>2023.722322100416</v>
      </c>
      <c r="C556" s="14">
        <v>950.35292871705792</v>
      </c>
      <c r="D556" s="77">
        <v>158.39215478617632</v>
      </c>
      <c r="E556" s="77">
        <v>158.39215478617632</v>
      </c>
      <c r="F556" s="77">
        <v>158.39215478617632</v>
      </c>
      <c r="G556" s="77">
        <v>158.39215478617632</v>
      </c>
      <c r="H556" s="77">
        <v>158.39215478617632</v>
      </c>
      <c r="I556" s="77">
        <v>158.39215478617632</v>
      </c>
    </row>
    <row r="557" spans="1:9">
      <c r="A557" s="13">
        <v>510</v>
      </c>
      <c r="B557" s="8">
        <v>2023.7097747925882</v>
      </c>
      <c r="C557" s="14">
        <v>952.80204996590783</v>
      </c>
      <c r="D557" s="77">
        <v>158.80034166098463</v>
      </c>
      <c r="E557" s="77">
        <v>158.80034166098463</v>
      </c>
      <c r="F557" s="77">
        <v>158.80034166098463</v>
      </c>
      <c r="G557" s="77">
        <v>158.80034166098463</v>
      </c>
      <c r="H557" s="77">
        <v>158.80034166098463</v>
      </c>
      <c r="I557" s="77">
        <v>158.80034166098463</v>
      </c>
    </row>
    <row r="558" spans="1:9">
      <c r="A558" s="13">
        <v>511</v>
      </c>
      <c r="B558" s="8">
        <v>2024.5058637497718</v>
      </c>
      <c r="C558" s="14">
        <v>1094.4590519280575</v>
      </c>
      <c r="D558" s="77">
        <v>182.40984198800959</v>
      </c>
      <c r="E558" s="77">
        <v>182.40984198800959</v>
      </c>
      <c r="F558" s="77">
        <v>182.40984198800959</v>
      </c>
      <c r="G558" s="77">
        <v>182.40984198800959</v>
      </c>
      <c r="H558" s="77">
        <v>182.40984198800959</v>
      </c>
      <c r="I558" s="77">
        <v>182.40984198800959</v>
      </c>
    </row>
    <row r="559" spans="1:9">
      <c r="A559" s="13">
        <v>512</v>
      </c>
      <c r="B559" s="8">
        <v>2023.0058060495946</v>
      </c>
      <c r="C559" s="14">
        <v>848.42681160043389</v>
      </c>
      <c r="D559" s="77">
        <v>141.40446860007231</v>
      </c>
      <c r="E559" s="77">
        <v>141.40446860007231</v>
      </c>
      <c r="F559" s="77">
        <v>141.40446860007231</v>
      </c>
      <c r="G559" s="77">
        <v>141.40446860007231</v>
      </c>
      <c r="H559" s="77">
        <v>141.40446860007231</v>
      </c>
      <c r="I559" s="77">
        <v>141.40446860007231</v>
      </c>
    </row>
    <row r="560" spans="1:9">
      <c r="A560" s="13">
        <v>513</v>
      </c>
      <c r="B560" s="8">
        <v>2022.8649086616413</v>
      </c>
      <c r="C560" s="14">
        <v>822.2494968480986</v>
      </c>
      <c r="D560" s="77">
        <v>137.04158280801644</v>
      </c>
      <c r="E560" s="77">
        <v>137.04158280801644</v>
      </c>
      <c r="F560" s="77">
        <v>137.04158280801644</v>
      </c>
      <c r="G560" s="77">
        <v>137.04158280801644</v>
      </c>
      <c r="H560" s="77">
        <v>137.04158280801644</v>
      </c>
      <c r="I560" s="77">
        <v>137.04158280801644</v>
      </c>
    </row>
    <row r="561" spans="1:9">
      <c r="A561" s="13">
        <v>514</v>
      </c>
      <c r="B561" s="8">
        <v>2023.001000218494</v>
      </c>
      <c r="C561" s="14">
        <v>911.46599074946175</v>
      </c>
      <c r="D561" s="77">
        <v>151.91099845824363</v>
      </c>
      <c r="E561" s="77">
        <v>151.91099845824363</v>
      </c>
      <c r="F561" s="77">
        <v>151.91099845824363</v>
      </c>
      <c r="G561" s="77">
        <v>151.91099845824363</v>
      </c>
      <c r="H561" s="77">
        <v>151.91099845824363</v>
      </c>
      <c r="I561" s="77">
        <v>151.91099845824363</v>
      </c>
    </row>
    <row r="562" spans="1:9">
      <c r="A562" s="13">
        <v>515</v>
      </c>
      <c r="B562" s="8">
        <v>2024.5068287172296</v>
      </c>
      <c r="C562" s="14">
        <v>1072.0571670220966</v>
      </c>
      <c r="D562" s="77">
        <v>178.67619450368275</v>
      </c>
      <c r="E562" s="77">
        <v>178.67619450368275</v>
      </c>
      <c r="F562" s="77">
        <v>178.67619450368275</v>
      </c>
      <c r="G562" s="77">
        <v>178.67619450368275</v>
      </c>
      <c r="H562" s="77">
        <v>178.67619450368275</v>
      </c>
      <c r="I562" s="77">
        <v>178.67619450368275</v>
      </c>
    </row>
    <row r="563" spans="1:9">
      <c r="A563" s="13">
        <v>516</v>
      </c>
      <c r="B563" s="8">
        <v>2023.1631914947827</v>
      </c>
      <c r="C563" s="14">
        <v>926.33250743314375</v>
      </c>
      <c r="D563" s="77">
        <v>154.38875123885728</v>
      </c>
      <c r="E563" s="77">
        <v>154.38875123885728</v>
      </c>
      <c r="F563" s="77">
        <v>154.38875123885728</v>
      </c>
      <c r="G563" s="77">
        <v>154.38875123885728</v>
      </c>
      <c r="H563" s="77">
        <v>154.38875123885728</v>
      </c>
      <c r="I563" s="77">
        <v>154.38875123885728</v>
      </c>
    </row>
    <row r="564" spans="1:9">
      <c r="A564" s="13">
        <v>517</v>
      </c>
      <c r="B564" s="8">
        <v>2023.6840910854428</v>
      </c>
      <c r="C564" s="14">
        <v>900.01094084607973</v>
      </c>
      <c r="D564" s="77">
        <v>150.00182347434662</v>
      </c>
      <c r="E564" s="77">
        <v>150.00182347434662</v>
      </c>
      <c r="F564" s="77">
        <v>150.00182347434662</v>
      </c>
      <c r="G564" s="77">
        <v>150.00182347434662</v>
      </c>
      <c r="H564" s="77">
        <v>150.00182347434662</v>
      </c>
      <c r="I564" s="77">
        <v>150.00182347434662</v>
      </c>
    </row>
    <row r="565" spans="1:9">
      <c r="A565" s="13">
        <v>518</v>
      </c>
      <c r="B565" s="8">
        <v>2023.4707024746424</v>
      </c>
      <c r="C565" s="14">
        <v>983.68044909212335</v>
      </c>
      <c r="D565" s="77">
        <v>163.94674151535389</v>
      </c>
      <c r="E565" s="77">
        <v>163.94674151535389</v>
      </c>
      <c r="F565" s="77">
        <v>163.94674151535389</v>
      </c>
      <c r="G565" s="77">
        <v>163.94674151535389</v>
      </c>
      <c r="H565" s="77">
        <v>163.94674151535389</v>
      </c>
      <c r="I565" s="77">
        <v>163.94674151535389</v>
      </c>
    </row>
    <row r="566" spans="1:9">
      <c r="A566" s="13">
        <v>519</v>
      </c>
      <c r="B566" s="8">
        <v>2023.0105132692934</v>
      </c>
      <c r="C566" s="14">
        <v>925.65299008830721</v>
      </c>
      <c r="D566" s="77">
        <v>154.2754983480512</v>
      </c>
      <c r="E566" s="77">
        <v>154.2754983480512</v>
      </c>
      <c r="F566" s="77">
        <v>154.2754983480512</v>
      </c>
      <c r="G566" s="77">
        <v>154.2754983480512</v>
      </c>
      <c r="H566" s="77">
        <v>154.2754983480512</v>
      </c>
      <c r="I566" s="77">
        <v>154.2754983480512</v>
      </c>
    </row>
    <row r="567" spans="1:9">
      <c r="A567" s="13">
        <v>520</v>
      </c>
      <c r="B567" s="8">
        <v>2025.2618913811407</v>
      </c>
      <c r="C567" s="14">
        <v>1222.8706060877771</v>
      </c>
      <c r="D567" s="77">
        <v>203.81176768129617</v>
      </c>
      <c r="E567" s="77">
        <v>203.81176768129617</v>
      </c>
      <c r="F567" s="77">
        <v>203.81176768129617</v>
      </c>
      <c r="G567" s="77">
        <v>203.81176768129617</v>
      </c>
      <c r="H567" s="77">
        <v>203.81176768129617</v>
      </c>
      <c r="I567" s="77">
        <v>203.81176768129617</v>
      </c>
    </row>
    <row r="568" spans="1:9">
      <c r="A568" s="13">
        <v>521</v>
      </c>
      <c r="B568" s="8">
        <v>2023.670875435336</v>
      </c>
      <c r="C568" s="14">
        <v>986.44009106149929</v>
      </c>
      <c r="D568" s="77">
        <v>164.40668184358321</v>
      </c>
      <c r="E568" s="77">
        <v>164.40668184358321</v>
      </c>
      <c r="F568" s="77">
        <v>164.40668184358321</v>
      </c>
      <c r="G568" s="77">
        <v>164.40668184358321</v>
      </c>
      <c r="H568" s="77">
        <v>164.40668184358321</v>
      </c>
      <c r="I568" s="77">
        <v>164.40668184358321</v>
      </c>
    </row>
    <row r="569" spans="1:9">
      <c r="A569" s="13">
        <v>522</v>
      </c>
      <c r="B569" s="8">
        <v>2022.929558699474</v>
      </c>
      <c r="C569" s="14">
        <v>856.59133871815334</v>
      </c>
      <c r="D569" s="77">
        <v>142.76522311969222</v>
      </c>
      <c r="E569" s="77">
        <v>142.76522311969222</v>
      </c>
      <c r="F569" s="77">
        <v>142.76522311969222</v>
      </c>
      <c r="G569" s="77">
        <v>142.76522311969222</v>
      </c>
      <c r="H569" s="77">
        <v>142.76522311969222</v>
      </c>
      <c r="I569" s="77">
        <v>142.76522311969222</v>
      </c>
    </row>
    <row r="570" spans="1:9">
      <c r="A570" s="13">
        <v>523</v>
      </c>
      <c r="B570" s="8">
        <v>2023.1184447858236</v>
      </c>
      <c r="C570" s="14">
        <v>840.84908758813697</v>
      </c>
      <c r="D570" s="77">
        <v>140.14151459802284</v>
      </c>
      <c r="E570" s="77">
        <v>140.14151459802284</v>
      </c>
      <c r="F570" s="77">
        <v>140.14151459802284</v>
      </c>
      <c r="G570" s="77">
        <v>140.14151459802284</v>
      </c>
      <c r="H570" s="77">
        <v>140.14151459802284</v>
      </c>
      <c r="I570" s="77">
        <v>140.14151459802284</v>
      </c>
    </row>
    <row r="571" spans="1:9">
      <c r="A571" s="13">
        <v>524</v>
      </c>
      <c r="B571" s="8">
        <v>2023.6919628351993</v>
      </c>
      <c r="C571" s="14">
        <v>1048.9039094096061</v>
      </c>
      <c r="D571" s="77">
        <v>174.81731823493433</v>
      </c>
      <c r="E571" s="77">
        <v>174.81731823493433</v>
      </c>
      <c r="F571" s="77">
        <v>174.81731823493433</v>
      </c>
      <c r="G571" s="77">
        <v>174.81731823493433</v>
      </c>
      <c r="H571" s="77">
        <v>174.81731823493433</v>
      </c>
      <c r="I571" s="77">
        <v>174.81731823493433</v>
      </c>
    </row>
    <row r="572" spans="1:9">
      <c r="A572" s="13">
        <v>525</v>
      </c>
      <c r="B572" s="8">
        <v>2023.4576177209974</v>
      </c>
      <c r="C572" s="14">
        <v>1001.8818924790819</v>
      </c>
      <c r="D572" s="77">
        <v>166.98031541318031</v>
      </c>
      <c r="E572" s="77">
        <v>166.98031541318031</v>
      </c>
      <c r="F572" s="77">
        <v>166.98031541318031</v>
      </c>
      <c r="G572" s="77">
        <v>166.98031541318031</v>
      </c>
      <c r="H572" s="77">
        <v>166.98031541318031</v>
      </c>
      <c r="I572" s="77">
        <v>166.98031541318031</v>
      </c>
    </row>
    <row r="573" spans="1:9">
      <c r="A573" s="13">
        <v>526</v>
      </c>
      <c r="B573" s="8">
        <v>2023.1182889478264</v>
      </c>
      <c r="C573" s="14">
        <v>870.19073459056904</v>
      </c>
      <c r="D573" s="77">
        <v>145.03178909842816</v>
      </c>
      <c r="E573" s="77">
        <v>145.03178909842816</v>
      </c>
      <c r="F573" s="77">
        <v>145.03178909842816</v>
      </c>
      <c r="G573" s="77">
        <v>145.03178909842816</v>
      </c>
      <c r="H573" s="77">
        <v>145.03178909842816</v>
      </c>
      <c r="I573" s="77">
        <v>145.03178909842816</v>
      </c>
    </row>
    <row r="574" spans="1:9">
      <c r="A574" s="13">
        <v>527</v>
      </c>
      <c r="B574" s="8">
        <v>2023.239605174088</v>
      </c>
      <c r="C574" s="14">
        <v>927.56207073735948</v>
      </c>
      <c r="D574" s="77">
        <v>154.59367845622657</v>
      </c>
      <c r="E574" s="77">
        <v>154.59367845622657</v>
      </c>
      <c r="F574" s="77">
        <v>154.59367845622657</v>
      </c>
      <c r="G574" s="77">
        <v>154.59367845622657</v>
      </c>
      <c r="H574" s="77">
        <v>154.59367845622657</v>
      </c>
      <c r="I574" s="77">
        <v>154.59367845622657</v>
      </c>
    </row>
    <row r="575" spans="1:9">
      <c r="A575" s="13">
        <v>528</v>
      </c>
      <c r="B575" s="8">
        <v>2023.1718096598945</v>
      </c>
      <c r="C575" s="14">
        <v>949.77396252776794</v>
      </c>
      <c r="D575" s="77">
        <v>158.29566042129466</v>
      </c>
      <c r="E575" s="77">
        <v>158.29566042129466</v>
      </c>
      <c r="F575" s="77">
        <v>158.29566042129466</v>
      </c>
      <c r="G575" s="77">
        <v>158.29566042129466</v>
      </c>
      <c r="H575" s="77">
        <v>158.29566042129466</v>
      </c>
      <c r="I575" s="77">
        <v>158.29566042129466</v>
      </c>
    </row>
    <row r="576" spans="1:9">
      <c r="A576" s="13">
        <v>529</v>
      </c>
      <c r="B576" s="8">
        <v>2023.2300913774654</v>
      </c>
      <c r="C576" s="14">
        <v>967.57806028954042</v>
      </c>
      <c r="D576" s="77">
        <v>161.26301004825675</v>
      </c>
      <c r="E576" s="77">
        <v>161.26301004825675</v>
      </c>
      <c r="F576" s="77">
        <v>161.26301004825675</v>
      </c>
      <c r="G576" s="77">
        <v>161.26301004825675</v>
      </c>
      <c r="H576" s="77">
        <v>161.26301004825675</v>
      </c>
      <c r="I576" s="77">
        <v>161.26301004825675</v>
      </c>
    </row>
    <row r="577" spans="1:9">
      <c r="A577" s="13">
        <v>530</v>
      </c>
      <c r="B577" s="8">
        <v>2025.08123998319</v>
      </c>
      <c r="C577" s="14">
        <v>1128.2468581842299</v>
      </c>
      <c r="D577" s="77">
        <v>188.041143030705</v>
      </c>
      <c r="E577" s="77">
        <v>188.041143030705</v>
      </c>
      <c r="F577" s="77">
        <v>188.041143030705</v>
      </c>
      <c r="G577" s="77">
        <v>188.041143030705</v>
      </c>
      <c r="H577" s="77">
        <v>188.041143030705</v>
      </c>
      <c r="I577" s="77">
        <v>188.041143030705</v>
      </c>
    </row>
    <row r="578" spans="1:9">
      <c r="A578" s="13">
        <v>531</v>
      </c>
      <c r="B578" s="8">
        <v>2024.3573523519326</v>
      </c>
      <c r="C578" s="14">
        <v>1079.7031889445057</v>
      </c>
      <c r="D578" s="77">
        <v>179.95053149075093</v>
      </c>
      <c r="E578" s="77">
        <v>179.95053149075093</v>
      </c>
      <c r="F578" s="77">
        <v>179.95053149075093</v>
      </c>
      <c r="G578" s="77">
        <v>179.95053149075093</v>
      </c>
      <c r="H578" s="77">
        <v>179.95053149075093</v>
      </c>
      <c r="I578" s="77">
        <v>179.95053149075093</v>
      </c>
    </row>
    <row r="579" spans="1:9">
      <c r="A579" s="13">
        <v>532</v>
      </c>
      <c r="B579" s="8">
        <v>2023.2544439660383</v>
      </c>
      <c r="C579" s="14">
        <v>900.61611969236094</v>
      </c>
      <c r="D579" s="77">
        <v>150.10268661539348</v>
      </c>
      <c r="E579" s="77">
        <v>150.10268661539348</v>
      </c>
      <c r="F579" s="77">
        <v>150.10268661539348</v>
      </c>
      <c r="G579" s="77">
        <v>150.10268661539348</v>
      </c>
      <c r="H579" s="77">
        <v>150.10268661539348</v>
      </c>
      <c r="I579" s="77">
        <v>150.10268661539348</v>
      </c>
    </row>
    <row r="580" spans="1:9">
      <c r="A580" s="13">
        <v>533</v>
      </c>
      <c r="B580" s="8">
        <v>2024.5860482270004</v>
      </c>
      <c r="C580" s="14">
        <v>1139.2770057211935</v>
      </c>
      <c r="D580" s="77">
        <v>189.87950095353224</v>
      </c>
      <c r="E580" s="77">
        <v>189.87950095353224</v>
      </c>
      <c r="F580" s="77">
        <v>189.87950095353224</v>
      </c>
      <c r="G580" s="77">
        <v>189.87950095353224</v>
      </c>
      <c r="H580" s="77">
        <v>189.87950095353224</v>
      </c>
      <c r="I580" s="77">
        <v>189.87950095353224</v>
      </c>
    </row>
    <row r="581" spans="1:9">
      <c r="A581" s="13">
        <v>534</v>
      </c>
      <c r="B581" s="8">
        <v>2023.3141954166388</v>
      </c>
      <c r="C581" s="14">
        <v>948.17697065823472</v>
      </c>
      <c r="D581" s="77">
        <v>158.02949510970578</v>
      </c>
      <c r="E581" s="77">
        <v>158.02949510970578</v>
      </c>
      <c r="F581" s="77">
        <v>158.02949510970578</v>
      </c>
      <c r="G581" s="77">
        <v>158.02949510970578</v>
      </c>
      <c r="H581" s="77">
        <v>158.02949510970578</v>
      </c>
      <c r="I581" s="77">
        <v>158.02949510970578</v>
      </c>
    </row>
    <row r="582" spans="1:9">
      <c r="A582" s="13">
        <v>535</v>
      </c>
      <c r="B582" s="8">
        <v>2023.1426023376036</v>
      </c>
      <c r="C582" s="14">
        <v>890.4642386004557</v>
      </c>
      <c r="D582" s="77">
        <v>148.41070643340927</v>
      </c>
      <c r="E582" s="77">
        <v>148.41070643340927</v>
      </c>
      <c r="F582" s="77">
        <v>148.41070643340927</v>
      </c>
      <c r="G582" s="77">
        <v>148.41070643340927</v>
      </c>
      <c r="H582" s="77">
        <v>148.41070643340927</v>
      </c>
      <c r="I582" s="77">
        <v>148.41070643340927</v>
      </c>
    </row>
    <row r="583" spans="1:9">
      <c r="A583" s="13">
        <v>536</v>
      </c>
      <c r="B583" s="8">
        <v>2023.0019492851197</v>
      </c>
      <c r="C583" s="14">
        <v>905.70168364707831</v>
      </c>
      <c r="D583" s="77">
        <v>150.95028060784639</v>
      </c>
      <c r="E583" s="77">
        <v>150.95028060784639</v>
      </c>
      <c r="F583" s="77">
        <v>150.95028060784639</v>
      </c>
      <c r="G583" s="77">
        <v>150.95028060784639</v>
      </c>
      <c r="H583" s="77">
        <v>150.95028060784639</v>
      </c>
      <c r="I583" s="77">
        <v>150.95028060784639</v>
      </c>
    </row>
    <row r="584" spans="1:9">
      <c r="A584" s="13">
        <v>537</v>
      </c>
      <c r="B584" s="8">
        <v>2023.8009432536924</v>
      </c>
      <c r="C584" s="14">
        <v>1103.6062981034295</v>
      </c>
      <c r="D584" s="77">
        <v>183.93438301723825</v>
      </c>
      <c r="E584" s="77">
        <v>183.93438301723825</v>
      </c>
      <c r="F584" s="77">
        <v>183.93438301723825</v>
      </c>
      <c r="G584" s="77">
        <v>183.93438301723825</v>
      </c>
      <c r="H584" s="77">
        <v>183.93438301723825</v>
      </c>
      <c r="I584" s="77">
        <v>183.93438301723825</v>
      </c>
    </row>
    <row r="585" spans="1:9">
      <c r="A585" s="13">
        <v>538</v>
      </c>
      <c r="B585" s="8">
        <v>2023.450983933915</v>
      </c>
      <c r="C585" s="14">
        <v>923.85744605774244</v>
      </c>
      <c r="D585" s="77">
        <v>153.97624100962375</v>
      </c>
      <c r="E585" s="77">
        <v>153.97624100962375</v>
      </c>
      <c r="F585" s="77">
        <v>153.97624100962375</v>
      </c>
      <c r="G585" s="77">
        <v>153.97624100962375</v>
      </c>
      <c r="H585" s="77">
        <v>153.97624100962375</v>
      </c>
      <c r="I585" s="77">
        <v>153.97624100962375</v>
      </c>
    </row>
    <row r="586" spans="1:9">
      <c r="A586" s="13">
        <v>539</v>
      </c>
      <c r="B586" s="8">
        <v>2022.88463202802</v>
      </c>
      <c r="C586" s="14">
        <v>888.66434543805076</v>
      </c>
      <c r="D586" s="77">
        <v>148.11072423967514</v>
      </c>
      <c r="E586" s="77">
        <v>148.11072423967514</v>
      </c>
      <c r="F586" s="77">
        <v>148.11072423967514</v>
      </c>
      <c r="G586" s="77">
        <v>148.11072423967514</v>
      </c>
      <c r="H586" s="77">
        <v>148.11072423967514</v>
      </c>
      <c r="I586" s="77">
        <v>148.11072423967514</v>
      </c>
    </row>
    <row r="587" spans="1:9">
      <c r="A587" s="13">
        <v>540</v>
      </c>
      <c r="B587" s="8">
        <v>2023.1999457273898</v>
      </c>
      <c r="C587" s="14">
        <v>873.55413555385928</v>
      </c>
      <c r="D587" s="77">
        <v>145.5923559256432</v>
      </c>
      <c r="E587" s="77">
        <v>145.5923559256432</v>
      </c>
      <c r="F587" s="77">
        <v>145.5923559256432</v>
      </c>
      <c r="G587" s="77">
        <v>145.5923559256432</v>
      </c>
      <c r="H587" s="77">
        <v>145.5923559256432</v>
      </c>
      <c r="I587" s="77">
        <v>145.5923559256432</v>
      </c>
    </row>
    <row r="588" spans="1:9">
      <c r="A588" s="13">
        <v>541</v>
      </c>
      <c r="B588" s="8">
        <v>2024.8790256135087</v>
      </c>
      <c r="C588" s="14">
        <v>1137.8066271146042</v>
      </c>
      <c r="D588" s="77">
        <v>189.63443785243405</v>
      </c>
      <c r="E588" s="77">
        <v>189.63443785243405</v>
      </c>
      <c r="F588" s="77">
        <v>189.63443785243405</v>
      </c>
      <c r="G588" s="77">
        <v>189.63443785243405</v>
      </c>
      <c r="H588" s="77">
        <v>189.63443785243405</v>
      </c>
      <c r="I588" s="77">
        <v>189.63443785243405</v>
      </c>
    </row>
    <row r="589" spans="1:9">
      <c r="A589" s="13">
        <v>542</v>
      </c>
      <c r="B589" s="8">
        <v>2022.9582007897463</v>
      </c>
      <c r="C589" s="14">
        <v>838.02375293904868</v>
      </c>
      <c r="D589" s="77">
        <v>139.67062548984146</v>
      </c>
      <c r="E589" s="77">
        <v>139.67062548984146</v>
      </c>
      <c r="F589" s="77">
        <v>139.67062548984146</v>
      </c>
      <c r="G589" s="77">
        <v>139.67062548984146</v>
      </c>
      <c r="H589" s="77">
        <v>139.67062548984146</v>
      </c>
      <c r="I589" s="77">
        <v>139.67062548984146</v>
      </c>
    </row>
    <row r="590" spans="1:9">
      <c r="A590" s="13">
        <v>543</v>
      </c>
      <c r="B590" s="8">
        <v>2023.1512809146936</v>
      </c>
      <c r="C590" s="14">
        <v>925.49219510509204</v>
      </c>
      <c r="D590" s="77">
        <v>154.24869918418202</v>
      </c>
      <c r="E590" s="77">
        <v>154.24869918418202</v>
      </c>
      <c r="F590" s="77">
        <v>154.24869918418202</v>
      </c>
      <c r="G590" s="77">
        <v>154.24869918418202</v>
      </c>
      <c r="H590" s="77">
        <v>154.24869918418202</v>
      </c>
      <c r="I590" s="77">
        <v>154.24869918418202</v>
      </c>
    </row>
    <row r="591" spans="1:9">
      <c r="A591" s="13">
        <v>544</v>
      </c>
      <c r="B591" s="8">
        <v>2023.4630785700185</v>
      </c>
      <c r="C591" s="14">
        <v>912.72589134574798</v>
      </c>
      <c r="D591" s="77">
        <v>152.12098189095801</v>
      </c>
      <c r="E591" s="77">
        <v>152.12098189095801</v>
      </c>
      <c r="F591" s="77">
        <v>152.12098189095801</v>
      </c>
      <c r="G591" s="77">
        <v>152.12098189095801</v>
      </c>
      <c r="H591" s="77">
        <v>152.12098189095801</v>
      </c>
      <c r="I591" s="77">
        <v>152.12098189095801</v>
      </c>
    </row>
    <row r="592" spans="1:9">
      <c r="A592" s="13">
        <v>545</v>
      </c>
      <c r="B592" s="8">
        <v>2022.8389673112895</v>
      </c>
      <c r="C592" s="14">
        <v>889.31278061224839</v>
      </c>
      <c r="D592" s="77">
        <v>148.21879676870807</v>
      </c>
      <c r="E592" s="77">
        <v>148.21879676870807</v>
      </c>
      <c r="F592" s="77">
        <v>148.21879676870807</v>
      </c>
      <c r="G592" s="77">
        <v>148.21879676870807</v>
      </c>
      <c r="H592" s="77">
        <v>148.21879676870807</v>
      </c>
      <c r="I592" s="77">
        <v>148.21879676870807</v>
      </c>
    </row>
    <row r="593" spans="1:9">
      <c r="A593" s="13">
        <v>546</v>
      </c>
      <c r="B593" s="8">
        <v>2024.7993694367233</v>
      </c>
      <c r="C593" s="14">
        <v>1129.7330229965323</v>
      </c>
      <c r="D593" s="77">
        <v>188.28883716608871</v>
      </c>
      <c r="E593" s="77">
        <v>188.28883716608871</v>
      </c>
      <c r="F593" s="77">
        <v>188.28883716608871</v>
      </c>
      <c r="G593" s="77">
        <v>188.28883716608871</v>
      </c>
      <c r="H593" s="77">
        <v>188.28883716608871</v>
      </c>
      <c r="I593" s="77">
        <v>188.28883716608871</v>
      </c>
    </row>
    <row r="594" spans="1:9">
      <c r="A594" s="13">
        <v>547</v>
      </c>
      <c r="B594" s="8">
        <v>2023.5820301243505</v>
      </c>
      <c r="C594" s="14">
        <v>930.35644212973011</v>
      </c>
      <c r="D594" s="77">
        <v>155.05940702162169</v>
      </c>
      <c r="E594" s="77">
        <v>155.05940702162169</v>
      </c>
      <c r="F594" s="77">
        <v>155.05940702162169</v>
      </c>
      <c r="G594" s="77">
        <v>155.05940702162169</v>
      </c>
      <c r="H594" s="77">
        <v>155.05940702162169</v>
      </c>
      <c r="I594" s="77">
        <v>155.05940702162169</v>
      </c>
    </row>
    <row r="595" spans="1:9">
      <c r="A595" s="13">
        <v>548</v>
      </c>
      <c r="B595" s="8">
        <v>2025.4500505641843</v>
      </c>
      <c r="C595" s="14">
        <v>1135.7781129882615</v>
      </c>
      <c r="D595" s="77">
        <v>189.29635216471024</v>
      </c>
      <c r="E595" s="77">
        <v>189.29635216471024</v>
      </c>
      <c r="F595" s="77">
        <v>189.29635216471024</v>
      </c>
      <c r="G595" s="77">
        <v>189.29635216471024</v>
      </c>
      <c r="H595" s="77">
        <v>189.29635216471024</v>
      </c>
      <c r="I595" s="77">
        <v>189.29635216471024</v>
      </c>
    </row>
    <row r="596" spans="1:9">
      <c r="A596" s="13">
        <v>549</v>
      </c>
      <c r="B596" s="8">
        <v>2024.0966483470622</v>
      </c>
      <c r="C596" s="14">
        <v>1035.8033127420447</v>
      </c>
      <c r="D596" s="77">
        <v>172.63388545700744</v>
      </c>
      <c r="E596" s="77">
        <v>172.63388545700744</v>
      </c>
      <c r="F596" s="77">
        <v>172.63388545700744</v>
      </c>
      <c r="G596" s="77">
        <v>172.63388545700744</v>
      </c>
      <c r="H596" s="77">
        <v>172.63388545700744</v>
      </c>
      <c r="I596" s="77">
        <v>172.63388545700744</v>
      </c>
    </row>
    <row r="597" spans="1:9">
      <c r="A597" s="13">
        <v>550</v>
      </c>
      <c r="B597" s="8">
        <v>2023.2965590381846</v>
      </c>
      <c r="C597" s="14">
        <v>976.52522201597003</v>
      </c>
      <c r="D597" s="77">
        <v>162.75420366932835</v>
      </c>
      <c r="E597" s="77">
        <v>162.75420366932835</v>
      </c>
      <c r="F597" s="77">
        <v>162.75420366932835</v>
      </c>
      <c r="G597" s="77">
        <v>162.75420366932835</v>
      </c>
      <c r="H597" s="77">
        <v>162.75420366932835</v>
      </c>
      <c r="I597" s="77">
        <v>162.75420366932835</v>
      </c>
    </row>
    <row r="598" spans="1:9">
      <c r="A598" s="13">
        <v>551</v>
      </c>
      <c r="B598" s="8">
        <v>2023.2134540621598</v>
      </c>
      <c r="C598" s="14">
        <v>871.52041994958381</v>
      </c>
      <c r="D598" s="77">
        <v>145.25340332493064</v>
      </c>
      <c r="E598" s="77">
        <v>145.25340332493064</v>
      </c>
      <c r="F598" s="77">
        <v>145.25340332493064</v>
      </c>
      <c r="G598" s="77">
        <v>145.25340332493064</v>
      </c>
      <c r="H598" s="77">
        <v>145.25340332493064</v>
      </c>
      <c r="I598" s="77">
        <v>145.25340332493064</v>
      </c>
    </row>
    <row r="599" spans="1:9">
      <c r="A599" s="13">
        <v>552</v>
      </c>
      <c r="B599" s="8">
        <v>2022.8917241575921</v>
      </c>
      <c r="C599" s="14">
        <v>865.69375968517124</v>
      </c>
      <c r="D599" s="77">
        <v>144.28229328086186</v>
      </c>
      <c r="E599" s="77">
        <v>144.28229328086186</v>
      </c>
      <c r="F599" s="77">
        <v>144.28229328086186</v>
      </c>
      <c r="G599" s="77">
        <v>144.28229328086186</v>
      </c>
      <c r="H599" s="77">
        <v>144.28229328086186</v>
      </c>
      <c r="I599" s="77">
        <v>144.28229328086186</v>
      </c>
    </row>
    <row r="600" spans="1:9">
      <c r="A600" s="13">
        <v>553</v>
      </c>
      <c r="B600" s="8">
        <v>2023.2385136839757</v>
      </c>
      <c r="C600" s="14">
        <v>890.83847524522275</v>
      </c>
      <c r="D600" s="77">
        <v>148.47307920753713</v>
      </c>
      <c r="E600" s="77">
        <v>148.47307920753713</v>
      </c>
      <c r="F600" s="77">
        <v>148.47307920753713</v>
      </c>
      <c r="G600" s="77">
        <v>148.47307920753713</v>
      </c>
      <c r="H600" s="77">
        <v>148.47307920753713</v>
      </c>
      <c r="I600" s="77">
        <v>148.47307920753713</v>
      </c>
    </row>
    <row r="601" spans="1:9">
      <c r="A601" s="13">
        <v>554</v>
      </c>
      <c r="B601" s="8">
        <v>2025.3253161127377</v>
      </c>
      <c r="C601" s="14">
        <v>1131.4156296074561</v>
      </c>
      <c r="D601" s="77">
        <v>188.56927160124269</v>
      </c>
      <c r="E601" s="77">
        <v>188.56927160124269</v>
      </c>
      <c r="F601" s="77">
        <v>188.56927160124269</v>
      </c>
      <c r="G601" s="77">
        <v>188.56927160124269</v>
      </c>
      <c r="H601" s="77">
        <v>188.56927160124269</v>
      </c>
      <c r="I601" s="77">
        <v>188.56927160124269</v>
      </c>
    </row>
    <row r="602" spans="1:9">
      <c r="A602" s="13">
        <v>555</v>
      </c>
      <c r="B602" s="8">
        <v>2023.2617541852546</v>
      </c>
      <c r="C602" s="14">
        <v>920.73448704797602</v>
      </c>
      <c r="D602" s="77">
        <v>153.45574784132933</v>
      </c>
      <c r="E602" s="77">
        <v>153.45574784132933</v>
      </c>
      <c r="F602" s="77">
        <v>153.45574784132933</v>
      </c>
      <c r="G602" s="77">
        <v>153.45574784132933</v>
      </c>
      <c r="H602" s="77">
        <v>153.45574784132933</v>
      </c>
      <c r="I602" s="77">
        <v>153.45574784132933</v>
      </c>
    </row>
    <row r="603" spans="1:9">
      <c r="A603" s="13">
        <v>556</v>
      </c>
      <c r="B603" s="8">
        <v>2022.8923348577009</v>
      </c>
      <c r="C603" s="14">
        <v>834.08253476770722</v>
      </c>
      <c r="D603" s="77">
        <v>139.01375579461788</v>
      </c>
      <c r="E603" s="77">
        <v>139.01375579461788</v>
      </c>
      <c r="F603" s="77">
        <v>139.01375579461788</v>
      </c>
      <c r="G603" s="77">
        <v>139.01375579461788</v>
      </c>
      <c r="H603" s="77">
        <v>139.01375579461788</v>
      </c>
      <c r="I603" s="77">
        <v>139.01375579461788</v>
      </c>
    </row>
    <row r="604" spans="1:9">
      <c r="A604" s="13">
        <v>557</v>
      </c>
      <c r="B604" s="8">
        <v>2023.471058573951</v>
      </c>
      <c r="C604" s="14">
        <v>920.8101052014789</v>
      </c>
      <c r="D604" s="77">
        <v>153.46835086691314</v>
      </c>
      <c r="E604" s="77">
        <v>153.46835086691314</v>
      </c>
      <c r="F604" s="77">
        <v>153.46835086691314</v>
      </c>
      <c r="G604" s="77">
        <v>153.46835086691314</v>
      </c>
      <c r="H604" s="77">
        <v>153.46835086691314</v>
      </c>
      <c r="I604" s="77">
        <v>153.46835086691314</v>
      </c>
    </row>
    <row r="605" spans="1:9">
      <c r="A605" s="13">
        <v>558</v>
      </c>
      <c r="B605" s="8">
        <v>2024.5422567348874</v>
      </c>
      <c r="C605" s="14">
        <v>1071.2386482058025</v>
      </c>
      <c r="D605" s="77">
        <v>178.53977470096709</v>
      </c>
      <c r="E605" s="77">
        <v>178.53977470096709</v>
      </c>
      <c r="F605" s="77">
        <v>178.53977470096709</v>
      </c>
      <c r="G605" s="77">
        <v>178.53977470096709</v>
      </c>
      <c r="H605" s="77">
        <v>178.53977470096709</v>
      </c>
      <c r="I605" s="77">
        <v>178.53977470096709</v>
      </c>
    </row>
    <row r="606" spans="1:9">
      <c r="A606" s="13">
        <v>559</v>
      </c>
      <c r="B606" s="8">
        <v>2024.980652740147</v>
      </c>
      <c r="C606" s="14">
        <v>1089.7633212626793</v>
      </c>
      <c r="D606" s="77">
        <v>181.62722021044655</v>
      </c>
      <c r="E606" s="77">
        <v>181.62722021044655</v>
      </c>
      <c r="F606" s="77">
        <v>181.62722021044655</v>
      </c>
      <c r="G606" s="77">
        <v>181.62722021044655</v>
      </c>
      <c r="H606" s="77">
        <v>181.62722021044655</v>
      </c>
      <c r="I606" s="77">
        <v>181.62722021044655</v>
      </c>
    </row>
    <row r="607" spans="1:9">
      <c r="A607" s="13">
        <v>560</v>
      </c>
      <c r="B607" s="8">
        <v>2025.1639195690764</v>
      </c>
      <c r="C607" s="14">
        <v>1121.9563826127869</v>
      </c>
      <c r="D607" s="77">
        <v>186.99273043546449</v>
      </c>
      <c r="E607" s="77">
        <v>186.99273043546449</v>
      </c>
      <c r="F607" s="77">
        <v>186.99273043546449</v>
      </c>
      <c r="G607" s="77">
        <v>186.99273043546449</v>
      </c>
      <c r="H607" s="77">
        <v>186.99273043546449</v>
      </c>
      <c r="I607" s="77">
        <v>186.99273043546449</v>
      </c>
    </row>
    <row r="608" spans="1:9">
      <c r="A608" s="13">
        <v>561</v>
      </c>
      <c r="B608" s="8">
        <v>2025.5184511005759</v>
      </c>
      <c r="C608" s="14">
        <v>1192.1497397299365</v>
      </c>
      <c r="D608" s="77">
        <v>198.69162328832275</v>
      </c>
      <c r="E608" s="77">
        <v>198.69162328832275</v>
      </c>
      <c r="F608" s="77">
        <v>198.69162328832275</v>
      </c>
      <c r="G608" s="77">
        <v>198.69162328832275</v>
      </c>
      <c r="H608" s="77">
        <v>198.69162328832275</v>
      </c>
      <c r="I608" s="77">
        <v>198.69162328832275</v>
      </c>
    </row>
    <row r="609" spans="1:9">
      <c r="A609" s="13">
        <v>562</v>
      </c>
      <c r="B609" s="8">
        <v>2023.433583161969</v>
      </c>
      <c r="C609" s="14">
        <v>969.24993377356157</v>
      </c>
      <c r="D609" s="77">
        <v>161.54165562892692</v>
      </c>
      <c r="E609" s="77">
        <v>161.54165562892692</v>
      </c>
      <c r="F609" s="77">
        <v>161.54165562892692</v>
      </c>
      <c r="G609" s="77">
        <v>161.54165562892692</v>
      </c>
      <c r="H609" s="77">
        <v>161.54165562892692</v>
      </c>
      <c r="I609" s="77">
        <v>161.54165562892692</v>
      </c>
    </row>
    <row r="610" spans="1:9">
      <c r="A610" s="13">
        <v>563</v>
      </c>
      <c r="B610" s="8">
        <v>2022.7844132043442</v>
      </c>
      <c r="C610" s="14">
        <v>904.92920459685081</v>
      </c>
      <c r="D610" s="77">
        <v>150.82153409947514</v>
      </c>
      <c r="E610" s="77">
        <v>150.82153409947514</v>
      </c>
      <c r="F610" s="77">
        <v>150.82153409947514</v>
      </c>
      <c r="G610" s="77">
        <v>150.82153409947514</v>
      </c>
      <c r="H610" s="77">
        <v>150.82153409947514</v>
      </c>
      <c r="I610" s="77">
        <v>150.82153409947514</v>
      </c>
    </row>
    <row r="611" spans="1:9">
      <c r="A611" s="13">
        <v>564</v>
      </c>
      <c r="B611" s="8">
        <v>2023.2914891577338</v>
      </c>
      <c r="C611" s="14">
        <v>901.59656672439189</v>
      </c>
      <c r="D611" s="77">
        <v>150.26609445406532</v>
      </c>
      <c r="E611" s="77">
        <v>150.26609445406532</v>
      </c>
      <c r="F611" s="77">
        <v>150.26609445406532</v>
      </c>
      <c r="G611" s="77">
        <v>150.26609445406532</v>
      </c>
      <c r="H611" s="77">
        <v>150.26609445406532</v>
      </c>
      <c r="I611" s="77">
        <v>150.26609445406532</v>
      </c>
    </row>
    <row r="612" spans="1:9">
      <c r="A612" s="13">
        <v>565</v>
      </c>
      <c r="B612" s="8">
        <v>2023.1273142202094</v>
      </c>
      <c r="C612" s="14">
        <v>885.98362691598811</v>
      </c>
      <c r="D612" s="77">
        <v>147.66393781933135</v>
      </c>
      <c r="E612" s="77">
        <v>147.66393781933135</v>
      </c>
      <c r="F612" s="77">
        <v>147.66393781933135</v>
      </c>
      <c r="G612" s="77">
        <v>147.66393781933135</v>
      </c>
      <c r="H612" s="77">
        <v>147.66393781933135</v>
      </c>
      <c r="I612" s="77">
        <v>147.66393781933135</v>
      </c>
    </row>
    <row r="613" spans="1:9">
      <c r="A613" s="13">
        <v>566</v>
      </c>
      <c r="B613" s="8">
        <v>2024.2798498453146</v>
      </c>
      <c r="C613" s="14">
        <v>1055.722003406539</v>
      </c>
      <c r="D613" s="77">
        <v>175.95366723442316</v>
      </c>
      <c r="E613" s="77">
        <v>175.95366723442316</v>
      </c>
      <c r="F613" s="77">
        <v>175.95366723442316</v>
      </c>
      <c r="G613" s="77">
        <v>175.95366723442316</v>
      </c>
      <c r="H613" s="77">
        <v>175.95366723442316</v>
      </c>
      <c r="I613" s="77">
        <v>175.95366723442316</v>
      </c>
    </row>
    <row r="614" spans="1:9">
      <c r="A614" s="13">
        <v>567</v>
      </c>
      <c r="B614" s="8">
        <v>2023.4565816503455</v>
      </c>
      <c r="C614" s="14">
        <v>945.63481937435552</v>
      </c>
      <c r="D614" s="77">
        <v>157.60580322905926</v>
      </c>
      <c r="E614" s="77">
        <v>157.60580322905926</v>
      </c>
      <c r="F614" s="77">
        <v>157.60580322905926</v>
      </c>
      <c r="G614" s="77">
        <v>157.60580322905926</v>
      </c>
      <c r="H614" s="77">
        <v>157.60580322905926</v>
      </c>
      <c r="I614" s="77">
        <v>157.60580322905926</v>
      </c>
    </row>
    <row r="615" spans="1:9">
      <c r="A615" s="13">
        <v>568</v>
      </c>
      <c r="B615" s="8">
        <v>2023.3605707659187</v>
      </c>
      <c r="C615" s="14">
        <v>917.25242316265917</v>
      </c>
      <c r="D615" s="77">
        <v>152.87540386044319</v>
      </c>
      <c r="E615" s="77">
        <v>152.87540386044319</v>
      </c>
      <c r="F615" s="77">
        <v>152.87540386044319</v>
      </c>
      <c r="G615" s="77">
        <v>152.87540386044319</v>
      </c>
      <c r="H615" s="77">
        <v>152.87540386044319</v>
      </c>
      <c r="I615" s="77">
        <v>152.87540386044319</v>
      </c>
    </row>
    <row r="616" spans="1:9">
      <c r="A616" s="13">
        <v>569</v>
      </c>
      <c r="B616" s="8">
        <v>2022.7377688354452</v>
      </c>
      <c r="C616" s="14">
        <v>836.33361891369896</v>
      </c>
      <c r="D616" s="77">
        <v>139.38893648561648</v>
      </c>
      <c r="E616" s="77">
        <v>139.38893648561648</v>
      </c>
      <c r="F616" s="77">
        <v>139.38893648561648</v>
      </c>
      <c r="G616" s="77">
        <v>139.38893648561648</v>
      </c>
      <c r="H616" s="77">
        <v>139.38893648561648</v>
      </c>
      <c r="I616" s="77">
        <v>139.38893648561648</v>
      </c>
    </row>
    <row r="617" spans="1:9">
      <c r="A617" s="13">
        <v>570</v>
      </c>
      <c r="B617" s="8">
        <v>2022.6936844385398</v>
      </c>
      <c r="C617" s="14">
        <v>877.09218833932425</v>
      </c>
      <c r="D617" s="77">
        <v>146.18203138988738</v>
      </c>
      <c r="E617" s="77">
        <v>146.18203138988738</v>
      </c>
      <c r="F617" s="77">
        <v>146.18203138988738</v>
      </c>
      <c r="G617" s="77">
        <v>146.18203138988738</v>
      </c>
      <c r="H617" s="77">
        <v>146.18203138988738</v>
      </c>
      <c r="I617" s="77">
        <v>146.18203138988738</v>
      </c>
    </row>
    <row r="618" spans="1:9">
      <c r="A618" s="13">
        <v>571</v>
      </c>
      <c r="B618" s="8">
        <v>2024.5386372109342</v>
      </c>
      <c r="C618" s="14">
        <v>1100.9649347485481</v>
      </c>
      <c r="D618" s="77">
        <v>183.49415579142467</v>
      </c>
      <c r="E618" s="77">
        <v>183.49415579142467</v>
      </c>
      <c r="F618" s="77">
        <v>183.49415579142467</v>
      </c>
      <c r="G618" s="77">
        <v>183.49415579142467</v>
      </c>
      <c r="H618" s="77">
        <v>183.49415579142467</v>
      </c>
      <c r="I618" s="77">
        <v>183.49415579142467</v>
      </c>
    </row>
    <row r="619" spans="1:9">
      <c r="A619" s="13">
        <v>572</v>
      </c>
      <c r="B619" s="8">
        <v>2023.2994205881009</v>
      </c>
      <c r="C619" s="14">
        <v>865.86761123323856</v>
      </c>
      <c r="D619" s="77">
        <v>144.31126853887309</v>
      </c>
      <c r="E619" s="77">
        <v>144.31126853887309</v>
      </c>
      <c r="F619" s="77">
        <v>144.31126853887309</v>
      </c>
      <c r="G619" s="77">
        <v>144.31126853887309</v>
      </c>
      <c r="H619" s="77">
        <v>144.31126853887309</v>
      </c>
      <c r="I619" s="77">
        <v>144.31126853887309</v>
      </c>
    </row>
    <row r="620" spans="1:9">
      <c r="A620" s="13">
        <v>573</v>
      </c>
      <c r="B620" s="8">
        <v>2022.8032388962029</v>
      </c>
      <c r="C620" s="14">
        <v>835.89376943908508</v>
      </c>
      <c r="D620" s="77">
        <v>139.31562823984751</v>
      </c>
      <c r="E620" s="77">
        <v>139.31562823984751</v>
      </c>
      <c r="F620" s="77">
        <v>139.31562823984751</v>
      </c>
      <c r="G620" s="77">
        <v>139.31562823984751</v>
      </c>
      <c r="H620" s="77">
        <v>139.31562823984751</v>
      </c>
      <c r="I620" s="77">
        <v>139.31562823984751</v>
      </c>
    </row>
    <row r="621" spans="1:9">
      <c r="A621" s="13">
        <v>574</v>
      </c>
      <c r="B621" s="8">
        <v>2024.4492825343843</v>
      </c>
      <c r="C621" s="14">
        <v>1066.9518238857208</v>
      </c>
      <c r="D621" s="77">
        <v>177.82530398095346</v>
      </c>
      <c r="E621" s="77">
        <v>177.82530398095346</v>
      </c>
      <c r="F621" s="77">
        <v>177.82530398095346</v>
      </c>
      <c r="G621" s="77">
        <v>177.82530398095346</v>
      </c>
      <c r="H621" s="77">
        <v>177.82530398095346</v>
      </c>
      <c r="I621" s="77">
        <v>177.82530398095346</v>
      </c>
    </row>
    <row r="622" spans="1:9">
      <c r="A622" s="13">
        <v>575</v>
      </c>
      <c r="B622" s="8">
        <v>2023.21482662832</v>
      </c>
      <c r="C622" s="14">
        <v>893.26943663552333</v>
      </c>
      <c r="D622" s="77">
        <v>148.87823943925389</v>
      </c>
      <c r="E622" s="77">
        <v>148.87823943925389</v>
      </c>
      <c r="F622" s="77">
        <v>148.87823943925389</v>
      </c>
      <c r="G622" s="77">
        <v>148.87823943925389</v>
      </c>
      <c r="H622" s="77">
        <v>148.87823943925389</v>
      </c>
      <c r="I622" s="77">
        <v>148.87823943925389</v>
      </c>
    </row>
    <row r="623" spans="1:9">
      <c r="A623" s="13">
        <v>576</v>
      </c>
      <c r="B623" s="8">
        <v>2024.8682780976083</v>
      </c>
      <c r="C623" s="14">
        <v>1097.5258740630231</v>
      </c>
      <c r="D623" s="77">
        <v>182.92097901050386</v>
      </c>
      <c r="E623" s="77">
        <v>182.92097901050386</v>
      </c>
      <c r="F623" s="77">
        <v>182.92097901050386</v>
      </c>
      <c r="G623" s="77">
        <v>182.92097901050386</v>
      </c>
      <c r="H623" s="77">
        <v>182.92097901050386</v>
      </c>
      <c r="I623" s="77">
        <v>182.92097901050386</v>
      </c>
    </row>
    <row r="624" spans="1:9">
      <c r="A624" s="13">
        <v>577</v>
      </c>
      <c r="B624" s="8">
        <v>2025.4140443079814</v>
      </c>
      <c r="C624" s="14">
        <v>1160.1008137235253</v>
      </c>
      <c r="D624" s="77">
        <v>193.35013562058757</v>
      </c>
      <c r="E624" s="77">
        <v>193.35013562058757</v>
      </c>
      <c r="F624" s="77">
        <v>193.35013562058757</v>
      </c>
      <c r="G624" s="77">
        <v>193.35013562058757</v>
      </c>
      <c r="H624" s="77">
        <v>193.35013562058757</v>
      </c>
      <c r="I624" s="77">
        <v>193.35013562058757</v>
      </c>
    </row>
    <row r="625" spans="1:9">
      <c r="A625" s="13">
        <v>578</v>
      </c>
      <c r="B625" s="8">
        <v>2023.0457870163909</v>
      </c>
      <c r="C625" s="14">
        <v>838.91543194147675</v>
      </c>
      <c r="D625" s="77">
        <v>139.8192386569128</v>
      </c>
      <c r="E625" s="77">
        <v>139.8192386569128</v>
      </c>
      <c r="F625" s="77">
        <v>139.8192386569128</v>
      </c>
      <c r="G625" s="77">
        <v>139.8192386569128</v>
      </c>
      <c r="H625" s="77">
        <v>139.8192386569128</v>
      </c>
      <c r="I625" s="77">
        <v>139.8192386569128</v>
      </c>
    </row>
    <row r="626" spans="1:9">
      <c r="A626" s="13">
        <v>579</v>
      </c>
      <c r="B626" s="8">
        <v>2024.38526277184</v>
      </c>
      <c r="C626" s="14">
        <v>1036.2913037023347</v>
      </c>
      <c r="D626" s="77">
        <v>172.71521728372247</v>
      </c>
      <c r="E626" s="77">
        <v>172.71521728372247</v>
      </c>
      <c r="F626" s="77">
        <v>172.71521728372247</v>
      </c>
      <c r="G626" s="77">
        <v>172.71521728372247</v>
      </c>
      <c r="H626" s="77">
        <v>172.71521728372247</v>
      </c>
      <c r="I626" s="77">
        <v>172.71521728372247</v>
      </c>
    </row>
    <row r="627" spans="1:9">
      <c r="A627" s="13">
        <v>580</v>
      </c>
      <c r="B627" s="8">
        <v>2022.6556299304207</v>
      </c>
      <c r="C627" s="14">
        <v>793.45993530287399</v>
      </c>
      <c r="D627" s="77">
        <v>132.24332255047901</v>
      </c>
      <c r="E627" s="77">
        <v>132.24332255047901</v>
      </c>
      <c r="F627" s="77">
        <v>132.24332255047901</v>
      </c>
      <c r="G627" s="77">
        <v>132.24332255047901</v>
      </c>
      <c r="H627" s="77">
        <v>132.24332255047901</v>
      </c>
      <c r="I627" s="77">
        <v>132.24332255047901</v>
      </c>
    </row>
    <row r="628" spans="1:9">
      <c r="A628" s="13">
        <v>581</v>
      </c>
      <c r="B628" s="8">
        <v>2023.1621624363195</v>
      </c>
      <c r="C628" s="14">
        <v>914.33628628675899</v>
      </c>
      <c r="D628" s="77">
        <v>152.38938104779317</v>
      </c>
      <c r="E628" s="77">
        <v>152.38938104779317</v>
      </c>
      <c r="F628" s="77">
        <v>152.38938104779317</v>
      </c>
      <c r="G628" s="77">
        <v>152.38938104779317</v>
      </c>
      <c r="H628" s="77">
        <v>152.38938104779317</v>
      </c>
      <c r="I628" s="77">
        <v>152.38938104779317</v>
      </c>
    </row>
    <row r="629" spans="1:9">
      <c r="A629" s="13">
        <v>582</v>
      </c>
      <c r="B629" s="8">
        <v>2025.3543319188821</v>
      </c>
      <c r="C629" s="14">
        <v>1157.7793788718911</v>
      </c>
      <c r="D629" s="77">
        <v>192.96322981198185</v>
      </c>
      <c r="E629" s="77">
        <v>192.96322981198185</v>
      </c>
      <c r="F629" s="77">
        <v>192.96322981198185</v>
      </c>
      <c r="G629" s="77">
        <v>192.96322981198185</v>
      </c>
      <c r="H629" s="77">
        <v>192.96322981198185</v>
      </c>
      <c r="I629" s="77">
        <v>192.96322981198185</v>
      </c>
    </row>
    <row r="630" spans="1:9">
      <c r="A630" s="13">
        <v>583</v>
      </c>
      <c r="B630" s="8">
        <v>2024.7970331805268</v>
      </c>
      <c r="C630" s="14">
        <v>1113.7038218864964</v>
      </c>
      <c r="D630" s="77">
        <v>185.6173036477494</v>
      </c>
      <c r="E630" s="77">
        <v>185.6173036477494</v>
      </c>
      <c r="F630" s="77">
        <v>185.6173036477494</v>
      </c>
      <c r="G630" s="77">
        <v>185.6173036477494</v>
      </c>
      <c r="H630" s="77">
        <v>185.6173036477494</v>
      </c>
      <c r="I630" s="77">
        <v>185.6173036477494</v>
      </c>
    </row>
    <row r="631" spans="1:9">
      <c r="A631" s="13">
        <v>584</v>
      </c>
      <c r="B631" s="8">
        <v>2024.1688513987197</v>
      </c>
      <c r="C631" s="14">
        <v>1064.2377061666314</v>
      </c>
      <c r="D631" s="77">
        <v>177.3729510277719</v>
      </c>
      <c r="E631" s="77">
        <v>177.3729510277719</v>
      </c>
      <c r="F631" s="77">
        <v>177.3729510277719</v>
      </c>
      <c r="G631" s="77">
        <v>177.3729510277719</v>
      </c>
      <c r="H631" s="77">
        <v>177.3729510277719</v>
      </c>
      <c r="I631" s="77">
        <v>177.3729510277719</v>
      </c>
    </row>
    <row r="632" spans="1:9">
      <c r="A632" s="13">
        <v>585</v>
      </c>
      <c r="B632" s="8">
        <v>2023.2854679962938</v>
      </c>
      <c r="C632" s="14">
        <v>893.23822133851718</v>
      </c>
      <c r="D632" s="77">
        <v>148.87303688975285</v>
      </c>
      <c r="E632" s="77">
        <v>148.87303688975285</v>
      </c>
      <c r="F632" s="77">
        <v>148.87303688975285</v>
      </c>
      <c r="G632" s="77">
        <v>148.87303688975285</v>
      </c>
      <c r="H632" s="77">
        <v>148.87303688975285</v>
      </c>
      <c r="I632" s="77">
        <v>148.87303688975285</v>
      </c>
    </row>
    <row r="633" spans="1:9">
      <c r="A633" s="13">
        <v>586</v>
      </c>
      <c r="B633" s="8">
        <v>2023.2642873538514</v>
      </c>
      <c r="C633" s="14">
        <v>904.91362227368745</v>
      </c>
      <c r="D633" s="77">
        <v>150.81893704561458</v>
      </c>
      <c r="E633" s="77">
        <v>150.81893704561458</v>
      </c>
      <c r="F633" s="77">
        <v>150.81893704561458</v>
      </c>
      <c r="G633" s="77">
        <v>150.81893704561458</v>
      </c>
      <c r="H633" s="77">
        <v>150.81893704561458</v>
      </c>
      <c r="I633" s="77">
        <v>150.81893704561458</v>
      </c>
    </row>
    <row r="634" spans="1:9">
      <c r="A634" s="13">
        <v>587</v>
      </c>
      <c r="B634" s="8">
        <v>2024.3828224521492</v>
      </c>
      <c r="C634" s="14">
        <v>1104.8960894407467</v>
      </c>
      <c r="D634" s="77">
        <v>184.14934824012445</v>
      </c>
      <c r="E634" s="77">
        <v>184.14934824012445</v>
      </c>
      <c r="F634" s="77">
        <v>184.14934824012445</v>
      </c>
      <c r="G634" s="77">
        <v>184.14934824012445</v>
      </c>
      <c r="H634" s="77">
        <v>184.14934824012445</v>
      </c>
      <c r="I634" s="77">
        <v>184.14934824012445</v>
      </c>
    </row>
    <row r="635" spans="1:9">
      <c r="A635" s="13">
        <v>588</v>
      </c>
      <c r="B635" s="8">
        <v>2023.242345282061</v>
      </c>
      <c r="C635" s="14">
        <v>875.51045913028713</v>
      </c>
      <c r="D635" s="77">
        <v>145.91840985504786</v>
      </c>
      <c r="E635" s="77">
        <v>145.91840985504786</v>
      </c>
      <c r="F635" s="77">
        <v>145.91840985504786</v>
      </c>
      <c r="G635" s="77">
        <v>145.91840985504786</v>
      </c>
      <c r="H635" s="77">
        <v>145.91840985504786</v>
      </c>
      <c r="I635" s="77">
        <v>145.91840985504786</v>
      </c>
    </row>
    <row r="636" spans="1:9">
      <c r="A636" s="13">
        <v>589</v>
      </c>
      <c r="B636" s="8">
        <v>2022.8176339648728</v>
      </c>
      <c r="C636" s="14">
        <v>847.64288174978924</v>
      </c>
      <c r="D636" s="77">
        <v>141.27381362496487</v>
      </c>
      <c r="E636" s="77">
        <v>141.27381362496487</v>
      </c>
      <c r="F636" s="77">
        <v>141.27381362496487</v>
      </c>
      <c r="G636" s="77">
        <v>141.27381362496487</v>
      </c>
      <c r="H636" s="77">
        <v>141.27381362496487</v>
      </c>
      <c r="I636" s="77">
        <v>141.27381362496487</v>
      </c>
    </row>
    <row r="637" spans="1:9">
      <c r="A637" s="13">
        <v>590</v>
      </c>
      <c r="B637" s="8">
        <v>2024.6171438177905</v>
      </c>
      <c r="C637" s="14">
        <v>1049.4901740233552</v>
      </c>
      <c r="D637" s="77">
        <v>174.91502900389253</v>
      </c>
      <c r="E637" s="77">
        <v>174.91502900389253</v>
      </c>
      <c r="F637" s="77">
        <v>174.91502900389253</v>
      </c>
      <c r="G637" s="77">
        <v>174.91502900389253</v>
      </c>
      <c r="H637" s="77">
        <v>174.91502900389253</v>
      </c>
      <c r="I637" s="77">
        <v>174.91502900389253</v>
      </c>
    </row>
    <row r="638" spans="1:9">
      <c r="A638" s="13">
        <v>591</v>
      </c>
      <c r="B638" s="8">
        <v>2023.242073323024</v>
      </c>
      <c r="C638" s="14">
        <v>954.91803062792519</v>
      </c>
      <c r="D638" s="77">
        <v>159.1530051046542</v>
      </c>
      <c r="E638" s="77">
        <v>159.1530051046542</v>
      </c>
      <c r="F638" s="77">
        <v>159.1530051046542</v>
      </c>
      <c r="G638" s="77">
        <v>159.1530051046542</v>
      </c>
      <c r="H638" s="77">
        <v>159.1530051046542</v>
      </c>
      <c r="I638" s="77">
        <v>159.1530051046542</v>
      </c>
    </row>
    <row r="639" spans="1:9">
      <c r="A639" s="13">
        <v>592</v>
      </c>
      <c r="B639" s="8">
        <v>2024.8164996684559</v>
      </c>
      <c r="C639" s="14">
        <v>1034.0025207171961</v>
      </c>
      <c r="D639" s="77">
        <v>172.33375345286603</v>
      </c>
      <c r="E639" s="77">
        <v>172.33375345286603</v>
      </c>
      <c r="F639" s="77">
        <v>172.33375345286603</v>
      </c>
      <c r="G639" s="77">
        <v>172.33375345286603</v>
      </c>
      <c r="H639" s="77">
        <v>172.33375345286603</v>
      </c>
      <c r="I639" s="77">
        <v>172.33375345286603</v>
      </c>
    </row>
    <row r="640" spans="1:9">
      <c r="A640" s="13">
        <v>593</v>
      </c>
      <c r="B640" s="8">
        <v>2024.6170279115438</v>
      </c>
      <c r="C640" s="14">
        <v>1118.2241976178989</v>
      </c>
      <c r="D640" s="77">
        <v>186.37069960298314</v>
      </c>
      <c r="E640" s="77">
        <v>186.37069960298314</v>
      </c>
      <c r="F640" s="77">
        <v>186.37069960298314</v>
      </c>
      <c r="G640" s="77">
        <v>186.37069960298314</v>
      </c>
      <c r="H640" s="77">
        <v>186.37069960298314</v>
      </c>
      <c r="I640" s="77">
        <v>186.37069960298314</v>
      </c>
    </row>
    <row r="641" spans="1:9">
      <c r="A641" s="13">
        <v>594</v>
      </c>
      <c r="B641" s="8">
        <v>2023.1414803767152</v>
      </c>
      <c r="C641" s="14">
        <v>901.98785526833524</v>
      </c>
      <c r="D641" s="77">
        <v>150.3313092113892</v>
      </c>
      <c r="E641" s="77">
        <v>150.3313092113892</v>
      </c>
      <c r="F641" s="77">
        <v>150.3313092113892</v>
      </c>
      <c r="G641" s="77">
        <v>150.3313092113892</v>
      </c>
      <c r="H641" s="77">
        <v>150.3313092113892</v>
      </c>
      <c r="I641" s="77">
        <v>150.3313092113892</v>
      </c>
    </row>
    <row r="642" spans="1:9">
      <c r="A642" s="13">
        <v>595</v>
      </c>
      <c r="B642" s="8">
        <v>2023.0715340006573</v>
      </c>
      <c r="C642" s="14">
        <v>869.11186750906575</v>
      </c>
      <c r="D642" s="77">
        <v>144.85197791817762</v>
      </c>
      <c r="E642" s="77">
        <v>144.85197791817762</v>
      </c>
      <c r="F642" s="77">
        <v>144.85197791817762</v>
      </c>
      <c r="G642" s="77">
        <v>144.85197791817762</v>
      </c>
      <c r="H642" s="77">
        <v>144.85197791817762</v>
      </c>
      <c r="I642" s="77">
        <v>144.85197791817762</v>
      </c>
    </row>
    <row r="643" spans="1:9">
      <c r="A643" s="13">
        <v>596</v>
      </c>
      <c r="B643" s="8">
        <v>2023.0284318621098</v>
      </c>
      <c r="C643" s="14">
        <v>886.56429907069685</v>
      </c>
      <c r="D643" s="77">
        <v>147.76071651178282</v>
      </c>
      <c r="E643" s="77">
        <v>147.76071651178282</v>
      </c>
      <c r="F643" s="77">
        <v>147.76071651178282</v>
      </c>
      <c r="G643" s="77">
        <v>147.76071651178282</v>
      </c>
      <c r="H643" s="77">
        <v>147.76071651178282</v>
      </c>
      <c r="I643" s="77">
        <v>147.76071651178282</v>
      </c>
    </row>
    <row r="644" spans="1:9">
      <c r="A644" s="13">
        <v>597</v>
      </c>
      <c r="B644" s="8">
        <v>2023.316633923489</v>
      </c>
      <c r="C644" s="14">
        <v>967.00020669532375</v>
      </c>
      <c r="D644" s="77">
        <v>161.16670111588729</v>
      </c>
      <c r="E644" s="77">
        <v>161.16670111588729</v>
      </c>
      <c r="F644" s="77">
        <v>161.16670111588729</v>
      </c>
      <c r="G644" s="77">
        <v>161.16670111588729</v>
      </c>
      <c r="H644" s="77">
        <v>161.16670111588729</v>
      </c>
      <c r="I644" s="77">
        <v>161.16670111588729</v>
      </c>
    </row>
    <row r="645" spans="1:9">
      <c r="A645" s="13">
        <v>598</v>
      </c>
      <c r="B645" s="8">
        <v>2023.190447656365</v>
      </c>
      <c r="C645" s="14">
        <v>909.65141183701553</v>
      </c>
      <c r="D645" s="77">
        <v>151.60856863950258</v>
      </c>
      <c r="E645" s="77">
        <v>151.60856863950258</v>
      </c>
      <c r="F645" s="77">
        <v>151.60856863950258</v>
      </c>
      <c r="G645" s="77">
        <v>151.60856863950258</v>
      </c>
      <c r="H645" s="77">
        <v>151.60856863950258</v>
      </c>
      <c r="I645" s="77">
        <v>151.60856863950258</v>
      </c>
    </row>
    <row r="646" spans="1:9">
      <c r="A646" s="13">
        <v>599</v>
      </c>
      <c r="B646" s="8">
        <v>2022.8278715025783</v>
      </c>
      <c r="C646" s="14">
        <v>849.57549980270664</v>
      </c>
      <c r="D646" s="77">
        <v>141.59591663378444</v>
      </c>
      <c r="E646" s="77">
        <v>141.59591663378444</v>
      </c>
      <c r="F646" s="77">
        <v>141.59591663378444</v>
      </c>
      <c r="G646" s="77">
        <v>141.59591663378444</v>
      </c>
      <c r="H646" s="77">
        <v>141.59591663378444</v>
      </c>
      <c r="I646" s="77">
        <v>141.59591663378444</v>
      </c>
    </row>
    <row r="647" spans="1:9">
      <c r="A647" s="13">
        <v>600</v>
      </c>
      <c r="B647" s="8">
        <v>2024.1469556292204</v>
      </c>
      <c r="C647" s="14">
        <v>1020.0790288591996</v>
      </c>
      <c r="D647" s="77">
        <v>170.01317147653327</v>
      </c>
      <c r="E647" s="77">
        <v>170.01317147653327</v>
      </c>
      <c r="F647" s="77">
        <v>170.01317147653327</v>
      </c>
      <c r="G647" s="77">
        <v>170.01317147653327</v>
      </c>
      <c r="H647" s="77">
        <v>170.01317147653327</v>
      </c>
      <c r="I647" s="77">
        <v>170.01317147653327</v>
      </c>
    </row>
    <row r="648" spans="1:9">
      <c r="A648" s="13">
        <v>601</v>
      </c>
      <c r="B648" s="8">
        <v>2023.1665538559785</v>
      </c>
      <c r="C648" s="14">
        <v>887.87869065884468</v>
      </c>
      <c r="D648" s="77">
        <v>147.97978177647411</v>
      </c>
      <c r="E648" s="77">
        <v>147.97978177647411</v>
      </c>
      <c r="F648" s="77">
        <v>147.97978177647411</v>
      </c>
      <c r="G648" s="77">
        <v>147.97978177647411</v>
      </c>
      <c r="H648" s="77">
        <v>147.97978177647411</v>
      </c>
      <c r="I648" s="77">
        <v>147.97978177647411</v>
      </c>
    </row>
    <row r="649" spans="1:9">
      <c r="A649" s="13">
        <v>602</v>
      </c>
      <c r="B649" s="8">
        <v>2023.0047575298454</v>
      </c>
      <c r="C649" s="14">
        <v>898.90385357223931</v>
      </c>
      <c r="D649" s="77">
        <v>149.81730892870655</v>
      </c>
      <c r="E649" s="77">
        <v>149.81730892870655</v>
      </c>
      <c r="F649" s="77">
        <v>149.81730892870655</v>
      </c>
      <c r="G649" s="77">
        <v>149.81730892870655</v>
      </c>
      <c r="H649" s="77">
        <v>149.81730892870655</v>
      </c>
      <c r="I649" s="77">
        <v>149.81730892870655</v>
      </c>
    </row>
    <row r="650" spans="1:9">
      <c r="A650" s="13">
        <v>603</v>
      </c>
      <c r="B650" s="8">
        <v>2023.3357440459781</v>
      </c>
      <c r="C650" s="14">
        <v>920.00852279626019</v>
      </c>
      <c r="D650" s="77">
        <v>153.3347537993767</v>
      </c>
      <c r="E650" s="77">
        <v>153.3347537993767</v>
      </c>
      <c r="F650" s="77">
        <v>153.3347537993767</v>
      </c>
      <c r="G650" s="77">
        <v>153.3347537993767</v>
      </c>
      <c r="H650" s="77">
        <v>153.3347537993767</v>
      </c>
      <c r="I650" s="77">
        <v>153.3347537993767</v>
      </c>
    </row>
    <row r="651" spans="1:9">
      <c r="A651" s="13">
        <v>604</v>
      </c>
      <c r="B651" s="8">
        <v>2023.0532040842866</v>
      </c>
      <c r="C651" s="14">
        <v>888.47475811173831</v>
      </c>
      <c r="D651" s="77">
        <v>148.07912635195638</v>
      </c>
      <c r="E651" s="77">
        <v>148.07912635195638</v>
      </c>
      <c r="F651" s="77">
        <v>148.07912635195638</v>
      </c>
      <c r="G651" s="77">
        <v>148.07912635195638</v>
      </c>
      <c r="H651" s="77">
        <v>148.07912635195638</v>
      </c>
      <c r="I651" s="77">
        <v>148.07912635195638</v>
      </c>
    </row>
    <row r="652" spans="1:9">
      <c r="A652" s="13">
        <v>605</v>
      </c>
      <c r="B652" s="8">
        <v>2022.9232294391022</v>
      </c>
      <c r="C652" s="14">
        <v>820.58566575669533</v>
      </c>
      <c r="D652" s="77">
        <v>136.7642776261159</v>
      </c>
      <c r="E652" s="77">
        <v>136.7642776261159</v>
      </c>
      <c r="F652" s="77">
        <v>136.7642776261159</v>
      </c>
      <c r="G652" s="77">
        <v>136.7642776261159</v>
      </c>
      <c r="H652" s="77">
        <v>136.7642776261159</v>
      </c>
      <c r="I652" s="77">
        <v>136.7642776261159</v>
      </c>
    </row>
    <row r="653" spans="1:9">
      <c r="A653" s="13">
        <v>606</v>
      </c>
      <c r="B653" s="8">
        <v>2022.6274775491825</v>
      </c>
      <c r="C653" s="14">
        <v>853.62594710526253</v>
      </c>
      <c r="D653" s="77">
        <v>142.27099118421043</v>
      </c>
      <c r="E653" s="77">
        <v>142.27099118421043</v>
      </c>
      <c r="F653" s="77">
        <v>142.27099118421043</v>
      </c>
      <c r="G653" s="77">
        <v>142.27099118421043</v>
      </c>
      <c r="H653" s="77">
        <v>142.27099118421043</v>
      </c>
      <c r="I653" s="77">
        <v>142.27099118421043</v>
      </c>
    </row>
    <row r="654" spans="1:9">
      <c r="A654" s="13">
        <v>607</v>
      </c>
      <c r="B654" s="8">
        <v>2022.7857623574075</v>
      </c>
      <c r="C654" s="14">
        <v>823.96303734395065</v>
      </c>
      <c r="D654" s="77">
        <v>137.32717289065843</v>
      </c>
      <c r="E654" s="77">
        <v>137.32717289065843</v>
      </c>
      <c r="F654" s="77">
        <v>137.32717289065843</v>
      </c>
      <c r="G654" s="77">
        <v>137.32717289065843</v>
      </c>
      <c r="H654" s="77">
        <v>137.32717289065843</v>
      </c>
      <c r="I654" s="77">
        <v>137.32717289065843</v>
      </c>
    </row>
    <row r="655" spans="1:9">
      <c r="A655" s="13">
        <v>608</v>
      </c>
      <c r="B655" s="8">
        <v>2023.2541225981633</v>
      </c>
      <c r="C655" s="14">
        <v>929.05844232817697</v>
      </c>
      <c r="D655" s="77">
        <v>154.84307372136283</v>
      </c>
      <c r="E655" s="77">
        <v>154.84307372136283</v>
      </c>
      <c r="F655" s="77">
        <v>154.84307372136283</v>
      </c>
      <c r="G655" s="77">
        <v>154.84307372136283</v>
      </c>
      <c r="H655" s="77">
        <v>154.84307372136283</v>
      </c>
      <c r="I655" s="77">
        <v>154.84307372136283</v>
      </c>
    </row>
    <row r="656" spans="1:9">
      <c r="A656" s="13">
        <v>609</v>
      </c>
      <c r="B656" s="8">
        <v>2022.892046572963</v>
      </c>
      <c r="C656" s="14">
        <v>895.08256352957335</v>
      </c>
      <c r="D656" s="77">
        <v>149.1804272549289</v>
      </c>
      <c r="E656" s="77">
        <v>149.1804272549289</v>
      </c>
      <c r="F656" s="77">
        <v>149.1804272549289</v>
      </c>
      <c r="G656" s="77">
        <v>149.1804272549289</v>
      </c>
      <c r="H656" s="77">
        <v>149.1804272549289</v>
      </c>
      <c r="I656" s="77">
        <v>149.1804272549289</v>
      </c>
    </row>
    <row r="657" spans="1:9">
      <c r="A657" s="13">
        <v>610</v>
      </c>
      <c r="B657" s="8">
        <v>2022.9220910102679</v>
      </c>
      <c r="C657" s="14">
        <v>833.91465301762685</v>
      </c>
      <c r="D657" s="77">
        <v>138.9857755029378</v>
      </c>
      <c r="E657" s="77">
        <v>138.9857755029378</v>
      </c>
      <c r="F657" s="77">
        <v>138.9857755029378</v>
      </c>
      <c r="G657" s="77">
        <v>138.9857755029378</v>
      </c>
      <c r="H657" s="77">
        <v>138.9857755029378</v>
      </c>
      <c r="I657" s="77">
        <v>138.9857755029378</v>
      </c>
    </row>
    <row r="658" spans="1:9">
      <c r="A658" s="13">
        <v>611</v>
      </c>
      <c r="B658" s="8">
        <v>2022.6776063177733</v>
      </c>
      <c r="C658" s="14">
        <v>863.69962719265379</v>
      </c>
      <c r="D658" s="77">
        <v>143.94993786544231</v>
      </c>
      <c r="E658" s="77">
        <v>143.94993786544231</v>
      </c>
      <c r="F658" s="77">
        <v>143.94993786544231</v>
      </c>
      <c r="G658" s="77">
        <v>143.94993786544231</v>
      </c>
      <c r="H658" s="77">
        <v>143.94993786544231</v>
      </c>
      <c r="I658" s="77">
        <v>143.94993786544231</v>
      </c>
    </row>
    <row r="659" spans="1:9">
      <c r="A659" s="13">
        <v>612</v>
      </c>
      <c r="B659" s="8">
        <v>2023.4463207294998</v>
      </c>
      <c r="C659" s="14">
        <v>937.34319256877654</v>
      </c>
      <c r="D659" s="77">
        <v>156.22386542812941</v>
      </c>
      <c r="E659" s="77">
        <v>156.22386542812941</v>
      </c>
      <c r="F659" s="77">
        <v>156.22386542812941</v>
      </c>
      <c r="G659" s="77">
        <v>156.22386542812941</v>
      </c>
      <c r="H659" s="77">
        <v>156.22386542812941</v>
      </c>
      <c r="I659" s="77">
        <v>156.22386542812941</v>
      </c>
    </row>
    <row r="660" spans="1:9">
      <c r="A660" s="13">
        <v>613</v>
      </c>
      <c r="B660" s="8">
        <v>2023.1682737219865</v>
      </c>
      <c r="C660" s="14">
        <v>895.81608753538137</v>
      </c>
      <c r="D660" s="77">
        <v>149.30268125589689</v>
      </c>
      <c r="E660" s="77">
        <v>149.30268125589689</v>
      </c>
      <c r="F660" s="77">
        <v>149.30268125589689</v>
      </c>
      <c r="G660" s="77">
        <v>149.30268125589689</v>
      </c>
      <c r="H660" s="77">
        <v>149.30268125589689</v>
      </c>
      <c r="I660" s="77">
        <v>149.30268125589689</v>
      </c>
    </row>
    <row r="661" spans="1:9">
      <c r="A661" s="13">
        <v>614</v>
      </c>
      <c r="B661" s="8">
        <v>2024.817076688847</v>
      </c>
      <c r="C661" s="14">
        <v>1116.3889074039691</v>
      </c>
      <c r="D661" s="77">
        <v>186.06481790066152</v>
      </c>
      <c r="E661" s="77">
        <v>186.06481790066152</v>
      </c>
      <c r="F661" s="77">
        <v>186.06481790066152</v>
      </c>
      <c r="G661" s="77">
        <v>186.06481790066152</v>
      </c>
      <c r="H661" s="77">
        <v>186.06481790066152</v>
      </c>
      <c r="I661" s="77">
        <v>186.06481790066152</v>
      </c>
    </row>
    <row r="662" spans="1:9">
      <c r="A662" s="13">
        <v>615</v>
      </c>
      <c r="B662" s="8">
        <v>2023.0360505027172</v>
      </c>
      <c r="C662" s="14">
        <v>938.70510133004439</v>
      </c>
      <c r="D662" s="77">
        <v>156.45085022167407</v>
      </c>
      <c r="E662" s="77">
        <v>156.45085022167407</v>
      </c>
      <c r="F662" s="77">
        <v>156.45085022167407</v>
      </c>
      <c r="G662" s="77">
        <v>156.45085022167407</v>
      </c>
      <c r="H662" s="77">
        <v>156.45085022167407</v>
      </c>
      <c r="I662" s="77">
        <v>156.45085022167407</v>
      </c>
    </row>
    <row r="663" spans="1:9">
      <c r="A663" s="13">
        <v>616</v>
      </c>
      <c r="B663" s="8">
        <v>2023.2716376644098</v>
      </c>
      <c r="C663" s="14">
        <v>955.82694138077738</v>
      </c>
      <c r="D663" s="77">
        <v>159.30449023012957</v>
      </c>
      <c r="E663" s="77">
        <v>159.30449023012957</v>
      </c>
      <c r="F663" s="77">
        <v>159.30449023012957</v>
      </c>
      <c r="G663" s="77">
        <v>159.30449023012957</v>
      </c>
      <c r="H663" s="77">
        <v>159.30449023012957</v>
      </c>
      <c r="I663" s="77">
        <v>159.30449023012957</v>
      </c>
    </row>
    <row r="664" spans="1:9">
      <c r="A664" s="13">
        <v>617</v>
      </c>
      <c r="B664" s="8">
        <v>2022.9462940988897</v>
      </c>
      <c r="C664" s="14">
        <v>923.02358293820635</v>
      </c>
      <c r="D664" s="77">
        <v>153.83726382303439</v>
      </c>
      <c r="E664" s="77">
        <v>153.83726382303439</v>
      </c>
      <c r="F664" s="77">
        <v>153.83726382303439</v>
      </c>
      <c r="G664" s="77">
        <v>153.83726382303439</v>
      </c>
      <c r="H664" s="77">
        <v>153.83726382303439</v>
      </c>
      <c r="I664" s="77">
        <v>153.83726382303439</v>
      </c>
    </row>
    <row r="665" spans="1:9">
      <c r="A665" s="13">
        <v>618</v>
      </c>
      <c r="B665" s="8">
        <v>2024.7686151978753</v>
      </c>
      <c r="C665" s="14">
        <v>1049.7549018857828</v>
      </c>
      <c r="D665" s="77">
        <v>174.95915031429715</v>
      </c>
      <c r="E665" s="77">
        <v>174.95915031429715</v>
      </c>
      <c r="F665" s="77">
        <v>174.95915031429715</v>
      </c>
      <c r="G665" s="77">
        <v>174.95915031429715</v>
      </c>
      <c r="H665" s="77">
        <v>174.95915031429715</v>
      </c>
      <c r="I665" s="77">
        <v>174.95915031429715</v>
      </c>
    </row>
    <row r="666" spans="1:9">
      <c r="A666" s="13">
        <v>619</v>
      </c>
      <c r="B666" s="8">
        <v>2022.8805352507516</v>
      </c>
      <c r="C666" s="14">
        <v>806.24808257467816</v>
      </c>
      <c r="D666" s="77">
        <v>134.37468042911303</v>
      </c>
      <c r="E666" s="77">
        <v>134.37468042911303</v>
      </c>
      <c r="F666" s="77">
        <v>134.37468042911303</v>
      </c>
      <c r="G666" s="77">
        <v>134.37468042911303</v>
      </c>
      <c r="H666" s="77">
        <v>134.37468042911303</v>
      </c>
      <c r="I666" s="77">
        <v>134.37468042911303</v>
      </c>
    </row>
    <row r="667" spans="1:9">
      <c r="A667" s="13">
        <v>620</v>
      </c>
      <c r="B667" s="8">
        <v>2024.8919651422168</v>
      </c>
      <c r="C667" s="14">
        <v>1123.001370455421</v>
      </c>
      <c r="D667" s="77">
        <v>187.16689507590351</v>
      </c>
      <c r="E667" s="77">
        <v>187.16689507590351</v>
      </c>
      <c r="F667" s="77">
        <v>187.16689507590351</v>
      </c>
      <c r="G667" s="77">
        <v>187.16689507590351</v>
      </c>
      <c r="H667" s="77">
        <v>187.16689507590351</v>
      </c>
      <c r="I667" s="77">
        <v>187.16689507590351</v>
      </c>
    </row>
    <row r="668" spans="1:9">
      <c r="A668" s="13">
        <v>621</v>
      </c>
      <c r="B668" s="8">
        <v>2024.6029060727044</v>
      </c>
      <c r="C668" s="14">
        <v>1054.6477329013671</v>
      </c>
      <c r="D668" s="77">
        <v>175.77462215022786</v>
      </c>
      <c r="E668" s="77">
        <v>175.77462215022786</v>
      </c>
      <c r="F668" s="77">
        <v>175.77462215022786</v>
      </c>
      <c r="G668" s="77">
        <v>175.77462215022786</v>
      </c>
      <c r="H668" s="77">
        <v>175.77462215022786</v>
      </c>
      <c r="I668" s="77">
        <v>175.77462215022786</v>
      </c>
    </row>
    <row r="669" spans="1:9">
      <c r="A669" s="13">
        <v>622</v>
      </c>
      <c r="B669" s="8">
        <v>2023.2691047352687</v>
      </c>
      <c r="C669" s="14">
        <v>903.87231040791892</v>
      </c>
      <c r="D669" s="77">
        <v>150.6453850679865</v>
      </c>
      <c r="E669" s="77">
        <v>150.6453850679865</v>
      </c>
      <c r="F669" s="77">
        <v>150.6453850679865</v>
      </c>
      <c r="G669" s="77">
        <v>150.6453850679865</v>
      </c>
      <c r="H669" s="77">
        <v>150.6453850679865</v>
      </c>
      <c r="I669" s="77">
        <v>150.6453850679865</v>
      </c>
    </row>
    <row r="670" spans="1:9">
      <c r="A670" s="13">
        <v>623</v>
      </c>
      <c r="B670" s="8">
        <v>2023.5778093511788</v>
      </c>
      <c r="C670" s="14">
        <v>951.85445395991405</v>
      </c>
      <c r="D670" s="77">
        <v>158.64240899331901</v>
      </c>
      <c r="E670" s="77">
        <v>158.64240899331901</v>
      </c>
      <c r="F670" s="77">
        <v>158.64240899331901</v>
      </c>
      <c r="G670" s="77">
        <v>158.64240899331901</v>
      </c>
      <c r="H670" s="77">
        <v>158.64240899331901</v>
      </c>
      <c r="I670" s="77">
        <v>158.64240899331901</v>
      </c>
    </row>
    <row r="671" spans="1:9">
      <c r="A671" s="13">
        <v>624</v>
      </c>
      <c r="B671" s="8">
        <v>2023.3981342948387</v>
      </c>
      <c r="C671" s="14">
        <v>908.06118882656358</v>
      </c>
      <c r="D671" s="77">
        <v>151.34353147109394</v>
      </c>
      <c r="E671" s="77">
        <v>151.34353147109394</v>
      </c>
      <c r="F671" s="77">
        <v>151.34353147109394</v>
      </c>
      <c r="G671" s="77">
        <v>151.34353147109394</v>
      </c>
      <c r="H671" s="77">
        <v>151.34353147109394</v>
      </c>
      <c r="I671" s="77">
        <v>151.34353147109394</v>
      </c>
    </row>
    <row r="672" spans="1:9">
      <c r="A672" s="13">
        <v>625</v>
      </c>
      <c r="B672" s="8">
        <v>2024.617564666723</v>
      </c>
      <c r="C672" s="14">
        <v>1064.2559115507008</v>
      </c>
      <c r="D672" s="77">
        <v>177.37598525845013</v>
      </c>
      <c r="E672" s="77">
        <v>177.37598525845013</v>
      </c>
      <c r="F672" s="77">
        <v>177.37598525845013</v>
      </c>
      <c r="G672" s="77">
        <v>177.37598525845013</v>
      </c>
      <c r="H672" s="77">
        <v>177.37598525845013</v>
      </c>
      <c r="I672" s="77">
        <v>177.37598525845013</v>
      </c>
    </row>
    <row r="673" spans="1:9">
      <c r="A673" s="13">
        <v>626</v>
      </c>
      <c r="B673" s="8">
        <v>2025.4253582485005</v>
      </c>
      <c r="C673" s="14">
        <v>1157.9237654239498</v>
      </c>
      <c r="D673" s="77">
        <v>192.98729423732496</v>
      </c>
      <c r="E673" s="77">
        <v>192.98729423732496</v>
      </c>
      <c r="F673" s="77">
        <v>192.98729423732496</v>
      </c>
      <c r="G673" s="77">
        <v>192.98729423732496</v>
      </c>
      <c r="H673" s="77">
        <v>192.98729423732496</v>
      </c>
      <c r="I673" s="77">
        <v>192.98729423732496</v>
      </c>
    </row>
    <row r="674" spans="1:9">
      <c r="A674" s="13">
        <v>627</v>
      </c>
      <c r="B674" s="8">
        <v>2025.2271292979515</v>
      </c>
      <c r="C674" s="14">
        <v>1146.4563098007548</v>
      </c>
      <c r="D674" s="77">
        <v>191.07605163345912</v>
      </c>
      <c r="E674" s="77">
        <v>191.07605163345912</v>
      </c>
      <c r="F674" s="77">
        <v>191.07605163345912</v>
      </c>
      <c r="G674" s="77">
        <v>191.07605163345912</v>
      </c>
      <c r="H674" s="77">
        <v>191.07605163345912</v>
      </c>
      <c r="I674" s="77">
        <v>191.07605163345912</v>
      </c>
    </row>
    <row r="675" spans="1:9">
      <c r="A675" s="13">
        <v>628</v>
      </c>
      <c r="B675" s="8">
        <v>2022.973627929106</v>
      </c>
      <c r="C675" s="14">
        <v>861.57874193749899</v>
      </c>
      <c r="D675" s="77">
        <v>143.59645698958317</v>
      </c>
      <c r="E675" s="77">
        <v>143.59645698958317</v>
      </c>
      <c r="F675" s="77">
        <v>143.59645698958317</v>
      </c>
      <c r="G675" s="77">
        <v>143.59645698958317</v>
      </c>
      <c r="H675" s="77">
        <v>143.59645698958317</v>
      </c>
      <c r="I675" s="77">
        <v>143.59645698958317</v>
      </c>
    </row>
    <row r="676" spans="1:9">
      <c r="A676" s="13">
        <v>629</v>
      </c>
      <c r="B676" s="8">
        <v>2024.9232957560923</v>
      </c>
      <c r="C676" s="14">
        <v>1152.4276435169124</v>
      </c>
      <c r="D676" s="77">
        <v>192.07127391948541</v>
      </c>
      <c r="E676" s="77">
        <v>192.07127391948541</v>
      </c>
      <c r="F676" s="77">
        <v>192.07127391948541</v>
      </c>
      <c r="G676" s="77">
        <v>192.07127391948541</v>
      </c>
      <c r="H676" s="77">
        <v>192.07127391948541</v>
      </c>
      <c r="I676" s="77">
        <v>192.07127391948541</v>
      </c>
    </row>
    <row r="677" spans="1:9">
      <c r="A677" s="13">
        <v>630</v>
      </c>
      <c r="B677" s="8">
        <v>2023.2159328760081</v>
      </c>
      <c r="C677" s="14">
        <v>932.98313328821189</v>
      </c>
      <c r="D677" s="77">
        <v>155.49718888136866</v>
      </c>
      <c r="E677" s="77">
        <v>155.49718888136866</v>
      </c>
      <c r="F677" s="77">
        <v>155.49718888136866</v>
      </c>
      <c r="G677" s="77">
        <v>155.49718888136866</v>
      </c>
      <c r="H677" s="77">
        <v>155.49718888136866</v>
      </c>
      <c r="I677" s="77">
        <v>155.49718888136866</v>
      </c>
    </row>
    <row r="678" spans="1:9">
      <c r="A678" s="13">
        <v>631</v>
      </c>
      <c r="B678" s="8">
        <v>2024.4351285554019</v>
      </c>
      <c r="C678" s="14">
        <v>1077.2957335922933</v>
      </c>
      <c r="D678" s="77">
        <v>179.54928893204888</v>
      </c>
      <c r="E678" s="77">
        <v>179.54928893204888</v>
      </c>
      <c r="F678" s="77">
        <v>179.54928893204888</v>
      </c>
      <c r="G678" s="77">
        <v>179.54928893204888</v>
      </c>
      <c r="H678" s="77">
        <v>179.54928893204888</v>
      </c>
      <c r="I678" s="77">
        <v>179.54928893204888</v>
      </c>
    </row>
    <row r="679" spans="1:9">
      <c r="A679" s="13">
        <v>632</v>
      </c>
      <c r="B679" s="8">
        <v>2024.5342294127258</v>
      </c>
      <c r="C679" s="14">
        <v>1121.5274282964265</v>
      </c>
      <c r="D679" s="77">
        <v>186.92123804940442</v>
      </c>
      <c r="E679" s="77">
        <v>186.92123804940442</v>
      </c>
      <c r="F679" s="77">
        <v>186.92123804940442</v>
      </c>
      <c r="G679" s="77">
        <v>186.92123804940442</v>
      </c>
      <c r="H679" s="77">
        <v>186.92123804940442</v>
      </c>
      <c r="I679" s="77">
        <v>186.92123804940442</v>
      </c>
    </row>
    <row r="680" spans="1:9">
      <c r="A680" s="13">
        <v>633</v>
      </c>
      <c r="B680" s="8">
        <v>2023.2456081109676</v>
      </c>
      <c r="C680" s="14">
        <v>879.39800834003074</v>
      </c>
      <c r="D680" s="77">
        <v>146.56633472333846</v>
      </c>
      <c r="E680" s="77">
        <v>146.56633472333846</v>
      </c>
      <c r="F680" s="77">
        <v>146.56633472333846</v>
      </c>
      <c r="G680" s="77">
        <v>146.56633472333846</v>
      </c>
      <c r="H680" s="77">
        <v>146.56633472333846</v>
      </c>
      <c r="I680" s="77">
        <v>146.56633472333846</v>
      </c>
    </row>
    <row r="681" spans="1:9">
      <c r="A681" s="13">
        <v>634</v>
      </c>
      <c r="B681" s="8">
        <v>2023.0695108089121</v>
      </c>
      <c r="C681" s="14">
        <v>898.78794479676674</v>
      </c>
      <c r="D681" s="77">
        <v>149.79799079946113</v>
      </c>
      <c r="E681" s="77">
        <v>149.79799079946113</v>
      </c>
      <c r="F681" s="77">
        <v>149.79799079946113</v>
      </c>
      <c r="G681" s="77">
        <v>149.79799079946113</v>
      </c>
      <c r="H681" s="77">
        <v>149.79799079946113</v>
      </c>
      <c r="I681" s="77">
        <v>149.79799079946113</v>
      </c>
    </row>
    <row r="682" spans="1:9">
      <c r="A682" s="13">
        <v>635</v>
      </c>
      <c r="B682" s="8">
        <v>2024.8850015921541</v>
      </c>
      <c r="C682" s="14">
        <v>1097.0441611618514</v>
      </c>
      <c r="D682" s="77">
        <v>182.84069352697523</v>
      </c>
      <c r="E682" s="77">
        <v>182.84069352697523</v>
      </c>
      <c r="F682" s="77">
        <v>182.84069352697523</v>
      </c>
      <c r="G682" s="77">
        <v>182.84069352697523</v>
      </c>
      <c r="H682" s="77">
        <v>182.84069352697523</v>
      </c>
      <c r="I682" s="77">
        <v>182.84069352697523</v>
      </c>
    </row>
    <row r="683" spans="1:9">
      <c r="A683" s="13">
        <v>636</v>
      </c>
      <c r="B683" s="8">
        <v>2024.7439582587565</v>
      </c>
      <c r="C683" s="14">
        <v>1039.3888632831529</v>
      </c>
      <c r="D683" s="77">
        <v>173.23147721385882</v>
      </c>
      <c r="E683" s="77">
        <v>173.23147721385882</v>
      </c>
      <c r="F683" s="77">
        <v>173.23147721385882</v>
      </c>
      <c r="G683" s="77">
        <v>173.23147721385882</v>
      </c>
      <c r="H683" s="77">
        <v>173.23147721385882</v>
      </c>
      <c r="I683" s="77">
        <v>173.23147721385882</v>
      </c>
    </row>
    <row r="684" spans="1:9">
      <c r="A684" s="13">
        <v>637</v>
      </c>
      <c r="B684" s="8">
        <v>2022.8704584134978</v>
      </c>
      <c r="C684" s="14">
        <v>843.99425693637352</v>
      </c>
      <c r="D684" s="77">
        <v>140.6657094893956</v>
      </c>
      <c r="E684" s="77">
        <v>140.6657094893956</v>
      </c>
      <c r="F684" s="77">
        <v>140.6657094893956</v>
      </c>
      <c r="G684" s="77">
        <v>140.6657094893956</v>
      </c>
      <c r="H684" s="77">
        <v>140.6657094893956</v>
      </c>
      <c r="I684" s="77">
        <v>140.6657094893956</v>
      </c>
    </row>
    <row r="685" spans="1:9">
      <c r="A685" s="13">
        <v>638</v>
      </c>
      <c r="B685" s="8">
        <v>2022.7522043536778</v>
      </c>
      <c r="C685" s="14">
        <v>810.0746948166011</v>
      </c>
      <c r="D685" s="77">
        <v>135.01244913610017</v>
      </c>
      <c r="E685" s="77">
        <v>135.01244913610017</v>
      </c>
      <c r="F685" s="77">
        <v>135.01244913610017</v>
      </c>
      <c r="G685" s="77">
        <v>135.01244913610017</v>
      </c>
      <c r="H685" s="77">
        <v>135.01244913610017</v>
      </c>
      <c r="I685" s="77">
        <v>135.01244913610017</v>
      </c>
    </row>
    <row r="686" spans="1:9">
      <c r="A686" s="13">
        <v>639</v>
      </c>
      <c r="B686" s="8">
        <v>2022.6447246930013</v>
      </c>
      <c r="C686" s="14">
        <v>872.64878120720778</v>
      </c>
      <c r="D686" s="77">
        <v>145.44146353453462</v>
      </c>
      <c r="E686" s="77">
        <v>145.44146353453462</v>
      </c>
      <c r="F686" s="77">
        <v>145.44146353453462</v>
      </c>
      <c r="G686" s="77">
        <v>145.44146353453462</v>
      </c>
      <c r="H686" s="77">
        <v>145.44146353453462</v>
      </c>
      <c r="I686" s="77">
        <v>145.44146353453462</v>
      </c>
    </row>
    <row r="687" spans="1:9">
      <c r="A687" s="13">
        <v>640</v>
      </c>
      <c r="B687" s="8">
        <v>2023.3747139119259</v>
      </c>
      <c r="C687" s="14">
        <v>964.4941446856609</v>
      </c>
      <c r="D687" s="77">
        <v>160.74902411427681</v>
      </c>
      <c r="E687" s="77">
        <v>160.74902411427681</v>
      </c>
      <c r="F687" s="77">
        <v>160.74902411427681</v>
      </c>
      <c r="G687" s="77">
        <v>160.74902411427681</v>
      </c>
      <c r="H687" s="77">
        <v>160.74902411427681</v>
      </c>
      <c r="I687" s="77">
        <v>160.74902411427681</v>
      </c>
    </row>
    <row r="688" spans="1:9">
      <c r="A688" s="13">
        <v>641</v>
      </c>
      <c r="B688" s="8">
        <v>2022.7326312624989</v>
      </c>
      <c r="C688" s="14">
        <v>843.53095853428397</v>
      </c>
      <c r="D688" s="77">
        <v>140.58849308904732</v>
      </c>
      <c r="E688" s="77">
        <v>140.58849308904732</v>
      </c>
      <c r="F688" s="77">
        <v>140.58849308904732</v>
      </c>
      <c r="G688" s="77">
        <v>140.58849308904732</v>
      </c>
      <c r="H688" s="77">
        <v>140.58849308904732</v>
      </c>
      <c r="I688" s="77">
        <v>140.58849308904732</v>
      </c>
    </row>
    <row r="689" spans="1:9">
      <c r="A689" s="13">
        <v>642</v>
      </c>
      <c r="B689" s="8">
        <v>2023.5132736656612</v>
      </c>
      <c r="C689" s="14">
        <v>954.63781764752559</v>
      </c>
      <c r="D689" s="77">
        <v>159.10630294125426</v>
      </c>
      <c r="E689" s="77">
        <v>159.10630294125426</v>
      </c>
      <c r="F689" s="77">
        <v>159.10630294125426</v>
      </c>
      <c r="G689" s="77">
        <v>159.10630294125426</v>
      </c>
      <c r="H689" s="77">
        <v>159.10630294125426</v>
      </c>
      <c r="I689" s="77">
        <v>159.10630294125426</v>
      </c>
    </row>
    <row r="690" spans="1:9">
      <c r="A690" s="13">
        <v>643</v>
      </c>
      <c r="B690" s="8">
        <v>2023.4620676776783</v>
      </c>
      <c r="C690" s="14">
        <v>892.27013110224595</v>
      </c>
      <c r="D690" s="77">
        <v>148.71168851704098</v>
      </c>
      <c r="E690" s="77">
        <v>148.71168851704098</v>
      </c>
      <c r="F690" s="77">
        <v>148.71168851704098</v>
      </c>
      <c r="G690" s="77">
        <v>148.71168851704098</v>
      </c>
      <c r="H690" s="77">
        <v>148.71168851704098</v>
      </c>
      <c r="I690" s="77">
        <v>148.71168851704098</v>
      </c>
    </row>
    <row r="691" spans="1:9">
      <c r="A691" s="13">
        <v>644</v>
      </c>
      <c r="B691" s="8">
        <v>2022.7598968986817</v>
      </c>
      <c r="C691" s="14">
        <v>822.5389490467843</v>
      </c>
      <c r="D691" s="77">
        <v>137.08982484113071</v>
      </c>
      <c r="E691" s="77">
        <v>137.08982484113071</v>
      </c>
      <c r="F691" s="77">
        <v>137.08982484113071</v>
      </c>
      <c r="G691" s="77">
        <v>137.08982484113071</v>
      </c>
      <c r="H691" s="77">
        <v>137.08982484113071</v>
      </c>
      <c r="I691" s="77">
        <v>137.08982484113071</v>
      </c>
    </row>
    <row r="692" spans="1:9">
      <c r="A692" s="13">
        <v>645</v>
      </c>
      <c r="B692" s="8">
        <v>2023.0595188386928</v>
      </c>
      <c r="C692" s="14">
        <v>871.2333540555602</v>
      </c>
      <c r="D692" s="77">
        <v>145.20555900926004</v>
      </c>
      <c r="E692" s="77">
        <v>145.20555900926004</v>
      </c>
      <c r="F692" s="77">
        <v>145.20555900926004</v>
      </c>
      <c r="G692" s="77">
        <v>145.20555900926004</v>
      </c>
      <c r="H692" s="77">
        <v>145.20555900926004</v>
      </c>
      <c r="I692" s="77">
        <v>145.20555900926004</v>
      </c>
    </row>
    <row r="693" spans="1:9">
      <c r="A693" s="13">
        <v>646</v>
      </c>
      <c r="B693" s="8">
        <v>2023.0896155921023</v>
      </c>
      <c r="C693" s="14">
        <v>882.66813832571438</v>
      </c>
      <c r="D693" s="77">
        <v>147.11135638761905</v>
      </c>
      <c r="E693" s="77">
        <v>147.11135638761905</v>
      </c>
      <c r="F693" s="77">
        <v>147.11135638761905</v>
      </c>
      <c r="G693" s="77">
        <v>147.11135638761905</v>
      </c>
      <c r="H693" s="77">
        <v>147.11135638761905</v>
      </c>
      <c r="I693" s="77">
        <v>147.11135638761905</v>
      </c>
    </row>
    <row r="694" spans="1:9">
      <c r="A694" s="13">
        <v>647</v>
      </c>
      <c r="B694" s="8">
        <v>2023.1931776047875</v>
      </c>
      <c r="C694" s="14">
        <v>912.89975760884226</v>
      </c>
      <c r="D694" s="77">
        <v>152.14995960147371</v>
      </c>
      <c r="E694" s="77">
        <v>152.14995960147371</v>
      </c>
      <c r="F694" s="77">
        <v>152.14995960147371</v>
      </c>
      <c r="G694" s="77">
        <v>152.14995960147371</v>
      </c>
      <c r="H694" s="77">
        <v>152.14995960147371</v>
      </c>
      <c r="I694" s="77">
        <v>152.14995960147371</v>
      </c>
    </row>
    <row r="695" spans="1:9">
      <c r="A695" s="13">
        <v>648</v>
      </c>
      <c r="B695" s="8">
        <v>2022.6617631726779</v>
      </c>
      <c r="C695" s="14">
        <v>856.18650321813186</v>
      </c>
      <c r="D695" s="77">
        <v>142.6977505363553</v>
      </c>
      <c r="E695" s="77">
        <v>142.6977505363553</v>
      </c>
      <c r="F695" s="77">
        <v>142.6977505363553</v>
      </c>
      <c r="G695" s="77">
        <v>142.6977505363553</v>
      </c>
      <c r="H695" s="77">
        <v>142.6977505363553</v>
      </c>
      <c r="I695" s="77">
        <v>142.6977505363553</v>
      </c>
    </row>
    <row r="696" spans="1:9">
      <c r="A696" s="13">
        <v>649</v>
      </c>
      <c r="B696" s="8">
        <v>2023.5369110212671</v>
      </c>
      <c r="C696" s="14">
        <v>956.19257219264398</v>
      </c>
      <c r="D696" s="77">
        <v>159.365428698774</v>
      </c>
      <c r="E696" s="77">
        <v>159.365428698774</v>
      </c>
      <c r="F696" s="77">
        <v>159.365428698774</v>
      </c>
      <c r="G696" s="77">
        <v>159.365428698774</v>
      </c>
      <c r="H696" s="77">
        <v>159.365428698774</v>
      </c>
      <c r="I696" s="77">
        <v>159.365428698774</v>
      </c>
    </row>
    <row r="697" spans="1:9">
      <c r="A697" s="13">
        <v>650</v>
      </c>
      <c r="B697" s="8">
        <v>2023.4341801203868</v>
      </c>
      <c r="C697" s="14">
        <v>920.46847911781492</v>
      </c>
      <c r="D697" s="77">
        <v>153.4114131863025</v>
      </c>
      <c r="E697" s="77">
        <v>153.4114131863025</v>
      </c>
      <c r="F697" s="77">
        <v>153.4114131863025</v>
      </c>
      <c r="G697" s="77">
        <v>153.4114131863025</v>
      </c>
      <c r="H697" s="77">
        <v>153.4114131863025</v>
      </c>
      <c r="I697" s="77">
        <v>153.4114131863025</v>
      </c>
    </row>
    <row r="698" spans="1:9">
      <c r="A698" s="13">
        <v>651</v>
      </c>
      <c r="B698" s="8">
        <v>2023.9388049757158</v>
      </c>
      <c r="C698" s="14">
        <v>968.95461744250565</v>
      </c>
      <c r="D698" s="77">
        <v>161.49243624041762</v>
      </c>
      <c r="E698" s="77">
        <v>161.49243624041762</v>
      </c>
      <c r="F698" s="77">
        <v>161.49243624041762</v>
      </c>
      <c r="G698" s="77">
        <v>161.49243624041762</v>
      </c>
      <c r="H698" s="77">
        <v>161.49243624041762</v>
      </c>
      <c r="I698" s="77">
        <v>161.49243624041762</v>
      </c>
    </row>
    <row r="699" spans="1:9">
      <c r="A699" s="13">
        <v>652</v>
      </c>
      <c r="B699" s="8">
        <v>2022.6877974609924</v>
      </c>
      <c r="C699" s="14">
        <v>848.90670321845187</v>
      </c>
      <c r="D699" s="77">
        <v>141.48445053640864</v>
      </c>
      <c r="E699" s="77">
        <v>141.48445053640864</v>
      </c>
      <c r="F699" s="77">
        <v>141.48445053640864</v>
      </c>
      <c r="G699" s="77">
        <v>141.48445053640864</v>
      </c>
      <c r="H699" s="77">
        <v>141.48445053640864</v>
      </c>
      <c r="I699" s="77">
        <v>141.48445053640864</v>
      </c>
    </row>
    <row r="700" spans="1:9">
      <c r="A700" s="13">
        <v>653</v>
      </c>
      <c r="B700" s="8">
        <v>2022.5397035385502</v>
      </c>
      <c r="C700" s="14">
        <v>782.39002839770581</v>
      </c>
      <c r="D700" s="77">
        <v>130.39833806628431</v>
      </c>
      <c r="E700" s="77">
        <v>130.39833806628431</v>
      </c>
      <c r="F700" s="77">
        <v>130.39833806628431</v>
      </c>
      <c r="G700" s="77">
        <v>130.39833806628431</v>
      </c>
      <c r="H700" s="77">
        <v>130.39833806628431</v>
      </c>
      <c r="I700" s="77">
        <v>130.39833806628431</v>
      </c>
    </row>
    <row r="701" spans="1:9">
      <c r="A701" s="13">
        <v>654</v>
      </c>
      <c r="B701" s="8">
        <v>2023.2281236846427</v>
      </c>
      <c r="C701" s="14">
        <v>907.23584810847262</v>
      </c>
      <c r="D701" s="77">
        <v>151.20597468474543</v>
      </c>
      <c r="E701" s="77">
        <v>151.20597468474543</v>
      </c>
      <c r="F701" s="77">
        <v>151.20597468474543</v>
      </c>
      <c r="G701" s="77">
        <v>151.20597468474543</v>
      </c>
      <c r="H701" s="77">
        <v>151.20597468474543</v>
      </c>
      <c r="I701" s="77">
        <v>151.20597468474543</v>
      </c>
    </row>
    <row r="702" spans="1:9">
      <c r="A702" s="13">
        <v>655</v>
      </c>
      <c r="B702" s="8">
        <v>2023.6732790239303</v>
      </c>
      <c r="C702" s="14">
        <v>1000.2285752570031</v>
      </c>
      <c r="D702" s="77">
        <v>166.70476254283383</v>
      </c>
      <c r="E702" s="77">
        <v>166.70476254283383</v>
      </c>
      <c r="F702" s="77">
        <v>166.70476254283383</v>
      </c>
      <c r="G702" s="77">
        <v>166.70476254283383</v>
      </c>
      <c r="H702" s="77">
        <v>166.70476254283383</v>
      </c>
      <c r="I702" s="77">
        <v>166.70476254283383</v>
      </c>
    </row>
    <row r="703" spans="1:9">
      <c r="A703" s="13">
        <v>656</v>
      </c>
      <c r="B703" s="8">
        <v>2022.9127956827208</v>
      </c>
      <c r="C703" s="14">
        <v>818.49706206973428</v>
      </c>
      <c r="D703" s="77">
        <v>136.41617701162238</v>
      </c>
      <c r="E703" s="77">
        <v>136.41617701162238</v>
      </c>
      <c r="F703" s="77">
        <v>136.41617701162238</v>
      </c>
      <c r="G703" s="77">
        <v>136.41617701162238</v>
      </c>
      <c r="H703" s="77">
        <v>136.41617701162238</v>
      </c>
      <c r="I703" s="77">
        <v>136.41617701162238</v>
      </c>
    </row>
    <row r="704" spans="1:9">
      <c r="A704" s="13">
        <v>657</v>
      </c>
      <c r="B704" s="8">
        <v>2023.0641739333696</v>
      </c>
      <c r="C704" s="14">
        <v>812.17957269588885</v>
      </c>
      <c r="D704" s="77">
        <v>135.36326211598148</v>
      </c>
      <c r="E704" s="77">
        <v>135.36326211598148</v>
      </c>
      <c r="F704" s="77">
        <v>135.36326211598148</v>
      </c>
      <c r="G704" s="77">
        <v>135.36326211598148</v>
      </c>
      <c r="H704" s="77">
        <v>135.36326211598148</v>
      </c>
      <c r="I704" s="77">
        <v>135.36326211598148</v>
      </c>
    </row>
    <row r="705" spans="1:9">
      <c r="A705" s="13">
        <v>658</v>
      </c>
      <c r="B705" s="8">
        <v>2023.2248059511826</v>
      </c>
      <c r="C705" s="14">
        <v>906.07458257349504</v>
      </c>
      <c r="D705" s="77">
        <v>151.01243042891585</v>
      </c>
      <c r="E705" s="77">
        <v>151.01243042891585</v>
      </c>
      <c r="F705" s="77">
        <v>151.01243042891585</v>
      </c>
      <c r="G705" s="77">
        <v>151.01243042891585</v>
      </c>
      <c r="H705" s="77">
        <v>151.01243042891585</v>
      </c>
      <c r="I705" s="77">
        <v>151.01243042891585</v>
      </c>
    </row>
    <row r="706" spans="1:9">
      <c r="A706" s="13">
        <v>659</v>
      </c>
      <c r="B706" s="8">
        <v>2023.5869908334673</v>
      </c>
      <c r="C706" s="14">
        <v>925.91738757815676</v>
      </c>
      <c r="D706" s="77">
        <v>154.31956459635947</v>
      </c>
      <c r="E706" s="77">
        <v>154.31956459635947</v>
      </c>
      <c r="F706" s="77">
        <v>154.31956459635947</v>
      </c>
      <c r="G706" s="77">
        <v>154.31956459635947</v>
      </c>
      <c r="H706" s="77">
        <v>154.31956459635947</v>
      </c>
      <c r="I706" s="77">
        <v>154.31956459635947</v>
      </c>
    </row>
    <row r="707" spans="1:9">
      <c r="A707" s="13">
        <v>660</v>
      </c>
      <c r="B707" s="8">
        <v>2023.045647918392</v>
      </c>
      <c r="C707" s="14">
        <v>895.82792994426006</v>
      </c>
      <c r="D707" s="77">
        <v>149.30465499071002</v>
      </c>
      <c r="E707" s="77">
        <v>149.30465499071002</v>
      </c>
      <c r="F707" s="77">
        <v>149.30465499071002</v>
      </c>
      <c r="G707" s="77">
        <v>149.30465499071002</v>
      </c>
      <c r="H707" s="77">
        <v>149.30465499071002</v>
      </c>
      <c r="I707" s="77">
        <v>149.30465499071002</v>
      </c>
    </row>
    <row r="708" spans="1:9">
      <c r="A708" s="13">
        <v>661</v>
      </c>
      <c r="B708" s="8">
        <v>2022.8754974488738</v>
      </c>
      <c r="C708" s="14">
        <v>830.89085222756955</v>
      </c>
      <c r="D708" s="77">
        <v>138.48180870459493</v>
      </c>
      <c r="E708" s="77">
        <v>138.48180870459493</v>
      </c>
      <c r="F708" s="77">
        <v>138.48180870459493</v>
      </c>
      <c r="G708" s="77">
        <v>138.48180870459493</v>
      </c>
      <c r="H708" s="77">
        <v>138.48180870459493</v>
      </c>
      <c r="I708" s="77">
        <v>138.48180870459493</v>
      </c>
    </row>
    <row r="709" spans="1:9">
      <c r="A709" s="13">
        <v>662</v>
      </c>
      <c r="B709" s="8">
        <v>2023.428856516824</v>
      </c>
      <c r="C709" s="14">
        <v>991.30676428268021</v>
      </c>
      <c r="D709" s="77">
        <v>165.21779404711336</v>
      </c>
      <c r="E709" s="77">
        <v>165.21779404711336</v>
      </c>
      <c r="F709" s="77">
        <v>165.21779404711336</v>
      </c>
      <c r="G709" s="77">
        <v>165.21779404711336</v>
      </c>
      <c r="H709" s="77">
        <v>165.21779404711336</v>
      </c>
      <c r="I709" s="77">
        <v>165.21779404711336</v>
      </c>
    </row>
    <row r="710" spans="1:9">
      <c r="A710" s="13">
        <v>663</v>
      </c>
      <c r="B710" s="8">
        <v>2025.6035652205626</v>
      </c>
      <c r="C710" s="14">
        <v>1180.0061955484946</v>
      </c>
      <c r="D710" s="77">
        <v>196.66769925808242</v>
      </c>
      <c r="E710" s="77">
        <v>196.66769925808242</v>
      </c>
      <c r="F710" s="77">
        <v>196.66769925808242</v>
      </c>
      <c r="G710" s="77">
        <v>196.66769925808242</v>
      </c>
      <c r="H710" s="77">
        <v>196.66769925808242</v>
      </c>
      <c r="I710" s="77">
        <v>196.66769925808242</v>
      </c>
    </row>
    <row r="711" spans="1:9">
      <c r="A711" s="13">
        <v>664</v>
      </c>
      <c r="B711" s="8">
        <v>2025.7470900769163</v>
      </c>
      <c r="C711" s="14">
        <v>1224.6684717219216</v>
      </c>
      <c r="D711" s="77">
        <v>204.1114119536536</v>
      </c>
      <c r="E711" s="77">
        <v>204.1114119536536</v>
      </c>
      <c r="F711" s="77">
        <v>204.1114119536536</v>
      </c>
      <c r="G711" s="77">
        <v>204.1114119536536</v>
      </c>
      <c r="H711" s="77">
        <v>204.1114119536536</v>
      </c>
      <c r="I711" s="77">
        <v>204.1114119536536</v>
      </c>
    </row>
    <row r="712" spans="1:9">
      <c r="A712" s="13">
        <v>665</v>
      </c>
      <c r="B712" s="8">
        <v>2023.1079773006379</v>
      </c>
      <c r="C712" s="14">
        <v>892.16294358218954</v>
      </c>
      <c r="D712" s="77">
        <v>148.69382393036491</v>
      </c>
      <c r="E712" s="77">
        <v>148.69382393036491</v>
      </c>
      <c r="F712" s="77">
        <v>148.69382393036491</v>
      </c>
      <c r="G712" s="77">
        <v>148.69382393036491</v>
      </c>
      <c r="H712" s="77">
        <v>148.69382393036491</v>
      </c>
      <c r="I712" s="77">
        <v>148.69382393036491</v>
      </c>
    </row>
    <row r="713" spans="1:9">
      <c r="A713" s="13">
        <v>666</v>
      </c>
      <c r="B713" s="8">
        <v>2023.2735102951781</v>
      </c>
      <c r="C713" s="14">
        <v>953.37480449428995</v>
      </c>
      <c r="D713" s="77">
        <v>158.89580074904833</v>
      </c>
      <c r="E713" s="77">
        <v>158.89580074904833</v>
      </c>
      <c r="F713" s="77">
        <v>158.89580074904833</v>
      </c>
      <c r="G713" s="77">
        <v>158.89580074904833</v>
      </c>
      <c r="H713" s="77">
        <v>158.89580074904833</v>
      </c>
      <c r="I713" s="77">
        <v>158.89580074904833</v>
      </c>
    </row>
    <row r="714" spans="1:9">
      <c r="A714" s="13">
        <v>667</v>
      </c>
      <c r="B714" s="8">
        <v>2023.6214976930987</v>
      </c>
      <c r="C714" s="14">
        <v>954.80495135433762</v>
      </c>
      <c r="D714" s="77">
        <v>159.13415855905626</v>
      </c>
      <c r="E714" s="77">
        <v>159.13415855905626</v>
      </c>
      <c r="F714" s="77">
        <v>159.13415855905626</v>
      </c>
      <c r="G714" s="77">
        <v>159.13415855905626</v>
      </c>
      <c r="H714" s="77">
        <v>159.13415855905626</v>
      </c>
      <c r="I714" s="77">
        <v>159.13415855905626</v>
      </c>
    </row>
    <row r="715" spans="1:9">
      <c r="A715" s="13">
        <v>668</v>
      </c>
      <c r="B715" s="8">
        <v>2023.0120829933662</v>
      </c>
      <c r="C715" s="14">
        <v>938.45460297139402</v>
      </c>
      <c r="D715" s="77">
        <v>156.40910049523234</v>
      </c>
      <c r="E715" s="77">
        <v>156.40910049523234</v>
      </c>
      <c r="F715" s="77">
        <v>156.40910049523234</v>
      </c>
      <c r="G715" s="77">
        <v>156.40910049523234</v>
      </c>
      <c r="H715" s="77">
        <v>156.40910049523234</v>
      </c>
      <c r="I715" s="77">
        <v>156.40910049523234</v>
      </c>
    </row>
    <row r="716" spans="1:9">
      <c r="A716" s="13">
        <v>669</v>
      </c>
      <c r="B716" s="8">
        <v>2022.9838466281126</v>
      </c>
      <c r="C716" s="14">
        <v>864.41922978475236</v>
      </c>
      <c r="D716" s="77">
        <v>144.06987163079205</v>
      </c>
      <c r="E716" s="77">
        <v>144.06987163079205</v>
      </c>
      <c r="F716" s="77">
        <v>144.06987163079205</v>
      </c>
      <c r="G716" s="77">
        <v>144.06987163079205</v>
      </c>
      <c r="H716" s="77">
        <v>144.06987163079205</v>
      </c>
      <c r="I716" s="77">
        <v>144.06987163079205</v>
      </c>
    </row>
    <row r="717" spans="1:9">
      <c r="A717" s="13">
        <v>670</v>
      </c>
      <c r="B717" s="8">
        <v>2023.3986666187407</v>
      </c>
      <c r="C717" s="14">
        <v>909.34960659630838</v>
      </c>
      <c r="D717" s="77">
        <v>151.55826776605139</v>
      </c>
      <c r="E717" s="77">
        <v>151.55826776605139</v>
      </c>
      <c r="F717" s="77">
        <v>151.55826776605139</v>
      </c>
      <c r="G717" s="77">
        <v>151.55826776605139</v>
      </c>
      <c r="H717" s="77">
        <v>151.55826776605139</v>
      </c>
      <c r="I717" s="77">
        <v>151.55826776605139</v>
      </c>
    </row>
    <row r="718" spans="1:9">
      <c r="A718" s="13">
        <v>671</v>
      </c>
      <c r="B718" s="8">
        <v>2023.3321227000483</v>
      </c>
      <c r="C718" s="14">
        <v>901.11172543450925</v>
      </c>
      <c r="D718" s="77">
        <v>150.18528757241822</v>
      </c>
      <c r="E718" s="77">
        <v>150.18528757241822</v>
      </c>
      <c r="F718" s="77">
        <v>150.18528757241822</v>
      </c>
      <c r="G718" s="77">
        <v>150.18528757241822</v>
      </c>
      <c r="H718" s="77">
        <v>150.18528757241822</v>
      </c>
      <c r="I718" s="77">
        <v>150.18528757241822</v>
      </c>
    </row>
    <row r="719" spans="1:9">
      <c r="A719" s="13">
        <v>672</v>
      </c>
      <c r="B719" s="8">
        <v>2023.3414236996541</v>
      </c>
      <c r="C719" s="14">
        <v>885.37227433175929</v>
      </c>
      <c r="D719" s="77">
        <v>147.56204572195989</v>
      </c>
      <c r="E719" s="77">
        <v>147.56204572195989</v>
      </c>
      <c r="F719" s="77">
        <v>147.56204572195989</v>
      </c>
      <c r="G719" s="77">
        <v>147.56204572195989</v>
      </c>
      <c r="H719" s="77">
        <v>147.56204572195989</v>
      </c>
      <c r="I719" s="77">
        <v>147.56204572195989</v>
      </c>
    </row>
    <row r="720" spans="1:9">
      <c r="A720" s="13">
        <v>673</v>
      </c>
      <c r="B720" s="8">
        <v>2024.8806601245537</v>
      </c>
      <c r="C720" s="14">
        <v>1079.7756317852673</v>
      </c>
      <c r="D720" s="77">
        <v>179.96260529754454</v>
      </c>
      <c r="E720" s="77">
        <v>179.96260529754454</v>
      </c>
      <c r="F720" s="77">
        <v>179.96260529754454</v>
      </c>
      <c r="G720" s="77">
        <v>179.96260529754454</v>
      </c>
      <c r="H720" s="77">
        <v>179.96260529754454</v>
      </c>
      <c r="I720" s="77">
        <v>179.96260529754454</v>
      </c>
    </row>
    <row r="721" spans="1:9">
      <c r="A721" s="13">
        <v>674</v>
      </c>
      <c r="B721" s="8">
        <v>2022.7952353334326</v>
      </c>
      <c r="C721" s="14">
        <v>886.63636430098097</v>
      </c>
      <c r="D721" s="77">
        <v>147.77272738349683</v>
      </c>
      <c r="E721" s="77">
        <v>147.77272738349683</v>
      </c>
      <c r="F721" s="77">
        <v>147.77272738349683</v>
      </c>
      <c r="G721" s="77">
        <v>147.77272738349683</v>
      </c>
      <c r="H721" s="77">
        <v>147.77272738349683</v>
      </c>
      <c r="I721" s="77">
        <v>147.77272738349683</v>
      </c>
    </row>
    <row r="722" spans="1:9">
      <c r="A722" s="13">
        <v>675</v>
      </c>
      <c r="B722" s="8">
        <v>2023.7501867637666</v>
      </c>
      <c r="C722" s="14">
        <v>1001.2615085019553</v>
      </c>
      <c r="D722" s="77">
        <v>166.87691808365921</v>
      </c>
      <c r="E722" s="77">
        <v>166.87691808365921</v>
      </c>
      <c r="F722" s="77">
        <v>166.87691808365921</v>
      </c>
      <c r="G722" s="77">
        <v>166.87691808365921</v>
      </c>
      <c r="H722" s="77">
        <v>166.87691808365921</v>
      </c>
      <c r="I722" s="77">
        <v>166.87691808365921</v>
      </c>
    </row>
    <row r="723" spans="1:9">
      <c r="A723" s="13">
        <v>676</v>
      </c>
      <c r="B723" s="8">
        <v>2025.2705423924933</v>
      </c>
      <c r="C723" s="14">
        <v>1191.9264663201877</v>
      </c>
      <c r="D723" s="77">
        <v>198.65441105336461</v>
      </c>
      <c r="E723" s="77">
        <v>198.65441105336461</v>
      </c>
      <c r="F723" s="77">
        <v>198.65441105336461</v>
      </c>
      <c r="G723" s="77">
        <v>198.65441105336461</v>
      </c>
      <c r="H723" s="77">
        <v>198.65441105336461</v>
      </c>
      <c r="I723" s="77">
        <v>198.65441105336461</v>
      </c>
    </row>
    <row r="724" spans="1:9">
      <c r="A724" s="13">
        <v>677</v>
      </c>
      <c r="B724" s="8">
        <v>2023.3761108378606</v>
      </c>
      <c r="C724" s="14">
        <v>999.60066647519557</v>
      </c>
      <c r="D724" s="77">
        <v>166.60011107919925</v>
      </c>
      <c r="E724" s="77">
        <v>166.60011107919925</v>
      </c>
      <c r="F724" s="77">
        <v>166.60011107919925</v>
      </c>
      <c r="G724" s="77">
        <v>166.60011107919925</v>
      </c>
      <c r="H724" s="77">
        <v>166.60011107919925</v>
      </c>
      <c r="I724" s="77">
        <v>166.60011107919925</v>
      </c>
    </row>
    <row r="725" spans="1:9">
      <c r="A725" s="13">
        <v>678</v>
      </c>
      <c r="B725" s="8">
        <v>2023.0466603051934</v>
      </c>
      <c r="C725" s="14">
        <v>852.02175974694728</v>
      </c>
      <c r="D725" s="77">
        <v>142.0036266244912</v>
      </c>
      <c r="E725" s="77">
        <v>142.0036266244912</v>
      </c>
      <c r="F725" s="77">
        <v>142.0036266244912</v>
      </c>
      <c r="G725" s="77">
        <v>142.0036266244912</v>
      </c>
      <c r="H725" s="77">
        <v>142.0036266244912</v>
      </c>
      <c r="I725" s="77">
        <v>142.0036266244912</v>
      </c>
    </row>
    <row r="726" spans="1:9">
      <c r="A726" s="13">
        <v>679</v>
      </c>
      <c r="B726" s="8">
        <v>2024.797976670294</v>
      </c>
      <c r="C726" s="14">
        <v>1156.243310488496</v>
      </c>
      <c r="D726" s="77">
        <v>192.70721841474935</v>
      </c>
      <c r="E726" s="77">
        <v>192.70721841474935</v>
      </c>
      <c r="F726" s="77">
        <v>192.70721841474935</v>
      </c>
      <c r="G726" s="77">
        <v>192.70721841474935</v>
      </c>
      <c r="H726" s="77">
        <v>192.70721841474935</v>
      </c>
      <c r="I726" s="77">
        <v>192.70721841474935</v>
      </c>
    </row>
    <row r="727" spans="1:9">
      <c r="A727" s="13">
        <v>680</v>
      </c>
      <c r="B727" s="8">
        <v>2024.1505849079151</v>
      </c>
      <c r="C727" s="14">
        <v>947.52877271988223</v>
      </c>
      <c r="D727" s="77">
        <v>157.92146211998036</v>
      </c>
      <c r="E727" s="77">
        <v>157.92146211998036</v>
      </c>
      <c r="F727" s="77">
        <v>157.92146211998036</v>
      </c>
      <c r="G727" s="77">
        <v>157.92146211998036</v>
      </c>
      <c r="H727" s="77">
        <v>157.92146211998036</v>
      </c>
      <c r="I727" s="77">
        <v>157.92146211998036</v>
      </c>
    </row>
    <row r="728" spans="1:9">
      <c r="A728" s="13">
        <v>681</v>
      </c>
      <c r="B728" s="8">
        <v>2022.9927823894477</v>
      </c>
      <c r="C728" s="14">
        <v>912.9268383668242</v>
      </c>
      <c r="D728" s="77">
        <v>152.15447306113737</v>
      </c>
      <c r="E728" s="77">
        <v>152.15447306113737</v>
      </c>
      <c r="F728" s="77">
        <v>152.15447306113737</v>
      </c>
      <c r="G728" s="77">
        <v>152.15447306113737</v>
      </c>
      <c r="H728" s="77">
        <v>152.15447306113737</v>
      </c>
      <c r="I728" s="77">
        <v>152.15447306113737</v>
      </c>
    </row>
    <row r="729" spans="1:9">
      <c r="A729" s="13">
        <v>682</v>
      </c>
      <c r="B729" s="8">
        <v>2023.9334156207783</v>
      </c>
      <c r="C729" s="14">
        <v>939.87977316119725</v>
      </c>
      <c r="D729" s="77">
        <v>156.64662886019954</v>
      </c>
      <c r="E729" s="77">
        <v>156.64662886019954</v>
      </c>
      <c r="F729" s="77">
        <v>156.64662886019954</v>
      </c>
      <c r="G729" s="77">
        <v>156.64662886019954</v>
      </c>
      <c r="H729" s="77">
        <v>156.64662886019954</v>
      </c>
      <c r="I729" s="77">
        <v>156.64662886019954</v>
      </c>
    </row>
    <row r="730" spans="1:9">
      <c r="A730" s="13">
        <v>683</v>
      </c>
      <c r="B730" s="8">
        <v>2024.6403513244143</v>
      </c>
      <c r="C730" s="14">
        <v>1044.7505145952171</v>
      </c>
      <c r="D730" s="77">
        <v>174.1250857658695</v>
      </c>
      <c r="E730" s="77">
        <v>174.1250857658695</v>
      </c>
      <c r="F730" s="77">
        <v>174.1250857658695</v>
      </c>
      <c r="G730" s="77">
        <v>174.1250857658695</v>
      </c>
      <c r="H730" s="77">
        <v>174.1250857658695</v>
      </c>
      <c r="I730" s="77">
        <v>174.1250857658695</v>
      </c>
    </row>
    <row r="731" spans="1:9">
      <c r="A731" s="13">
        <v>684</v>
      </c>
      <c r="B731" s="8">
        <v>2023.2758026512474</v>
      </c>
      <c r="C731" s="14">
        <v>1021.1618609553811</v>
      </c>
      <c r="D731" s="77">
        <v>170.19364349256352</v>
      </c>
      <c r="E731" s="77">
        <v>170.19364349256352</v>
      </c>
      <c r="F731" s="77">
        <v>170.19364349256352</v>
      </c>
      <c r="G731" s="77">
        <v>170.19364349256352</v>
      </c>
      <c r="H731" s="77">
        <v>170.19364349256352</v>
      </c>
      <c r="I731" s="77">
        <v>170.19364349256352</v>
      </c>
    </row>
    <row r="732" spans="1:9">
      <c r="A732" s="13">
        <v>685</v>
      </c>
      <c r="B732" s="8">
        <v>2022.9338765053069</v>
      </c>
      <c r="C732" s="14">
        <v>917.27464895021433</v>
      </c>
      <c r="D732" s="77">
        <v>152.87910815836906</v>
      </c>
      <c r="E732" s="77">
        <v>152.87910815836906</v>
      </c>
      <c r="F732" s="77">
        <v>152.87910815836906</v>
      </c>
      <c r="G732" s="77">
        <v>152.87910815836906</v>
      </c>
      <c r="H732" s="77">
        <v>152.87910815836906</v>
      </c>
      <c r="I732" s="77">
        <v>152.87910815836906</v>
      </c>
    </row>
    <row r="733" spans="1:9">
      <c r="A733" s="13">
        <v>686</v>
      </c>
      <c r="B733" s="8">
        <v>2022.8261202495717</v>
      </c>
      <c r="C733" s="14">
        <v>845.74889139475965</v>
      </c>
      <c r="D733" s="77">
        <v>140.95814856579327</v>
      </c>
      <c r="E733" s="77">
        <v>140.95814856579327</v>
      </c>
      <c r="F733" s="77">
        <v>140.95814856579327</v>
      </c>
      <c r="G733" s="77">
        <v>140.95814856579327</v>
      </c>
      <c r="H733" s="77">
        <v>140.95814856579327</v>
      </c>
      <c r="I733" s="77">
        <v>140.95814856579327</v>
      </c>
    </row>
    <row r="734" spans="1:9">
      <c r="A734" s="13">
        <v>687</v>
      </c>
      <c r="B734" s="8">
        <v>2023.6308466645764</v>
      </c>
      <c r="C734" s="14">
        <v>893.24053561057769</v>
      </c>
      <c r="D734" s="77">
        <v>148.87342260176294</v>
      </c>
      <c r="E734" s="77">
        <v>148.87342260176294</v>
      </c>
      <c r="F734" s="77">
        <v>148.87342260176294</v>
      </c>
      <c r="G734" s="77">
        <v>148.87342260176294</v>
      </c>
      <c r="H734" s="77">
        <v>148.87342260176294</v>
      </c>
      <c r="I734" s="77">
        <v>148.87342260176294</v>
      </c>
    </row>
    <row r="735" spans="1:9">
      <c r="A735" s="13">
        <v>688</v>
      </c>
      <c r="B735" s="8">
        <v>2022.990687415821</v>
      </c>
      <c r="C735" s="14">
        <v>933.73230158221656</v>
      </c>
      <c r="D735" s="77">
        <v>155.62205026370276</v>
      </c>
      <c r="E735" s="77">
        <v>155.62205026370276</v>
      </c>
      <c r="F735" s="77">
        <v>155.62205026370276</v>
      </c>
      <c r="G735" s="77">
        <v>155.62205026370276</v>
      </c>
      <c r="H735" s="77">
        <v>155.62205026370276</v>
      </c>
      <c r="I735" s="77">
        <v>155.62205026370276</v>
      </c>
    </row>
    <row r="736" spans="1:9">
      <c r="A736" s="13">
        <v>689</v>
      </c>
      <c r="B736" s="8">
        <v>2022.9120856347158</v>
      </c>
      <c r="C736" s="14">
        <v>878.62180904107947</v>
      </c>
      <c r="D736" s="77">
        <v>146.43696817351324</v>
      </c>
      <c r="E736" s="77">
        <v>146.43696817351324</v>
      </c>
      <c r="F736" s="77">
        <v>146.43696817351324</v>
      </c>
      <c r="G736" s="77">
        <v>146.43696817351324</v>
      </c>
      <c r="H736" s="77">
        <v>146.43696817351324</v>
      </c>
      <c r="I736" s="77">
        <v>146.43696817351324</v>
      </c>
    </row>
    <row r="737" spans="1:9">
      <c r="A737" s="13">
        <v>690</v>
      </c>
      <c r="B737" s="8">
        <v>2023.0874600875973</v>
      </c>
      <c r="C737" s="14">
        <v>885.94773950309775</v>
      </c>
      <c r="D737" s="77">
        <v>147.65795658384963</v>
      </c>
      <c r="E737" s="77">
        <v>147.65795658384963</v>
      </c>
      <c r="F737" s="77">
        <v>147.65795658384963</v>
      </c>
      <c r="G737" s="77">
        <v>147.65795658384963</v>
      </c>
      <c r="H737" s="77">
        <v>147.65795658384963</v>
      </c>
      <c r="I737" s="77">
        <v>147.65795658384963</v>
      </c>
    </row>
    <row r="738" spans="1:9">
      <c r="A738" s="13">
        <v>691</v>
      </c>
      <c r="B738" s="8">
        <v>2023.7212975832831</v>
      </c>
      <c r="C738" s="14">
        <v>979.85523102406739</v>
      </c>
      <c r="D738" s="77">
        <v>163.3092051706779</v>
      </c>
      <c r="E738" s="77">
        <v>163.3092051706779</v>
      </c>
      <c r="F738" s="77">
        <v>163.3092051706779</v>
      </c>
      <c r="G738" s="77">
        <v>163.3092051706779</v>
      </c>
      <c r="H738" s="77">
        <v>163.3092051706779</v>
      </c>
      <c r="I738" s="77">
        <v>163.3092051706779</v>
      </c>
    </row>
    <row r="739" spans="1:9">
      <c r="A739" s="13">
        <v>692</v>
      </c>
      <c r="B739" s="8">
        <v>2024.341202072836</v>
      </c>
      <c r="C739" s="14">
        <v>1047.2743177186851</v>
      </c>
      <c r="D739" s="77">
        <v>174.54571961978084</v>
      </c>
      <c r="E739" s="77">
        <v>174.54571961978084</v>
      </c>
      <c r="F739" s="77">
        <v>174.54571961978084</v>
      </c>
      <c r="G739" s="77">
        <v>174.54571961978084</v>
      </c>
      <c r="H739" s="77">
        <v>174.54571961978084</v>
      </c>
      <c r="I739" s="77">
        <v>174.54571961978084</v>
      </c>
    </row>
    <row r="740" spans="1:9">
      <c r="A740" s="13">
        <v>693</v>
      </c>
      <c r="B740" s="8">
        <v>2023.6160611782536</v>
      </c>
      <c r="C740" s="14">
        <v>958.40567521943024</v>
      </c>
      <c r="D740" s="77">
        <v>159.73427920323837</v>
      </c>
      <c r="E740" s="77">
        <v>159.73427920323837</v>
      </c>
      <c r="F740" s="77">
        <v>159.73427920323837</v>
      </c>
      <c r="G740" s="77">
        <v>159.73427920323837</v>
      </c>
      <c r="H740" s="77">
        <v>159.73427920323837</v>
      </c>
      <c r="I740" s="77">
        <v>159.73427920323837</v>
      </c>
    </row>
    <row r="741" spans="1:9">
      <c r="A741" s="13">
        <v>694</v>
      </c>
      <c r="B741" s="8">
        <v>2022.7557987278426</v>
      </c>
      <c r="C741" s="14">
        <v>905.23733771026957</v>
      </c>
      <c r="D741" s="77">
        <v>150.87288961837825</v>
      </c>
      <c r="E741" s="77">
        <v>150.87288961837825</v>
      </c>
      <c r="F741" s="77">
        <v>150.87288961837825</v>
      </c>
      <c r="G741" s="77">
        <v>150.87288961837825</v>
      </c>
      <c r="H741" s="77">
        <v>150.87288961837825</v>
      </c>
      <c r="I741" s="77">
        <v>150.87288961837825</v>
      </c>
    </row>
    <row r="742" spans="1:9">
      <c r="A742" s="13">
        <v>695</v>
      </c>
      <c r="B742" s="8">
        <v>2023.5438424940617</v>
      </c>
      <c r="C742" s="14">
        <v>974.70810863484746</v>
      </c>
      <c r="D742" s="77">
        <v>162.45135143914123</v>
      </c>
      <c r="E742" s="77">
        <v>162.45135143914123</v>
      </c>
      <c r="F742" s="77">
        <v>162.45135143914123</v>
      </c>
      <c r="G742" s="77">
        <v>162.45135143914123</v>
      </c>
      <c r="H742" s="77">
        <v>162.45135143914123</v>
      </c>
      <c r="I742" s="77">
        <v>162.45135143914123</v>
      </c>
    </row>
    <row r="743" spans="1:9">
      <c r="A743" s="13">
        <v>696</v>
      </c>
      <c r="B743" s="8">
        <v>2024.9006264938223</v>
      </c>
      <c r="C743" s="14">
        <v>1101.4068623032376</v>
      </c>
      <c r="D743" s="77">
        <v>183.56781038387294</v>
      </c>
      <c r="E743" s="77">
        <v>183.56781038387294</v>
      </c>
      <c r="F743" s="77">
        <v>183.56781038387294</v>
      </c>
      <c r="G743" s="77">
        <v>183.56781038387294</v>
      </c>
      <c r="H743" s="77">
        <v>183.56781038387294</v>
      </c>
      <c r="I743" s="77">
        <v>183.56781038387294</v>
      </c>
    </row>
    <row r="744" spans="1:9">
      <c r="A744" s="13">
        <v>697</v>
      </c>
      <c r="B744" s="8">
        <v>2022.9575607318459</v>
      </c>
      <c r="C744" s="14">
        <v>950.84008195262959</v>
      </c>
      <c r="D744" s="77">
        <v>158.47334699210492</v>
      </c>
      <c r="E744" s="77">
        <v>158.47334699210492</v>
      </c>
      <c r="F744" s="77">
        <v>158.47334699210492</v>
      </c>
      <c r="G744" s="77">
        <v>158.47334699210492</v>
      </c>
      <c r="H744" s="77">
        <v>158.47334699210492</v>
      </c>
      <c r="I744" s="77">
        <v>158.47334699210492</v>
      </c>
    </row>
    <row r="745" spans="1:9">
      <c r="A745" s="13">
        <v>698</v>
      </c>
      <c r="B745" s="8">
        <v>2023.1524728522184</v>
      </c>
      <c r="C745" s="14">
        <v>889.55754681672988</v>
      </c>
      <c r="D745" s="77">
        <v>148.25959113612166</v>
      </c>
      <c r="E745" s="77">
        <v>148.25959113612166</v>
      </c>
      <c r="F745" s="77">
        <v>148.25959113612166</v>
      </c>
      <c r="G745" s="77">
        <v>148.25959113612166</v>
      </c>
      <c r="H745" s="77">
        <v>148.25959113612166</v>
      </c>
      <c r="I745" s="77">
        <v>148.25959113612166</v>
      </c>
    </row>
    <row r="746" spans="1:9">
      <c r="A746" s="13">
        <v>699</v>
      </c>
      <c r="B746" s="8">
        <v>2023.0513272924168</v>
      </c>
      <c r="C746" s="14">
        <v>894.88416797372099</v>
      </c>
      <c r="D746" s="77">
        <v>149.14736132895351</v>
      </c>
      <c r="E746" s="77">
        <v>149.14736132895351</v>
      </c>
      <c r="F746" s="77">
        <v>149.14736132895351</v>
      </c>
      <c r="G746" s="77">
        <v>149.14736132895351</v>
      </c>
      <c r="H746" s="77">
        <v>149.14736132895351</v>
      </c>
      <c r="I746" s="77">
        <v>149.14736132895351</v>
      </c>
    </row>
    <row r="747" spans="1:9">
      <c r="A747" s="13">
        <v>700</v>
      </c>
      <c r="B747" s="8">
        <v>2022.8840386580021</v>
      </c>
      <c r="C747" s="14">
        <v>848.70327659745635</v>
      </c>
      <c r="D747" s="77">
        <v>141.45054609957606</v>
      </c>
      <c r="E747" s="77">
        <v>141.45054609957606</v>
      </c>
      <c r="F747" s="77">
        <v>141.45054609957606</v>
      </c>
      <c r="G747" s="77">
        <v>141.45054609957606</v>
      </c>
      <c r="H747" s="77">
        <v>141.45054609957606</v>
      </c>
      <c r="I747" s="77">
        <v>141.45054609957606</v>
      </c>
    </row>
    <row r="748" spans="1:9">
      <c r="A748" s="13">
        <v>701</v>
      </c>
      <c r="B748" s="8">
        <v>2023.1152758682788</v>
      </c>
      <c r="C748" s="14">
        <v>946.56936144890665</v>
      </c>
      <c r="D748" s="77">
        <v>157.76156024148443</v>
      </c>
      <c r="E748" s="77">
        <v>157.76156024148443</v>
      </c>
      <c r="F748" s="77">
        <v>157.76156024148443</v>
      </c>
      <c r="G748" s="77">
        <v>157.76156024148443</v>
      </c>
      <c r="H748" s="77">
        <v>157.76156024148443</v>
      </c>
      <c r="I748" s="77">
        <v>157.76156024148443</v>
      </c>
    </row>
    <row r="749" spans="1:9">
      <c r="A749" s="13">
        <v>702</v>
      </c>
      <c r="B749" s="8">
        <v>2024.1362491229204</v>
      </c>
      <c r="C749" s="14">
        <v>986.31195306769803</v>
      </c>
      <c r="D749" s="77">
        <v>164.38532551128301</v>
      </c>
      <c r="E749" s="77">
        <v>164.38532551128301</v>
      </c>
      <c r="F749" s="77">
        <v>164.38532551128301</v>
      </c>
      <c r="G749" s="77">
        <v>164.38532551128301</v>
      </c>
      <c r="H749" s="77">
        <v>164.38532551128301</v>
      </c>
      <c r="I749" s="77">
        <v>164.38532551128301</v>
      </c>
    </row>
    <row r="750" spans="1:9">
      <c r="A750" s="13">
        <v>703</v>
      </c>
      <c r="B750" s="8">
        <v>2022.9745446398665</v>
      </c>
      <c r="C750" s="14">
        <v>897.47406109765586</v>
      </c>
      <c r="D750" s="77">
        <v>149.57901018294265</v>
      </c>
      <c r="E750" s="77">
        <v>149.57901018294265</v>
      </c>
      <c r="F750" s="77">
        <v>149.57901018294265</v>
      </c>
      <c r="G750" s="77">
        <v>149.57901018294265</v>
      </c>
      <c r="H750" s="77">
        <v>149.57901018294265</v>
      </c>
      <c r="I750" s="77">
        <v>149.57901018294265</v>
      </c>
    </row>
    <row r="751" spans="1:9">
      <c r="A751" s="13">
        <v>704</v>
      </c>
      <c r="B751" s="8">
        <v>2024.5258818758839</v>
      </c>
      <c r="C751" s="14">
        <v>1025.1231272194564</v>
      </c>
      <c r="D751" s="77">
        <v>170.85385453657605</v>
      </c>
      <c r="E751" s="77">
        <v>170.85385453657605</v>
      </c>
      <c r="F751" s="77">
        <v>170.85385453657605</v>
      </c>
      <c r="G751" s="77">
        <v>170.85385453657605</v>
      </c>
      <c r="H751" s="77">
        <v>170.85385453657605</v>
      </c>
      <c r="I751" s="77">
        <v>170.85385453657605</v>
      </c>
    </row>
    <row r="752" spans="1:9">
      <c r="A752" s="13">
        <v>705</v>
      </c>
      <c r="B752" s="8">
        <v>2024.0776918263005</v>
      </c>
      <c r="C752" s="14">
        <v>948.11296244927541</v>
      </c>
      <c r="D752" s="77">
        <v>158.01882707487923</v>
      </c>
      <c r="E752" s="77">
        <v>158.01882707487923</v>
      </c>
      <c r="F752" s="77">
        <v>158.01882707487923</v>
      </c>
      <c r="G752" s="77">
        <v>158.01882707487923</v>
      </c>
      <c r="H752" s="77">
        <v>158.01882707487923</v>
      </c>
      <c r="I752" s="77">
        <v>158.01882707487923</v>
      </c>
    </row>
    <row r="753" spans="1:9">
      <c r="A753" s="13">
        <v>706</v>
      </c>
      <c r="B753" s="8">
        <v>2024.2521690985982</v>
      </c>
      <c r="C753" s="14">
        <v>983.20453073072167</v>
      </c>
      <c r="D753" s="77">
        <v>163.86742178845361</v>
      </c>
      <c r="E753" s="77">
        <v>163.86742178845361</v>
      </c>
      <c r="F753" s="77">
        <v>163.86742178845361</v>
      </c>
      <c r="G753" s="77">
        <v>163.86742178845361</v>
      </c>
      <c r="H753" s="77">
        <v>163.86742178845361</v>
      </c>
      <c r="I753" s="77">
        <v>163.86742178845361</v>
      </c>
    </row>
    <row r="754" spans="1:9">
      <c r="A754" s="13">
        <v>707</v>
      </c>
      <c r="B754" s="8">
        <v>2024.9077660653193</v>
      </c>
      <c r="C754" s="14">
        <v>1118.4144725362378</v>
      </c>
      <c r="D754" s="77">
        <v>186.40241208937297</v>
      </c>
      <c r="E754" s="77">
        <v>186.40241208937297</v>
      </c>
      <c r="F754" s="77">
        <v>186.40241208937297</v>
      </c>
      <c r="G754" s="77">
        <v>186.40241208937297</v>
      </c>
      <c r="H754" s="77">
        <v>186.40241208937297</v>
      </c>
      <c r="I754" s="77">
        <v>186.40241208937297</v>
      </c>
    </row>
    <row r="755" spans="1:9">
      <c r="A755" s="13">
        <v>708</v>
      </c>
      <c r="B755" s="8">
        <v>2023.3671790737073</v>
      </c>
      <c r="C755" s="14">
        <v>988.44546007220526</v>
      </c>
      <c r="D755" s="77">
        <v>164.74091001203422</v>
      </c>
      <c r="E755" s="77">
        <v>164.74091001203422</v>
      </c>
      <c r="F755" s="77">
        <v>164.74091001203422</v>
      </c>
      <c r="G755" s="77">
        <v>164.74091001203422</v>
      </c>
      <c r="H755" s="77">
        <v>164.74091001203422</v>
      </c>
      <c r="I755" s="77">
        <v>164.74091001203422</v>
      </c>
    </row>
    <row r="756" spans="1:9">
      <c r="A756" s="13">
        <v>709</v>
      </c>
      <c r="B756" s="8">
        <v>2022.8159200917414</v>
      </c>
      <c r="C756" s="14">
        <v>852.89805941250438</v>
      </c>
      <c r="D756" s="77">
        <v>142.14967656875072</v>
      </c>
      <c r="E756" s="77">
        <v>142.14967656875072</v>
      </c>
      <c r="F756" s="77">
        <v>142.14967656875072</v>
      </c>
      <c r="G756" s="77">
        <v>142.14967656875072</v>
      </c>
      <c r="H756" s="77">
        <v>142.14967656875072</v>
      </c>
      <c r="I756" s="77">
        <v>142.14967656875072</v>
      </c>
    </row>
    <row r="757" spans="1:9">
      <c r="A757" s="13">
        <v>710</v>
      </c>
      <c r="B757" s="8">
        <v>2023.0367246345256</v>
      </c>
      <c r="C757" s="14">
        <v>891.41310566052675</v>
      </c>
      <c r="D757" s="77">
        <v>148.56885094342113</v>
      </c>
      <c r="E757" s="77">
        <v>148.56885094342113</v>
      </c>
      <c r="F757" s="77">
        <v>148.56885094342113</v>
      </c>
      <c r="G757" s="77">
        <v>148.56885094342113</v>
      </c>
      <c r="H757" s="77">
        <v>148.56885094342113</v>
      </c>
      <c r="I757" s="77">
        <v>148.56885094342113</v>
      </c>
    </row>
    <row r="758" spans="1:9">
      <c r="A758" s="13">
        <v>711</v>
      </c>
      <c r="B758" s="8">
        <v>2023.3103758170373</v>
      </c>
      <c r="C758" s="14">
        <v>911.48297120606537</v>
      </c>
      <c r="D758" s="77">
        <v>151.91382853434422</v>
      </c>
      <c r="E758" s="77">
        <v>151.91382853434422</v>
      </c>
      <c r="F758" s="77">
        <v>151.91382853434422</v>
      </c>
      <c r="G758" s="77">
        <v>151.91382853434422</v>
      </c>
      <c r="H758" s="77">
        <v>151.91382853434422</v>
      </c>
      <c r="I758" s="77">
        <v>151.91382853434422</v>
      </c>
    </row>
    <row r="759" spans="1:9">
      <c r="A759" s="13">
        <v>712</v>
      </c>
      <c r="B759" s="8">
        <v>2022.9433440775776</v>
      </c>
      <c r="C759" s="14">
        <v>880.8022634014485</v>
      </c>
      <c r="D759" s="77">
        <v>146.80037723357475</v>
      </c>
      <c r="E759" s="77">
        <v>146.80037723357475</v>
      </c>
      <c r="F759" s="77">
        <v>146.80037723357475</v>
      </c>
      <c r="G759" s="77">
        <v>146.80037723357475</v>
      </c>
      <c r="H759" s="77">
        <v>146.80037723357475</v>
      </c>
      <c r="I759" s="77">
        <v>146.80037723357475</v>
      </c>
    </row>
    <row r="760" spans="1:9">
      <c r="A760" s="13">
        <v>713</v>
      </c>
      <c r="B760" s="8">
        <v>2025.262134597767</v>
      </c>
      <c r="C760" s="14">
        <v>1066.6455120813328</v>
      </c>
      <c r="D760" s="77">
        <v>177.77425201355547</v>
      </c>
      <c r="E760" s="77">
        <v>177.77425201355547</v>
      </c>
      <c r="F760" s="77">
        <v>177.77425201355547</v>
      </c>
      <c r="G760" s="77">
        <v>177.77425201355547</v>
      </c>
      <c r="H760" s="77">
        <v>177.77425201355547</v>
      </c>
      <c r="I760" s="77">
        <v>177.77425201355547</v>
      </c>
    </row>
    <row r="761" spans="1:9">
      <c r="A761" s="13">
        <v>714</v>
      </c>
      <c r="B761" s="8">
        <v>2022.6258399075577</v>
      </c>
      <c r="C761" s="14">
        <v>842.96072633128654</v>
      </c>
      <c r="D761" s="77">
        <v>140.49345438854775</v>
      </c>
      <c r="E761" s="77">
        <v>140.49345438854775</v>
      </c>
      <c r="F761" s="77">
        <v>140.49345438854775</v>
      </c>
      <c r="G761" s="77">
        <v>140.49345438854775</v>
      </c>
      <c r="H761" s="77">
        <v>140.49345438854775</v>
      </c>
      <c r="I761" s="77">
        <v>140.49345438854775</v>
      </c>
    </row>
    <row r="762" spans="1:9">
      <c r="A762" s="13">
        <v>715</v>
      </c>
      <c r="B762" s="8">
        <v>2023.2534889188787</v>
      </c>
      <c r="C762" s="14">
        <v>1004.1664793572953</v>
      </c>
      <c r="D762" s="77">
        <v>167.36107989288254</v>
      </c>
      <c r="E762" s="77">
        <v>167.36107989288254</v>
      </c>
      <c r="F762" s="77">
        <v>167.36107989288254</v>
      </c>
      <c r="G762" s="77">
        <v>167.36107989288254</v>
      </c>
      <c r="H762" s="77">
        <v>167.36107989288254</v>
      </c>
      <c r="I762" s="77">
        <v>167.36107989288254</v>
      </c>
    </row>
    <row r="763" spans="1:9">
      <c r="A763" s="13">
        <v>716</v>
      </c>
      <c r="B763" s="8">
        <v>2022.965368925514</v>
      </c>
      <c r="C763" s="14">
        <v>916.06835788622664</v>
      </c>
      <c r="D763" s="77">
        <v>152.67805964770443</v>
      </c>
      <c r="E763" s="77">
        <v>152.67805964770443</v>
      </c>
      <c r="F763" s="77">
        <v>152.67805964770443</v>
      </c>
      <c r="G763" s="77">
        <v>152.67805964770443</v>
      </c>
      <c r="H763" s="77">
        <v>152.67805964770443</v>
      </c>
      <c r="I763" s="77">
        <v>152.67805964770443</v>
      </c>
    </row>
    <row r="764" spans="1:9">
      <c r="A764" s="13">
        <v>717</v>
      </c>
      <c r="B764" s="8">
        <v>2024.5210207945763</v>
      </c>
      <c r="C764" s="14">
        <v>1057.0934732000346</v>
      </c>
      <c r="D764" s="77">
        <v>176.18224553333911</v>
      </c>
      <c r="E764" s="77">
        <v>176.18224553333911</v>
      </c>
      <c r="F764" s="77">
        <v>176.18224553333911</v>
      </c>
      <c r="G764" s="77">
        <v>176.18224553333911</v>
      </c>
      <c r="H764" s="77">
        <v>176.18224553333911</v>
      </c>
      <c r="I764" s="77">
        <v>176.18224553333911</v>
      </c>
    </row>
    <row r="765" spans="1:9">
      <c r="A765" s="13">
        <v>718</v>
      </c>
      <c r="B765" s="8">
        <v>2023.0320226635963</v>
      </c>
      <c r="C765" s="14">
        <v>870.67498392483355</v>
      </c>
      <c r="D765" s="77">
        <v>145.1124973208056</v>
      </c>
      <c r="E765" s="77">
        <v>145.1124973208056</v>
      </c>
      <c r="F765" s="77">
        <v>145.1124973208056</v>
      </c>
      <c r="G765" s="77">
        <v>145.1124973208056</v>
      </c>
      <c r="H765" s="77">
        <v>145.1124973208056</v>
      </c>
      <c r="I765" s="77">
        <v>145.1124973208056</v>
      </c>
    </row>
    <row r="766" spans="1:9">
      <c r="A766" s="13">
        <v>719</v>
      </c>
      <c r="B766" s="8">
        <v>2024.7855092150426</v>
      </c>
      <c r="C766" s="14">
        <v>1010.467565801731</v>
      </c>
      <c r="D766" s="77">
        <v>168.41126096695515</v>
      </c>
      <c r="E766" s="77">
        <v>168.41126096695515</v>
      </c>
      <c r="F766" s="77">
        <v>168.41126096695515</v>
      </c>
      <c r="G766" s="77">
        <v>168.41126096695515</v>
      </c>
      <c r="H766" s="77">
        <v>168.41126096695515</v>
      </c>
      <c r="I766" s="77">
        <v>168.41126096695515</v>
      </c>
    </row>
    <row r="767" spans="1:9">
      <c r="A767" s="13">
        <v>720</v>
      </c>
      <c r="B767" s="8">
        <v>2025.1833369646847</v>
      </c>
      <c r="C767" s="14">
        <v>1248.7167001074993</v>
      </c>
      <c r="D767" s="77">
        <v>208.11945001791653</v>
      </c>
      <c r="E767" s="77">
        <v>208.11945001791653</v>
      </c>
      <c r="F767" s="77">
        <v>208.11945001791653</v>
      </c>
      <c r="G767" s="77">
        <v>208.11945001791653</v>
      </c>
      <c r="H767" s="77">
        <v>208.11945001791653</v>
      </c>
      <c r="I767" s="77">
        <v>208.11945001791653</v>
      </c>
    </row>
    <row r="768" spans="1:9">
      <c r="A768" s="13">
        <v>721</v>
      </c>
      <c r="B768" s="8">
        <v>2023.0384393286961</v>
      </c>
      <c r="C768" s="14">
        <v>923.13968445926628</v>
      </c>
      <c r="D768" s="77">
        <v>153.85661407654439</v>
      </c>
      <c r="E768" s="77">
        <v>153.85661407654439</v>
      </c>
      <c r="F768" s="77">
        <v>153.85661407654439</v>
      </c>
      <c r="G768" s="77">
        <v>153.85661407654439</v>
      </c>
      <c r="H768" s="77">
        <v>153.85661407654439</v>
      </c>
      <c r="I768" s="77">
        <v>153.85661407654439</v>
      </c>
    </row>
    <row r="769" spans="1:9">
      <c r="A769" s="13">
        <v>722</v>
      </c>
      <c r="B769" s="8">
        <v>2022.9535723392776</v>
      </c>
      <c r="C769" s="14">
        <v>839.3082111461589</v>
      </c>
      <c r="D769" s="77">
        <v>139.88470185769316</v>
      </c>
      <c r="E769" s="77">
        <v>139.88470185769316</v>
      </c>
      <c r="F769" s="77">
        <v>139.88470185769316</v>
      </c>
      <c r="G769" s="77">
        <v>139.88470185769316</v>
      </c>
      <c r="H769" s="77">
        <v>139.88470185769316</v>
      </c>
      <c r="I769" s="77">
        <v>139.88470185769316</v>
      </c>
    </row>
    <row r="770" spans="1:9">
      <c r="A770" s="13">
        <v>723</v>
      </c>
      <c r="B770" s="8">
        <v>2022.8893009703186</v>
      </c>
      <c r="C770" s="14">
        <v>861.37337785305294</v>
      </c>
      <c r="D770" s="77">
        <v>143.56222964217548</v>
      </c>
      <c r="E770" s="77">
        <v>143.56222964217548</v>
      </c>
      <c r="F770" s="77">
        <v>143.56222964217548</v>
      </c>
      <c r="G770" s="77">
        <v>143.56222964217548</v>
      </c>
      <c r="H770" s="77">
        <v>143.56222964217548</v>
      </c>
      <c r="I770" s="77">
        <v>143.56222964217548</v>
      </c>
    </row>
    <row r="771" spans="1:9">
      <c r="A771" s="13">
        <v>724</v>
      </c>
      <c r="B771" s="8">
        <v>2024.8008221329449</v>
      </c>
      <c r="C771" s="14">
        <v>1019.662930416852</v>
      </c>
      <c r="D771" s="77">
        <v>169.94382173614198</v>
      </c>
      <c r="E771" s="77">
        <v>169.94382173614198</v>
      </c>
      <c r="F771" s="77">
        <v>169.94382173614198</v>
      </c>
      <c r="G771" s="77">
        <v>169.94382173614198</v>
      </c>
      <c r="H771" s="77">
        <v>169.94382173614198</v>
      </c>
      <c r="I771" s="77">
        <v>169.94382173614198</v>
      </c>
    </row>
    <row r="772" spans="1:9">
      <c r="A772" s="13">
        <v>725</v>
      </c>
      <c r="B772" s="8">
        <v>2025.0624521984234</v>
      </c>
      <c r="C772" s="14">
        <v>1122.3982472028629</v>
      </c>
      <c r="D772" s="77">
        <v>187.06637453381049</v>
      </c>
      <c r="E772" s="77">
        <v>187.06637453381049</v>
      </c>
      <c r="F772" s="77">
        <v>187.06637453381049</v>
      </c>
      <c r="G772" s="77">
        <v>187.06637453381049</v>
      </c>
      <c r="H772" s="77">
        <v>187.06637453381049</v>
      </c>
      <c r="I772" s="77">
        <v>187.06637453381049</v>
      </c>
    </row>
    <row r="773" spans="1:9">
      <c r="A773" s="13">
        <v>726</v>
      </c>
      <c r="B773" s="8">
        <v>2023.1079247117234</v>
      </c>
      <c r="C773" s="14">
        <v>803.63512746023832</v>
      </c>
      <c r="D773" s="77">
        <v>133.93918791003972</v>
      </c>
      <c r="E773" s="77">
        <v>133.93918791003972</v>
      </c>
      <c r="F773" s="77">
        <v>133.93918791003972</v>
      </c>
      <c r="G773" s="77">
        <v>133.93918791003972</v>
      </c>
      <c r="H773" s="77">
        <v>133.93918791003972</v>
      </c>
      <c r="I773" s="77">
        <v>133.93918791003972</v>
      </c>
    </row>
    <row r="774" spans="1:9">
      <c r="A774" s="13">
        <v>727</v>
      </c>
      <c r="B774" s="8">
        <v>2024.3769316657153</v>
      </c>
      <c r="C774" s="14">
        <v>1200.5258423828272</v>
      </c>
      <c r="D774" s="77">
        <v>200.08764039713787</v>
      </c>
      <c r="E774" s="77">
        <v>200.08764039713787</v>
      </c>
      <c r="F774" s="77">
        <v>200.08764039713787</v>
      </c>
      <c r="G774" s="77">
        <v>200.08764039713787</v>
      </c>
      <c r="H774" s="77">
        <v>200.08764039713787</v>
      </c>
      <c r="I774" s="77">
        <v>200.08764039713787</v>
      </c>
    </row>
    <row r="775" spans="1:9">
      <c r="A775" s="13">
        <v>728</v>
      </c>
      <c r="B775" s="8">
        <v>2024.3523658287725</v>
      </c>
      <c r="C775" s="14">
        <v>1038.5541041101778</v>
      </c>
      <c r="D775" s="77">
        <v>173.09235068502963</v>
      </c>
      <c r="E775" s="77">
        <v>173.09235068502963</v>
      </c>
      <c r="F775" s="77">
        <v>173.09235068502963</v>
      </c>
      <c r="G775" s="77">
        <v>173.09235068502963</v>
      </c>
      <c r="H775" s="77">
        <v>173.09235068502963</v>
      </c>
      <c r="I775" s="77">
        <v>173.09235068502963</v>
      </c>
    </row>
    <row r="776" spans="1:9">
      <c r="A776" s="13">
        <v>729</v>
      </c>
      <c r="B776" s="8">
        <v>2024.711341461207</v>
      </c>
      <c r="C776" s="14">
        <v>1051.3353940016286</v>
      </c>
      <c r="D776" s="77">
        <v>175.2225656669381</v>
      </c>
      <c r="E776" s="77">
        <v>175.2225656669381</v>
      </c>
      <c r="F776" s="77">
        <v>175.2225656669381</v>
      </c>
      <c r="G776" s="77">
        <v>175.2225656669381</v>
      </c>
      <c r="H776" s="77">
        <v>175.2225656669381</v>
      </c>
      <c r="I776" s="77">
        <v>175.2225656669381</v>
      </c>
    </row>
    <row r="777" spans="1:9">
      <c r="A777" s="13">
        <v>730</v>
      </c>
      <c r="B777" s="8">
        <v>2024.5292166792824</v>
      </c>
      <c r="C777" s="14">
        <v>1011.0191085989527</v>
      </c>
      <c r="D777" s="77">
        <v>168.50318476649213</v>
      </c>
      <c r="E777" s="77">
        <v>168.50318476649213</v>
      </c>
      <c r="F777" s="77">
        <v>168.50318476649213</v>
      </c>
      <c r="G777" s="77">
        <v>168.50318476649213</v>
      </c>
      <c r="H777" s="77">
        <v>168.50318476649213</v>
      </c>
      <c r="I777" s="77">
        <v>168.50318476649213</v>
      </c>
    </row>
    <row r="778" spans="1:9">
      <c r="A778" s="13">
        <v>731</v>
      </c>
      <c r="B778" s="8">
        <v>2022.9204815811963</v>
      </c>
      <c r="C778" s="14">
        <v>891.83820855073202</v>
      </c>
      <c r="D778" s="77">
        <v>148.63970142512201</v>
      </c>
      <c r="E778" s="77">
        <v>148.63970142512201</v>
      </c>
      <c r="F778" s="77">
        <v>148.63970142512201</v>
      </c>
      <c r="G778" s="77">
        <v>148.63970142512201</v>
      </c>
      <c r="H778" s="77">
        <v>148.63970142512201</v>
      </c>
      <c r="I778" s="77">
        <v>148.63970142512201</v>
      </c>
    </row>
    <row r="779" spans="1:9">
      <c r="A779" s="13">
        <v>732</v>
      </c>
      <c r="B779" s="8">
        <v>2022.885165546872</v>
      </c>
      <c r="C779" s="14">
        <v>903.91667354220544</v>
      </c>
      <c r="D779" s="77">
        <v>150.65277892370091</v>
      </c>
      <c r="E779" s="77">
        <v>150.65277892370091</v>
      </c>
      <c r="F779" s="77">
        <v>150.65277892370091</v>
      </c>
      <c r="G779" s="77">
        <v>150.65277892370091</v>
      </c>
      <c r="H779" s="77">
        <v>150.65277892370091</v>
      </c>
      <c r="I779" s="77">
        <v>150.65277892370091</v>
      </c>
    </row>
    <row r="780" spans="1:9">
      <c r="A780" s="13">
        <v>733</v>
      </c>
      <c r="B780" s="8">
        <v>2023.2336208314478</v>
      </c>
      <c r="C780" s="14">
        <v>868.26056047494717</v>
      </c>
      <c r="D780" s="77">
        <v>144.7100934124912</v>
      </c>
      <c r="E780" s="77">
        <v>144.7100934124912</v>
      </c>
      <c r="F780" s="77">
        <v>144.7100934124912</v>
      </c>
      <c r="G780" s="77">
        <v>144.7100934124912</v>
      </c>
      <c r="H780" s="77">
        <v>144.7100934124912</v>
      </c>
      <c r="I780" s="77">
        <v>144.7100934124912</v>
      </c>
    </row>
    <row r="781" spans="1:9">
      <c r="A781" s="13">
        <v>734</v>
      </c>
      <c r="B781" s="8">
        <v>2023.0866081938555</v>
      </c>
      <c r="C781" s="14">
        <v>914.64162348662262</v>
      </c>
      <c r="D781" s="77">
        <v>152.44027058110376</v>
      </c>
      <c r="E781" s="77">
        <v>152.44027058110376</v>
      </c>
      <c r="F781" s="77">
        <v>152.44027058110376</v>
      </c>
      <c r="G781" s="77">
        <v>152.44027058110376</v>
      </c>
      <c r="H781" s="77">
        <v>152.44027058110376</v>
      </c>
      <c r="I781" s="77">
        <v>152.44027058110376</v>
      </c>
    </row>
    <row r="782" spans="1:9">
      <c r="A782" s="13">
        <v>735</v>
      </c>
      <c r="B782" s="8">
        <v>2022.8899408954082</v>
      </c>
      <c r="C782" s="14">
        <v>906.97999714307184</v>
      </c>
      <c r="D782" s="77">
        <v>151.16333285717863</v>
      </c>
      <c r="E782" s="77">
        <v>151.16333285717863</v>
      </c>
      <c r="F782" s="77">
        <v>151.16333285717863</v>
      </c>
      <c r="G782" s="77">
        <v>151.16333285717863</v>
      </c>
      <c r="H782" s="77">
        <v>151.16333285717863</v>
      </c>
      <c r="I782" s="77">
        <v>151.16333285717863</v>
      </c>
    </row>
    <row r="783" spans="1:9">
      <c r="A783" s="13">
        <v>736</v>
      </c>
      <c r="B783" s="8">
        <v>2023.4535466340408</v>
      </c>
      <c r="C783" s="14">
        <v>951.13576051938117</v>
      </c>
      <c r="D783" s="77">
        <v>158.52262675323018</v>
      </c>
      <c r="E783" s="77">
        <v>158.52262675323018</v>
      </c>
      <c r="F783" s="77">
        <v>158.52262675323018</v>
      </c>
      <c r="G783" s="77">
        <v>158.52262675323018</v>
      </c>
      <c r="H783" s="77">
        <v>158.52262675323018</v>
      </c>
      <c r="I783" s="77">
        <v>158.52262675323018</v>
      </c>
    </row>
    <row r="784" spans="1:9">
      <c r="A784" s="13">
        <v>737</v>
      </c>
      <c r="B784" s="8">
        <v>2022.8545987621083</v>
      </c>
      <c r="C784" s="14">
        <v>836.6272134172001</v>
      </c>
      <c r="D784" s="77">
        <v>139.43786890286668</v>
      </c>
      <c r="E784" s="77">
        <v>139.43786890286668</v>
      </c>
      <c r="F784" s="77">
        <v>139.43786890286668</v>
      </c>
      <c r="G784" s="77">
        <v>139.43786890286668</v>
      </c>
      <c r="H784" s="77">
        <v>139.43786890286668</v>
      </c>
      <c r="I784" s="77">
        <v>139.43786890286668</v>
      </c>
    </row>
    <row r="785" spans="1:9">
      <c r="A785" s="13">
        <v>738</v>
      </c>
      <c r="B785" s="8">
        <v>2024.3499397597552</v>
      </c>
      <c r="C785" s="14">
        <v>985.17007570858789</v>
      </c>
      <c r="D785" s="77">
        <v>164.19501261809799</v>
      </c>
      <c r="E785" s="77">
        <v>164.19501261809799</v>
      </c>
      <c r="F785" s="77">
        <v>164.19501261809799</v>
      </c>
      <c r="G785" s="77">
        <v>164.19501261809799</v>
      </c>
      <c r="H785" s="77">
        <v>164.19501261809799</v>
      </c>
      <c r="I785" s="77">
        <v>164.19501261809799</v>
      </c>
    </row>
    <row r="786" spans="1:9">
      <c r="A786" s="13">
        <v>739</v>
      </c>
      <c r="B786" s="8">
        <v>2025.4636914554692</v>
      </c>
      <c r="C786" s="14">
        <v>1222.4044329379451</v>
      </c>
      <c r="D786" s="77">
        <v>203.73407215632417</v>
      </c>
      <c r="E786" s="77">
        <v>203.73407215632417</v>
      </c>
      <c r="F786" s="77">
        <v>203.73407215632417</v>
      </c>
      <c r="G786" s="77">
        <v>203.73407215632417</v>
      </c>
      <c r="H786" s="77">
        <v>203.73407215632417</v>
      </c>
      <c r="I786" s="77">
        <v>203.73407215632417</v>
      </c>
    </row>
    <row r="787" spans="1:9">
      <c r="A787" s="13">
        <v>740</v>
      </c>
      <c r="B787" s="8">
        <v>2024.6493643657561</v>
      </c>
      <c r="C787" s="14">
        <v>1035.4187060304171</v>
      </c>
      <c r="D787" s="77">
        <v>172.56978433840285</v>
      </c>
      <c r="E787" s="77">
        <v>172.56978433840285</v>
      </c>
      <c r="F787" s="77">
        <v>172.56978433840285</v>
      </c>
      <c r="G787" s="77">
        <v>172.56978433840285</v>
      </c>
      <c r="H787" s="77">
        <v>172.56978433840285</v>
      </c>
      <c r="I787" s="77">
        <v>172.56978433840285</v>
      </c>
    </row>
    <row r="788" spans="1:9">
      <c r="A788" s="13">
        <v>741</v>
      </c>
      <c r="B788" s="8">
        <v>2025.1589533085737</v>
      </c>
      <c r="C788" s="14">
        <v>1143.9959392670223</v>
      </c>
      <c r="D788" s="77">
        <v>190.66598987783706</v>
      </c>
      <c r="E788" s="77">
        <v>190.66598987783706</v>
      </c>
      <c r="F788" s="77">
        <v>190.66598987783706</v>
      </c>
      <c r="G788" s="77">
        <v>190.66598987783706</v>
      </c>
      <c r="H788" s="77">
        <v>190.66598987783706</v>
      </c>
      <c r="I788" s="77">
        <v>190.66598987783706</v>
      </c>
    </row>
    <row r="789" spans="1:9">
      <c r="A789" s="13">
        <v>742</v>
      </c>
      <c r="B789" s="8">
        <v>2023.2286144012692</v>
      </c>
      <c r="C789" s="14">
        <v>885.99923315618719</v>
      </c>
      <c r="D789" s="77">
        <v>147.66653885936452</v>
      </c>
      <c r="E789" s="77">
        <v>147.66653885936452</v>
      </c>
      <c r="F789" s="77">
        <v>147.66653885936452</v>
      </c>
      <c r="G789" s="77">
        <v>147.66653885936452</v>
      </c>
      <c r="H789" s="77">
        <v>147.66653885936452</v>
      </c>
      <c r="I789" s="77">
        <v>147.66653885936452</v>
      </c>
    </row>
    <row r="790" spans="1:9">
      <c r="A790" s="13">
        <v>743</v>
      </c>
      <c r="B790" s="8">
        <v>2023.1662257323087</v>
      </c>
      <c r="C790" s="14">
        <v>849.73870898925145</v>
      </c>
      <c r="D790" s="77">
        <v>141.62311816487525</v>
      </c>
      <c r="E790" s="77">
        <v>141.62311816487525</v>
      </c>
      <c r="F790" s="77">
        <v>141.62311816487525</v>
      </c>
      <c r="G790" s="77">
        <v>141.62311816487525</v>
      </c>
      <c r="H790" s="77">
        <v>141.62311816487525</v>
      </c>
      <c r="I790" s="77">
        <v>141.62311816487525</v>
      </c>
    </row>
    <row r="791" spans="1:9">
      <c r="A791" s="13">
        <v>744</v>
      </c>
      <c r="B791" s="8">
        <v>2022.8599268120945</v>
      </c>
      <c r="C791" s="14">
        <v>894.73850267592786</v>
      </c>
      <c r="D791" s="77">
        <v>149.12308377932132</v>
      </c>
      <c r="E791" s="77">
        <v>149.12308377932132</v>
      </c>
      <c r="F791" s="77">
        <v>149.12308377932132</v>
      </c>
      <c r="G791" s="77">
        <v>149.12308377932132</v>
      </c>
      <c r="H791" s="77">
        <v>149.12308377932132</v>
      </c>
      <c r="I791" s="77">
        <v>149.12308377932132</v>
      </c>
    </row>
    <row r="792" spans="1:9">
      <c r="A792" s="13">
        <v>745</v>
      </c>
      <c r="B792" s="8">
        <v>2023.166139735878</v>
      </c>
      <c r="C792" s="14">
        <v>939.51298603939699</v>
      </c>
      <c r="D792" s="77">
        <v>156.58549767323282</v>
      </c>
      <c r="E792" s="77">
        <v>156.58549767323282</v>
      </c>
      <c r="F792" s="77">
        <v>156.58549767323282</v>
      </c>
      <c r="G792" s="77">
        <v>156.58549767323282</v>
      </c>
      <c r="H792" s="77">
        <v>156.58549767323282</v>
      </c>
      <c r="I792" s="77">
        <v>156.58549767323282</v>
      </c>
    </row>
    <row r="793" spans="1:9">
      <c r="A793" s="13">
        <v>746</v>
      </c>
      <c r="B793" s="8">
        <v>2023.7515196567017</v>
      </c>
      <c r="C793" s="14">
        <v>940.30822244629553</v>
      </c>
      <c r="D793" s="77">
        <v>156.71803707438258</v>
      </c>
      <c r="E793" s="77">
        <v>156.71803707438258</v>
      </c>
      <c r="F793" s="77">
        <v>156.71803707438258</v>
      </c>
      <c r="G793" s="77">
        <v>156.71803707438258</v>
      </c>
      <c r="H793" s="77">
        <v>156.71803707438258</v>
      </c>
      <c r="I793" s="77">
        <v>156.71803707438258</v>
      </c>
    </row>
    <row r="794" spans="1:9">
      <c r="A794" s="13">
        <v>747</v>
      </c>
      <c r="B794" s="8">
        <v>2023.654257197657</v>
      </c>
      <c r="C794" s="14">
        <v>968.30568336969748</v>
      </c>
      <c r="D794" s="77">
        <v>161.38428056161624</v>
      </c>
      <c r="E794" s="77">
        <v>161.38428056161624</v>
      </c>
      <c r="F794" s="77">
        <v>161.38428056161624</v>
      </c>
      <c r="G794" s="77">
        <v>161.38428056161624</v>
      </c>
      <c r="H794" s="77">
        <v>161.38428056161624</v>
      </c>
      <c r="I794" s="77">
        <v>161.38428056161624</v>
      </c>
    </row>
    <row r="795" spans="1:9">
      <c r="A795" s="13">
        <v>748</v>
      </c>
      <c r="B795" s="8">
        <v>2022.8414876499305</v>
      </c>
      <c r="C795" s="14">
        <v>831.6498440871494</v>
      </c>
      <c r="D795" s="77">
        <v>138.60830734785824</v>
      </c>
      <c r="E795" s="77">
        <v>138.60830734785824</v>
      </c>
      <c r="F795" s="77">
        <v>138.60830734785824</v>
      </c>
      <c r="G795" s="77">
        <v>138.60830734785824</v>
      </c>
      <c r="H795" s="77">
        <v>138.60830734785824</v>
      </c>
      <c r="I795" s="77">
        <v>138.60830734785824</v>
      </c>
    </row>
    <row r="796" spans="1:9">
      <c r="A796" s="13">
        <v>749</v>
      </c>
      <c r="B796" s="8">
        <v>2022.8784515441982</v>
      </c>
      <c r="C796" s="14">
        <v>887.06878912953027</v>
      </c>
      <c r="D796" s="77">
        <v>147.84479818825506</v>
      </c>
      <c r="E796" s="77">
        <v>147.84479818825506</v>
      </c>
      <c r="F796" s="77">
        <v>147.84479818825506</v>
      </c>
      <c r="G796" s="77">
        <v>147.84479818825506</v>
      </c>
      <c r="H796" s="77">
        <v>147.84479818825506</v>
      </c>
      <c r="I796" s="77">
        <v>147.84479818825506</v>
      </c>
    </row>
    <row r="797" spans="1:9">
      <c r="A797" s="13">
        <v>750</v>
      </c>
      <c r="B797" s="8">
        <v>2023.303122551031</v>
      </c>
      <c r="C797" s="14">
        <v>1022.052588743644</v>
      </c>
      <c r="D797" s="77">
        <v>170.34209812394067</v>
      </c>
      <c r="E797" s="77">
        <v>170.34209812394067</v>
      </c>
      <c r="F797" s="77">
        <v>170.34209812394067</v>
      </c>
      <c r="G797" s="77">
        <v>170.34209812394067</v>
      </c>
      <c r="H797" s="77">
        <v>170.34209812394067</v>
      </c>
      <c r="I797" s="77">
        <v>170.34209812394067</v>
      </c>
    </row>
    <row r="798" spans="1:9">
      <c r="A798" s="13">
        <v>751</v>
      </c>
      <c r="B798" s="8">
        <v>2023.3672840141498</v>
      </c>
      <c r="C798" s="14">
        <v>958.95333155715491</v>
      </c>
      <c r="D798" s="77">
        <v>159.82555525952583</v>
      </c>
      <c r="E798" s="77">
        <v>159.82555525952583</v>
      </c>
      <c r="F798" s="77">
        <v>159.82555525952583</v>
      </c>
      <c r="G798" s="77">
        <v>159.82555525952583</v>
      </c>
      <c r="H798" s="77">
        <v>159.82555525952583</v>
      </c>
      <c r="I798" s="77">
        <v>159.82555525952583</v>
      </c>
    </row>
    <row r="799" spans="1:9">
      <c r="A799" s="13">
        <v>752</v>
      </c>
      <c r="B799" s="8">
        <v>2023.1694854592581</v>
      </c>
      <c r="C799" s="14">
        <v>839.7620988940298</v>
      </c>
      <c r="D799" s="77">
        <v>139.96034981567163</v>
      </c>
      <c r="E799" s="77">
        <v>139.96034981567163</v>
      </c>
      <c r="F799" s="77">
        <v>139.96034981567163</v>
      </c>
      <c r="G799" s="77">
        <v>139.96034981567163</v>
      </c>
      <c r="H799" s="77">
        <v>139.96034981567163</v>
      </c>
      <c r="I799" s="77">
        <v>139.96034981567163</v>
      </c>
    </row>
    <row r="800" spans="1:9">
      <c r="A800" s="13">
        <v>753</v>
      </c>
      <c r="B800" s="8">
        <v>2023.4952334509671</v>
      </c>
      <c r="C800" s="14">
        <v>932.88266981913648</v>
      </c>
      <c r="D800" s="77">
        <v>155.48044496985608</v>
      </c>
      <c r="E800" s="77">
        <v>155.48044496985608</v>
      </c>
      <c r="F800" s="77">
        <v>155.48044496985608</v>
      </c>
      <c r="G800" s="77">
        <v>155.48044496985608</v>
      </c>
      <c r="H800" s="77">
        <v>155.48044496985608</v>
      </c>
      <c r="I800" s="77">
        <v>155.48044496985608</v>
      </c>
    </row>
    <row r="801" spans="1:9">
      <c r="A801" s="13">
        <v>754</v>
      </c>
      <c r="B801" s="8">
        <v>2023.5763750884298</v>
      </c>
      <c r="C801" s="14">
        <v>925.670969230835</v>
      </c>
      <c r="D801" s="77">
        <v>154.27849487180583</v>
      </c>
      <c r="E801" s="77">
        <v>154.27849487180583</v>
      </c>
      <c r="F801" s="77">
        <v>154.27849487180583</v>
      </c>
      <c r="G801" s="77">
        <v>154.27849487180583</v>
      </c>
      <c r="H801" s="77">
        <v>154.27849487180583</v>
      </c>
      <c r="I801" s="77">
        <v>154.27849487180583</v>
      </c>
    </row>
    <row r="802" spans="1:9">
      <c r="A802" s="13">
        <v>755</v>
      </c>
      <c r="B802" s="8">
        <v>2022.7334660753165</v>
      </c>
      <c r="C802" s="14">
        <v>897.60145253947985</v>
      </c>
      <c r="D802" s="77">
        <v>149.60024208991331</v>
      </c>
      <c r="E802" s="77">
        <v>149.60024208991331</v>
      </c>
      <c r="F802" s="77">
        <v>149.60024208991331</v>
      </c>
      <c r="G802" s="77">
        <v>149.60024208991331</v>
      </c>
      <c r="H802" s="77">
        <v>149.60024208991331</v>
      </c>
      <c r="I802" s="77">
        <v>149.60024208991331</v>
      </c>
    </row>
    <row r="803" spans="1:9">
      <c r="A803" s="13">
        <v>756</v>
      </c>
      <c r="B803" s="8">
        <v>2024.9855930123856</v>
      </c>
      <c r="C803" s="14">
        <v>1113.1441926439625</v>
      </c>
      <c r="D803" s="77">
        <v>185.52403210732709</v>
      </c>
      <c r="E803" s="77">
        <v>185.52403210732709</v>
      </c>
      <c r="F803" s="77">
        <v>185.52403210732709</v>
      </c>
      <c r="G803" s="77">
        <v>185.52403210732709</v>
      </c>
      <c r="H803" s="77">
        <v>185.52403210732709</v>
      </c>
      <c r="I803" s="77">
        <v>185.52403210732709</v>
      </c>
    </row>
    <row r="804" spans="1:9">
      <c r="A804" s="13">
        <v>757</v>
      </c>
      <c r="B804" s="8">
        <v>2024.9066825201126</v>
      </c>
      <c r="C804" s="14">
        <v>1072.8013615545203</v>
      </c>
      <c r="D804" s="77">
        <v>178.80022692575338</v>
      </c>
      <c r="E804" s="77">
        <v>178.80022692575338</v>
      </c>
      <c r="F804" s="77">
        <v>178.80022692575338</v>
      </c>
      <c r="G804" s="77">
        <v>178.80022692575338</v>
      </c>
      <c r="H804" s="77">
        <v>178.80022692575338</v>
      </c>
      <c r="I804" s="77">
        <v>178.80022692575338</v>
      </c>
    </row>
    <row r="805" spans="1:9">
      <c r="A805" s="13">
        <v>758</v>
      </c>
      <c r="B805" s="8">
        <v>2024.3825290901843</v>
      </c>
      <c r="C805" s="14">
        <v>1027.2750160511118</v>
      </c>
      <c r="D805" s="77">
        <v>171.21250267518531</v>
      </c>
      <c r="E805" s="77">
        <v>171.21250267518531</v>
      </c>
      <c r="F805" s="77">
        <v>171.21250267518531</v>
      </c>
      <c r="G805" s="77">
        <v>171.21250267518531</v>
      </c>
      <c r="H805" s="77">
        <v>171.21250267518531</v>
      </c>
      <c r="I805" s="77">
        <v>171.21250267518531</v>
      </c>
    </row>
    <row r="806" spans="1:9">
      <c r="A806" s="13">
        <v>759</v>
      </c>
      <c r="B806" s="8">
        <v>2024.7772457140056</v>
      </c>
      <c r="C806" s="14">
        <v>1172.6752851667882</v>
      </c>
      <c r="D806" s="77">
        <v>195.44588086113137</v>
      </c>
      <c r="E806" s="77">
        <v>195.44588086113137</v>
      </c>
      <c r="F806" s="77">
        <v>195.44588086113137</v>
      </c>
      <c r="G806" s="77">
        <v>195.44588086113137</v>
      </c>
      <c r="H806" s="77">
        <v>195.44588086113137</v>
      </c>
      <c r="I806" s="77">
        <v>195.44588086113137</v>
      </c>
    </row>
    <row r="807" spans="1:9">
      <c r="A807" s="13">
        <v>760</v>
      </c>
      <c r="B807" s="8">
        <v>2023.1700712208628</v>
      </c>
      <c r="C807" s="14">
        <v>990.61992046479725</v>
      </c>
      <c r="D807" s="77">
        <v>165.10332007746621</v>
      </c>
      <c r="E807" s="77">
        <v>165.10332007746621</v>
      </c>
      <c r="F807" s="77">
        <v>165.10332007746621</v>
      </c>
      <c r="G807" s="77">
        <v>165.10332007746621</v>
      </c>
      <c r="H807" s="77">
        <v>165.10332007746621</v>
      </c>
      <c r="I807" s="77">
        <v>165.10332007746621</v>
      </c>
    </row>
    <row r="808" spans="1:9">
      <c r="A808" s="13">
        <v>761</v>
      </c>
      <c r="B808" s="8">
        <v>2023.4260708852971</v>
      </c>
      <c r="C808" s="14">
        <v>1017.7424014803772</v>
      </c>
      <c r="D808" s="77">
        <v>169.62373358006286</v>
      </c>
      <c r="E808" s="77">
        <v>169.62373358006286</v>
      </c>
      <c r="F808" s="77">
        <v>169.62373358006286</v>
      </c>
      <c r="G808" s="77">
        <v>169.62373358006286</v>
      </c>
      <c r="H808" s="77">
        <v>169.62373358006286</v>
      </c>
      <c r="I808" s="77">
        <v>169.62373358006286</v>
      </c>
    </row>
    <row r="809" spans="1:9">
      <c r="A809" s="13">
        <v>762</v>
      </c>
      <c r="B809" s="8">
        <v>2025.6045479246472</v>
      </c>
      <c r="C809" s="14">
        <v>1220.2127591999501</v>
      </c>
      <c r="D809" s="77">
        <v>203.3687931999917</v>
      </c>
      <c r="E809" s="77">
        <v>203.3687931999917</v>
      </c>
      <c r="F809" s="77">
        <v>203.3687931999917</v>
      </c>
      <c r="G809" s="77">
        <v>203.3687931999917</v>
      </c>
      <c r="H809" s="77">
        <v>203.3687931999917</v>
      </c>
      <c r="I809" s="77">
        <v>203.3687931999917</v>
      </c>
    </row>
    <row r="810" spans="1:9">
      <c r="A810" s="13">
        <v>763</v>
      </c>
      <c r="B810" s="8">
        <v>2023.6238340049665</v>
      </c>
      <c r="C810" s="14">
        <v>930.24869530568049</v>
      </c>
      <c r="D810" s="77">
        <v>155.0414492176134</v>
      </c>
      <c r="E810" s="77">
        <v>155.0414492176134</v>
      </c>
      <c r="F810" s="77">
        <v>155.0414492176134</v>
      </c>
      <c r="G810" s="77">
        <v>155.0414492176134</v>
      </c>
      <c r="H810" s="77">
        <v>155.0414492176134</v>
      </c>
      <c r="I810" s="77">
        <v>155.0414492176134</v>
      </c>
    </row>
    <row r="811" spans="1:9">
      <c r="A811" s="13">
        <v>764</v>
      </c>
      <c r="B811" s="8">
        <v>2022.9292732806064</v>
      </c>
      <c r="C811" s="14">
        <v>885.13013818156685</v>
      </c>
      <c r="D811" s="77">
        <v>147.52168969692781</v>
      </c>
      <c r="E811" s="77">
        <v>147.52168969692781</v>
      </c>
      <c r="F811" s="77">
        <v>147.52168969692781</v>
      </c>
      <c r="G811" s="77">
        <v>147.52168969692781</v>
      </c>
      <c r="H811" s="77">
        <v>147.52168969692781</v>
      </c>
      <c r="I811" s="77">
        <v>147.52168969692781</v>
      </c>
    </row>
    <row r="812" spans="1:9">
      <c r="A812" s="13">
        <v>765</v>
      </c>
      <c r="B812" s="8">
        <v>2024.5689799768102</v>
      </c>
      <c r="C812" s="14">
        <v>995.03817321494978</v>
      </c>
      <c r="D812" s="77">
        <v>165.83969553582497</v>
      </c>
      <c r="E812" s="77">
        <v>165.83969553582497</v>
      </c>
      <c r="F812" s="77">
        <v>165.83969553582497</v>
      </c>
      <c r="G812" s="77">
        <v>165.83969553582497</v>
      </c>
      <c r="H812" s="77">
        <v>165.83969553582497</v>
      </c>
      <c r="I812" s="77">
        <v>165.83969553582497</v>
      </c>
    </row>
    <row r="813" spans="1:9">
      <c r="A813" s="13">
        <v>766</v>
      </c>
      <c r="B813" s="8">
        <v>2025.7121962607157</v>
      </c>
      <c r="C813" s="14">
        <v>1246.681689170354</v>
      </c>
      <c r="D813" s="77">
        <v>207.78028152839235</v>
      </c>
      <c r="E813" s="77">
        <v>207.78028152839235</v>
      </c>
      <c r="F813" s="77">
        <v>207.78028152839235</v>
      </c>
      <c r="G813" s="77">
        <v>207.78028152839235</v>
      </c>
      <c r="H813" s="77">
        <v>207.78028152839235</v>
      </c>
      <c r="I813" s="77">
        <v>207.78028152839235</v>
      </c>
    </row>
    <row r="814" spans="1:9">
      <c r="A814" s="13">
        <v>767</v>
      </c>
      <c r="B814" s="8">
        <v>2024.9748987425703</v>
      </c>
      <c r="C814" s="14">
        <v>1161.1451619202003</v>
      </c>
      <c r="D814" s="77">
        <v>193.52419365336672</v>
      </c>
      <c r="E814" s="77">
        <v>193.52419365336672</v>
      </c>
      <c r="F814" s="77">
        <v>193.52419365336672</v>
      </c>
      <c r="G814" s="77">
        <v>193.52419365336672</v>
      </c>
      <c r="H814" s="77">
        <v>193.52419365336672</v>
      </c>
      <c r="I814" s="77">
        <v>193.52419365336672</v>
      </c>
    </row>
    <row r="815" spans="1:9">
      <c r="A815" s="13">
        <v>768</v>
      </c>
      <c r="B815" s="8">
        <v>2022.8664407678127</v>
      </c>
      <c r="C815" s="14">
        <v>934.49586206807044</v>
      </c>
      <c r="D815" s="77">
        <v>155.74931034467841</v>
      </c>
      <c r="E815" s="77">
        <v>155.74931034467841</v>
      </c>
      <c r="F815" s="77">
        <v>155.74931034467841</v>
      </c>
      <c r="G815" s="77">
        <v>155.74931034467841</v>
      </c>
      <c r="H815" s="77">
        <v>155.74931034467841</v>
      </c>
      <c r="I815" s="77">
        <v>155.74931034467841</v>
      </c>
    </row>
    <row r="816" spans="1:9">
      <c r="A816" s="13">
        <v>769</v>
      </c>
      <c r="B816" s="8">
        <v>2022.8963183533174</v>
      </c>
      <c r="C816" s="14">
        <v>946.89364317726699</v>
      </c>
      <c r="D816" s="77">
        <v>157.81560719621118</v>
      </c>
      <c r="E816" s="77">
        <v>157.81560719621118</v>
      </c>
      <c r="F816" s="77">
        <v>157.81560719621118</v>
      </c>
      <c r="G816" s="77">
        <v>157.81560719621118</v>
      </c>
      <c r="H816" s="77">
        <v>157.81560719621118</v>
      </c>
      <c r="I816" s="77">
        <v>157.81560719621118</v>
      </c>
    </row>
    <row r="817" spans="1:9">
      <c r="A817" s="13">
        <v>770</v>
      </c>
      <c r="B817" s="8">
        <v>2022.9837221438379</v>
      </c>
      <c r="C817" s="14">
        <v>846.0821023275978</v>
      </c>
      <c r="D817" s="77">
        <v>141.01368372126629</v>
      </c>
      <c r="E817" s="77">
        <v>141.01368372126629</v>
      </c>
      <c r="F817" s="77">
        <v>141.01368372126629</v>
      </c>
      <c r="G817" s="77">
        <v>141.01368372126629</v>
      </c>
      <c r="H817" s="77">
        <v>141.01368372126629</v>
      </c>
      <c r="I817" s="77">
        <v>141.01368372126629</v>
      </c>
    </row>
    <row r="818" spans="1:9">
      <c r="A818" s="13">
        <v>771</v>
      </c>
      <c r="B818" s="8">
        <v>2023.0802186720689</v>
      </c>
      <c r="C818" s="14">
        <v>900.20900241803088</v>
      </c>
      <c r="D818" s="77">
        <v>150.03483373633847</v>
      </c>
      <c r="E818" s="77">
        <v>150.03483373633847</v>
      </c>
      <c r="F818" s="77">
        <v>150.03483373633847</v>
      </c>
      <c r="G818" s="77">
        <v>150.03483373633847</v>
      </c>
      <c r="H818" s="77">
        <v>150.03483373633847</v>
      </c>
      <c r="I818" s="77">
        <v>150.03483373633847</v>
      </c>
    </row>
    <row r="819" spans="1:9">
      <c r="A819" s="13">
        <v>772</v>
      </c>
      <c r="B819" s="8">
        <v>2024.9720309293</v>
      </c>
      <c r="C819" s="14">
        <v>1169.95282236719</v>
      </c>
      <c r="D819" s="77">
        <v>194.99213706119835</v>
      </c>
      <c r="E819" s="77">
        <v>194.99213706119835</v>
      </c>
      <c r="F819" s="77">
        <v>194.99213706119835</v>
      </c>
      <c r="G819" s="77">
        <v>194.99213706119835</v>
      </c>
      <c r="H819" s="77">
        <v>194.99213706119835</v>
      </c>
      <c r="I819" s="77">
        <v>194.99213706119835</v>
      </c>
    </row>
    <row r="820" spans="1:9">
      <c r="A820" s="13">
        <v>773</v>
      </c>
      <c r="B820" s="8">
        <v>2024.8232331576744</v>
      </c>
      <c r="C820" s="14">
        <v>1115.145027469606</v>
      </c>
      <c r="D820" s="77">
        <v>185.85750457826768</v>
      </c>
      <c r="E820" s="77">
        <v>185.85750457826768</v>
      </c>
      <c r="F820" s="77">
        <v>185.85750457826768</v>
      </c>
      <c r="G820" s="77">
        <v>185.85750457826768</v>
      </c>
      <c r="H820" s="77">
        <v>185.85750457826768</v>
      </c>
      <c r="I820" s="77">
        <v>185.85750457826768</v>
      </c>
    </row>
    <row r="821" spans="1:9">
      <c r="A821" s="13">
        <v>774</v>
      </c>
      <c r="B821" s="8">
        <v>2023.2166674769132</v>
      </c>
      <c r="C821" s="14">
        <v>964.37461674937788</v>
      </c>
      <c r="D821" s="77">
        <v>160.72910279156298</v>
      </c>
      <c r="E821" s="77">
        <v>160.72910279156298</v>
      </c>
      <c r="F821" s="77">
        <v>160.72910279156298</v>
      </c>
      <c r="G821" s="77">
        <v>160.72910279156298</v>
      </c>
      <c r="H821" s="77">
        <v>160.72910279156298</v>
      </c>
      <c r="I821" s="77">
        <v>160.72910279156298</v>
      </c>
    </row>
    <row r="822" spans="1:9">
      <c r="A822" s="13">
        <v>775</v>
      </c>
      <c r="B822" s="8">
        <v>2024.4692013345675</v>
      </c>
      <c r="C822" s="14">
        <v>1106.0068825274836</v>
      </c>
      <c r="D822" s="77">
        <v>184.33448042124726</v>
      </c>
      <c r="E822" s="77">
        <v>184.33448042124726</v>
      </c>
      <c r="F822" s="77">
        <v>184.33448042124726</v>
      </c>
      <c r="G822" s="77">
        <v>184.33448042124726</v>
      </c>
      <c r="H822" s="77">
        <v>184.33448042124726</v>
      </c>
      <c r="I822" s="77">
        <v>184.33448042124726</v>
      </c>
    </row>
    <row r="823" spans="1:9">
      <c r="A823" s="13">
        <v>776</v>
      </c>
      <c r="B823" s="8">
        <v>2024.7642080861667</v>
      </c>
      <c r="C823" s="14">
        <v>1122.28260676584</v>
      </c>
      <c r="D823" s="77">
        <v>187.04710112763999</v>
      </c>
      <c r="E823" s="77">
        <v>187.04710112763999</v>
      </c>
      <c r="F823" s="77">
        <v>187.04710112763999</v>
      </c>
      <c r="G823" s="77">
        <v>187.04710112763999</v>
      </c>
      <c r="H823" s="77">
        <v>187.04710112763999</v>
      </c>
      <c r="I823" s="77">
        <v>187.04710112763999</v>
      </c>
    </row>
    <row r="824" spans="1:9">
      <c r="A824" s="13">
        <v>777</v>
      </c>
      <c r="B824" s="8">
        <v>2023.5869965980683</v>
      </c>
      <c r="C824" s="14">
        <v>919.69648400356994</v>
      </c>
      <c r="D824" s="77">
        <v>153.28274733392831</v>
      </c>
      <c r="E824" s="77">
        <v>153.28274733392831</v>
      </c>
      <c r="F824" s="77">
        <v>153.28274733392831</v>
      </c>
      <c r="G824" s="77">
        <v>153.28274733392831</v>
      </c>
      <c r="H824" s="77">
        <v>153.28274733392831</v>
      </c>
      <c r="I824" s="77">
        <v>153.28274733392831</v>
      </c>
    </row>
    <row r="825" spans="1:9">
      <c r="A825" s="13">
        <v>778</v>
      </c>
      <c r="B825" s="8">
        <v>2023.4730551880136</v>
      </c>
      <c r="C825" s="14">
        <v>916.01720426354836</v>
      </c>
      <c r="D825" s="77">
        <v>152.66953404392473</v>
      </c>
      <c r="E825" s="77">
        <v>152.66953404392473</v>
      </c>
      <c r="F825" s="77">
        <v>152.66953404392473</v>
      </c>
      <c r="G825" s="77">
        <v>152.66953404392473</v>
      </c>
      <c r="H825" s="77">
        <v>152.66953404392473</v>
      </c>
      <c r="I825" s="77">
        <v>152.66953404392473</v>
      </c>
    </row>
    <row r="826" spans="1:9">
      <c r="A826" s="13">
        <v>779</v>
      </c>
      <c r="B826" s="8">
        <v>2023.0591760356886</v>
      </c>
      <c r="C826" s="14">
        <v>907.09186219764968</v>
      </c>
      <c r="D826" s="77">
        <v>151.1819770329416</v>
      </c>
      <c r="E826" s="77">
        <v>151.1819770329416</v>
      </c>
      <c r="F826" s="77">
        <v>151.1819770329416</v>
      </c>
      <c r="G826" s="77">
        <v>151.1819770329416</v>
      </c>
      <c r="H826" s="77">
        <v>151.1819770329416</v>
      </c>
      <c r="I826" s="77">
        <v>151.1819770329416</v>
      </c>
    </row>
    <row r="827" spans="1:9">
      <c r="A827" s="13">
        <v>780</v>
      </c>
      <c r="B827" s="8">
        <v>2022.4965540185356</v>
      </c>
      <c r="C827" s="14">
        <v>799.35872836289593</v>
      </c>
      <c r="D827" s="77">
        <v>133.22645472714933</v>
      </c>
      <c r="E827" s="77">
        <v>133.22645472714933</v>
      </c>
      <c r="F827" s="77">
        <v>133.22645472714933</v>
      </c>
      <c r="G827" s="77">
        <v>133.22645472714933</v>
      </c>
      <c r="H827" s="77">
        <v>133.22645472714933</v>
      </c>
      <c r="I827" s="77">
        <v>133.22645472714933</v>
      </c>
    </row>
    <row r="828" spans="1:9">
      <c r="A828" s="13">
        <v>781</v>
      </c>
      <c r="B828" s="8">
        <v>2023.1923590103791</v>
      </c>
      <c r="C828" s="14">
        <v>942.95548192940771</v>
      </c>
      <c r="D828" s="77">
        <v>157.15924698823463</v>
      </c>
      <c r="E828" s="77">
        <v>157.15924698823463</v>
      </c>
      <c r="F828" s="77">
        <v>157.15924698823463</v>
      </c>
      <c r="G828" s="77">
        <v>157.15924698823463</v>
      </c>
      <c r="H828" s="77">
        <v>157.15924698823463</v>
      </c>
      <c r="I828" s="77">
        <v>157.15924698823463</v>
      </c>
    </row>
    <row r="829" spans="1:9">
      <c r="A829" s="13">
        <v>782</v>
      </c>
      <c r="B829" s="8">
        <v>2022.9670296156507</v>
      </c>
      <c r="C829" s="14">
        <v>871.13859395351062</v>
      </c>
      <c r="D829" s="77">
        <v>145.18976565891845</v>
      </c>
      <c r="E829" s="77">
        <v>145.18976565891845</v>
      </c>
      <c r="F829" s="77">
        <v>145.18976565891845</v>
      </c>
      <c r="G829" s="77">
        <v>145.18976565891845</v>
      </c>
      <c r="H829" s="77">
        <v>145.18976565891845</v>
      </c>
      <c r="I829" s="77">
        <v>145.18976565891845</v>
      </c>
    </row>
    <row r="830" spans="1:9">
      <c r="A830" s="13">
        <v>783</v>
      </c>
      <c r="B830" s="8">
        <v>2023.1199191126959</v>
      </c>
      <c r="C830" s="14">
        <v>988.87198901904071</v>
      </c>
      <c r="D830" s="77">
        <v>164.81199816984011</v>
      </c>
      <c r="E830" s="77">
        <v>164.81199816984011</v>
      </c>
      <c r="F830" s="77">
        <v>164.81199816984011</v>
      </c>
      <c r="G830" s="77">
        <v>164.81199816984011</v>
      </c>
      <c r="H830" s="77">
        <v>164.81199816984011</v>
      </c>
      <c r="I830" s="77">
        <v>164.81199816984011</v>
      </c>
    </row>
    <row r="831" spans="1:9">
      <c r="A831" s="13">
        <v>784</v>
      </c>
      <c r="B831" s="8">
        <v>2025.2481862957482</v>
      </c>
      <c r="C831" s="14">
        <v>1147.9846668911823</v>
      </c>
      <c r="D831" s="77">
        <v>191.33077781519705</v>
      </c>
      <c r="E831" s="77">
        <v>191.33077781519705</v>
      </c>
      <c r="F831" s="77">
        <v>191.33077781519705</v>
      </c>
      <c r="G831" s="77">
        <v>191.33077781519705</v>
      </c>
      <c r="H831" s="77">
        <v>191.33077781519705</v>
      </c>
      <c r="I831" s="77">
        <v>191.33077781519705</v>
      </c>
    </row>
    <row r="832" spans="1:9">
      <c r="A832" s="13">
        <v>785</v>
      </c>
      <c r="B832" s="8">
        <v>2025.5693979647433</v>
      </c>
      <c r="C832" s="14">
        <v>1113.2019878611525</v>
      </c>
      <c r="D832" s="77">
        <v>185.53366464352541</v>
      </c>
      <c r="E832" s="77">
        <v>185.53366464352541</v>
      </c>
      <c r="F832" s="77">
        <v>185.53366464352541</v>
      </c>
      <c r="G832" s="77">
        <v>185.53366464352541</v>
      </c>
      <c r="H832" s="77">
        <v>185.53366464352541</v>
      </c>
      <c r="I832" s="77">
        <v>185.53366464352541</v>
      </c>
    </row>
    <row r="833" spans="1:9">
      <c r="A833" s="13">
        <v>786</v>
      </c>
      <c r="B833" s="8">
        <v>2022.7992460795051</v>
      </c>
      <c r="C833" s="14">
        <v>847.35668616251985</v>
      </c>
      <c r="D833" s="77">
        <v>141.22611436041998</v>
      </c>
      <c r="E833" s="77">
        <v>141.22611436041998</v>
      </c>
      <c r="F833" s="77">
        <v>141.22611436041998</v>
      </c>
      <c r="G833" s="77">
        <v>141.22611436041998</v>
      </c>
      <c r="H833" s="77">
        <v>141.22611436041998</v>
      </c>
      <c r="I833" s="77">
        <v>141.22611436041998</v>
      </c>
    </row>
    <row r="834" spans="1:9">
      <c r="A834" s="13">
        <v>787</v>
      </c>
      <c r="B834" s="8">
        <v>2023.3797420125725</v>
      </c>
      <c r="C834" s="14">
        <v>971.21838950203278</v>
      </c>
      <c r="D834" s="77">
        <v>161.86973158367212</v>
      </c>
      <c r="E834" s="77">
        <v>161.86973158367212</v>
      </c>
      <c r="F834" s="77">
        <v>161.86973158367212</v>
      </c>
      <c r="G834" s="77">
        <v>161.86973158367212</v>
      </c>
      <c r="H834" s="77">
        <v>161.86973158367212</v>
      </c>
      <c r="I834" s="77">
        <v>161.86973158367212</v>
      </c>
    </row>
    <row r="835" spans="1:9">
      <c r="A835" s="13">
        <v>788</v>
      </c>
      <c r="B835" s="8">
        <v>2025.448030119818</v>
      </c>
      <c r="C835" s="14">
        <v>1164.8605188704873</v>
      </c>
      <c r="D835" s="77">
        <v>194.14341981174789</v>
      </c>
      <c r="E835" s="77">
        <v>194.14341981174789</v>
      </c>
      <c r="F835" s="77">
        <v>194.14341981174789</v>
      </c>
      <c r="G835" s="77">
        <v>194.14341981174789</v>
      </c>
      <c r="H835" s="77">
        <v>194.14341981174789</v>
      </c>
      <c r="I835" s="77">
        <v>194.14341981174789</v>
      </c>
    </row>
    <row r="836" spans="1:9">
      <c r="A836" s="13">
        <v>789</v>
      </c>
      <c r="B836" s="8">
        <v>2023.0860714882538</v>
      </c>
      <c r="C836" s="14">
        <v>963.67883951952319</v>
      </c>
      <c r="D836" s="77">
        <v>160.61313991992054</v>
      </c>
      <c r="E836" s="77">
        <v>160.61313991992054</v>
      </c>
      <c r="F836" s="77">
        <v>160.61313991992054</v>
      </c>
      <c r="G836" s="77">
        <v>160.61313991992054</v>
      </c>
      <c r="H836" s="77">
        <v>160.61313991992054</v>
      </c>
      <c r="I836" s="77">
        <v>160.61313991992054</v>
      </c>
    </row>
    <row r="837" spans="1:9">
      <c r="A837" s="13">
        <v>790</v>
      </c>
      <c r="B837" s="8">
        <v>2025.3242086293308</v>
      </c>
      <c r="C837" s="14">
        <v>1180.5014659122767</v>
      </c>
      <c r="D837" s="77">
        <v>196.75024431871279</v>
      </c>
      <c r="E837" s="77">
        <v>196.75024431871279</v>
      </c>
      <c r="F837" s="77">
        <v>196.75024431871279</v>
      </c>
      <c r="G837" s="77">
        <v>196.75024431871279</v>
      </c>
      <c r="H837" s="77">
        <v>196.75024431871279</v>
      </c>
      <c r="I837" s="77">
        <v>196.75024431871279</v>
      </c>
    </row>
    <row r="838" spans="1:9">
      <c r="A838" s="13">
        <v>791</v>
      </c>
      <c r="B838" s="8">
        <v>2024.4353868352878</v>
      </c>
      <c r="C838" s="14">
        <v>1061.7606776159621</v>
      </c>
      <c r="D838" s="77">
        <v>176.96011293599369</v>
      </c>
      <c r="E838" s="77">
        <v>176.96011293599369</v>
      </c>
      <c r="F838" s="77">
        <v>176.96011293599369</v>
      </c>
      <c r="G838" s="77">
        <v>176.96011293599369</v>
      </c>
      <c r="H838" s="77">
        <v>176.96011293599369</v>
      </c>
      <c r="I838" s="77">
        <v>176.96011293599369</v>
      </c>
    </row>
    <row r="839" spans="1:9">
      <c r="A839" s="13">
        <v>792</v>
      </c>
      <c r="B839" s="8">
        <v>2022.8027187878486</v>
      </c>
      <c r="C839" s="14">
        <v>908.91389900794775</v>
      </c>
      <c r="D839" s="77">
        <v>151.48564983465795</v>
      </c>
      <c r="E839" s="77">
        <v>151.48564983465795</v>
      </c>
      <c r="F839" s="77">
        <v>151.48564983465795</v>
      </c>
      <c r="G839" s="77">
        <v>151.48564983465795</v>
      </c>
      <c r="H839" s="77">
        <v>151.48564983465795</v>
      </c>
      <c r="I839" s="77">
        <v>151.48564983465795</v>
      </c>
    </row>
    <row r="840" spans="1:9">
      <c r="A840" s="13">
        <v>793</v>
      </c>
      <c r="B840" s="8">
        <v>2025.1537767863622</v>
      </c>
      <c r="C840" s="14">
        <v>1164.5681896499425</v>
      </c>
      <c r="D840" s="77">
        <v>194.09469827499041</v>
      </c>
      <c r="E840" s="77">
        <v>194.09469827499041</v>
      </c>
      <c r="F840" s="77">
        <v>194.09469827499041</v>
      </c>
      <c r="G840" s="77">
        <v>194.09469827499041</v>
      </c>
      <c r="H840" s="77">
        <v>194.09469827499041</v>
      </c>
      <c r="I840" s="77">
        <v>194.09469827499041</v>
      </c>
    </row>
    <row r="841" spans="1:9">
      <c r="A841" s="13">
        <v>794</v>
      </c>
      <c r="B841" s="8">
        <v>2024.6098587159902</v>
      </c>
      <c r="C841" s="14">
        <v>1030.2857245199314</v>
      </c>
      <c r="D841" s="77">
        <v>171.71428741998855</v>
      </c>
      <c r="E841" s="77">
        <v>171.71428741998855</v>
      </c>
      <c r="F841" s="77">
        <v>171.71428741998855</v>
      </c>
      <c r="G841" s="77">
        <v>171.71428741998855</v>
      </c>
      <c r="H841" s="77">
        <v>171.71428741998855</v>
      </c>
      <c r="I841" s="77">
        <v>171.71428741998855</v>
      </c>
    </row>
    <row r="842" spans="1:9">
      <c r="A842" s="13">
        <v>795</v>
      </c>
      <c r="B842" s="8">
        <v>2023.3546375042743</v>
      </c>
      <c r="C842" s="14">
        <v>949.29283827265067</v>
      </c>
      <c r="D842" s="77">
        <v>158.21547304544177</v>
      </c>
      <c r="E842" s="77">
        <v>158.21547304544177</v>
      </c>
      <c r="F842" s="77">
        <v>158.21547304544177</v>
      </c>
      <c r="G842" s="77">
        <v>158.21547304544177</v>
      </c>
      <c r="H842" s="77">
        <v>158.21547304544177</v>
      </c>
      <c r="I842" s="77">
        <v>158.21547304544177</v>
      </c>
    </row>
    <row r="843" spans="1:9">
      <c r="A843" s="13">
        <v>796</v>
      </c>
      <c r="B843" s="8">
        <v>2023.2745765110508</v>
      </c>
      <c r="C843" s="14">
        <v>942.58340887603765</v>
      </c>
      <c r="D843" s="77">
        <v>157.09723481267295</v>
      </c>
      <c r="E843" s="77">
        <v>157.09723481267295</v>
      </c>
      <c r="F843" s="77">
        <v>157.09723481267295</v>
      </c>
      <c r="G843" s="77">
        <v>157.09723481267295</v>
      </c>
      <c r="H843" s="77">
        <v>157.09723481267295</v>
      </c>
      <c r="I843" s="77">
        <v>157.09723481267295</v>
      </c>
    </row>
    <row r="844" spans="1:9">
      <c r="A844" s="13">
        <v>797</v>
      </c>
      <c r="B844" s="8">
        <v>2023.3972523274892</v>
      </c>
      <c r="C844" s="14">
        <v>976.34239333659821</v>
      </c>
      <c r="D844" s="77">
        <v>162.72373222276636</v>
      </c>
      <c r="E844" s="77">
        <v>162.72373222276636</v>
      </c>
      <c r="F844" s="77">
        <v>162.72373222276636</v>
      </c>
      <c r="G844" s="77">
        <v>162.72373222276636</v>
      </c>
      <c r="H844" s="77">
        <v>162.72373222276636</v>
      </c>
      <c r="I844" s="77">
        <v>162.72373222276636</v>
      </c>
    </row>
    <row r="845" spans="1:9">
      <c r="A845" s="13">
        <v>798</v>
      </c>
      <c r="B845" s="8">
        <v>2023.4079227744887</v>
      </c>
      <c r="C845" s="14">
        <v>883.02179473629496</v>
      </c>
      <c r="D845" s="77">
        <v>147.17029912271582</v>
      </c>
      <c r="E845" s="77">
        <v>147.17029912271582</v>
      </c>
      <c r="F845" s="77">
        <v>147.17029912271582</v>
      </c>
      <c r="G845" s="77">
        <v>147.17029912271582</v>
      </c>
      <c r="H845" s="77">
        <v>147.17029912271582</v>
      </c>
      <c r="I845" s="77">
        <v>147.17029912271582</v>
      </c>
    </row>
    <row r="846" spans="1:9">
      <c r="A846" s="13">
        <v>799</v>
      </c>
      <c r="B846" s="8">
        <v>2023.4677486132794</v>
      </c>
      <c r="C846" s="14">
        <v>952.10121957840715</v>
      </c>
      <c r="D846" s="77">
        <v>158.68353659640118</v>
      </c>
      <c r="E846" s="77">
        <v>158.68353659640118</v>
      </c>
      <c r="F846" s="77">
        <v>158.68353659640118</v>
      </c>
      <c r="G846" s="77">
        <v>158.68353659640118</v>
      </c>
      <c r="H846" s="77">
        <v>158.68353659640118</v>
      </c>
      <c r="I846" s="77">
        <v>158.68353659640118</v>
      </c>
    </row>
    <row r="847" spans="1:9">
      <c r="A847" s="13">
        <v>800</v>
      </c>
      <c r="B847" s="8">
        <v>2023.6580858892064</v>
      </c>
      <c r="C847" s="14">
        <v>955.6135754278896</v>
      </c>
      <c r="D847" s="77">
        <v>159.26892923798161</v>
      </c>
      <c r="E847" s="77">
        <v>159.26892923798161</v>
      </c>
      <c r="F847" s="77">
        <v>159.26892923798161</v>
      </c>
      <c r="G847" s="77">
        <v>159.26892923798161</v>
      </c>
      <c r="H847" s="77">
        <v>159.26892923798161</v>
      </c>
      <c r="I847" s="77">
        <v>159.26892923798161</v>
      </c>
    </row>
    <row r="848" spans="1:9">
      <c r="A848" s="13">
        <v>801</v>
      </c>
      <c r="B848" s="8">
        <v>2023.507843529829</v>
      </c>
      <c r="C848" s="14">
        <v>933.87602995039651</v>
      </c>
      <c r="D848" s="77">
        <v>155.64600499173275</v>
      </c>
      <c r="E848" s="77">
        <v>155.64600499173275</v>
      </c>
      <c r="F848" s="77">
        <v>155.64600499173275</v>
      </c>
      <c r="G848" s="77">
        <v>155.64600499173275</v>
      </c>
      <c r="H848" s="77">
        <v>155.64600499173275</v>
      </c>
      <c r="I848" s="77">
        <v>155.64600499173275</v>
      </c>
    </row>
    <row r="849" spans="1:9">
      <c r="A849" s="13">
        <v>802</v>
      </c>
      <c r="B849" s="8">
        <v>2022.9787007080824</v>
      </c>
      <c r="C849" s="14">
        <v>896.46288938752855</v>
      </c>
      <c r="D849" s="77">
        <v>149.41048156458808</v>
      </c>
      <c r="E849" s="77">
        <v>149.41048156458808</v>
      </c>
      <c r="F849" s="77">
        <v>149.41048156458808</v>
      </c>
      <c r="G849" s="77">
        <v>149.41048156458808</v>
      </c>
      <c r="H849" s="77">
        <v>149.41048156458808</v>
      </c>
      <c r="I849" s="77">
        <v>149.41048156458808</v>
      </c>
    </row>
    <row r="850" spans="1:9">
      <c r="A850" s="13">
        <v>803</v>
      </c>
      <c r="B850" s="8">
        <v>2023.9502785374236</v>
      </c>
      <c r="C850" s="14">
        <v>960.68241839308587</v>
      </c>
      <c r="D850" s="77">
        <v>160.11373639884764</v>
      </c>
      <c r="E850" s="77">
        <v>160.11373639884764</v>
      </c>
      <c r="F850" s="77">
        <v>160.11373639884764</v>
      </c>
      <c r="G850" s="77">
        <v>160.11373639884764</v>
      </c>
      <c r="H850" s="77">
        <v>160.11373639884764</v>
      </c>
      <c r="I850" s="77">
        <v>160.11373639884764</v>
      </c>
    </row>
    <row r="851" spans="1:9">
      <c r="A851" s="13">
        <v>804</v>
      </c>
      <c r="B851" s="8">
        <v>2023.1282127114032</v>
      </c>
      <c r="C851" s="14">
        <v>871.48251780150065</v>
      </c>
      <c r="D851" s="77">
        <v>145.24708630025012</v>
      </c>
      <c r="E851" s="77">
        <v>145.24708630025012</v>
      </c>
      <c r="F851" s="77">
        <v>145.24708630025012</v>
      </c>
      <c r="G851" s="77">
        <v>145.24708630025012</v>
      </c>
      <c r="H851" s="77">
        <v>145.24708630025012</v>
      </c>
      <c r="I851" s="77">
        <v>145.24708630025012</v>
      </c>
    </row>
    <row r="852" spans="1:9">
      <c r="A852" s="13">
        <v>805</v>
      </c>
      <c r="B852" s="8">
        <v>2023.5142886828216</v>
      </c>
      <c r="C852" s="14">
        <v>960.17248663610462</v>
      </c>
      <c r="D852" s="77">
        <v>160.02874777268411</v>
      </c>
      <c r="E852" s="77">
        <v>160.02874777268411</v>
      </c>
      <c r="F852" s="77">
        <v>160.02874777268411</v>
      </c>
      <c r="G852" s="77">
        <v>160.02874777268411</v>
      </c>
      <c r="H852" s="77">
        <v>160.02874777268411</v>
      </c>
      <c r="I852" s="77">
        <v>160.02874777268411</v>
      </c>
    </row>
    <row r="853" spans="1:9">
      <c r="A853" s="13">
        <v>806</v>
      </c>
      <c r="B853" s="8">
        <v>2025.3826180133963</v>
      </c>
      <c r="C853" s="14">
        <v>1136.5361414635586</v>
      </c>
      <c r="D853" s="77">
        <v>189.42269024392644</v>
      </c>
      <c r="E853" s="77">
        <v>189.42269024392644</v>
      </c>
      <c r="F853" s="77">
        <v>189.42269024392644</v>
      </c>
      <c r="G853" s="77">
        <v>189.42269024392644</v>
      </c>
      <c r="H853" s="77">
        <v>189.42269024392644</v>
      </c>
      <c r="I853" s="77">
        <v>189.42269024392644</v>
      </c>
    </row>
    <row r="854" spans="1:9">
      <c r="A854" s="13">
        <v>807</v>
      </c>
      <c r="B854" s="8">
        <v>2023.3654288827674</v>
      </c>
      <c r="C854" s="14">
        <v>978.0670936411625</v>
      </c>
      <c r="D854" s="77">
        <v>163.01118227352708</v>
      </c>
      <c r="E854" s="77">
        <v>163.01118227352708</v>
      </c>
      <c r="F854" s="77">
        <v>163.01118227352708</v>
      </c>
      <c r="G854" s="77">
        <v>163.01118227352708</v>
      </c>
      <c r="H854" s="77">
        <v>163.01118227352708</v>
      </c>
      <c r="I854" s="77">
        <v>163.01118227352708</v>
      </c>
    </row>
    <row r="855" spans="1:9">
      <c r="A855" s="13">
        <v>808</v>
      </c>
      <c r="B855" s="8">
        <v>2023.1100430014676</v>
      </c>
      <c r="C855" s="14">
        <v>951.12969948362922</v>
      </c>
      <c r="D855" s="77">
        <v>158.52161658060487</v>
      </c>
      <c r="E855" s="77">
        <v>158.52161658060487</v>
      </c>
      <c r="F855" s="77">
        <v>158.52161658060487</v>
      </c>
      <c r="G855" s="77">
        <v>158.52161658060487</v>
      </c>
      <c r="H855" s="77">
        <v>158.52161658060487</v>
      </c>
      <c r="I855" s="77">
        <v>158.52161658060487</v>
      </c>
    </row>
    <row r="856" spans="1:9">
      <c r="A856" s="13">
        <v>809</v>
      </c>
      <c r="B856" s="8">
        <v>2024.3655864182499</v>
      </c>
      <c r="C856" s="14">
        <v>1051.7671874193029</v>
      </c>
      <c r="D856" s="77">
        <v>175.29453123655048</v>
      </c>
      <c r="E856" s="77">
        <v>175.29453123655048</v>
      </c>
      <c r="F856" s="77">
        <v>175.29453123655048</v>
      </c>
      <c r="G856" s="77">
        <v>175.29453123655048</v>
      </c>
      <c r="H856" s="77">
        <v>175.29453123655048</v>
      </c>
      <c r="I856" s="77">
        <v>175.29453123655048</v>
      </c>
    </row>
    <row r="857" spans="1:9">
      <c r="A857" s="13">
        <v>810</v>
      </c>
      <c r="B857" s="8">
        <v>2023.2443674429387</v>
      </c>
      <c r="C857" s="14">
        <v>955.84673802010377</v>
      </c>
      <c r="D857" s="77">
        <v>159.30778967001729</v>
      </c>
      <c r="E857" s="77">
        <v>159.30778967001729</v>
      </c>
      <c r="F857" s="77">
        <v>159.30778967001729</v>
      </c>
      <c r="G857" s="77">
        <v>159.30778967001729</v>
      </c>
      <c r="H857" s="77">
        <v>159.30778967001729</v>
      </c>
      <c r="I857" s="77">
        <v>159.30778967001729</v>
      </c>
    </row>
    <row r="858" spans="1:9">
      <c r="A858" s="13">
        <v>811</v>
      </c>
      <c r="B858" s="8">
        <v>2022.9874388725793</v>
      </c>
      <c r="C858" s="14">
        <v>935.60380502742305</v>
      </c>
      <c r="D858" s="77">
        <v>155.93396750457052</v>
      </c>
      <c r="E858" s="77">
        <v>155.93396750457052</v>
      </c>
      <c r="F858" s="77">
        <v>155.93396750457052</v>
      </c>
      <c r="G858" s="77">
        <v>155.93396750457052</v>
      </c>
      <c r="H858" s="77">
        <v>155.93396750457052</v>
      </c>
      <c r="I858" s="77">
        <v>155.93396750457052</v>
      </c>
    </row>
    <row r="859" spans="1:9">
      <c r="A859" s="13">
        <v>812</v>
      </c>
      <c r="B859" s="8">
        <v>2023.3338299754032</v>
      </c>
      <c r="C859" s="14">
        <v>929.42154936467273</v>
      </c>
      <c r="D859" s="77">
        <v>154.90359156077878</v>
      </c>
      <c r="E859" s="77">
        <v>154.90359156077878</v>
      </c>
      <c r="F859" s="77">
        <v>154.90359156077878</v>
      </c>
      <c r="G859" s="77">
        <v>154.90359156077878</v>
      </c>
      <c r="H859" s="77">
        <v>154.90359156077878</v>
      </c>
      <c r="I859" s="77">
        <v>154.90359156077878</v>
      </c>
    </row>
    <row r="860" spans="1:9">
      <c r="A860" s="13">
        <v>813</v>
      </c>
      <c r="B860" s="8">
        <v>2022.74434993718</v>
      </c>
      <c r="C860" s="14">
        <v>854.67116206236312</v>
      </c>
      <c r="D860" s="77">
        <v>142.44519367706053</v>
      </c>
      <c r="E860" s="77">
        <v>142.44519367706053</v>
      </c>
      <c r="F860" s="77">
        <v>142.44519367706053</v>
      </c>
      <c r="G860" s="77">
        <v>142.44519367706053</v>
      </c>
      <c r="H860" s="77">
        <v>142.44519367706053</v>
      </c>
      <c r="I860" s="77">
        <v>142.44519367706053</v>
      </c>
    </row>
    <row r="861" spans="1:9">
      <c r="A861" s="13">
        <v>814</v>
      </c>
      <c r="B861" s="8">
        <v>2023.2728432189306</v>
      </c>
      <c r="C861" s="14">
        <v>922.62136994166508</v>
      </c>
      <c r="D861" s="77">
        <v>153.77022832361084</v>
      </c>
      <c r="E861" s="77">
        <v>153.77022832361084</v>
      </c>
      <c r="F861" s="77">
        <v>153.77022832361084</v>
      </c>
      <c r="G861" s="77">
        <v>153.77022832361084</v>
      </c>
      <c r="H861" s="77">
        <v>153.77022832361084</v>
      </c>
      <c r="I861" s="77">
        <v>153.77022832361084</v>
      </c>
    </row>
    <row r="862" spans="1:9">
      <c r="A862" s="13">
        <v>815</v>
      </c>
      <c r="B862" s="8">
        <v>2022.8102208162159</v>
      </c>
      <c r="C862" s="14">
        <v>873.66059550761111</v>
      </c>
      <c r="D862" s="77">
        <v>145.61009925126851</v>
      </c>
      <c r="E862" s="77">
        <v>145.61009925126851</v>
      </c>
      <c r="F862" s="77">
        <v>145.61009925126851</v>
      </c>
      <c r="G862" s="77">
        <v>145.61009925126851</v>
      </c>
      <c r="H862" s="77">
        <v>145.61009925126851</v>
      </c>
      <c r="I862" s="77">
        <v>145.61009925126851</v>
      </c>
    </row>
    <row r="863" spans="1:9">
      <c r="A863" s="13">
        <v>816</v>
      </c>
      <c r="B863" s="8">
        <v>2025.7205952912898</v>
      </c>
      <c r="C863" s="14">
        <v>1263.9279207178654</v>
      </c>
      <c r="D863" s="77">
        <v>210.65465345297756</v>
      </c>
      <c r="E863" s="77">
        <v>210.65465345297756</v>
      </c>
      <c r="F863" s="77">
        <v>210.65465345297756</v>
      </c>
      <c r="G863" s="77">
        <v>210.65465345297756</v>
      </c>
      <c r="H863" s="77">
        <v>210.65465345297756</v>
      </c>
      <c r="I863" s="77">
        <v>210.65465345297756</v>
      </c>
    </row>
    <row r="864" spans="1:9">
      <c r="A864" s="13">
        <v>817</v>
      </c>
      <c r="B864" s="8">
        <v>2023.0276885565395</v>
      </c>
      <c r="C864" s="14">
        <v>892.9994697320866</v>
      </c>
      <c r="D864" s="77">
        <v>148.83324495534777</v>
      </c>
      <c r="E864" s="77">
        <v>148.83324495534777</v>
      </c>
      <c r="F864" s="77">
        <v>148.83324495534777</v>
      </c>
      <c r="G864" s="77">
        <v>148.83324495534777</v>
      </c>
      <c r="H864" s="77">
        <v>148.83324495534777</v>
      </c>
      <c r="I864" s="77">
        <v>148.83324495534777</v>
      </c>
    </row>
    <row r="865" spans="1:9">
      <c r="A865" s="13">
        <v>818</v>
      </c>
      <c r="B865" s="8">
        <v>2022.8260032261144</v>
      </c>
      <c r="C865" s="14">
        <v>794.58826491146567</v>
      </c>
      <c r="D865" s="77">
        <v>132.43137748524427</v>
      </c>
      <c r="E865" s="77">
        <v>132.43137748524427</v>
      </c>
      <c r="F865" s="77">
        <v>132.43137748524427</v>
      </c>
      <c r="G865" s="77">
        <v>132.43137748524427</v>
      </c>
      <c r="H865" s="77">
        <v>132.43137748524427</v>
      </c>
      <c r="I865" s="77">
        <v>132.43137748524427</v>
      </c>
    </row>
    <row r="866" spans="1:9">
      <c r="A866" s="13">
        <v>819</v>
      </c>
      <c r="B866" s="8">
        <v>2024.1932718693856</v>
      </c>
      <c r="C866" s="14">
        <v>1035.3285092671415</v>
      </c>
      <c r="D866" s="77">
        <v>172.55475154452358</v>
      </c>
      <c r="E866" s="77">
        <v>172.55475154452358</v>
      </c>
      <c r="F866" s="77">
        <v>172.55475154452358</v>
      </c>
      <c r="G866" s="77">
        <v>172.55475154452358</v>
      </c>
      <c r="H866" s="77">
        <v>172.55475154452358</v>
      </c>
      <c r="I866" s="77">
        <v>172.55475154452358</v>
      </c>
    </row>
    <row r="867" spans="1:9">
      <c r="A867" s="13">
        <v>820</v>
      </c>
      <c r="B867" s="8">
        <v>2023.426935469555</v>
      </c>
      <c r="C867" s="14">
        <v>956.24052367529566</v>
      </c>
      <c r="D867" s="77">
        <v>159.37342061254927</v>
      </c>
      <c r="E867" s="77">
        <v>159.37342061254927</v>
      </c>
      <c r="F867" s="77">
        <v>159.37342061254927</v>
      </c>
      <c r="G867" s="77">
        <v>159.37342061254927</v>
      </c>
      <c r="H867" s="77">
        <v>159.37342061254927</v>
      </c>
      <c r="I867" s="77">
        <v>159.37342061254927</v>
      </c>
    </row>
    <row r="868" spans="1:9">
      <c r="A868" s="13">
        <v>821</v>
      </c>
      <c r="B868" s="8">
        <v>2022.8641674290664</v>
      </c>
      <c r="C868" s="14">
        <v>813.87129073010567</v>
      </c>
      <c r="D868" s="77">
        <v>135.64521512168429</v>
      </c>
      <c r="E868" s="77">
        <v>135.64521512168429</v>
      </c>
      <c r="F868" s="77">
        <v>135.64521512168429</v>
      </c>
      <c r="G868" s="77">
        <v>135.64521512168429</v>
      </c>
      <c r="H868" s="77">
        <v>135.64521512168429</v>
      </c>
      <c r="I868" s="77">
        <v>135.64521512168429</v>
      </c>
    </row>
    <row r="869" spans="1:9">
      <c r="A869" s="13">
        <v>822</v>
      </c>
      <c r="B869" s="8">
        <v>2023.1195573612406</v>
      </c>
      <c r="C869" s="14">
        <v>884.7379397372066</v>
      </c>
      <c r="D869" s="77">
        <v>147.45632328953442</v>
      </c>
      <c r="E869" s="77">
        <v>147.45632328953442</v>
      </c>
      <c r="F869" s="77">
        <v>147.45632328953442</v>
      </c>
      <c r="G869" s="77">
        <v>147.45632328953442</v>
      </c>
      <c r="H869" s="77">
        <v>147.45632328953442</v>
      </c>
      <c r="I869" s="77">
        <v>147.45632328953442</v>
      </c>
    </row>
    <row r="870" spans="1:9">
      <c r="A870" s="13">
        <v>823</v>
      </c>
      <c r="B870" s="8">
        <v>2023.214950249823</v>
      </c>
      <c r="C870" s="14">
        <v>949.78441251730544</v>
      </c>
      <c r="D870" s="77">
        <v>158.29740208621757</v>
      </c>
      <c r="E870" s="77">
        <v>158.29740208621757</v>
      </c>
      <c r="F870" s="77">
        <v>158.29740208621757</v>
      </c>
      <c r="G870" s="77">
        <v>158.29740208621757</v>
      </c>
      <c r="H870" s="77">
        <v>158.29740208621757</v>
      </c>
      <c r="I870" s="77">
        <v>158.29740208621757</v>
      </c>
    </row>
    <row r="871" spans="1:9">
      <c r="A871" s="13">
        <v>824</v>
      </c>
      <c r="B871" s="8">
        <v>2023.268889287815</v>
      </c>
      <c r="C871" s="14">
        <v>888.11396539769771</v>
      </c>
      <c r="D871" s="77">
        <v>148.01899423294961</v>
      </c>
      <c r="E871" s="77">
        <v>148.01899423294961</v>
      </c>
      <c r="F871" s="77">
        <v>148.01899423294961</v>
      </c>
      <c r="G871" s="77">
        <v>148.01899423294961</v>
      </c>
      <c r="H871" s="77">
        <v>148.01899423294961</v>
      </c>
      <c r="I871" s="77">
        <v>148.01899423294961</v>
      </c>
    </row>
    <row r="872" spans="1:9">
      <c r="A872" s="13">
        <v>825</v>
      </c>
      <c r="B872" s="8">
        <v>2024.8113462446729</v>
      </c>
      <c r="C872" s="14">
        <v>1092.0693929452373</v>
      </c>
      <c r="D872" s="77">
        <v>182.01156549087287</v>
      </c>
      <c r="E872" s="77">
        <v>182.01156549087287</v>
      </c>
      <c r="F872" s="77">
        <v>182.01156549087287</v>
      </c>
      <c r="G872" s="77">
        <v>182.01156549087287</v>
      </c>
      <c r="H872" s="77">
        <v>182.01156549087287</v>
      </c>
      <c r="I872" s="77">
        <v>182.01156549087287</v>
      </c>
    </row>
    <row r="873" spans="1:9">
      <c r="A873" s="13">
        <v>826</v>
      </c>
      <c r="B873" s="8">
        <v>2023.1347654428007</v>
      </c>
      <c r="C873" s="14">
        <v>968.06972641092432</v>
      </c>
      <c r="D873" s="77">
        <v>161.34495440182073</v>
      </c>
      <c r="E873" s="77">
        <v>161.34495440182073</v>
      </c>
      <c r="F873" s="77">
        <v>161.34495440182073</v>
      </c>
      <c r="G873" s="77">
        <v>161.34495440182073</v>
      </c>
      <c r="H873" s="77">
        <v>161.34495440182073</v>
      </c>
      <c r="I873" s="77">
        <v>161.34495440182073</v>
      </c>
    </row>
    <row r="874" spans="1:9">
      <c r="A874" s="13">
        <v>827</v>
      </c>
      <c r="B874" s="8">
        <v>2023.8002526542657</v>
      </c>
      <c r="C874" s="14">
        <v>945.78582054997332</v>
      </c>
      <c r="D874" s="77">
        <v>157.63097009166222</v>
      </c>
      <c r="E874" s="77">
        <v>157.63097009166222</v>
      </c>
      <c r="F874" s="77">
        <v>157.63097009166222</v>
      </c>
      <c r="G874" s="77">
        <v>157.63097009166222</v>
      </c>
      <c r="H874" s="77">
        <v>157.63097009166222</v>
      </c>
      <c r="I874" s="77">
        <v>157.63097009166222</v>
      </c>
    </row>
    <row r="875" spans="1:9">
      <c r="A875" s="13">
        <v>828</v>
      </c>
      <c r="B875" s="8">
        <v>2022.9077334492001</v>
      </c>
      <c r="C875" s="14">
        <v>815.11789949568401</v>
      </c>
      <c r="D875" s="77">
        <v>135.85298324928067</v>
      </c>
      <c r="E875" s="77">
        <v>135.85298324928067</v>
      </c>
      <c r="F875" s="77">
        <v>135.85298324928067</v>
      </c>
      <c r="G875" s="77">
        <v>135.85298324928067</v>
      </c>
      <c r="H875" s="77">
        <v>135.85298324928067</v>
      </c>
      <c r="I875" s="77">
        <v>135.85298324928067</v>
      </c>
    </row>
    <row r="876" spans="1:9">
      <c r="A876" s="13">
        <v>829</v>
      </c>
      <c r="B876" s="8">
        <v>2023.107709043619</v>
      </c>
      <c r="C876" s="14">
        <v>855.16218307511417</v>
      </c>
      <c r="D876" s="77">
        <v>142.52703051251902</v>
      </c>
      <c r="E876" s="77">
        <v>142.52703051251902</v>
      </c>
      <c r="F876" s="77">
        <v>142.52703051251902</v>
      </c>
      <c r="G876" s="77">
        <v>142.52703051251902</v>
      </c>
      <c r="H876" s="77">
        <v>142.52703051251902</v>
      </c>
      <c r="I876" s="77">
        <v>142.52703051251902</v>
      </c>
    </row>
    <row r="877" spans="1:9">
      <c r="A877" s="13">
        <v>830</v>
      </c>
      <c r="B877" s="8">
        <v>2025.5565192387787</v>
      </c>
      <c r="C877" s="14">
        <v>1176.5540920696089</v>
      </c>
      <c r="D877" s="77">
        <v>196.09234867826817</v>
      </c>
      <c r="E877" s="77">
        <v>196.09234867826817</v>
      </c>
      <c r="F877" s="77">
        <v>196.09234867826817</v>
      </c>
      <c r="G877" s="77">
        <v>196.09234867826817</v>
      </c>
      <c r="H877" s="77">
        <v>196.09234867826817</v>
      </c>
      <c r="I877" s="77">
        <v>196.09234867826817</v>
      </c>
    </row>
    <row r="878" spans="1:9">
      <c r="A878" s="13">
        <v>831</v>
      </c>
      <c r="B878" s="8">
        <v>2024.6674773274933</v>
      </c>
      <c r="C878" s="14">
        <v>1037.7457745592565</v>
      </c>
      <c r="D878" s="77">
        <v>172.95762909320942</v>
      </c>
      <c r="E878" s="77">
        <v>172.95762909320942</v>
      </c>
      <c r="F878" s="77">
        <v>172.95762909320942</v>
      </c>
      <c r="G878" s="77">
        <v>172.95762909320942</v>
      </c>
      <c r="H878" s="77">
        <v>172.95762909320942</v>
      </c>
      <c r="I878" s="77">
        <v>172.95762909320942</v>
      </c>
    </row>
    <row r="879" spans="1:9">
      <c r="A879" s="13">
        <v>832</v>
      </c>
      <c r="B879" s="8">
        <v>2023.1795975050195</v>
      </c>
      <c r="C879" s="14">
        <v>960.77779212338783</v>
      </c>
      <c r="D879" s="77">
        <v>160.12963202056463</v>
      </c>
      <c r="E879" s="77">
        <v>160.12963202056463</v>
      </c>
      <c r="F879" s="77">
        <v>160.12963202056463</v>
      </c>
      <c r="G879" s="77">
        <v>160.12963202056463</v>
      </c>
      <c r="H879" s="77">
        <v>160.12963202056463</v>
      </c>
      <c r="I879" s="77">
        <v>160.12963202056463</v>
      </c>
    </row>
    <row r="880" spans="1:9">
      <c r="A880" s="13">
        <v>833</v>
      </c>
      <c r="B880" s="8">
        <v>2024.5840122948707</v>
      </c>
      <c r="C880" s="14">
        <v>1028.6810360022064</v>
      </c>
      <c r="D880" s="77">
        <v>171.44683933370106</v>
      </c>
      <c r="E880" s="77">
        <v>171.44683933370106</v>
      </c>
      <c r="F880" s="77">
        <v>171.44683933370106</v>
      </c>
      <c r="G880" s="77">
        <v>171.44683933370106</v>
      </c>
      <c r="H880" s="77">
        <v>171.44683933370106</v>
      </c>
      <c r="I880" s="77">
        <v>171.44683933370106</v>
      </c>
    </row>
    <row r="881" spans="1:9">
      <c r="A881" s="13">
        <v>834</v>
      </c>
      <c r="B881" s="8">
        <v>2023.1177181341286</v>
      </c>
      <c r="C881" s="14">
        <v>915.13600062052171</v>
      </c>
      <c r="D881" s="77">
        <v>152.52266677008694</v>
      </c>
      <c r="E881" s="77">
        <v>152.52266677008694</v>
      </c>
      <c r="F881" s="77">
        <v>152.52266677008694</v>
      </c>
      <c r="G881" s="77">
        <v>152.52266677008694</v>
      </c>
      <c r="H881" s="77">
        <v>152.52266677008694</v>
      </c>
      <c r="I881" s="77">
        <v>152.52266677008694</v>
      </c>
    </row>
    <row r="882" spans="1:9">
      <c r="A882" s="13">
        <v>835</v>
      </c>
      <c r="B882" s="8">
        <v>2022.9928465808957</v>
      </c>
      <c r="C882" s="14">
        <v>897.04778154819815</v>
      </c>
      <c r="D882" s="77">
        <v>149.50796359136635</v>
      </c>
      <c r="E882" s="77">
        <v>149.50796359136635</v>
      </c>
      <c r="F882" s="77">
        <v>149.50796359136635</v>
      </c>
      <c r="G882" s="77">
        <v>149.50796359136635</v>
      </c>
      <c r="H882" s="77">
        <v>149.50796359136635</v>
      </c>
      <c r="I882" s="77">
        <v>149.50796359136635</v>
      </c>
    </row>
    <row r="883" spans="1:9">
      <c r="A883" s="13">
        <v>836</v>
      </c>
      <c r="B883" s="8">
        <v>2023.2573779526504</v>
      </c>
      <c r="C883" s="14">
        <v>919.43031319907391</v>
      </c>
      <c r="D883" s="77">
        <v>153.23838553317898</v>
      </c>
      <c r="E883" s="77">
        <v>153.23838553317898</v>
      </c>
      <c r="F883" s="77">
        <v>153.23838553317898</v>
      </c>
      <c r="G883" s="77">
        <v>153.23838553317898</v>
      </c>
      <c r="H883" s="77">
        <v>153.23838553317898</v>
      </c>
      <c r="I883" s="77">
        <v>153.23838553317898</v>
      </c>
    </row>
    <row r="884" spans="1:9">
      <c r="A884" s="13">
        <v>837</v>
      </c>
      <c r="B884" s="8">
        <v>2023.6001090547907</v>
      </c>
      <c r="C884" s="14">
        <v>968.03111686669536</v>
      </c>
      <c r="D884" s="77">
        <v>161.33851947778257</v>
      </c>
      <c r="E884" s="77">
        <v>161.33851947778257</v>
      </c>
      <c r="F884" s="77">
        <v>161.33851947778257</v>
      </c>
      <c r="G884" s="77">
        <v>161.33851947778257</v>
      </c>
      <c r="H884" s="77">
        <v>161.33851947778257</v>
      </c>
      <c r="I884" s="77">
        <v>161.33851947778257</v>
      </c>
    </row>
    <row r="885" spans="1:9">
      <c r="A885" s="13">
        <v>838</v>
      </c>
      <c r="B885" s="8">
        <v>2023.561320362995</v>
      </c>
      <c r="C885" s="14">
        <v>981.84912924226649</v>
      </c>
      <c r="D885" s="77">
        <v>163.64152154037774</v>
      </c>
      <c r="E885" s="77">
        <v>163.64152154037774</v>
      </c>
      <c r="F885" s="77">
        <v>163.64152154037774</v>
      </c>
      <c r="G885" s="77">
        <v>163.64152154037774</v>
      </c>
      <c r="H885" s="77">
        <v>163.64152154037774</v>
      </c>
      <c r="I885" s="77">
        <v>163.64152154037774</v>
      </c>
    </row>
    <row r="886" spans="1:9">
      <c r="A886" s="13">
        <v>839</v>
      </c>
      <c r="B886" s="8">
        <v>2023.0071666817739</v>
      </c>
      <c r="C886" s="14">
        <v>824.01365622911453</v>
      </c>
      <c r="D886" s="77">
        <v>137.3356093715191</v>
      </c>
      <c r="E886" s="77">
        <v>137.3356093715191</v>
      </c>
      <c r="F886" s="77">
        <v>137.3356093715191</v>
      </c>
      <c r="G886" s="77">
        <v>137.3356093715191</v>
      </c>
      <c r="H886" s="77">
        <v>137.3356093715191</v>
      </c>
      <c r="I886" s="77">
        <v>137.3356093715191</v>
      </c>
    </row>
    <row r="887" spans="1:9">
      <c r="A887" s="13">
        <v>840</v>
      </c>
      <c r="B887" s="8">
        <v>2024.9466552807796</v>
      </c>
      <c r="C887" s="14">
        <v>1176.2953930378612</v>
      </c>
      <c r="D887" s="77">
        <v>196.04923217297687</v>
      </c>
      <c r="E887" s="77">
        <v>196.04923217297687</v>
      </c>
      <c r="F887" s="77">
        <v>196.04923217297687</v>
      </c>
      <c r="G887" s="77">
        <v>196.04923217297687</v>
      </c>
      <c r="H887" s="77">
        <v>196.04923217297687</v>
      </c>
      <c r="I887" s="77">
        <v>196.04923217297687</v>
      </c>
    </row>
    <row r="888" spans="1:9">
      <c r="A888" s="13">
        <v>841</v>
      </c>
      <c r="B888" s="8">
        <v>2022.9702721332335</v>
      </c>
      <c r="C888" s="14">
        <v>917.99721757988959</v>
      </c>
      <c r="D888" s="77">
        <v>152.99953626331492</v>
      </c>
      <c r="E888" s="77">
        <v>152.99953626331492</v>
      </c>
      <c r="F888" s="77">
        <v>152.99953626331492</v>
      </c>
      <c r="G888" s="77">
        <v>152.99953626331492</v>
      </c>
      <c r="H888" s="77">
        <v>152.99953626331492</v>
      </c>
      <c r="I888" s="77">
        <v>152.99953626331492</v>
      </c>
    </row>
    <row r="889" spans="1:9">
      <c r="A889" s="13">
        <v>842</v>
      </c>
      <c r="B889" s="8">
        <v>2023.2406168860709</v>
      </c>
      <c r="C889" s="14">
        <v>955.77962140886507</v>
      </c>
      <c r="D889" s="77">
        <v>159.29660356814418</v>
      </c>
      <c r="E889" s="77">
        <v>159.29660356814418</v>
      </c>
      <c r="F889" s="77">
        <v>159.29660356814418</v>
      </c>
      <c r="G889" s="77">
        <v>159.29660356814418</v>
      </c>
      <c r="H889" s="77">
        <v>159.29660356814418</v>
      </c>
      <c r="I889" s="77">
        <v>159.29660356814418</v>
      </c>
    </row>
    <row r="890" spans="1:9">
      <c r="A890" s="13">
        <v>843</v>
      </c>
      <c r="B890" s="8">
        <v>2024.7953043547095</v>
      </c>
      <c r="C890" s="14">
        <v>1112.4630117351478</v>
      </c>
      <c r="D890" s="77">
        <v>185.41050195585797</v>
      </c>
      <c r="E890" s="77">
        <v>185.41050195585797</v>
      </c>
      <c r="F890" s="77">
        <v>185.41050195585797</v>
      </c>
      <c r="G890" s="77">
        <v>185.41050195585797</v>
      </c>
      <c r="H890" s="77">
        <v>185.41050195585797</v>
      </c>
      <c r="I890" s="77">
        <v>185.41050195585797</v>
      </c>
    </row>
    <row r="891" spans="1:9">
      <c r="A891" s="13">
        <v>844</v>
      </c>
      <c r="B891" s="8">
        <v>2023.2377207856168</v>
      </c>
      <c r="C891" s="14">
        <v>928.20892282541786</v>
      </c>
      <c r="D891" s="77">
        <v>154.70148713756964</v>
      </c>
      <c r="E891" s="77">
        <v>154.70148713756964</v>
      </c>
      <c r="F891" s="77">
        <v>154.70148713756964</v>
      </c>
      <c r="G891" s="77">
        <v>154.70148713756964</v>
      </c>
      <c r="H891" s="77">
        <v>154.70148713756964</v>
      </c>
      <c r="I891" s="77">
        <v>154.70148713756964</v>
      </c>
    </row>
    <row r="892" spans="1:9">
      <c r="A892" s="13">
        <v>845</v>
      </c>
      <c r="B892" s="8">
        <v>2023.1134460458557</v>
      </c>
      <c r="C892" s="14">
        <v>954.49004301365665</v>
      </c>
      <c r="D892" s="77">
        <v>159.08167383560945</v>
      </c>
      <c r="E892" s="77">
        <v>159.08167383560945</v>
      </c>
      <c r="F892" s="77">
        <v>159.08167383560945</v>
      </c>
      <c r="G892" s="77">
        <v>159.08167383560945</v>
      </c>
      <c r="H892" s="77">
        <v>159.08167383560945</v>
      </c>
      <c r="I892" s="77">
        <v>159.08167383560945</v>
      </c>
    </row>
    <row r="893" spans="1:9">
      <c r="A893" s="13">
        <v>846</v>
      </c>
      <c r="B893" s="8">
        <v>2022.8314524216939</v>
      </c>
      <c r="C893" s="14">
        <v>845.7177346230784</v>
      </c>
      <c r="D893" s="77">
        <v>140.95295577051306</v>
      </c>
      <c r="E893" s="77">
        <v>140.95295577051306</v>
      </c>
      <c r="F893" s="77">
        <v>140.95295577051306</v>
      </c>
      <c r="G893" s="77">
        <v>140.95295577051306</v>
      </c>
      <c r="H893" s="77">
        <v>140.95295577051306</v>
      </c>
      <c r="I893" s="77">
        <v>140.95295577051306</v>
      </c>
    </row>
    <row r="894" spans="1:9">
      <c r="A894" s="13">
        <v>847</v>
      </c>
      <c r="B894" s="8">
        <v>2023.192134784887</v>
      </c>
      <c r="C894" s="14">
        <v>957.13376836332156</v>
      </c>
      <c r="D894" s="77">
        <v>159.52229472722027</v>
      </c>
      <c r="E894" s="77">
        <v>159.52229472722027</v>
      </c>
      <c r="F894" s="77">
        <v>159.52229472722027</v>
      </c>
      <c r="G894" s="77">
        <v>159.52229472722027</v>
      </c>
      <c r="H894" s="77">
        <v>159.52229472722027</v>
      </c>
      <c r="I894" s="77">
        <v>159.52229472722027</v>
      </c>
    </row>
    <row r="895" spans="1:9">
      <c r="A895" s="13">
        <v>848</v>
      </c>
      <c r="B895" s="8">
        <v>2022.9638500777201</v>
      </c>
      <c r="C895" s="14">
        <v>882.39767661813516</v>
      </c>
      <c r="D895" s="77">
        <v>147.06627943635587</v>
      </c>
      <c r="E895" s="77">
        <v>147.06627943635587</v>
      </c>
      <c r="F895" s="77">
        <v>147.06627943635587</v>
      </c>
      <c r="G895" s="77">
        <v>147.06627943635587</v>
      </c>
      <c r="H895" s="77">
        <v>147.06627943635587</v>
      </c>
      <c r="I895" s="77">
        <v>147.06627943635587</v>
      </c>
    </row>
    <row r="896" spans="1:9">
      <c r="A896" s="13">
        <v>849</v>
      </c>
      <c r="B896" s="8">
        <v>2024.6759215284089</v>
      </c>
      <c r="C896" s="14">
        <v>1092.1933152509014</v>
      </c>
      <c r="D896" s="77">
        <v>182.03221920848355</v>
      </c>
      <c r="E896" s="77">
        <v>182.03221920848355</v>
      </c>
      <c r="F896" s="77">
        <v>182.03221920848355</v>
      </c>
      <c r="G896" s="77">
        <v>182.03221920848355</v>
      </c>
      <c r="H896" s="77">
        <v>182.03221920848355</v>
      </c>
      <c r="I896" s="77">
        <v>182.03221920848355</v>
      </c>
    </row>
    <row r="897" spans="1:9">
      <c r="A897" s="13">
        <v>850</v>
      </c>
      <c r="B897" s="8">
        <v>2023.7178644836508</v>
      </c>
      <c r="C897" s="14">
        <v>991.48982843192891</v>
      </c>
      <c r="D897" s="77">
        <v>165.24830473865481</v>
      </c>
      <c r="E897" s="77">
        <v>165.24830473865481</v>
      </c>
      <c r="F897" s="77">
        <v>165.24830473865481</v>
      </c>
      <c r="G897" s="77">
        <v>165.24830473865481</v>
      </c>
      <c r="H897" s="77">
        <v>165.24830473865481</v>
      </c>
      <c r="I897" s="77">
        <v>165.24830473865481</v>
      </c>
    </row>
    <row r="898" spans="1:9">
      <c r="A898" s="13">
        <v>851</v>
      </c>
      <c r="B898" s="8">
        <v>2022.7669650458108</v>
      </c>
      <c r="C898" s="14">
        <v>858.06493053290865</v>
      </c>
      <c r="D898" s="77">
        <v>143.01082175548478</v>
      </c>
      <c r="E898" s="77">
        <v>143.01082175548478</v>
      </c>
      <c r="F898" s="77">
        <v>143.01082175548478</v>
      </c>
      <c r="G898" s="77">
        <v>143.01082175548478</v>
      </c>
      <c r="H898" s="77">
        <v>143.01082175548478</v>
      </c>
      <c r="I898" s="77">
        <v>143.01082175548478</v>
      </c>
    </row>
    <row r="899" spans="1:9">
      <c r="A899" s="13">
        <v>852</v>
      </c>
      <c r="B899" s="8">
        <v>2023.3320095969</v>
      </c>
      <c r="C899" s="14">
        <v>892.32107515118787</v>
      </c>
      <c r="D899" s="77">
        <v>148.72017919186464</v>
      </c>
      <c r="E899" s="77">
        <v>148.72017919186464</v>
      </c>
      <c r="F899" s="77">
        <v>148.72017919186464</v>
      </c>
      <c r="G899" s="77">
        <v>148.72017919186464</v>
      </c>
      <c r="H899" s="77">
        <v>148.72017919186464</v>
      </c>
      <c r="I899" s="77">
        <v>148.72017919186464</v>
      </c>
    </row>
    <row r="900" spans="1:9">
      <c r="A900" s="13">
        <v>853</v>
      </c>
      <c r="B900" s="8">
        <v>2023.2849077400908</v>
      </c>
      <c r="C900" s="14">
        <v>959.58264808005788</v>
      </c>
      <c r="D900" s="77">
        <v>159.9304413466763</v>
      </c>
      <c r="E900" s="77">
        <v>159.9304413466763</v>
      </c>
      <c r="F900" s="77">
        <v>159.9304413466763</v>
      </c>
      <c r="G900" s="77">
        <v>159.9304413466763</v>
      </c>
      <c r="H900" s="77">
        <v>159.9304413466763</v>
      </c>
      <c r="I900" s="77">
        <v>159.9304413466763</v>
      </c>
    </row>
    <row r="901" spans="1:9">
      <c r="A901" s="13">
        <v>854</v>
      </c>
      <c r="B901" s="8">
        <v>2024.0519136841865</v>
      </c>
      <c r="C901" s="14">
        <v>1014.0021808353594</v>
      </c>
      <c r="D901" s="77">
        <v>169.00036347255988</v>
      </c>
      <c r="E901" s="77">
        <v>169.00036347255988</v>
      </c>
      <c r="F901" s="77">
        <v>169.00036347255988</v>
      </c>
      <c r="G901" s="77">
        <v>169.00036347255988</v>
      </c>
      <c r="H901" s="77">
        <v>169.00036347255988</v>
      </c>
      <c r="I901" s="77">
        <v>169.00036347255988</v>
      </c>
    </row>
    <row r="902" spans="1:9">
      <c r="A902" s="13">
        <v>855</v>
      </c>
      <c r="B902" s="8">
        <v>2022.7931501774437</v>
      </c>
      <c r="C902" s="14">
        <v>821.54200248089978</v>
      </c>
      <c r="D902" s="77">
        <v>136.92366708014995</v>
      </c>
      <c r="E902" s="77">
        <v>136.92366708014995</v>
      </c>
      <c r="F902" s="77">
        <v>136.92366708014995</v>
      </c>
      <c r="G902" s="77">
        <v>136.92366708014995</v>
      </c>
      <c r="H902" s="77">
        <v>136.92366708014995</v>
      </c>
      <c r="I902" s="77">
        <v>136.92366708014995</v>
      </c>
    </row>
    <row r="903" spans="1:9">
      <c r="A903" s="13">
        <v>856</v>
      </c>
      <c r="B903" s="8">
        <v>2025.3948947867207</v>
      </c>
      <c r="C903" s="14">
        <v>1163.8530359632869</v>
      </c>
      <c r="D903" s="77">
        <v>193.97550599388114</v>
      </c>
      <c r="E903" s="77">
        <v>193.97550599388114</v>
      </c>
      <c r="F903" s="77">
        <v>193.97550599388114</v>
      </c>
      <c r="G903" s="77">
        <v>193.97550599388114</v>
      </c>
      <c r="H903" s="77">
        <v>193.97550599388114</v>
      </c>
      <c r="I903" s="77">
        <v>193.97550599388114</v>
      </c>
    </row>
    <row r="904" spans="1:9">
      <c r="A904" s="13">
        <v>857</v>
      </c>
      <c r="B904" s="8">
        <v>2024.7098196045908</v>
      </c>
      <c r="C904" s="14">
        <v>1044.8782335357971</v>
      </c>
      <c r="D904" s="77">
        <v>174.14637225596618</v>
      </c>
      <c r="E904" s="77">
        <v>174.14637225596618</v>
      </c>
      <c r="F904" s="77">
        <v>174.14637225596618</v>
      </c>
      <c r="G904" s="77">
        <v>174.14637225596618</v>
      </c>
      <c r="H904" s="77">
        <v>174.14637225596618</v>
      </c>
      <c r="I904" s="77">
        <v>174.14637225596618</v>
      </c>
    </row>
    <row r="905" spans="1:9">
      <c r="A905" s="13">
        <v>858</v>
      </c>
      <c r="B905" s="8">
        <v>2023.3957288048609</v>
      </c>
      <c r="C905" s="14">
        <v>950.79094962293254</v>
      </c>
      <c r="D905" s="77">
        <v>158.46515827048876</v>
      </c>
      <c r="E905" s="77">
        <v>158.46515827048876</v>
      </c>
      <c r="F905" s="77">
        <v>158.46515827048876</v>
      </c>
      <c r="G905" s="77">
        <v>158.46515827048876</v>
      </c>
      <c r="H905" s="77">
        <v>158.46515827048876</v>
      </c>
      <c r="I905" s="77">
        <v>158.46515827048876</v>
      </c>
    </row>
    <row r="906" spans="1:9">
      <c r="A906" s="13">
        <v>859</v>
      </c>
      <c r="B906" s="8">
        <v>2023.1458189782165</v>
      </c>
      <c r="C906" s="14">
        <v>938.3789665728699</v>
      </c>
      <c r="D906" s="77">
        <v>156.39649442881165</v>
      </c>
      <c r="E906" s="77">
        <v>156.39649442881165</v>
      </c>
      <c r="F906" s="77">
        <v>156.39649442881165</v>
      </c>
      <c r="G906" s="77">
        <v>156.39649442881165</v>
      </c>
      <c r="H906" s="77">
        <v>156.39649442881165</v>
      </c>
      <c r="I906" s="77">
        <v>156.39649442881165</v>
      </c>
    </row>
    <row r="907" spans="1:9">
      <c r="A907" s="13">
        <v>860</v>
      </c>
      <c r="B907" s="8">
        <v>2022.7124667347068</v>
      </c>
      <c r="C907" s="14">
        <v>841.21506570123222</v>
      </c>
      <c r="D907" s="77">
        <v>140.20251095020538</v>
      </c>
      <c r="E907" s="77">
        <v>140.20251095020538</v>
      </c>
      <c r="F907" s="77">
        <v>140.20251095020538</v>
      </c>
      <c r="G907" s="77">
        <v>140.20251095020538</v>
      </c>
      <c r="H907" s="77">
        <v>140.20251095020538</v>
      </c>
      <c r="I907" s="77">
        <v>140.20251095020538</v>
      </c>
    </row>
    <row r="908" spans="1:9">
      <c r="A908" s="13">
        <v>861</v>
      </c>
      <c r="B908" s="8">
        <v>2023.09202827174</v>
      </c>
      <c r="C908" s="14">
        <v>915.23521204825829</v>
      </c>
      <c r="D908" s="77">
        <v>152.53920200804305</v>
      </c>
      <c r="E908" s="77">
        <v>152.53920200804305</v>
      </c>
      <c r="F908" s="77">
        <v>152.53920200804305</v>
      </c>
      <c r="G908" s="77">
        <v>152.53920200804305</v>
      </c>
      <c r="H908" s="77">
        <v>152.53920200804305</v>
      </c>
      <c r="I908" s="77">
        <v>152.53920200804305</v>
      </c>
    </row>
    <row r="909" spans="1:9">
      <c r="A909" s="13">
        <v>862</v>
      </c>
      <c r="B909" s="8">
        <v>2024.8449073762733</v>
      </c>
      <c r="C909" s="14">
        <v>1043.158563691888</v>
      </c>
      <c r="D909" s="77">
        <v>173.85976061531468</v>
      </c>
      <c r="E909" s="77">
        <v>173.85976061531468</v>
      </c>
      <c r="F909" s="77">
        <v>173.85976061531468</v>
      </c>
      <c r="G909" s="77">
        <v>173.85976061531468</v>
      </c>
      <c r="H909" s="77">
        <v>173.85976061531468</v>
      </c>
      <c r="I909" s="77">
        <v>173.85976061531468</v>
      </c>
    </row>
    <row r="910" spans="1:9">
      <c r="A910" s="13">
        <v>863</v>
      </c>
      <c r="B910" s="8">
        <v>2023.3025070193432</v>
      </c>
      <c r="C910" s="14">
        <v>965.83868177737156</v>
      </c>
      <c r="D910" s="77">
        <v>160.97311362956194</v>
      </c>
      <c r="E910" s="77">
        <v>160.97311362956194</v>
      </c>
      <c r="F910" s="77">
        <v>160.97311362956194</v>
      </c>
      <c r="G910" s="77">
        <v>160.97311362956194</v>
      </c>
      <c r="H910" s="77">
        <v>160.97311362956194</v>
      </c>
      <c r="I910" s="77">
        <v>160.97311362956194</v>
      </c>
    </row>
    <row r="911" spans="1:9">
      <c r="A911" s="13">
        <v>864</v>
      </c>
      <c r="B911" s="8">
        <v>2024.454258802898</v>
      </c>
      <c r="C911" s="14">
        <v>1027.4341244208442</v>
      </c>
      <c r="D911" s="77">
        <v>171.23902073680736</v>
      </c>
      <c r="E911" s="77">
        <v>171.23902073680736</v>
      </c>
      <c r="F911" s="77">
        <v>171.23902073680736</v>
      </c>
      <c r="G911" s="77">
        <v>171.23902073680736</v>
      </c>
      <c r="H911" s="77">
        <v>171.23902073680736</v>
      </c>
      <c r="I911" s="77">
        <v>171.23902073680736</v>
      </c>
    </row>
    <row r="912" spans="1:9">
      <c r="A912" s="13">
        <v>865</v>
      </c>
      <c r="B912" s="8">
        <v>2023.2860671789615</v>
      </c>
      <c r="C912" s="14">
        <v>873.85252072853575</v>
      </c>
      <c r="D912" s="77">
        <v>145.6420867880893</v>
      </c>
      <c r="E912" s="77">
        <v>145.6420867880893</v>
      </c>
      <c r="F912" s="77">
        <v>145.6420867880893</v>
      </c>
      <c r="G912" s="77">
        <v>145.6420867880893</v>
      </c>
      <c r="H912" s="77">
        <v>145.6420867880893</v>
      </c>
      <c r="I912" s="77">
        <v>145.6420867880893</v>
      </c>
    </row>
    <row r="913" spans="1:9">
      <c r="A913" s="13">
        <v>866</v>
      </c>
      <c r="B913" s="8">
        <v>2024.479854740938</v>
      </c>
      <c r="C913" s="14">
        <v>1080.702271061426</v>
      </c>
      <c r="D913" s="77">
        <v>180.11704517690433</v>
      </c>
      <c r="E913" s="77">
        <v>180.11704517690433</v>
      </c>
      <c r="F913" s="77">
        <v>180.11704517690433</v>
      </c>
      <c r="G913" s="77">
        <v>180.11704517690433</v>
      </c>
      <c r="H913" s="77">
        <v>180.11704517690433</v>
      </c>
      <c r="I913" s="77">
        <v>180.11704517690433</v>
      </c>
    </row>
    <row r="914" spans="1:9">
      <c r="A914" s="13">
        <v>867</v>
      </c>
      <c r="B914" s="8">
        <v>2023.2342261029328</v>
      </c>
      <c r="C914" s="14">
        <v>995.90598574521448</v>
      </c>
      <c r="D914" s="77">
        <v>165.98433095753575</v>
      </c>
      <c r="E914" s="77">
        <v>165.98433095753575</v>
      </c>
      <c r="F914" s="77">
        <v>165.98433095753575</v>
      </c>
      <c r="G914" s="77">
        <v>165.98433095753575</v>
      </c>
      <c r="H914" s="77">
        <v>165.98433095753575</v>
      </c>
      <c r="I914" s="77">
        <v>165.98433095753575</v>
      </c>
    </row>
    <row r="915" spans="1:9">
      <c r="A915" s="13">
        <v>868</v>
      </c>
      <c r="B915" s="8">
        <v>2023.2353180445491</v>
      </c>
      <c r="C915" s="14">
        <v>991.75003595666362</v>
      </c>
      <c r="D915" s="77">
        <v>165.29167265944395</v>
      </c>
      <c r="E915" s="77">
        <v>165.29167265944395</v>
      </c>
      <c r="F915" s="77">
        <v>165.29167265944395</v>
      </c>
      <c r="G915" s="77">
        <v>165.29167265944395</v>
      </c>
      <c r="H915" s="77">
        <v>165.29167265944395</v>
      </c>
      <c r="I915" s="77">
        <v>165.29167265944395</v>
      </c>
    </row>
    <row r="916" spans="1:9">
      <c r="A916" s="13">
        <v>869</v>
      </c>
      <c r="B916" s="8">
        <v>2025.8939772716517</v>
      </c>
      <c r="C916" s="14">
        <v>1273.4960145367299</v>
      </c>
      <c r="D916" s="77">
        <v>212.24933575612167</v>
      </c>
      <c r="E916" s="77">
        <v>212.24933575612167</v>
      </c>
      <c r="F916" s="77">
        <v>212.24933575612167</v>
      </c>
      <c r="G916" s="77">
        <v>212.24933575612167</v>
      </c>
      <c r="H916" s="77">
        <v>212.24933575612167</v>
      </c>
      <c r="I916" s="77">
        <v>212.24933575612167</v>
      </c>
    </row>
    <row r="917" spans="1:9">
      <c r="A917" s="13">
        <v>870</v>
      </c>
      <c r="B917" s="8">
        <v>2023.095780469775</v>
      </c>
      <c r="C917" s="14">
        <v>923.79727288656431</v>
      </c>
      <c r="D917" s="77">
        <v>153.96621214776073</v>
      </c>
      <c r="E917" s="77">
        <v>153.96621214776073</v>
      </c>
      <c r="F917" s="77">
        <v>153.96621214776073</v>
      </c>
      <c r="G917" s="77">
        <v>153.96621214776073</v>
      </c>
      <c r="H917" s="77">
        <v>153.96621214776073</v>
      </c>
      <c r="I917" s="77">
        <v>153.96621214776073</v>
      </c>
    </row>
    <row r="918" spans="1:9">
      <c r="A918" s="13">
        <v>871</v>
      </c>
      <c r="B918" s="8">
        <v>2023.1001393026147</v>
      </c>
      <c r="C918" s="14">
        <v>917.99191911231139</v>
      </c>
      <c r="D918" s="77">
        <v>152.99865318538522</v>
      </c>
      <c r="E918" s="77">
        <v>152.99865318538522</v>
      </c>
      <c r="F918" s="77">
        <v>152.99865318538522</v>
      </c>
      <c r="G918" s="77">
        <v>152.99865318538522</v>
      </c>
      <c r="H918" s="77">
        <v>152.99865318538522</v>
      </c>
      <c r="I918" s="77">
        <v>152.99865318538522</v>
      </c>
    </row>
    <row r="919" spans="1:9">
      <c r="A919" s="13">
        <v>872</v>
      </c>
      <c r="B919" s="8">
        <v>2024.8417296756488</v>
      </c>
      <c r="C919" s="14">
        <v>1066.5864691244146</v>
      </c>
      <c r="D919" s="77">
        <v>177.76441152073576</v>
      </c>
      <c r="E919" s="77">
        <v>177.76441152073576</v>
      </c>
      <c r="F919" s="77">
        <v>177.76441152073576</v>
      </c>
      <c r="G919" s="77">
        <v>177.76441152073576</v>
      </c>
      <c r="H919" s="77">
        <v>177.76441152073576</v>
      </c>
      <c r="I919" s="77">
        <v>177.76441152073576</v>
      </c>
    </row>
    <row r="920" spans="1:9">
      <c r="A920" s="13">
        <v>873</v>
      </c>
      <c r="B920" s="8">
        <v>2024.7285854174345</v>
      </c>
      <c r="C920" s="14">
        <v>1059.3598333536888</v>
      </c>
      <c r="D920" s="77">
        <v>176.55997222561481</v>
      </c>
      <c r="E920" s="77">
        <v>176.55997222561481</v>
      </c>
      <c r="F920" s="77">
        <v>176.55997222561481</v>
      </c>
      <c r="G920" s="77">
        <v>176.55997222561481</v>
      </c>
      <c r="H920" s="77">
        <v>176.55997222561481</v>
      </c>
      <c r="I920" s="77">
        <v>176.55997222561481</v>
      </c>
    </row>
    <row r="921" spans="1:9">
      <c r="A921" s="13">
        <v>874</v>
      </c>
      <c r="B921" s="8">
        <v>2023.4770379337117</v>
      </c>
      <c r="C921" s="14">
        <v>966.2147588166855</v>
      </c>
      <c r="D921" s="77">
        <v>161.03579313611425</v>
      </c>
      <c r="E921" s="77">
        <v>161.03579313611425</v>
      </c>
      <c r="F921" s="77">
        <v>161.03579313611425</v>
      </c>
      <c r="G921" s="77">
        <v>161.03579313611425</v>
      </c>
      <c r="H921" s="77">
        <v>161.03579313611425</v>
      </c>
      <c r="I921" s="77">
        <v>161.03579313611425</v>
      </c>
    </row>
    <row r="922" spans="1:9">
      <c r="A922" s="13">
        <v>875</v>
      </c>
      <c r="B922" s="8">
        <v>2023.1928214084633</v>
      </c>
      <c r="C922" s="14">
        <v>924.7430652368206</v>
      </c>
      <c r="D922" s="77">
        <v>154.12384420613677</v>
      </c>
      <c r="E922" s="77">
        <v>154.12384420613677</v>
      </c>
      <c r="F922" s="77">
        <v>154.12384420613677</v>
      </c>
      <c r="G922" s="77">
        <v>154.12384420613677</v>
      </c>
      <c r="H922" s="77">
        <v>154.12384420613677</v>
      </c>
      <c r="I922" s="77">
        <v>154.12384420613677</v>
      </c>
    </row>
    <row r="923" spans="1:9">
      <c r="A923" s="13">
        <v>876</v>
      </c>
      <c r="B923" s="8">
        <v>2023.1888104091399</v>
      </c>
      <c r="C923" s="14">
        <v>908.59441685181059</v>
      </c>
      <c r="D923" s="77">
        <v>151.43240280863509</v>
      </c>
      <c r="E923" s="77">
        <v>151.43240280863509</v>
      </c>
      <c r="F923" s="77">
        <v>151.43240280863509</v>
      </c>
      <c r="G923" s="77">
        <v>151.43240280863509</v>
      </c>
      <c r="H923" s="77">
        <v>151.43240280863509</v>
      </c>
      <c r="I923" s="77">
        <v>151.43240280863509</v>
      </c>
    </row>
    <row r="924" spans="1:9">
      <c r="A924" s="13">
        <v>877</v>
      </c>
      <c r="B924" s="8">
        <v>2022.5705375237221</v>
      </c>
      <c r="C924" s="14">
        <v>812.48562369827982</v>
      </c>
      <c r="D924" s="77">
        <v>135.41427061637998</v>
      </c>
      <c r="E924" s="77">
        <v>135.41427061637998</v>
      </c>
      <c r="F924" s="77">
        <v>135.41427061637998</v>
      </c>
      <c r="G924" s="77">
        <v>135.41427061637998</v>
      </c>
      <c r="H924" s="77">
        <v>135.41427061637998</v>
      </c>
      <c r="I924" s="77">
        <v>135.41427061637998</v>
      </c>
    </row>
    <row r="925" spans="1:9">
      <c r="A925" s="13">
        <v>878</v>
      </c>
      <c r="B925" s="8">
        <v>2022.4117144387476</v>
      </c>
      <c r="C925" s="14">
        <v>758.29650343304229</v>
      </c>
      <c r="D925" s="77">
        <v>126.38275057217372</v>
      </c>
      <c r="E925" s="77">
        <v>126.38275057217372</v>
      </c>
      <c r="F925" s="77">
        <v>126.38275057217372</v>
      </c>
      <c r="G925" s="77">
        <v>126.38275057217372</v>
      </c>
      <c r="H925" s="77">
        <v>126.38275057217372</v>
      </c>
      <c r="I925" s="77">
        <v>126.38275057217372</v>
      </c>
    </row>
    <row r="926" spans="1:9">
      <c r="A926" s="13">
        <v>879</v>
      </c>
      <c r="B926" s="8">
        <v>2023.28573340509</v>
      </c>
      <c r="C926" s="14">
        <v>957.74898120239948</v>
      </c>
      <c r="D926" s="77">
        <v>159.62483020039991</v>
      </c>
      <c r="E926" s="77">
        <v>159.62483020039991</v>
      </c>
      <c r="F926" s="77">
        <v>159.62483020039991</v>
      </c>
      <c r="G926" s="77">
        <v>159.62483020039991</v>
      </c>
      <c r="H926" s="77">
        <v>159.62483020039991</v>
      </c>
      <c r="I926" s="77">
        <v>159.62483020039991</v>
      </c>
    </row>
    <row r="927" spans="1:9">
      <c r="A927" s="13">
        <v>880</v>
      </c>
      <c r="B927" s="8">
        <v>2023.2894096335888</v>
      </c>
      <c r="C927" s="14">
        <v>914.1426292588252</v>
      </c>
      <c r="D927" s="77">
        <v>152.35710487647086</v>
      </c>
      <c r="E927" s="77">
        <v>152.35710487647086</v>
      </c>
      <c r="F927" s="77">
        <v>152.35710487647086</v>
      </c>
      <c r="G927" s="77">
        <v>152.35710487647086</v>
      </c>
      <c r="H927" s="77">
        <v>152.35710487647086</v>
      </c>
      <c r="I927" s="77">
        <v>152.35710487647086</v>
      </c>
    </row>
    <row r="928" spans="1:9">
      <c r="A928" s="13">
        <v>881</v>
      </c>
      <c r="B928" s="8">
        <v>2023.3538276889703</v>
      </c>
      <c r="C928" s="14">
        <v>978.32393626855719</v>
      </c>
      <c r="D928" s="77">
        <v>163.05398937809287</v>
      </c>
      <c r="E928" s="77">
        <v>163.05398937809287</v>
      </c>
      <c r="F928" s="77">
        <v>163.05398937809287</v>
      </c>
      <c r="G928" s="77">
        <v>163.05398937809287</v>
      </c>
      <c r="H928" s="77">
        <v>163.05398937809287</v>
      </c>
      <c r="I928" s="77">
        <v>163.05398937809287</v>
      </c>
    </row>
    <row r="929" spans="1:9">
      <c r="A929" s="13">
        <v>882</v>
      </c>
      <c r="B929" s="8">
        <v>2025.2511797311049</v>
      </c>
      <c r="C929" s="14">
        <v>1115.1474597349843</v>
      </c>
      <c r="D929" s="77">
        <v>185.85790995583071</v>
      </c>
      <c r="E929" s="77">
        <v>185.85790995583071</v>
      </c>
      <c r="F929" s="77">
        <v>185.85790995583071</v>
      </c>
      <c r="G929" s="77">
        <v>185.85790995583071</v>
      </c>
      <c r="H929" s="77">
        <v>185.85790995583071</v>
      </c>
      <c r="I929" s="77">
        <v>185.85790995583071</v>
      </c>
    </row>
    <row r="930" spans="1:9">
      <c r="A930" s="13">
        <v>883</v>
      </c>
      <c r="B930" s="8">
        <v>2024.8045305949477</v>
      </c>
      <c r="C930" s="14">
        <v>1076.2352157425501</v>
      </c>
      <c r="D930" s="77">
        <v>179.37253595709169</v>
      </c>
      <c r="E930" s="77">
        <v>179.37253595709169</v>
      </c>
      <c r="F930" s="77">
        <v>179.37253595709169</v>
      </c>
      <c r="G930" s="77">
        <v>179.37253595709169</v>
      </c>
      <c r="H930" s="77">
        <v>179.37253595709169</v>
      </c>
      <c r="I930" s="77">
        <v>179.37253595709169</v>
      </c>
    </row>
    <row r="931" spans="1:9">
      <c r="A931" s="13">
        <v>884</v>
      </c>
      <c r="B931" s="8">
        <v>2022.9894453847635</v>
      </c>
      <c r="C931" s="14">
        <v>886.74215048416806</v>
      </c>
      <c r="D931" s="77">
        <v>147.79035841402802</v>
      </c>
      <c r="E931" s="77">
        <v>147.79035841402802</v>
      </c>
      <c r="F931" s="77">
        <v>147.79035841402802</v>
      </c>
      <c r="G931" s="77">
        <v>147.79035841402802</v>
      </c>
      <c r="H931" s="77">
        <v>147.79035841402802</v>
      </c>
      <c r="I931" s="77">
        <v>147.79035841402802</v>
      </c>
    </row>
    <row r="932" spans="1:9">
      <c r="A932" s="13">
        <v>885</v>
      </c>
      <c r="B932" s="8">
        <v>2023.2993325223747</v>
      </c>
      <c r="C932" s="14">
        <v>922.99972745068931</v>
      </c>
      <c r="D932" s="77">
        <v>153.83328790844823</v>
      </c>
      <c r="E932" s="77">
        <v>153.83328790844823</v>
      </c>
      <c r="F932" s="77">
        <v>153.83328790844823</v>
      </c>
      <c r="G932" s="77">
        <v>153.83328790844823</v>
      </c>
      <c r="H932" s="77">
        <v>153.83328790844823</v>
      </c>
      <c r="I932" s="77">
        <v>153.83328790844823</v>
      </c>
    </row>
    <row r="933" spans="1:9">
      <c r="A933" s="13">
        <v>886</v>
      </c>
      <c r="B933" s="8">
        <v>2023.3985068633347</v>
      </c>
      <c r="C933" s="14">
        <v>899.54994000091745</v>
      </c>
      <c r="D933" s="77">
        <v>149.92499000015292</v>
      </c>
      <c r="E933" s="77">
        <v>149.92499000015292</v>
      </c>
      <c r="F933" s="77">
        <v>149.92499000015292</v>
      </c>
      <c r="G933" s="77">
        <v>149.92499000015292</v>
      </c>
      <c r="H933" s="77">
        <v>149.92499000015292</v>
      </c>
      <c r="I933" s="77">
        <v>149.92499000015292</v>
      </c>
    </row>
    <row r="934" spans="1:9">
      <c r="A934" s="13">
        <v>887</v>
      </c>
      <c r="B934" s="8">
        <v>2024.4933149483484</v>
      </c>
      <c r="C934" s="14">
        <v>1034.4559478585363</v>
      </c>
      <c r="D934" s="77">
        <v>172.40932464308938</v>
      </c>
      <c r="E934" s="77">
        <v>172.40932464308938</v>
      </c>
      <c r="F934" s="77">
        <v>172.40932464308938</v>
      </c>
      <c r="G934" s="77">
        <v>172.40932464308938</v>
      </c>
      <c r="H934" s="77">
        <v>172.40932464308938</v>
      </c>
      <c r="I934" s="77">
        <v>172.40932464308938</v>
      </c>
    </row>
    <row r="935" spans="1:9">
      <c r="A935" s="13">
        <v>888</v>
      </c>
      <c r="B935" s="8">
        <v>2022.993675059211</v>
      </c>
      <c r="C935" s="14">
        <v>914.79216699141159</v>
      </c>
      <c r="D935" s="77">
        <v>152.46536116523527</v>
      </c>
      <c r="E935" s="77">
        <v>152.46536116523527</v>
      </c>
      <c r="F935" s="77">
        <v>152.46536116523527</v>
      </c>
      <c r="G935" s="77">
        <v>152.46536116523527</v>
      </c>
      <c r="H935" s="77">
        <v>152.46536116523527</v>
      </c>
      <c r="I935" s="77">
        <v>152.46536116523527</v>
      </c>
    </row>
    <row r="936" spans="1:9">
      <c r="A936" s="13">
        <v>889</v>
      </c>
      <c r="B936" s="8">
        <v>2023.0731263078976</v>
      </c>
      <c r="C936" s="14">
        <v>883.91056432006781</v>
      </c>
      <c r="D936" s="77">
        <v>147.31842738667797</v>
      </c>
      <c r="E936" s="77">
        <v>147.31842738667797</v>
      </c>
      <c r="F936" s="77">
        <v>147.31842738667797</v>
      </c>
      <c r="G936" s="77">
        <v>147.31842738667797</v>
      </c>
      <c r="H936" s="77">
        <v>147.31842738667797</v>
      </c>
      <c r="I936" s="77">
        <v>147.31842738667797</v>
      </c>
    </row>
    <row r="937" spans="1:9">
      <c r="A937" s="13">
        <v>890</v>
      </c>
      <c r="B937" s="8">
        <v>2023.2732580717006</v>
      </c>
      <c r="C937" s="14">
        <v>864.82436996630554</v>
      </c>
      <c r="D937" s="77">
        <v>144.13739499438427</v>
      </c>
      <c r="E937" s="77">
        <v>144.13739499438427</v>
      </c>
      <c r="F937" s="77">
        <v>144.13739499438427</v>
      </c>
      <c r="G937" s="77">
        <v>144.13739499438427</v>
      </c>
      <c r="H937" s="77">
        <v>144.13739499438427</v>
      </c>
      <c r="I937" s="77">
        <v>144.13739499438427</v>
      </c>
    </row>
    <row r="938" spans="1:9">
      <c r="A938" s="13">
        <v>891</v>
      </c>
      <c r="B938" s="8">
        <v>2023.02046238414</v>
      </c>
      <c r="C938" s="14">
        <v>827.26309462131735</v>
      </c>
      <c r="D938" s="77">
        <v>137.87718243688622</v>
      </c>
      <c r="E938" s="77">
        <v>137.87718243688622</v>
      </c>
      <c r="F938" s="77">
        <v>137.87718243688622</v>
      </c>
      <c r="G938" s="77">
        <v>137.87718243688622</v>
      </c>
      <c r="H938" s="77">
        <v>137.87718243688622</v>
      </c>
      <c r="I938" s="77">
        <v>137.87718243688622</v>
      </c>
    </row>
    <row r="939" spans="1:9">
      <c r="A939" s="13">
        <v>892</v>
      </c>
      <c r="B939" s="8">
        <v>2023.0137107107639</v>
      </c>
      <c r="C939" s="14">
        <v>917.4805526511052</v>
      </c>
      <c r="D939" s="77">
        <v>152.91342544185088</v>
      </c>
      <c r="E939" s="77">
        <v>152.91342544185088</v>
      </c>
      <c r="F939" s="77">
        <v>152.91342544185088</v>
      </c>
      <c r="G939" s="77">
        <v>152.91342544185088</v>
      </c>
      <c r="H939" s="77">
        <v>152.91342544185088</v>
      </c>
      <c r="I939" s="77">
        <v>152.91342544185088</v>
      </c>
    </row>
    <row r="940" spans="1:9">
      <c r="A940" s="13">
        <v>893</v>
      </c>
      <c r="B940" s="8">
        <v>2023.169587788838</v>
      </c>
      <c r="C940" s="14">
        <v>931.9910209107062</v>
      </c>
      <c r="D940" s="77">
        <v>155.33183681845102</v>
      </c>
      <c r="E940" s="77">
        <v>155.33183681845102</v>
      </c>
      <c r="F940" s="77">
        <v>155.33183681845102</v>
      </c>
      <c r="G940" s="77">
        <v>155.33183681845102</v>
      </c>
      <c r="H940" s="77">
        <v>155.33183681845102</v>
      </c>
      <c r="I940" s="77">
        <v>155.33183681845102</v>
      </c>
    </row>
    <row r="941" spans="1:9">
      <c r="A941" s="13">
        <v>894</v>
      </c>
      <c r="B941" s="8">
        <v>2024.1996720957659</v>
      </c>
      <c r="C941" s="14">
        <v>1070.6112736149901</v>
      </c>
      <c r="D941" s="77">
        <v>178.43521226916502</v>
      </c>
      <c r="E941" s="77">
        <v>178.43521226916502</v>
      </c>
      <c r="F941" s="77">
        <v>178.43521226916502</v>
      </c>
      <c r="G941" s="77">
        <v>178.43521226916502</v>
      </c>
      <c r="H941" s="77">
        <v>178.43521226916502</v>
      </c>
      <c r="I941" s="77">
        <v>178.43521226916502</v>
      </c>
    </row>
    <row r="942" spans="1:9">
      <c r="A942" s="13">
        <v>895</v>
      </c>
      <c r="B942" s="8">
        <v>2023.2926103638422</v>
      </c>
      <c r="C942" s="14">
        <v>917.33540671891024</v>
      </c>
      <c r="D942" s="77">
        <v>152.88923445315172</v>
      </c>
      <c r="E942" s="77">
        <v>152.88923445315172</v>
      </c>
      <c r="F942" s="77">
        <v>152.88923445315172</v>
      </c>
      <c r="G942" s="77">
        <v>152.88923445315172</v>
      </c>
      <c r="H942" s="77">
        <v>152.88923445315172</v>
      </c>
      <c r="I942" s="77">
        <v>152.88923445315172</v>
      </c>
    </row>
    <row r="943" spans="1:9">
      <c r="A943" s="13">
        <v>896</v>
      </c>
      <c r="B943" s="8">
        <v>2023.021670567311</v>
      </c>
      <c r="C943" s="14">
        <v>889.67361586006803</v>
      </c>
      <c r="D943" s="77">
        <v>148.27893597667801</v>
      </c>
      <c r="E943" s="77">
        <v>148.27893597667801</v>
      </c>
      <c r="F943" s="77">
        <v>148.27893597667801</v>
      </c>
      <c r="G943" s="77">
        <v>148.27893597667801</v>
      </c>
      <c r="H943" s="77">
        <v>148.27893597667801</v>
      </c>
      <c r="I943" s="77">
        <v>148.27893597667801</v>
      </c>
    </row>
    <row r="944" spans="1:9">
      <c r="A944" s="13">
        <v>897</v>
      </c>
      <c r="B944" s="8">
        <v>2022.7279437487332</v>
      </c>
      <c r="C944" s="14">
        <v>842.46108023708007</v>
      </c>
      <c r="D944" s="77">
        <v>140.41018003951334</v>
      </c>
      <c r="E944" s="77">
        <v>140.41018003951334</v>
      </c>
      <c r="F944" s="77">
        <v>140.41018003951334</v>
      </c>
      <c r="G944" s="77">
        <v>140.41018003951334</v>
      </c>
      <c r="H944" s="77">
        <v>140.41018003951334</v>
      </c>
      <c r="I944" s="77">
        <v>140.41018003951334</v>
      </c>
    </row>
    <row r="945" spans="1:9">
      <c r="A945" s="13">
        <v>898</v>
      </c>
      <c r="B945" s="8">
        <v>2023.3089092338726</v>
      </c>
      <c r="C945" s="14">
        <v>985.18719084101031</v>
      </c>
      <c r="D945" s="77">
        <v>164.19786514016837</v>
      </c>
      <c r="E945" s="77">
        <v>164.19786514016837</v>
      </c>
      <c r="F945" s="77">
        <v>164.19786514016837</v>
      </c>
      <c r="G945" s="77">
        <v>164.19786514016837</v>
      </c>
      <c r="H945" s="77">
        <v>164.19786514016837</v>
      </c>
      <c r="I945" s="77">
        <v>164.19786514016837</v>
      </c>
    </row>
    <row r="946" spans="1:9">
      <c r="A946" s="13">
        <v>899</v>
      </c>
      <c r="B946" s="8">
        <v>2022.8287634626793</v>
      </c>
      <c r="C946" s="14">
        <v>891.45913041791528</v>
      </c>
      <c r="D946" s="77">
        <v>148.57652173631922</v>
      </c>
      <c r="E946" s="77">
        <v>148.57652173631922</v>
      </c>
      <c r="F946" s="77">
        <v>148.57652173631922</v>
      </c>
      <c r="G946" s="77">
        <v>148.57652173631922</v>
      </c>
      <c r="H946" s="77">
        <v>148.57652173631922</v>
      </c>
      <c r="I946" s="77">
        <v>148.57652173631922</v>
      </c>
    </row>
    <row r="947" spans="1:9">
      <c r="A947" s="13">
        <v>900</v>
      </c>
      <c r="B947" s="8">
        <v>2023.301175528567</v>
      </c>
      <c r="C947" s="14">
        <v>923.78862757319882</v>
      </c>
      <c r="D947" s="77">
        <v>153.9647712621998</v>
      </c>
      <c r="E947" s="77">
        <v>153.9647712621998</v>
      </c>
      <c r="F947" s="77">
        <v>153.9647712621998</v>
      </c>
      <c r="G947" s="77">
        <v>153.9647712621998</v>
      </c>
      <c r="H947" s="77">
        <v>153.9647712621998</v>
      </c>
      <c r="I947" s="77">
        <v>153.9647712621998</v>
      </c>
    </row>
    <row r="948" spans="1:9">
      <c r="A948" s="13">
        <v>901</v>
      </c>
      <c r="B948" s="8">
        <v>2023.1897365148811</v>
      </c>
      <c r="C948" s="14">
        <v>923.41778633126637</v>
      </c>
      <c r="D948" s="77">
        <v>153.9029643885444</v>
      </c>
      <c r="E948" s="77">
        <v>153.9029643885444</v>
      </c>
      <c r="F948" s="77">
        <v>153.9029643885444</v>
      </c>
      <c r="G948" s="77">
        <v>153.9029643885444</v>
      </c>
      <c r="H948" s="77">
        <v>153.9029643885444</v>
      </c>
      <c r="I948" s="77">
        <v>153.9029643885444</v>
      </c>
    </row>
    <row r="949" spans="1:9">
      <c r="A949" s="13">
        <v>902</v>
      </c>
      <c r="B949" s="8">
        <v>2022.8629669612556</v>
      </c>
      <c r="C949" s="14">
        <v>853.95878105153884</v>
      </c>
      <c r="D949" s="77">
        <v>142.3264635085898</v>
      </c>
      <c r="E949" s="77">
        <v>142.3264635085898</v>
      </c>
      <c r="F949" s="77">
        <v>142.3264635085898</v>
      </c>
      <c r="G949" s="77">
        <v>142.3264635085898</v>
      </c>
      <c r="H949" s="77">
        <v>142.3264635085898</v>
      </c>
      <c r="I949" s="77">
        <v>142.3264635085898</v>
      </c>
    </row>
    <row r="950" spans="1:9">
      <c r="A950" s="13">
        <v>903</v>
      </c>
      <c r="B950" s="8">
        <v>2025.828015660657</v>
      </c>
      <c r="C950" s="14">
        <v>1246.2476432891335</v>
      </c>
      <c r="D950" s="77">
        <v>207.70794054818893</v>
      </c>
      <c r="E950" s="77">
        <v>207.70794054818893</v>
      </c>
      <c r="F950" s="77">
        <v>207.70794054818893</v>
      </c>
      <c r="G950" s="77">
        <v>207.70794054818893</v>
      </c>
      <c r="H950" s="77">
        <v>207.70794054818893</v>
      </c>
      <c r="I950" s="77">
        <v>207.70794054818893</v>
      </c>
    </row>
    <row r="951" spans="1:9">
      <c r="A951" s="13">
        <v>904</v>
      </c>
      <c r="B951" s="8">
        <v>2022.7127979446611</v>
      </c>
      <c r="C951" s="14">
        <v>872.15543352050133</v>
      </c>
      <c r="D951" s="77">
        <v>145.35923892008356</v>
      </c>
      <c r="E951" s="77">
        <v>145.35923892008356</v>
      </c>
      <c r="F951" s="77">
        <v>145.35923892008356</v>
      </c>
      <c r="G951" s="77">
        <v>145.35923892008356</v>
      </c>
      <c r="H951" s="77">
        <v>145.35923892008356</v>
      </c>
      <c r="I951" s="77">
        <v>145.35923892008356</v>
      </c>
    </row>
    <row r="952" spans="1:9">
      <c r="A952" s="13">
        <v>905</v>
      </c>
      <c r="B952" s="8">
        <v>2023.242258516512</v>
      </c>
      <c r="C952" s="14">
        <v>967.5240104202345</v>
      </c>
      <c r="D952" s="77">
        <v>161.25400173670576</v>
      </c>
      <c r="E952" s="77">
        <v>161.25400173670576</v>
      </c>
      <c r="F952" s="77">
        <v>161.25400173670576</v>
      </c>
      <c r="G952" s="77">
        <v>161.25400173670576</v>
      </c>
      <c r="H952" s="77">
        <v>161.25400173670576</v>
      </c>
      <c r="I952" s="77">
        <v>161.25400173670576</v>
      </c>
    </row>
    <row r="953" spans="1:9">
      <c r="A953" s="13">
        <v>906</v>
      </c>
      <c r="B953" s="8">
        <v>2024.760096946676</v>
      </c>
      <c r="C953" s="14">
        <v>1033.1144960006454</v>
      </c>
      <c r="D953" s="77">
        <v>172.1857493334409</v>
      </c>
      <c r="E953" s="77">
        <v>172.1857493334409</v>
      </c>
      <c r="F953" s="77">
        <v>172.1857493334409</v>
      </c>
      <c r="G953" s="77">
        <v>172.1857493334409</v>
      </c>
      <c r="H953" s="77">
        <v>172.1857493334409</v>
      </c>
      <c r="I953" s="77">
        <v>172.1857493334409</v>
      </c>
    </row>
    <row r="954" spans="1:9">
      <c r="A954" s="13">
        <v>907</v>
      </c>
      <c r="B954" s="8">
        <v>2025.1669381765003</v>
      </c>
      <c r="C954" s="14">
        <v>1088.9214922062097</v>
      </c>
      <c r="D954" s="77">
        <v>181.48691536770161</v>
      </c>
      <c r="E954" s="77">
        <v>181.48691536770161</v>
      </c>
      <c r="F954" s="77">
        <v>181.48691536770161</v>
      </c>
      <c r="G954" s="77">
        <v>181.48691536770161</v>
      </c>
      <c r="H954" s="77">
        <v>181.48691536770161</v>
      </c>
      <c r="I954" s="77">
        <v>181.48691536770161</v>
      </c>
    </row>
    <row r="955" spans="1:9">
      <c r="A955" s="13">
        <v>908</v>
      </c>
      <c r="B955" s="8">
        <v>2022.9323342717403</v>
      </c>
      <c r="C955" s="14">
        <v>902.00734982215886</v>
      </c>
      <c r="D955" s="77">
        <v>150.33455830369314</v>
      </c>
      <c r="E955" s="77">
        <v>150.33455830369314</v>
      </c>
      <c r="F955" s="77">
        <v>150.33455830369314</v>
      </c>
      <c r="G955" s="77">
        <v>150.33455830369314</v>
      </c>
      <c r="H955" s="77">
        <v>150.33455830369314</v>
      </c>
      <c r="I955" s="77">
        <v>150.33455830369314</v>
      </c>
    </row>
    <row r="956" spans="1:9">
      <c r="A956" s="13">
        <v>909</v>
      </c>
      <c r="B956" s="8">
        <v>2023.4856837464645</v>
      </c>
      <c r="C956" s="14">
        <v>986.73514391882861</v>
      </c>
      <c r="D956" s="77">
        <v>164.45585731980478</v>
      </c>
      <c r="E956" s="77">
        <v>164.45585731980478</v>
      </c>
      <c r="F956" s="77">
        <v>164.45585731980478</v>
      </c>
      <c r="G956" s="77">
        <v>164.45585731980478</v>
      </c>
      <c r="H956" s="77">
        <v>164.45585731980478</v>
      </c>
      <c r="I956" s="77">
        <v>164.45585731980478</v>
      </c>
    </row>
    <row r="957" spans="1:9">
      <c r="A957" s="13">
        <v>910</v>
      </c>
      <c r="B957" s="8">
        <v>2024.6443726037992</v>
      </c>
      <c r="C957" s="14">
        <v>1035.6652228013415</v>
      </c>
      <c r="D957" s="77">
        <v>172.61087046689025</v>
      </c>
      <c r="E957" s="77">
        <v>172.61087046689025</v>
      </c>
      <c r="F957" s="77">
        <v>172.61087046689025</v>
      </c>
      <c r="G957" s="77">
        <v>172.61087046689025</v>
      </c>
      <c r="H957" s="77">
        <v>172.61087046689025</v>
      </c>
      <c r="I957" s="77">
        <v>172.61087046689025</v>
      </c>
    </row>
    <row r="958" spans="1:9">
      <c r="A958" s="13">
        <v>911</v>
      </c>
      <c r="B958" s="8">
        <v>2022.939581624747</v>
      </c>
      <c r="C958" s="14">
        <v>869.5176055768851</v>
      </c>
      <c r="D958" s="77">
        <v>144.91960092948085</v>
      </c>
      <c r="E958" s="77">
        <v>144.91960092948085</v>
      </c>
      <c r="F958" s="77">
        <v>144.91960092948085</v>
      </c>
      <c r="G958" s="77">
        <v>144.91960092948085</v>
      </c>
      <c r="H958" s="77">
        <v>144.91960092948085</v>
      </c>
      <c r="I958" s="77">
        <v>144.91960092948085</v>
      </c>
    </row>
    <row r="959" spans="1:9">
      <c r="A959" s="13">
        <v>912</v>
      </c>
      <c r="B959" s="8">
        <v>2023.1822302274852</v>
      </c>
      <c r="C959" s="14">
        <v>930.10051580826826</v>
      </c>
      <c r="D959" s="77">
        <v>155.01675263471137</v>
      </c>
      <c r="E959" s="77">
        <v>155.01675263471137</v>
      </c>
      <c r="F959" s="77">
        <v>155.01675263471137</v>
      </c>
      <c r="G959" s="77">
        <v>155.01675263471137</v>
      </c>
      <c r="H959" s="77">
        <v>155.01675263471137</v>
      </c>
      <c r="I959" s="77">
        <v>155.01675263471137</v>
      </c>
    </row>
    <row r="960" spans="1:9">
      <c r="A960" s="13">
        <v>913</v>
      </c>
      <c r="B960" s="8">
        <v>2024.4637935266062</v>
      </c>
      <c r="C960" s="14">
        <v>1134.4194494382448</v>
      </c>
      <c r="D960" s="77">
        <v>189.06990823970747</v>
      </c>
      <c r="E960" s="77">
        <v>189.06990823970747</v>
      </c>
      <c r="F960" s="77">
        <v>189.06990823970747</v>
      </c>
      <c r="G960" s="77">
        <v>189.06990823970747</v>
      </c>
      <c r="H960" s="77">
        <v>189.06990823970747</v>
      </c>
      <c r="I960" s="77">
        <v>189.06990823970747</v>
      </c>
    </row>
    <row r="961" spans="1:9">
      <c r="A961" s="13">
        <v>914</v>
      </c>
      <c r="B961" s="8">
        <v>2022.8448967494094</v>
      </c>
      <c r="C961" s="14">
        <v>921.91444164521181</v>
      </c>
      <c r="D961" s="77">
        <v>153.65240694086864</v>
      </c>
      <c r="E961" s="77">
        <v>153.65240694086864</v>
      </c>
      <c r="F961" s="77">
        <v>153.65240694086864</v>
      </c>
      <c r="G961" s="77">
        <v>153.65240694086864</v>
      </c>
      <c r="H961" s="77">
        <v>153.65240694086864</v>
      </c>
      <c r="I961" s="77">
        <v>153.65240694086864</v>
      </c>
    </row>
    <row r="962" spans="1:9">
      <c r="A962" s="13">
        <v>915</v>
      </c>
      <c r="B962" s="8">
        <v>2023.7271674140159</v>
      </c>
      <c r="C962" s="14">
        <v>942.3133190923179</v>
      </c>
      <c r="D962" s="77">
        <v>157.05221984871966</v>
      </c>
      <c r="E962" s="77">
        <v>157.05221984871966</v>
      </c>
      <c r="F962" s="77">
        <v>157.05221984871966</v>
      </c>
      <c r="G962" s="77">
        <v>157.05221984871966</v>
      </c>
      <c r="H962" s="77">
        <v>157.05221984871966</v>
      </c>
      <c r="I962" s="77">
        <v>157.05221984871966</v>
      </c>
    </row>
    <row r="963" spans="1:9">
      <c r="A963" s="13">
        <v>916</v>
      </c>
      <c r="B963" s="8">
        <v>2024.9105123473369</v>
      </c>
      <c r="C963" s="14">
        <v>1131.4837994143143</v>
      </c>
      <c r="D963" s="77">
        <v>188.58063323571903</v>
      </c>
      <c r="E963" s="77">
        <v>188.58063323571903</v>
      </c>
      <c r="F963" s="77">
        <v>188.58063323571903</v>
      </c>
      <c r="G963" s="77">
        <v>188.58063323571903</v>
      </c>
      <c r="H963" s="77">
        <v>188.58063323571903</v>
      </c>
      <c r="I963" s="77">
        <v>188.58063323571903</v>
      </c>
    </row>
    <row r="964" spans="1:9">
      <c r="A964" s="13">
        <v>917</v>
      </c>
      <c r="B964" s="8">
        <v>2024.3679364381037</v>
      </c>
      <c r="C964" s="14">
        <v>1003.1687079525352</v>
      </c>
      <c r="D964" s="77">
        <v>167.19478465875588</v>
      </c>
      <c r="E964" s="77">
        <v>167.19478465875588</v>
      </c>
      <c r="F964" s="77">
        <v>167.19478465875588</v>
      </c>
      <c r="G964" s="77">
        <v>167.19478465875588</v>
      </c>
      <c r="H964" s="77">
        <v>167.19478465875588</v>
      </c>
      <c r="I964" s="77">
        <v>167.19478465875588</v>
      </c>
    </row>
    <row r="965" spans="1:9">
      <c r="A965" s="13">
        <v>918</v>
      </c>
      <c r="B965" s="8">
        <v>2023.9129135133339</v>
      </c>
      <c r="C965" s="14">
        <v>977.59345053176366</v>
      </c>
      <c r="D965" s="77">
        <v>162.93224175529394</v>
      </c>
      <c r="E965" s="77">
        <v>162.93224175529394</v>
      </c>
      <c r="F965" s="77">
        <v>162.93224175529394</v>
      </c>
      <c r="G965" s="77">
        <v>162.93224175529394</v>
      </c>
      <c r="H965" s="77">
        <v>162.93224175529394</v>
      </c>
      <c r="I965" s="77">
        <v>162.93224175529394</v>
      </c>
    </row>
    <row r="966" spans="1:9">
      <c r="A966" s="13">
        <v>919</v>
      </c>
      <c r="B966" s="8">
        <v>2024.5975392625214</v>
      </c>
      <c r="C966" s="14">
        <v>1121.7528849191601</v>
      </c>
      <c r="D966" s="77">
        <v>186.95881415319334</v>
      </c>
      <c r="E966" s="77">
        <v>186.95881415319334</v>
      </c>
      <c r="F966" s="77">
        <v>186.95881415319334</v>
      </c>
      <c r="G966" s="77">
        <v>186.95881415319334</v>
      </c>
      <c r="H966" s="77">
        <v>186.95881415319334</v>
      </c>
      <c r="I966" s="77">
        <v>186.95881415319334</v>
      </c>
    </row>
    <row r="967" spans="1:9">
      <c r="A967" s="13">
        <v>920</v>
      </c>
      <c r="B967" s="8">
        <v>2024.6973702255157</v>
      </c>
      <c r="C967" s="14">
        <v>1100.7410586804931</v>
      </c>
      <c r="D967" s="77">
        <v>183.45684311341552</v>
      </c>
      <c r="E967" s="77">
        <v>183.45684311341552</v>
      </c>
      <c r="F967" s="77">
        <v>183.45684311341552</v>
      </c>
      <c r="G967" s="77">
        <v>183.45684311341552</v>
      </c>
      <c r="H967" s="77">
        <v>183.45684311341552</v>
      </c>
      <c r="I967" s="77">
        <v>183.45684311341552</v>
      </c>
    </row>
    <row r="968" spans="1:9">
      <c r="A968" s="13">
        <v>921</v>
      </c>
      <c r="B968" s="8">
        <v>2024.7414943122628</v>
      </c>
      <c r="C968" s="14">
        <v>1083.7170822459991</v>
      </c>
      <c r="D968" s="77">
        <v>180.61951370766653</v>
      </c>
      <c r="E968" s="77">
        <v>180.61951370766653</v>
      </c>
      <c r="F968" s="77">
        <v>180.61951370766653</v>
      </c>
      <c r="G968" s="77">
        <v>180.61951370766653</v>
      </c>
      <c r="H968" s="77">
        <v>180.61951370766653</v>
      </c>
      <c r="I968" s="77">
        <v>180.61951370766653</v>
      </c>
    </row>
    <row r="969" spans="1:9">
      <c r="A969" s="13">
        <v>922</v>
      </c>
      <c r="B969" s="8">
        <v>2022.8129861493646</v>
      </c>
      <c r="C969" s="14">
        <v>841.80424125651382</v>
      </c>
      <c r="D969" s="77">
        <v>140.30070687608563</v>
      </c>
      <c r="E969" s="77">
        <v>140.30070687608563</v>
      </c>
      <c r="F969" s="77">
        <v>140.30070687608563</v>
      </c>
      <c r="G969" s="77">
        <v>140.30070687608563</v>
      </c>
      <c r="H969" s="77">
        <v>140.30070687608563</v>
      </c>
      <c r="I969" s="77">
        <v>140.30070687608563</v>
      </c>
    </row>
    <row r="970" spans="1:9">
      <c r="A970" s="13">
        <v>923</v>
      </c>
      <c r="B970" s="8">
        <v>2023.5544461339082</v>
      </c>
      <c r="C970" s="14">
        <v>985.26067263865514</v>
      </c>
      <c r="D970" s="77">
        <v>164.21011210644252</v>
      </c>
      <c r="E970" s="77">
        <v>164.21011210644252</v>
      </c>
      <c r="F970" s="77">
        <v>164.21011210644252</v>
      </c>
      <c r="G970" s="77">
        <v>164.21011210644252</v>
      </c>
      <c r="H970" s="77">
        <v>164.21011210644252</v>
      </c>
      <c r="I970" s="77">
        <v>164.21011210644252</v>
      </c>
    </row>
    <row r="971" spans="1:9">
      <c r="A971" s="13">
        <v>924</v>
      </c>
      <c r="B971" s="8">
        <v>2023.2271594627007</v>
      </c>
      <c r="C971" s="14">
        <v>898.76818649086522</v>
      </c>
      <c r="D971" s="77">
        <v>149.79469774847755</v>
      </c>
      <c r="E971" s="77">
        <v>149.79469774847755</v>
      </c>
      <c r="F971" s="77">
        <v>149.79469774847755</v>
      </c>
      <c r="G971" s="77">
        <v>149.79469774847755</v>
      </c>
      <c r="H971" s="77">
        <v>149.79469774847755</v>
      </c>
      <c r="I971" s="77">
        <v>149.79469774847755</v>
      </c>
    </row>
    <row r="972" spans="1:9">
      <c r="A972" s="13">
        <v>925</v>
      </c>
      <c r="B972" s="8">
        <v>2022.6006815068044</v>
      </c>
      <c r="C972" s="14">
        <v>855.52049442295697</v>
      </c>
      <c r="D972" s="77">
        <v>142.58674907049283</v>
      </c>
      <c r="E972" s="77">
        <v>142.58674907049283</v>
      </c>
      <c r="F972" s="77">
        <v>142.58674907049283</v>
      </c>
      <c r="G972" s="77">
        <v>142.58674907049283</v>
      </c>
      <c r="H972" s="77">
        <v>142.58674907049283</v>
      </c>
      <c r="I972" s="77">
        <v>142.58674907049283</v>
      </c>
    </row>
    <row r="973" spans="1:9">
      <c r="A973" s="13">
        <v>926</v>
      </c>
      <c r="B973" s="8">
        <v>2023.2131006381514</v>
      </c>
      <c r="C973" s="14">
        <v>878.25810554605118</v>
      </c>
      <c r="D973" s="77">
        <v>146.37635092434186</v>
      </c>
      <c r="E973" s="77">
        <v>146.37635092434186</v>
      </c>
      <c r="F973" s="77">
        <v>146.37635092434186</v>
      </c>
      <c r="G973" s="77">
        <v>146.37635092434186</v>
      </c>
      <c r="H973" s="77">
        <v>146.37635092434186</v>
      </c>
      <c r="I973" s="77">
        <v>146.37635092434186</v>
      </c>
    </row>
    <row r="974" spans="1:9">
      <c r="A974" s="13">
        <v>927</v>
      </c>
      <c r="B974" s="8">
        <v>2023.4819349638478</v>
      </c>
      <c r="C974" s="14">
        <v>950.42412381531199</v>
      </c>
      <c r="D974" s="77">
        <v>158.40402063588533</v>
      </c>
      <c r="E974" s="77">
        <v>158.40402063588533</v>
      </c>
      <c r="F974" s="77">
        <v>158.40402063588533</v>
      </c>
      <c r="G974" s="77">
        <v>158.40402063588533</v>
      </c>
      <c r="H974" s="77">
        <v>158.40402063588533</v>
      </c>
      <c r="I974" s="77">
        <v>158.40402063588533</v>
      </c>
    </row>
    <row r="975" spans="1:9">
      <c r="A975" s="13">
        <v>928</v>
      </c>
      <c r="B975" s="8">
        <v>2024.3813736129791</v>
      </c>
      <c r="C975" s="14">
        <v>1080.8943084196226</v>
      </c>
      <c r="D975" s="77">
        <v>180.14905140327042</v>
      </c>
      <c r="E975" s="77">
        <v>180.14905140327042</v>
      </c>
      <c r="F975" s="77">
        <v>180.14905140327042</v>
      </c>
      <c r="G975" s="77">
        <v>180.14905140327042</v>
      </c>
      <c r="H975" s="77">
        <v>180.14905140327042</v>
      </c>
      <c r="I975" s="77">
        <v>180.14905140327042</v>
      </c>
    </row>
    <row r="976" spans="1:9">
      <c r="A976" s="13">
        <v>929</v>
      </c>
      <c r="B976" s="8">
        <v>2023.1829145971419</v>
      </c>
      <c r="C976" s="14">
        <v>866.52452239405295</v>
      </c>
      <c r="D976" s="77">
        <v>144.42075373234215</v>
      </c>
      <c r="E976" s="77">
        <v>144.42075373234215</v>
      </c>
      <c r="F976" s="77">
        <v>144.42075373234215</v>
      </c>
      <c r="G976" s="77">
        <v>144.42075373234215</v>
      </c>
      <c r="H976" s="77">
        <v>144.42075373234215</v>
      </c>
      <c r="I976" s="77">
        <v>144.42075373234215</v>
      </c>
    </row>
    <row r="977" spans="1:9">
      <c r="A977" s="13">
        <v>930</v>
      </c>
      <c r="B977" s="8">
        <v>2025.5363565159787</v>
      </c>
      <c r="C977" s="14">
        <v>1166.2785764726625</v>
      </c>
      <c r="D977" s="77">
        <v>194.37976274544374</v>
      </c>
      <c r="E977" s="77">
        <v>194.37976274544374</v>
      </c>
      <c r="F977" s="77">
        <v>194.37976274544374</v>
      </c>
      <c r="G977" s="77">
        <v>194.37976274544374</v>
      </c>
      <c r="H977" s="77">
        <v>194.37976274544374</v>
      </c>
      <c r="I977" s="77">
        <v>194.37976274544374</v>
      </c>
    </row>
    <row r="978" spans="1:9">
      <c r="A978" s="13">
        <v>931</v>
      </c>
      <c r="B978" s="8">
        <v>2023.1083888386206</v>
      </c>
      <c r="C978" s="14">
        <v>988.16717457997447</v>
      </c>
      <c r="D978" s="77">
        <v>164.69452909666242</v>
      </c>
      <c r="E978" s="77">
        <v>164.69452909666242</v>
      </c>
      <c r="F978" s="77">
        <v>164.69452909666242</v>
      </c>
      <c r="G978" s="77">
        <v>164.69452909666242</v>
      </c>
      <c r="H978" s="77">
        <v>164.69452909666242</v>
      </c>
      <c r="I978" s="77">
        <v>164.69452909666242</v>
      </c>
    </row>
    <row r="979" spans="1:9">
      <c r="A979" s="13">
        <v>932</v>
      </c>
      <c r="B979" s="8">
        <v>2023.3284774044394</v>
      </c>
      <c r="C979" s="14">
        <v>895.39270787293879</v>
      </c>
      <c r="D979" s="77">
        <v>149.23211797882314</v>
      </c>
      <c r="E979" s="77">
        <v>149.23211797882314</v>
      </c>
      <c r="F979" s="77">
        <v>149.23211797882314</v>
      </c>
      <c r="G979" s="77">
        <v>149.23211797882314</v>
      </c>
      <c r="H979" s="77">
        <v>149.23211797882314</v>
      </c>
      <c r="I979" s="77">
        <v>149.23211797882314</v>
      </c>
    </row>
    <row r="980" spans="1:9">
      <c r="A980" s="13">
        <v>933</v>
      </c>
      <c r="B980" s="8">
        <v>2023.2712550021183</v>
      </c>
      <c r="C980" s="14">
        <v>1005.5385978710042</v>
      </c>
      <c r="D980" s="77">
        <v>167.58976631183404</v>
      </c>
      <c r="E980" s="77">
        <v>167.58976631183404</v>
      </c>
      <c r="F980" s="77">
        <v>167.58976631183404</v>
      </c>
      <c r="G980" s="77">
        <v>167.58976631183404</v>
      </c>
      <c r="H980" s="77">
        <v>167.58976631183404</v>
      </c>
      <c r="I980" s="77">
        <v>167.58976631183404</v>
      </c>
    </row>
    <row r="981" spans="1:9">
      <c r="A981" s="13">
        <v>934</v>
      </c>
      <c r="B981" s="8">
        <v>2024.6430115589346</v>
      </c>
      <c r="C981" s="14">
        <v>1120.2914479841834</v>
      </c>
      <c r="D981" s="77">
        <v>186.71524133069724</v>
      </c>
      <c r="E981" s="77">
        <v>186.71524133069724</v>
      </c>
      <c r="F981" s="77">
        <v>186.71524133069724</v>
      </c>
      <c r="G981" s="77">
        <v>186.71524133069724</v>
      </c>
      <c r="H981" s="77">
        <v>186.71524133069724</v>
      </c>
      <c r="I981" s="77">
        <v>186.71524133069724</v>
      </c>
    </row>
    <row r="982" spans="1:9">
      <c r="A982" s="13">
        <v>935</v>
      </c>
      <c r="B982" s="8">
        <v>2024.1654280377554</v>
      </c>
      <c r="C982" s="14">
        <v>1003.2810035004924</v>
      </c>
      <c r="D982" s="77">
        <v>167.2135005834154</v>
      </c>
      <c r="E982" s="77">
        <v>167.2135005834154</v>
      </c>
      <c r="F982" s="77">
        <v>167.2135005834154</v>
      </c>
      <c r="G982" s="77">
        <v>167.2135005834154</v>
      </c>
      <c r="H982" s="77">
        <v>167.2135005834154</v>
      </c>
      <c r="I982" s="77">
        <v>167.2135005834154</v>
      </c>
    </row>
    <row r="983" spans="1:9">
      <c r="A983" s="13">
        <v>936</v>
      </c>
      <c r="B983" s="8">
        <v>2024.6031272506516</v>
      </c>
      <c r="C983" s="14">
        <v>1121.2625455397883</v>
      </c>
      <c r="D983" s="77">
        <v>186.87709092329806</v>
      </c>
      <c r="E983" s="77">
        <v>186.87709092329806</v>
      </c>
      <c r="F983" s="77">
        <v>186.87709092329806</v>
      </c>
      <c r="G983" s="77">
        <v>186.87709092329806</v>
      </c>
      <c r="H983" s="77">
        <v>186.87709092329806</v>
      </c>
      <c r="I983" s="77">
        <v>186.87709092329806</v>
      </c>
    </row>
    <row r="984" spans="1:9">
      <c r="A984" s="13">
        <v>937</v>
      </c>
      <c r="B984" s="8">
        <v>2023.1983474664173</v>
      </c>
      <c r="C984" s="14">
        <v>847.7083994238227</v>
      </c>
      <c r="D984" s="77">
        <v>141.28473323730378</v>
      </c>
      <c r="E984" s="77">
        <v>141.28473323730378</v>
      </c>
      <c r="F984" s="77">
        <v>141.28473323730378</v>
      </c>
      <c r="G984" s="77">
        <v>141.28473323730378</v>
      </c>
      <c r="H984" s="77">
        <v>141.28473323730378</v>
      </c>
      <c r="I984" s="77">
        <v>141.28473323730378</v>
      </c>
    </row>
    <row r="985" spans="1:9">
      <c r="A985" s="13">
        <v>938</v>
      </c>
      <c r="B985" s="8">
        <v>2025.1836611637266</v>
      </c>
      <c r="C985" s="14">
        <v>1170.7181291955462</v>
      </c>
      <c r="D985" s="77">
        <v>195.11968819925769</v>
      </c>
      <c r="E985" s="77">
        <v>195.11968819925769</v>
      </c>
      <c r="F985" s="77">
        <v>195.11968819925769</v>
      </c>
      <c r="G985" s="77">
        <v>195.11968819925769</v>
      </c>
      <c r="H985" s="77">
        <v>195.11968819925769</v>
      </c>
      <c r="I985" s="77">
        <v>195.11968819925769</v>
      </c>
    </row>
    <row r="986" spans="1:9">
      <c r="A986" s="13">
        <v>939</v>
      </c>
      <c r="B986" s="8">
        <v>2023.2707514506615</v>
      </c>
      <c r="C986" s="14">
        <v>963.07573067271289</v>
      </c>
      <c r="D986" s="77">
        <v>160.51262177878547</v>
      </c>
      <c r="E986" s="77">
        <v>160.51262177878547</v>
      </c>
      <c r="F986" s="77">
        <v>160.51262177878547</v>
      </c>
      <c r="G986" s="77">
        <v>160.51262177878547</v>
      </c>
      <c r="H986" s="77">
        <v>160.51262177878547</v>
      </c>
      <c r="I986" s="77">
        <v>160.51262177878547</v>
      </c>
    </row>
    <row r="987" spans="1:9">
      <c r="A987" s="13">
        <v>940</v>
      </c>
      <c r="B987" s="8">
        <v>2023.3411903962369</v>
      </c>
      <c r="C987" s="14">
        <v>902.55210688870466</v>
      </c>
      <c r="D987" s="77">
        <v>150.42535114811744</v>
      </c>
      <c r="E987" s="77">
        <v>150.42535114811744</v>
      </c>
      <c r="F987" s="77">
        <v>150.42535114811744</v>
      </c>
      <c r="G987" s="77">
        <v>150.42535114811744</v>
      </c>
      <c r="H987" s="77">
        <v>150.42535114811744</v>
      </c>
      <c r="I987" s="77">
        <v>150.42535114811744</v>
      </c>
    </row>
    <row r="988" spans="1:9">
      <c r="A988" s="13">
        <v>941</v>
      </c>
      <c r="B988" s="8">
        <v>2024.7209504514062</v>
      </c>
      <c r="C988" s="14">
        <v>1082.828841054036</v>
      </c>
      <c r="D988" s="77">
        <v>180.47147350900602</v>
      </c>
      <c r="E988" s="77">
        <v>180.47147350900602</v>
      </c>
      <c r="F988" s="77">
        <v>180.47147350900602</v>
      </c>
      <c r="G988" s="77">
        <v>180.47147350900602</v>
      </c>
      <c r="H988" s="77">
        <v>180.47147350900602</v>
      </c>
      <c r="I988" s="77">
        <v>180.47147350900602</v>
      </c>
    </row>
    <row r="989" spans="1:9">
      <c r="A989" s="13">
        <v>942</v>
      </c>
      <c r="B989" s="8">
        <v>2023.1256827744644</v>
      </c>
      <c r="C989" s="14">
        <v>869.62229053753026</v>
      </c>
      <c r="D989" s="77">
        <v>144.93704842292172</v>
      </c>
      <c r="E989" s="77">
        <v>144.93704842292172</v>
      </c>
      <c r="F989" s="77">
        <v>144.93704842292172</v>
      </c>
      <c r="G989" s="77">
        <v>144.93704842292172</v>
      </c>
      <c r="H989" s="77">
        <v>144.93704842292172</v>
      </c>
      <c r="I989" s="77">
        <v>144.93704842292172</v>
      </c>
    </row>
    <row r="990" spans="1:9">
      <c r="A990" s="13">
        <v>943</v>
      </c>
      <c r="B990" s="8">
        <v>2022.9054419611475</v>
      </c>
      <c r="C990" s="14">
        <v>897.70034496404799</v>
      </c>
      <c r="D990" s="77">
        <v>149.61672416067466</v>
      </c>
      <c r="E990" s="77">
        <v>149.61672416067466</v>
      </c>
      <c r="F990" s="77">
        <v>149.61672416067466</v>
      </c>
      <c r="G990" s="77">
        <v>149.61672416067466</v>
      </c>
      <c r="H990" s="77">
        <v>149.61672416067466</v>
      </c>
      <c r="I990" s="77">
        <v>149.61672416067466</v>
      </c>
    </row>
    <row r="991" spans="1:9">
      <c r="A991" s="13">
        <v>944</v>
      </c>
      <c r="B991" s="8">
        <v>2022.9747901624619</v>
      </c>
      <c r="C991" s="14">
        <v>862.5328274341415</v>
      </c>
      <c r="D991" s="77">
        <v>143.75547123902359</v>
      </c>
      <c r="E991" s="77">
        <v>143.75547123902359</v>
      </c>
      <c r="F991" s="77">
        <v>143.75547123902359</v>
      </c>
      <c r="G991" s="77">
        <v>143.75547123902359</v>
      </c>
      <c r="H991" s="77">
        <v>143.75547123902359</v>
      </c>
      <c r="I991" s="77">
        <v>143.75547123902359</v>
      </c>
    </row>
    <row r="992" spans="1:9">
      <c r="A992" s="13">
        <v>945</v>
      </c>
      <c r="B992" s="8">
        <v>2023.0274758433548</v>
      </c>
      <c r="C992" s="14">
        <v>938.13508176474443</v>
      </c>
      <c r="D992" s="77">
        <v>156.35584696079073</v>
      </c>
      <c r="E992" s="77">
        <v>156.35584696079073</v>
      </c>
      <c r="F992" s="77">
        <v>156.35584696079073</v>
      </c>
      <c r="G992" s="77">
        <v>156.35584696079073</v>
      </c>
      <c r="H992" s="77">
        <v>156.35584696079073</v>
      </c>
      <c r="I992" s="77">
        <v>156.35584696079073</v>
      </c>
    </row>
    <row r="993" spans="1:9">
      <c r="A993" s="13">
        <v>946</v>
      </c>
      <c r="B993" s="8">
        <v>2023.835421148636</v>
      </c>
      <c r="C993" s="14">
        <v>965.84985593221472</v>
      </c>
      <c r="D993" s="77">
        <v>160.97497598870245</v>
      </c>
      <c r="E993" s="77">
        <v>160.97497598870245</v>
      </c>
      <c r="F993" s="77">
        <v>160.97497598870245</v>
      </c>
      <c r="G993" s="77">
        <v>160.97497598870245</v>
      </c>
      <c r="H993" s="77">
        <v>160.97497598870245</v>
      </c>
      <c r="I993" s="77">
        <v>160.97497598870245</v>
      </c>
    </row>
    <row r="994" spans="1:9">
      <c r="A994" s="13">
        <v>947</v>
      </c>
      <c r="B994" s="8">
        <v>2023.1197215927141</v>
      </c>
      <c r="C994" s="14">
        <v>872.69354283160772</v>
      </c>
      <c r="D994" s="77">
        <v>145.44892380526795</v>
      </c>
      <c r="E994" s="77">
        <v>145.44892380526795</v>
      </c>
      <c r="F994" s="77">
        <v>145.44892380526795</v>
      </c>
      <c r="G994" s="77">
        <v>145.44892380526795</v>
      </c>
      <c r="H994" s="77">
        <v>145.44892380526795</v>
      </c>
      <c r="I994" s="77">
        <v>145.44892380526795</v>
      </c>
    </row>
    <row r="995" spans="1:9">
      <c r="A995" s="13">
        <v>948</v>
      </c>
      <c r="B995" s="8">
        <v>2024.5711179076886</v>
      </c>
      <c r="C995" s="14">
        <v>1059.0545140072902</v>
      </c>
      <c r="D995" s="77">
        <v>176.50908566788169</v>
      </c>
      <c r="E995" s="77">
        <v>176.50908566788169</v>
      </c>
      <c r="F995" s="77">
        <v>176.50908566788169</v>
      </c>
      <c r="G995" s="77">
        <v>176.50908566788169</v>
      </c>
      <c r="H995" s="77">
        <v>176.50908566788169</v>
      </c>
      <c r="I995" s="77">
        <v>176.50908566788169</v>
      </c>
    </row>
    <row r="996" spans="1:9">
      <c r="A996" s="13">
        <v>949</v>
      </c>
      <c r="B996" s="8">
        <v>2023.044857280235</v>
      </c>
      <c r="C996" s="14">
        <v>907.41159070226399</v>
      </c>
      <c r="D996" s="77">
        <v>151.23526511704401</v>
      </c>
      <c r="E996" s="77">
        <v>151.23526511704401</v>
      </c>
      <c r="F996" s="77">
        <v>151.23526511704401</v>
      </c>
      <c r="G996" s="77">
        <v>151.23526511704401</v>
      </c>
      <c r="H996" s="77">
        <v>151.23526511704401</v>
      </c>
      <c r="I996" s="77">
        <v>151.23526511704401</v>
      </c>
    </row>
    <row r="997" spans="1:9">
      <c r="A997" s="13">
        <v>950</v>
      </c>
      <c r="B997" s="8">
        <v>2023.6187528048647</v>
      </c>
      <c r="C997" s="14">
        <v>953.66521305952506</v>
      </c>
      <c r="D997" s="77">
        <v>158.94420217658751</v>
      </c>
      <c r="E997" s="77">
        <v>158.94420217658751</v>
      </c>
      <c r="F997" s="77">
        <v>158.94420217658751</v>
      </c>
      <c r="G997" s="77">
        <v>158.94420217658751</v>
      </c>
      <c r="H997" s="77">
        <v>158.94420217658751</v>
      </c>
      <c r="I997" s="77">
        <v>158.94420217658751</v>
      </c>
    </row>
    <row r="998" spans="1:9">
      <c r="A998" s="13">
        <v>951</v>
      </c>
      <c r="B998" s="8">
        <v>2023.2163452871944</v>
      </c>
      <c r="C998" s="14">
        <v>909.98406914568761</v>
      </c>
      <c r="D998" s="77">
        <v>151.66401152428128</v>
      </c>
      <c r="E998" s="77">
        <v>151.66401152428128</v>
      </c>
      <c r="F998" s="77">
        <v>151.66401152428128</v>
      </c>
      <c r="G998" s="77">
        <v>151.66401152428128</v>
      </c>
      <c r="H998" s="77">
        <v>151.66401152428128</v>
      </c>
      <c r="I998" s="77">
        <v>151.66401152428128</v>
      </c>
    </row>
    <row r="999" spans="1:9">
      <c r="A999" s="13">
        <v>952</v>
      </c>
      <c r="B999" s="8">
        <v>2022.9446504406562</v>
      </c>
      <c r="C999" s="14">
        <v>848.64706679999563</v>
      </c>
      <c r="D999" s="77">
        <v>141.44117779999928</v>
      </c>
      <c r="E999" s="77">
        <v>141.44117779999928</v>
      </c>
      <c r="F999" s="77">
        <v>141.44117779999928</v>
      </c>
      <c r="G999" s="77">
        <v>141.44117779999928</v>
      </c>
      <c r="H999" s="77">
        <v>141.44117779999928</v>
      </c>
      <c r="I999" s="77">
        <v>141.44117779999928</v>
      </c>
    </row>
    <row r="1000" spans="1:9">
      <c r="A1000" s="13">
        <v>953</v>
      </c>
      <c r="B1000" s="8">
        <v>2022.9186736914869</v>
      </c>
      <c r="C1000" s="14">
        <v>889.39171892987531</v>
      </c>
      <c r="D1000" s="77">
        <v>148.23195315497921</v>
      </c>
      <c r="E1000" s="77">
        <v>148.23195315497921</v>
      </c>
      <c r="F1000" s="77">
        <v>148.23195315497921</v>
      </c>
      <c r="G1000" s="77">
        <v>148.23195315497921</v>
      </c>
      <c r="H1000" s="77">
        <v>148.23195315497921</v>
      </c>
      <c r="I1000" s="77">
        <v>148.23195315497921</v>
      </c>
    </row>
    <row r="1001" spans="1:9">
      <c r="A1001" s="13">
        <v>954</v>
      </c>
      <c r="B1001" s="8">
        <v>2023.234090419671</v>
      </c>
      <c r="C1001" s="14">
        <v>898.90705894147152</v>
      </c>
      <c r="D1001" s="77">
        <v>149.81784315691192</v>
      </c>
      <c r="E1001" s="77">
        <v>149.81784315691192</v>
      </c>
      <c r="F1001" s="77">
        <v>149.81784315691192</v>
      </c>
      <c r="G1001" s="77">
        <v>149.81784315691192</v>
      </c>
      <c r="H1001" s="77">
        <v>149.81784315691192</v>
      </c>
      <c r="I1001" s="77">
        <v>149.81784315691192</v>
      </c>
    </row>
    <row r="1002" spans="1:9">
      <c r="A1002" s="13">
        <v>955</v>
      </c>
      <c r="B1002" s="8">
        <v>2022.7812584039975</v>
      </c>
      <c r="C1002" s="14">
        <v>859.73751394798626</v>
      </c>
      <c r="D1002" s="77">
        <v>143.28958565799772</v>
      </c>
      <c r="E1002" s="77">
        <v>143.28958565799772</v>
      </c>
      <c r="F1002" s="77">
        <v>143.28958565799772</v>
      </c>
      <c r="G1002" s="77">
        <v>143.28958565799772</v>
      </c>
      <c r="H1002" s="77">
        <v>143.28958565799772</v>
      </c>
      <c r="I1002" s="77">
        <v>143.28958565799772</v>
      </c>
    </row>
    <row r="1003" spans="1:9">
      <c r="A1003" s="13">
        <v>956</v>
      </c>
      <c r="B1003" s="8">
        <v>2024.8024671967116</v>
      </c>
      <c r="C1003" s="14">
        <v>1125.4928281696982</v>
      </c>
      <c r="D1003" s="77">
        <v>187.58213802828303</v>
      </c>
      <c r="E1003" s="77">
        <v>187.58213802828303</v>
      </c>
      <c r="F1003" s="77">
        <v>187.58213802828303</v>
      </c>
      <c r="G1003" s="77">
        <v>187.58213802828303</v>
      </c>
      <c r="H1003" s="77">
        <v>187.58213802828303</v>
      </c>
      <c r="I1003" s="77">
        <v>187.58213802828303</v>
      </c>
    </row>
    <row r="1004" spans="1:9">
      <c r="A1004" s="13">
        <v>957</v>
      </c>
      <c r="B1004" s="8">
        <v>2023.048413250923</v>
      </c>
      <c r="C1004" s="14">
        <v>912.12490662551465</v>
      </c>
      <c r="D1004" s="77">
        <v>152.02081777091911</v>
      </c>
      <c r="E1004" s="77">
        <v>152.02081777091911</v>
      </c>
      <c r="F1004" s="77">
        <v>152.02081777091911</v>
      </c>
      <c r="G1004" s="77">
        <v>152.02081777091911</v>
      </c>
      <c r="H1004" s="77">
        <v>152.02081777091911</v>
      </c>
      <c r="I1004" s="77">
        <v>152.02081777091911</v>
      </c>
    </row>
    <row r="1005" spans="1:9">
      <c r="A1005" s="13">
        <v>958</v>
      </c>
      <c r="B1005" s="8">
        <v>2025.1230427376317</v>
      </c>
      <c r="C1005" s="14">
        <v>1163.4716166982801</v>
      </c>
      <c r="D1005" s="77">
        <v>193.91193611638002</v>
      </c>
      <c r="E1005" s="77">
        <v>193.91193611638002</v>
      </c>
      <c r="F1005" s="77">
        <v>193.91193611638002</v>
      </c>
      <c r="G1005" s="77">
        <v>193.91193611638002</v>
      </c>
      <c r="H1005" s="77">
        <v>193.91193611638002</v>
      </c>
      <c r="I1005" s="77">
        <v>193.91193611638002</v>
      </c>
    </row>
    <row r="1006" spans="1:9">
      <c r="A1006" s="13">
        <v>959</v>
      </c>
      <c r="B1006" s="8">
        <v>2023.3497036835365</v>
      </c>
      <c r="C1006" s="14">
        <v>882.13049869606004</v>
      </c>
      <c r="D1006" s="77">
        <v>147.02174978267666</v>
      </c>
      <c r="E1006" s="77">
        <v>147.02174978267666</v>
      </c>
      <c r="F1006" s="77">
        <v>147.02174978267666</v>
      </c>
      <c r="G1006" s="77">
        <v>147.02174978267666</v>
      </c>
      <c r="H1006" s="77">
        <v>147.02174978267666</v>
      </c>
      <c r="I1006" s="77">
        <v>147.02174978267666</v>
      </c>
    </row>
    <row r="1007" spans="1:9">
      <c r="A1007" s="13">
        <v>960</v>
      </c>
      <c r="B1007" s="8">
        <v>2024.7470663756549</v>
      </c>
      <c r="C1007" s="14">
        <v>1153.7234235538822</v>
      </c>
      <c r="D1007" s="77">
        <v>192.28723725898035</v>
      </c>
      <c r="E1007" s="77">
        <v>192.28723725898035</v>
      </c>
      <c r="F1007" s="77">
        <v>192.28723725898035</v>
      </c>
      <c r="G1007" s="77">
        <v>192.28723725898035</v>
      </c>
      <c r="H1007" s="77">
        <v>192.28723725898035</v>
      </c>
      <c r="I1007" s="77">
        <v>192.28723725898035</v>
      </c>
    </row>
    <row r="1008" spans="1:9">
      <c r="A1008" s="13">
        <v>961</v>
      </c>
      <c r="B1008" s="8">
        <v>2023.7378611164274</v>
      </c>
      <c r="C1008" s="14">
        <v>1032.5712084228039</v>
      </c>
      <c r="D1008" s="77">
        <v>172.09520140380064</v>
      </c>
      <c r="E1008" s="77">
        <v>172.09520140380064</v>
      </c>
      <c r="F1008" s="77">
        <v>172.09520140380064</v>
      </c>
      <c r="G1008" s="77">
        <v>172.09520140380064</v>
      </c>
      <c r="H1008" s="77">
        <v>172.09520140380064</v>
      </c>
      <c r="I1008" s="77">
        <v>172.09520140380064</v>
      </c>
    </row>
    <row r="1009" spans="1:9">
      <c r="A1009" s="13">
        <v>962</v>
      </c>
      <c r="B1009" s="8">
        <v>2022.7726300225838</v>
      </c>
      <c r="C1009" s="14">
        <v>931.15450478135278</v>
      </c>
      <c r="D1009" s="77">
        <v>155.1924174635588</v>
      </c>
      <c r="E1009" s="77">
        <v>155.1924174635588</v>
      </c>
      <c r="F1009" s="77">
        <v>155.1924174635588</v>
      </c>
      <c r="G1009" s="77">
        <v>155.1924174635588</v>
      </c>
      <c r="H1009" s="77">
        <v>155.1924174635588</v>
      </c>
      <c r="I1009" s="77">
        <v>155.1924174635588</v>
      </c>
    </row>
    <row r="1010" spans="1:9">
      <c r="A1010" s="13">
        <v>963</v>
      </c>
      <c r="B1010" s="8">
        <v>2024.1834359388308</v>
      </c>
      <c r="C1010" s="14">
        <v>1074.7297596875665</v>
      </c>
      <c r="D1010" s="77">
        <v>179.12162661459442</v>
      </c>
      <c r="E1010" s="77">
        <v>179.12162661459442</v>
      </c>
      <c r="F1010" s="77">
        <v>179.12162661459442</v>
      </c>
      <c r="G1010" s="77">
        <v>179.12162661459442</v>
      </c>
      <c r="H1010" s="77">
        <v>179.12162661459442</v>
      </c>
      <c r="I1010" s="77">
        <v>179.12162661459442</v>
      </c>
    </row>
    <row r="1011" spans="1:9">
      <c r="A1011" s="13">
        <v>964</v>
      </c>
      <c r="B1011" s="8">
        <v>2023.271982502989</v>
      </c>
      <c r="C1011" s="14">
        <v>932.55974387990477</v>
      </c>
      <c r="D1011" s="77">
        <v>155.42662397998413</v>
      </c>
      <c r="E1011" s="77">
        <v>155.42662397998413</v>
      </c>
      <c r="F1011" s="77">
        <v>155.42662397998413</v>
      </c>
      <c r="G1011" s="77">
        <v>155.42662397998413</v>
      </c>
      <c r="H1011" s="77">
        <v>155.42662397998413</v>
      </c>
      <c r="I1011" s="77">
        <v>155.42662397998413</v>
      </c>
    </row>
    <row r="1012" spans="1:9">
      <c r="A1012" s="13">
        <v>965</v>
      </c>
      <c r="B1012" s="8">
        <v>2022.892627369258</v>
      </c>
      <c r="C1012" s="14">
        <v>871.21106084061387</v>
      </c>
      <c r="D1012" s="77">
        <v>145.20184347343564</v>
      </c>
      <c r="E1012" s="77">
        <v>145.20184347343564</v>
      </c>
      <c r="F1012" s="77">
        <v>145.20184347343564</v>
      </c>
      <c r="G1012" s="77">
        <v>145.20184347343564</v>
      </c>
      <c r="H1012" s="77">
        <v>145.20184347343564</v>
      </c>
      <c r="I1012" s="77">
        <v>145.20184347343564</v>
      </c>
    </row>
    <row r="1013" spans="1:9">
      <c r="A1013" s="13">
        <v>966</v>
      </c>
      <c r="B1013" s="8">
        <v>2022.9860163992564</v>
      </c>
      <c r="C1013" s="14">
        <v>867.83737424082949</v>
      </c>
      <c r="D1013" s="77">
        <v>144.63956237347159</v>
      </c>
      <c r="E1013" s="77">
        <v>144.63956237347159</v>
      </c>
      <c r="F1013" s="77">
        <v>144.63956237347159</v>
      </c>
      <c r="G1013" s="77">
        <v>144.63956237347159</v>
      </c>
      <c r="H1013" s="77">
        <v>144.63956237347159</v>
      </c>
      <c r="I1013" s="77">
        <v>144.63956237347159</v>
      </c>
    </row>
    <row r="1014" spans="1:9">
      <c r="A1014" s="13">
        <v>967</v>
      </c>
      <c r="B1014" s="8">
        <v>2023.3005491952683</v>
      </c>
      <c r="C1014" s="14">
        <v>982.07157030091923</v>
      </c>
      <c r="D1014" s="77">
        <v>163.67859505015321</v>
      </c>
      <c r="E1014" s="77">
        <v>163.67859505015321</v>
      </c>
      <c r="F1014" s="77">
        <v>163.67859505015321</v>
      </c>
      <c r="G1014" s="77">
        <v>163.67859505015321</v>
      </c>
      <c r="H1014" s="77">
        <v>163.67859505015321</v>
      </c>
      <c r="I1014" s="77">
        <v>163.67859505015321</v>
      </c>
    </row>
    <row r="1015" spans="1:9">
      <c r="A1015" s="13">
        <v>968</v>
      </c>
      <c r="B1015" s="8">
        <v>2024.9554340059142</v>
      </c>
      <c r="C1015" s="14">
        <v>1106.2724579107135</v>
      </c>
      <c r="D1015" s="77">
        <v>184.37874298511892</v>
      </c>
      <c r="E1015" s="77">
        <v>184.37874298511892</v>
      </c>
      <c r="F1015" s="77">
        <v>184.37874298511892</v>
      </c>
      <c r="G1015" s="77">
        <v>184.37874298511892</v>
      </c>
      <c r="H1015" s="77">
        <v>184.37874298511892</v>
      </c>
      <c r="I1015" s="77">
        <v>184.37874298511892</v>
      </c>
    </row>
    <row r="1016" spans="1:9">
      <c r="A1016" s="13">
        <v>969</v>
      </c>
      <c r="B1016" s="8">
        <v>2023.2672868260545</v>
      </c>
      <c r="C1016" s="14">
        <v>932.82823923635897</v>
      </c>
      <c r="D1016" s="77">
        <v>155.47137320605984</v>
      </c>
      <c r="E1016" s="77">
        <v>155.47137320605984</v>
      </c>
      <c r="F1016" s="77">
        <v>155.47137320605984</v>
      </c>
      <c r="G1016" s="77">
        <v>155.47137320605984</v>
      </c>
      <c r="H1016" s="77">
        <v>155.47137320605984</v>
      </c>
      <c r="I1016" s="77">
        <v>155.47137320605984</v>
      </c>
    </row>
    <row r="1017" spans="1:9">
      <c r="A1017" s="13">
        <v>970</v>
      </c>
      <c r="B1017" s="8">
        <v>2023.0006106103615</v>
      </c>
      <c r="C1017" s="14">
        <v>894.91556853816007</v>
      </c>
      <c r="D1017" s="77">
        <v>149.15259475636</v>
      </c>
      <c r="E1017" s="77">
        <v>149.15259475636</v>
      </c>
      <c r="F1017" s="77">
        <v>149.15259475636</v>
      </c>
      <c r="G1017" s="77">
        <v>149.15259475636</v>
      </c>
      <c r="H1017" s="77">
        <v>149.15259475636</v>
      </c>
      <c r="I1017" s="77">
        <v>149.15259475636</v>
      </c>
    </row>
    <row r="1018" spans="1:9">
      <c r="A1018" s="13">
        <v>971</v>
      </c>
      <c r="B1018" s="8">
        <v>2024.6169510066577</v>
      </c>
      <c r="C1018" s="14">
        <v>1061.0639931961307</v>
      </c>
      <c r="D1018" s="77">
        <v>176.84399886602179</v>
      </c>
      <c r="E1018" s="77">
        <v>176.84399886602179</v>
      </c>
      <c r="F1018" s="77">
        <v>176.84399886602179</v>
      </c>
      <c r="G1018" s="77">
        <v>176.84399886602179</v>
      </c>
      <c r="H1018" s="77">
        <v>176.84399886602179</v>
      </c>
      <c r="I1018" s="77">
        <v>176.84399886602179</v>
      </c>
    </row>
    <row r="1019" spans="1:9">
      <c r="A1019" s="13">
        <v>972</v>
      </c>
      <c r="B1019" s="8">
        <v>2022.7119884380841</v>
      </c>
      <c r="C1019" s="14">
        <v>848.63235455360893</v>
      </c>
      <c r="D1019" s="77">
        <v>141.43872575893482</v>
      </c>
      <c r="E1019" s="77">
        <v>141.43872575893482</v>
      </c>
      <c r="F1019" s="77">
        <v>141.43872575893482</v>
      </c>
      <c r="G1019" s="77">
        <v>141.43872575893482</v>
      </c>
      <c r="H1019" s="77">
        <v>141.43872575893482</v>
      </c>
      <c r="I1019" s="77">
        <v>141.43872575893482</v>
      </c>
    </row>
    <row r="1020" spans="1:9">
      <c r="A1020" s="13">
        <v>973</v>
      </c>
      <c r="B1020" s="8">
        <v>2025.7140906434779</v>
      </c>
      <c r="C1020" s="14">
        <v>1252.9420143887144</v>
      </c>
      <c r="D1020" s="77">
        <v>208.82366906478572</v>
      </c>
      <c r="E1020" s="77">
        <v>208.82366906478572</v>
      </c>
      <c r="F1020" s="77">
        <v>208.82366906478572</v>
      </c>
      <c r="G1020" s="77">
        <v>208.82366906478572</v>
      </c>
      <c r="H1020" s="77">
        <v>208.82366906478572</v>
      </c>
      <c r="I1020" s="77">
        <v>208.82366906478572</v>
      </c>
    </row>
    <row r="1021" spans="1:9">
      <c r="A1021" s="13">
        <v>974</v>
      </c>
      <c r="B1021" s="8">
        <v>2024.6327070765365</v>
      </c>
      <c r="C1021" s="14">
        <v>1073.2316734433621</v>
      </c>
      <c r="D1021" s="77">
        <v>178.87194557389367</v>
      </c>
      <c r="E1021" s="77">
        <v>178.87194557389367</v>
      </c>
      <c r="F1021" s="77">
        <v>178.87194557389367</v>
      </c>
      <c r="G1021" s="77">
        <v>178.87194557389367</v>
      </c>
      <c r="H1021" s="77">
        <v>178.87194557389367</v>
      </c>
      <c r="I1021" s="77">
        <v>178.87194557389367</v>
      </c>
    </row>
    <row r="1022" spans="1:9">
      <c r="A1022" s="13">
        <v>975</v>
      </c>
      <c r="B1022" s="8">
        <v>2022.9926210910153</v>
      </c>
      <c r="C1022" s="14">
        <v>855.92321708650877</v>
      </c>
      <c r="D1022" s="77">
        <v>142.65386951441812</v>
      </c>
      <c r="E1022" s="77">
        <v>142.65386951441812</v>
      </c>
      <c r="F1022" s="77">
        <v>142.65386951441812</v>
      </c>
      <c r="G1022" s="77">
        <v>142.65386951441812</v>
      </c>
      <c r="H1022" s="77">
        <v>142.65386951441812</v>
      </c>
      <c r="I1022" s="77">
        <v>142.65386951441812</v>
      </c>
    </row>
    <row r="1023" spans="1:9">
      <c r="A1023" s="13">
        <v>976</v>
      </c>
      <c r="B1023" s="8">
        <v>2022.7759287874035</v>
      </c>
      <c r="C1023" s="14">
        <v>873.98816716899887</v>
      </c>
      <c r="D1023" s="77">
        <v>145.66469452816648</v>
      </c>
      <c r="E1023" s="77">
        <v>145.66469452816648</v>
      </c>
      <c r="F1023" s="77">
        <v>145.66469452816648</v>
      </c>
      <c r="G1023" s="77">
        <v>145.66469452816648</v>
      </c>
      <c r="H1023" s="77">
        <v>145.66469452816648</v>
      </c>
      <c r="I1023" s="77">
        <v>145.66469452816648</v>
      </c>
    </row>
    <row r="1024" spans="1:9">
      <c r="A1024" s="13">
        <v>977</v>
      </c>
      <c r="B1024" s="8">
        <v>2023.2221501653848</v>
      </c>
      <c r="C1024" s="14">
        <v>933.18550003491453</v>
      </c>
      <c r="D1024" s="77">
        <v>155.53091667248574</v>
      </c>
      <c r="E1024" s="77">
        <v>155.53091667248574</v>
      </c>
      <c r="F1024" s="77">
        <v>155.53091667248574</v>
      </c>
      <c r="G1024" s="77">
        <v>155.53091667248574</v>
      </c>
      <c r="H1024" s="77">
        <v>155.53091667248574</v>
      </c>
      <c r="I1024" s="77">
        <v>155.53091667248574</v>
      </c>
    </row>
    <row r="1025" spans="1:9">
      <c r="A1025" s="13">
        <v>978</v>
      </c>
      <c r="B1025" s="8">
        <v>2023.1790556146482</v>
      </c>
      <c r="C1025" s="14">
        <v>954.84127720621768</v>
      </c>
      <c r="D1025" s="77">
        <v>159.14021286770296</v>
      </c>
      <c r="E1025" s="77">
        <v>159.14021286770296</v>
      </c>
      <c r="F1025" s="77">
        <v>159.14021286770296</v>
      </c>
      <c r="G1025" s="77">
        <v>159.14021286770296</v>
      </c>
      <c r="H1025" s="77">
        <v>159.14021286770296</v>
      </c>
      <c r="I1025" s="77">
        <v>159.14021286770296</v>
      </c>
    </row>
    <row r="1026" spans="1:9">
      <c r="A1026" s="13">
        <v>979</v>
      </c>
      <c r="B1026" s="8">
        <v>2023.9528470756645</v>
      </c>
      <c r="C1026" s="14">
        <v>969.42816844434185</v>
      </c>
      <c r="D1026" s="77">
        <v>161.5713614073903</v>
      </c>
      <c r="E1026" s="77">
        <v>161.5713614073903</v>
      </c>
      <c r="F1026" s="77">
        <v>161.5713614073903</v>
      </c>
      <c r="G1026" s="77">
        <v>161.5713614073903</v>
      </c>
      <c r="H1026" s="77">
        <v>161.5713614073903</v>
      </c>
      <c r="I1026" s="77">
        <v>161.5713614073903</v>
      </c>
    </row>
    <row r="1027" spans="1:9">
      <c r="A1027" s="13">
        <v>980</v>
      </c>
      <c r="B1027" s="8">
        <v>2023.3107386504323</v>
      </c>
      <c r="C1027" s="14">
        <v>882.52610784568981</v>
      </c>
      <c r="D1027" s="77">
        <v>147.08768464094831</v>
      </c>
      <c r="E1027" s="77">
        <v>147.08768464094831</v>
      </c>
      <c r="F1027" s="77">
        <v>147.08768464094831</v>
      </c>
      <c r="G1027" s="77">
        <v>147.08768464094831</v>
      </c>
      <c r="H1027" s="77">
        <v>147.08768464094831</v>
      </c>
      <c r="I1027" s="77">
        <v>147.08768464094831</v>
      </c>
    </row>
    <row r="1028" spans="1:9">
      <c r="A1028" s="13">
        <v>981</v>
      </c>
      <c r="B1028" s="8">
        <v>2023.907689955563</v>
      </c>
      <c r="C1028" s="14">
        <v>924.56379519890038</v>
      </c>
      <c r="D1028" s="77">
        <v>154.09396586648339</v>
      </c>
      <c r="E1028" s="77">
        <v>154.09396586648339</v>
      </c>
      <c r="F1028" s="77">
        <v>154.09396586648339</v>
      </c>
      <c r="G1028" s="77">
        <v>154.09396586648339</v>
      </c>
      <c r="H1028" s="77">
        <v>154.09396586648339</v>
      </c>
      <c r="I1028" s="77">
        <v>154.09396586648339</v>
      </c>
    </row>
    <row r="1029" spans="1:9">
      <c r="A1029" s="13">
        <v>982</v>
      </c>
      <c r="B1029" s="8">
        <v>2022.6229142186894</v>
      </c>
      <c r="C1029" s="14">
        <v>823.49521360560311</v>
      </c>
      <c r="D1029" s="77">
        <v>137.24920226760051</v>
      </c>
      <c r="E1029" s="77">
        <v>137.24920226760051</v>
      </c>
      <c r="F1029" s="77">
        <v>137.24920226760051</v>
      </c>
      <c r="G1029" s="77">
        <v>137.24920226760051</v>
      </c>
      <c r="H1029" s="77">
        <v>137.24920226760051</v>
      </c>
      <c r="I1029" s="77">
        <v>137.24920226760051</v>
      </c>
    </row>
    <row r="1030" spans="1:9">
      <c r="A1030" s="13">
        <v>983</v>
      </c>
      <c r="B1030" s="8">
        <v>2024.2676763365048</v>
      </c>
      <c r="C1030" s="14">
        <v>1112.9468624962522</v>
      </c>
      <c r="D1030" s="77">
        <v>185.49114374937537</v>
      </c>
      <c r="E1030" s="77">
        <v>185.49114374937537</v>
      </c>
      <c r="F1030" s="77">
        <v>185.49114374937537</v>
      </c>
      <c r="G1030" s="77">
        <v>185.49114374937537</v>
      </c>
      <c r="H1030" s="77">
        <v>185.49114374937537</v>
      </c>
      <c r="I1030" s="77">
        <v>185.49114374937537</v>
      </c>
    </row>
    <row r="1031" spans="1:9">
      <c r="A1031" s="13">
        <v>984</v>
      </c>
      <c r="B1031" s="8">
        <v>2024.354362369055</v>
      </c>
      <c r="C1031" s="14">
        <v>1024.1570073105354</v>
      </c>
      <c r="D1031" s="77">
        <v>170.69283455175591</v>
      </c>
      <c r="E1031" s="77">
        <v>170.69283455175591</v>
      </c>
      <c r="F1031" s="77">
        <v>170.69283455175591</v>
      </c>
      <c r="G1031" s="77">
        <v>170.69283455175591</v>
      </c>
      <c r="H1031" s="77">
        <v>170.69283455175591</v>
      </c>
      <c r="I1031" s="77">
        <v>170.69283455175591</v>
      </c>
    </row>
    <row r="1032" spans="1:9">
      <c r="A1032" s="13">
        <v>985</v>
      </c>
      <c r="B1032" s="8">
        <v>2024.4617785726934</v>
      </c>
      <c r="C1032" s="14">
        <v>1085.1673881482766</v>
      </c>
      <c r="D1032" s="77">
        <v>180.8612313580461</v>
      </c>
      <c r="E1032" s="77">
        <v>180.8612313580461</v>
      </c>
      <c r="F1032" s="77">
        <v>180.8612313580461</v>
      </c>
      <c r="G1032" s="77">
        <v>180.8612313580461</v>
      </c>
      <c r="H1032" s="77">
        <v>180.8612313580461</v>
      </c>
      <c r="I1032" s="77">
        <v>180.8612313580461</v>
      </c>
    </row>
    <row r="1033" spans="1:9">
      <c r="A1033" s="13">
        <v>986</v>
      </c>
      <c r="B1033" s="8">
        <v>2025.5575266734124</v>
      </c>
      <c r="C1033" s="14">
        <v>1202.5702707245775</v>
      </c>
      <c r="D1033" s="77">
        <v>200.42837845409625</v>
      </c>
      <c r="E1033" s="77">
        <v>200.42837845409625</v>
      </c>
      <c r="F1033" s="77">
        <v>200.42837845409625</v>
      </c>
      <c r="G1033" s="77">
        <v>200.42837845409625</v>
      </c>
      <c r="H1033" s="77">
        <v>200.42837845409625</v>
      </c>
      <c r="I1033" s="77">
        <v>200.42837845409625</v>
      </c>
    </row>
    <row r="1034" spans="1:9">
      <c r="A1034" s="13">
        <v>987</v>
      </c>
      <c r="B1034" s="8">
        <v>2022.7413781946248</v>
      </c>
      <c r="C1034" s="14">
        <v>887.03910913884499</v>
      </c>
      <c r="D1034" s="77">
        <v>147.83985152314082</v>
      </c>
      <c r="E1034" s="77">
        <v>147.83985152314082</v>
      </c>
      <c r="F1034" s="77">
        <v>147.83985152314082</v>
      </c>
      <c r="G1034" s="77">
        <v>147.83985152314082</v>
      </c>
      <c r="H1034" s="77">
        <v>147.83985152314082</v>
      </c>
      <c r="I1034" s="77">
        <v>147.83985152314082</v>
      </c>
    </row>
    <row r="1035" spans="1:9">
      <c r="A1035" s="13">
        <v>988</v>
      </c>
      <c r="B1035" s="8">
        <v>2024.7376847822925</v>
      </c>
      <c r="C1035" s="14">
        <v>1047.2374551668988</v>
      </c>
      <c r="D1035" s="77">
        <v>174.53957586114981</v>
      </c>
      <c r="E1035" s="77">
        <v>174.53957586114981</v>
      </c>
      <c r="F1035" s="77">
        <v>174.53957586114981</v>
      </c>
      <c r="G1035" s="77">
        <v>174.53957586114981</v>
      </c>
      <c r="H1035" s="77">
        <v>174.53957586114981</v>
      </c>
      <c r="I1035" s="77">
        <v>174.53957586114981</v>
      </c>
    </row>
    <row r="1036" spans="1:9">
      <c r="A1036" s="13">
        <v>989</v>
      </c>
      <c r="B1036" s="8">
        <v>2025.6778801972969</v>
      </c>
      <c r="C1036" s="14">
        <v>1212.1463930914365</v>
      </c>
      <c r="D1036" s="77">
        <v>202.02439884857276</v>
      </c>
      <c r="E1036" s="77">
        <v>202.02439884857276</v>
      </c>
      <c r="F1036" s="77">
        <v>202.02439884857276</v>
      </c>
      <c r="G1036" s="77">
        <v>202.02439884857276</v>
      </c>
      <c r="H1036" s="77">
        <v>202.02439884857276</v>
      </c>
      <c r="I1036" s="77">
        <v>202.02439884857276</v>
      </c>
    </row>
    <row r="1037" spans="1:9">
      <c r="A1037" s="13">
        <v>990</v>
      </c>
      <c r="B1037" s="8">
        <v>2022.8285116317231</v>
      </c>
      <c r="C1037" s="14">
        <v>902.50024000669237</v>
      </c>
      <c r="D1037" s="77">
        <v>150.41670666778205</v>
      </c>
      <c r="E1037" s="77">
        <v>150.41670666778205</v>
      </c>
      <c r="F1037" s="77">
        <v>150.41670666778205</v>
      </c>
      <c r="G1037" s="77">
        <v>150.41670666778205</v>
      </c>
      <c r="H1037" s="77">
        <v>150.41670666778205</v>
      </c>
      <c r="I1037" s="77">
        <v>150.41670666778205</v>
      </c>
    </row>
    <row r="1038" spans="1:9">
      <c r="A1038" s="13">
        <v>991</v>
      </c>
      <c r="B1038" s="8">
        <v>2024.3514194560162</v>
      </c>
      <c r="C1038" s="14">
        <v>1024.8316869020393</v>
      </c>
      <c r="D1038" s="77">
        <v>170.80528115033988</v>
      </c>
      <c r="E1038" s="77">
        <v>170.80528115033988</v>
      </c>
      <c r="F1038" s="77">
        <v>170.80528115033988</v>
      </c>
      <c r="G1038" s="77">
        <v>170.80528115033988</v>
      </c>
      <c r="H1038" s="77">
        <v>170.80528115033988</v>
      </c>
      <c r="I1038" s="77">
        <v>170.80528115033988</v>
      </c>
    </row>
    <row r="1039" spans="1:9">
      <c r="A1039" s="13">
        <v>992</v>
      </c>
      <c r="B1039" s="8">
        <v>2025.068439551198</v>
      </c>
      <c r="C1039" s="14">
        <v>1105.3925658554506</v>
      </c>
      <c r="D1039" s="77">
        <v>184.23209430924177</v>
      </c>
      <c r="E1039" s="77">
        <v>184.23209430924177</v>
      </c>
      <c r="F1039" s="77">
        <v>184.23209430924177</v>
      </c>
      <c r="G1039" s="77">
        <v>184.23209430924177</v>
      </c>
      <c r="H1039" s="77">
        <v>184.23209430924177</v>
      </c>
      <c r="I1039" s="77">
        <v>184.23209430924177</v>
      </c>
    </row>
    <row r="1040" spans="1:9">
      <c r="A1040" s="13">
        <v>993</v>
      </c>
      <c r="B1040" s="8">
        <v>2025.4120497338943</v>
      </c>
      <c r="C1040" s="14">
        <v>1184.349116450891</v>
      </c>
      <c r="D1040" s="77">
        <v>197.39151940848183</v>
      </c>
      <c r="E1040" s="77">
        <v>197.39151940848183</v>
      </c>
      <c r="F1040" s="77">
        <v>197.39151940848183</v>
      </c>
      <c r="G1040" s="77">
        <v>197.39151940848183</v>
      </c>
      <c r="H1040" s="77">
        <v>197.39151940848183</v>
      </c>
      <c r="I1040" s="77">
        <v>197.39151940848183</v>
      </c>
    </row>
    <row r="1041" spans="1:9">
      <c r="A1041" s="13">
        <v>994</v>
      </c>
      <c r="B1041" s="8">
        <v>2026.3397053297092</v>
      </c>
      <c r="C1041" s="14">
        <v>1304.5444285999338</v>
      </c>
      <c r="D1041" s="77">
        <v>217.4240714333223</v>
      </c>
      <c r="E1041" s="77">
        <v>217.4240714333223</v>
      </c>
      <c r="F1041" s="77">
        <v>217.4240714333223</v>
      </c>
      <c r="G1041" s="77">
        <v>217.4240714333223</v>
      </c>
      <c r="H1041" s="77">
        <v>217.4240714333223</v>
      </c>
      <c r="I1041" s="77">
        <v>217.4240714333223</v>
      </c>
    </row>
    <row r="1042" spans="1:9">
      <c r="A1042" s="13">
        <v>995</v>
      </c>
      <c r="B1042" s="8">
        <v>2024.9203015427443</v>
      </c>
      <c r="C1042" s="14">
        <v>1156.4648168576109</v>
      </c>
      <c r="D1042" s="77">
        <v>192.74413614293516</v>
      </c>
      <c r="E1042" s="77">
        <v>192.74413614293516</v>
      </c>
      <c r="F1042" s="77">
        <v>192.74413614293516</v>
      </c>
      <c r="G1042" s="77">
        <v>192.74413614293516</v>
      </c>
      <c r="H1042" s="77">
        <v>192.74413614293516</v>
      </c>
      <c r="I1042" s="77">
        <v>192.74413614293516</v>
      </c>
    </row>
    <row r="1043" spans="1:9">
      <c r="A1043" s="13">
        <v>996</v>
      </c>
      <c r="B1043" s="8">
        <v>2022.9821473893678</v>
      </c>
      <c r="C1043" s="14">
        <v>882.09143056163612</v>
      </c>
      <c r="D1043" s="77">
        <v>147.01523842693936</v>
      </c>
      <c r="E1043" s="77">
        <v>147.01523842693936</v>
      </c>
      <c r="F1043" s="77">
        <v>147.01523842693936</v>
      </c>
      <c r="G1043" s="77">
        <v>147.01523842693936</v>
      </c>
      <c r="H1043" s="77">
        <v>147.01523842693936</v>
      </c>
      <c r="I1043" s="77">
        <v>147.01523842693936</v>
      </c>
    </row>
    <row r="1044" spans="1:9">
      <c r="A1044" s="13">
        <v>997</v>
      </c>
      <c r="B1044" s="8">
        <v>2025.8959219531191</v>
      </c>
      <c r="C1044" s="14">
        <v>1234.8850101961298</v>
      </c>
      <c r="D1044" s="77">
        <v>205.81416836602162</v>
      </c>
      <c r="E1044" s="77">
        <v>205.81416836602162</v>
      </c>
      <c r="F1044" s="77">
        <v>205.81416836602162</v>
      </c>
      <c r="G1044" s="77">
        <v>205.81416836602162</v>
      </c>
      <c r="H1044" s="77">
        <v>205.81416836602162</v>
      </c>
      <c r="I1044" s="77">
        <v>205.81416836602162</v>
      </c>
    </row>
    <row r="1045" spans="1:9">
      <c r="A1045" s="13">
        <v>998</v>
      </c>
      <c r="B1045" s="8">
        <v>2023.378868937863</v>
      </c>
      <c r="C1045" s="14">
        <v>958.67117471806921</v>
      </c>
      <c r="D1045" s="77">
        <v>159.77852911967821</v>
      </c>
      <c r="E1045" s="77">
        <v>159.77852911967821</v>
      </c>
      <c r="F1045" s="77">
        <v>159.77852911967821</v>
      </c>
      <c r="G1045" s="77">
        <v>159.77852911967821</v>
      </c>
      <c r="H1045" s="77">
        <v>159.77852911967821</v>
      </c>
      <c r="I1045" s="77">
        <v>159.77852911967821</v>
      </c>
    </row>
    <row r="1046" spans="1:9">
      <c r="A1046" s="13">
        <v>999</v>
      </c>
      <c r="B1046" s="8">
        <v>2023.4625201880679</v>
      </c>
      <c r="C1046" s="14">
        <v>994.48583249477178</v>
      </c>
      <c r="D1046" s="77">
        <v>165.74763874912864</v>
      </c>
      <c r="E1046" s="77">
        <v>165.74763874912864</v>
      </c>
      <c r="F1046" s="77">
        <v>165.74763874912864</v>
      </c>
      <c r="G1046" s="77">
        <v>165.74763874912864</v>
      </c>
      <c r="H1046" s="77">
        <v>165.74763874912864</v>
      </c>
      <c r="I1046" s="77">
        <v>165.74763874912864</v>
      </c>
    </row>
    <row r="1047" spans="1:9">
      <c r="A1047" s="13">
        <v>1000</v>
      </c>
      <c r="B1047" s="8">
        <v>2023.3471223989734</v>
      </c>
      <c r="C1047" s="14">
        <v>974.45594010015793</v>
      </c>
      <c r="D1047" s="77">
        <v>162.40932335002631</v>
      </c>
      <c r="E1047" s="77">
        <v>162.40932335002631</v>
      </c>
      <c r="F1047" s="77">
        <v>162.40932335002631</v>
      </c>
      <c r="G1047" s="77">
        <v>162.40932335002631</v>
      </c>
      <c r="H1047" s="77">
        <v>162.40932335002631</v>
      </c>
      <c r="I1047" s="77">
        <v>162.40932335002631</v>
      </c>
    </row>
    <row r="1048" spans="1:9">
      <c r="B1048" s="76">
        <v>2023.1874067526066</v>
      </c>
      <c r="C1048">
        <v>889.68237035789195</v>
      </c>
      <c r="D1048" s="77">
        <v>148.28039505964867</v>
      </c>
      <c r="E1048" s="77">
        <v>148.28039505964867</v>
      </c>
      <c r="F1048" s="77">
        <v>148.28039505964867</v>
      </c>
      <c r="G1048" s="77">
        <v>148.28039505964867</v>
      </c>
      <c r="H1048" s="77">
        <v>148.28039505964867</v>
      </c>
      <c r="I1048" s="77">
        <v>148.28039505964867</v>
      </c>
    </row>
    <row r="1049" spans="1:9">
      <c r="B1049" s="76">
        <v>2022.4399578312825</v>
      </c>
      <c r="C1049">
        <v>766.83753449961785</v>
      </c>
      <c r="D1049" s="77">
        <v>127.80625574993631</v>
      </c>
      <c r="E1049" s="77">
        <v>127.80625574993631</v>
      </c>
      <c r="F1049" s="77">
        <v>127.80625574993631</v>
      </c>
      <c r="G1049" s="77">
        <v>127.80625574993631</v>
      </c>
      <c r="H1049" s="77">
        <v>127.80625574993631</v>
      </c>
      <c r="I1049" s="77">
        <v>127.80625574993631</v>
      </c>
    </row>
    <row r="1050" spans="1:9">
      <c r="B1050" s="76">
        <v>2023.1194723804713</v>
      </c>
      <c r="C1050">
        <v>893.31615743946918</v>
      </c>
      <c r="D1050" s="77">
        <v>148.88602623991153</v>
      </c>
      <c r="E1050" s="77">
        <v>148.88602623991153</v>
      </c>
      <c r="F1050" s="77">
        <v>148.88602623991153</v>
      </c>
      <c r="G1050" s="77">
        <v>148.88602623991153</v>
      </c>
      <c r="H1050" s="77">
        <v>148.88602623991153</v>
      </c>
      <c r="I1050" s="77">
        <v>148.88602623991153</v>
      </c>
    </row>
    <row r="1051" spans="1:9">
      <c r="B1051" s="76">
        <v>2023.1456041172744</v>
      </c>
      <c r="C1051">
        <v>870.13540984964538</v>
      </c>
      <c r="D1051" s="77">
        <v>145.02256830827423</v>
      </c>
      <c r="E1051" s="77">
        <v>145.02256830827423</v>
      </c>
      <c r="F1051" s="77">
        <v>145.02256830827423</v>
      </c>
      <c r="G1051" s="77">
        <v>145.02256830827423</v>
      </c>
      <c r="H1051" s="77">
        <v>145.02256830827423</v>
      </c>
      <c r="I1051" s="77">
        <v>145.02256830827423</v>
      </c>
    </row>
    <row r="1052" spans="1:9">
      <c r="B1052" s="76">
        <v>2022.9694135987922</v>
      </c>
      <c r="C1052">
        <v>898.52867427156366</v>
      </c>
      <c r="D1052" s="77">
        <v>149.75477904526062</v>
      </c>
      <c r="E1052" s="77">
        <v>149.75477904526062</v>
      </c>
      <c r="F1052" s="77">
        <v>149.75477904526062</v>
      </c>
      <c r="G1052" s="77">
        <v>149.75477904526062</v>
      </c>
      <c r="H1052" s="77">
        <v>149.75477904526062</v>
      </c>
      <c r="I1052" s="77">
        <v>149.75477904526062</v>
      </c>
    </row>
    <row r="1053" spans="1:9">
      <c r="B1053" s="76">
        <v>2023.4457970139249</v>
      </c>
      <c r="C1053">
        <v>965.78951392535066</v>
      </c>
      <c r="D1053" s="77">
        <v>160.96491898755843</v>
      </c>
      <c r="E1053" s="77">
        <v>160.96491898755843</v>
      </c>
      <c r="F1053" s="77">
        <v>160.96491898755843</v>
      </c>
      <c r="G1053" s="77">
        <v>160.96491898755843</v>
      </c>
      <c r="H1053" s="77">
        <v>160.96491898755843</v>
      </c>
      <c r="I1053" s="77">
        <v>160.96491898755843</v>
      </c>
    </row>
    <row r="1054" spans="1:9">
      <c r="B1054" s="76">
        <v>2023.2904117928351</v>
      </c>
      <c r="C1054">
        <v>893.16638877427329</v>
      </c>
      <c r="D1054" s="77">
        <v>148.86106479571222</v>
      </c>
      <c r="E1054" s="77">
        <v>148.86106479571222</v>
      </c>
      <c r="F1054" s="77">
        <v>148.86106479571222</v>
      </c>
      <c r="G1054" s="77">
        <v>148.86106479571222</v>
      </c>
      <c r="H1054" s="77">
        <v>148.86106479571222</v>
      </c>
      <c r="I1054" s="77">
        <v>148.86106479571222</v>
      </c>
    </row>
    <row r="1055" spans="1:9">
      <c r="B1055" s="76">
        <v>2022.8595937052733</v>
      </c>
      <c r="C1055">
        <v>927.86052243662334</v>
      </c>
      <c r="D1055" s="77">
        <v>154.6434204061039</v>
      </c>
      <c r="E1055" s="77">
        <v>154.6434204061039</v>
      </c>
      <c r="F1055" s="77">
        <v>154.6434204061039</v>
      </c>
      <c r="G1055" s="77">
        <v>154.6434204061039</v>
      </c>
      <c r="H1055" s="77">
        <v>154.6434204061039</v>
      </c>
      <c r="I1055" s="77">
        <v>154.6434204061039</v>
      </c>
    </row>
    <row r="1056" spans="1:9">
      <c r="B1056" s="76">
        <v>2023.4418906985352</v>
      </c>
      <c r="C1056">
        <v>939.55361219066526</v>
      </c>
      <c r="D1056" s="77">
        <v>156.5922686984442</v>
      </c>
      <c r="E1056" s="77">
        <v>156.5922686984442</v>
      </c>
      <c r="F1056" s="77">
        <v>156.5922686984442</v>
      </c>
      <c r="G1056" s="77">
        <v>156.5922686984442</v>
      </c>
      <c r="H1056" s="77">
        <v>156.5922686984442</v>
      </c>
      <c r="I1056" s="77">
        <v>156.5922686984442</v>
      </c>
    </row>
    <row r="1057" spans="2:9">
      <c r="B1057" s="76">
        <v>2023.2495199268335</v>
      </c>
      <c r="C1057">
        <v>855.74926155508649</v>
      </c>
      <c r="D1057" s="77">
        <v>142.62487692584776</v>
      </c>
      <c r="E1057" s="77">
        <v>142.62487692584776</v>
      </c>
      <c r="F1057" s="77">
        <v>142.62487692584776</v>
      </c>
      <c r="G1057" s="77">
        <v>142.62487692584776</v>
      </c>
      <c r="H1057" s="77">
        <v>142.62487692584776</v>
      </c>
      <c r="I1057" s="77">
        <v>142.62487692584776</v>
      </c>
    </row>
    <row r="1058" spans="2:9">
      <c r="B1058" s="76">
        <v>2023.2723136296067</v>
      </c>
      <c r="C1058">
        <v>867.39693669718918</v>
      </c>
      <c r="D1058" s="77">
        <v>144.56615611619819</v>
      </c>
      <c r="E1058" s="77">
        <v>144.56615611619819</v>
      </c>
      <c r="F1058" s="77">
        <v>144.56615611619819</v>
      </c>
      <c r="G1058" s="77">
        <v>144.56615611619819</v>
      </c>
      <c r="H1058" s="77">
        <v>144.56615611619819</v>
      </c>
      <c r="I1058" s="77">
        <v>144.56615611619819</v>
      </c>
    </row>
    <row r="1059" spans="2:9">
      <c r="B1059" s="76">
        <v>2022.9413683587779</v>
      </c>
      <c r="C1059">
        <v>858.70265917224663</v>
      </c>
      <c r="D1059" s="77">
        <v>143.1171098620411</v>
      </c>
      <c r="E1059" s="77">
        <v>143.1171098620411</v>
      </c>
      <c r="F1059" s="77">
        <v>143.1171098620411</v>
      </c>
      <c r="G1059" s="77">
        <v>143.1171098620411</v>
      </c>
      <c r="H1059" s="77">
        <v>143.1171098620411</v>
      </c>
      <c r="I1059" s="77">
        <v>143.1171098620411</v>
      </c>
    </row>
    <row r="1060" spans="2:9">
      <c r="B1060" s="76">
        <v>2025.2505497610314</v>
      </c>
      <c r="C1060">
        <v>1185.0310937354529</v>
      </c>
      <c r="D1060" s="77">
        <v>197.50518228924216</v>
      </c>
      <c r="E1060" s="77">
        <v>197.50518228924216</v>
      </c>
      <c r="F1060" s="77">
        <v>197.50518228924216</v>
      </c>
      <c r="G1060" s="77">
        <v>197.50518228924216</v>
      </c>
      <c r="H1060" s="77">
        <v>197.50518228924216</v>
      </c>
      <c r="I1060" s="77">
        <v>197.50518228924216</v>
      </c>
    </row>
    <row r="1061" spans="2:9">
      <c r="B1061" s="76">
        <v>2022.8112223342048</v>
      </c>
      <c r="C1061">
        <v>902.54009624008654</v>
      </c>
      <c r="D1061" s="77">
        <v>150.42334937334775</v>
      </c>
      <c r="E1061" s="77">
        <v>150.42334937334775</v>
      </c>
      <c r="F1061" s="77">
        <v>150.42334937334775</v>
      </c>
      <c r="G1061" s="77">
        <v>150.42334937334775</v>
      </c>
      <c r="H1061" s="77">
        <v>150.42334937334775</v>
      </c>
      <c r="I1061" s="77">
        <v>150.42334937334775</v>
      </c>
    </row>
    <row r="1062" spans="2:9">
      <c r="B1062" s="76">
        <v>2024.6672094460207</v>
      </c>
      <c r="C1062">
        <v>1073.7483448618689</v>
      </c>
      <c r="D1062" s="77">
        <v>178.95805747697815</v>
      </c>
      <c r="E1062" s="77">
        <v>178.95805747697815</v>
      </c>
      <c r="F1062" s="77">
        <v>178.95805747697815</v>
      </c>
      <c r="G1062" s="77">
        <v>178.95805747697815</v>
      </c>
      <c r="H1062" s="77">
        <v>178.95805747697815</v>
      </c>
      <c r="I1062" s="77">
        <v>178.95805747697815</v>
      </c>
    </row>
    <row r="1063" spans="2:9">
      <c r="B1063" s="76">
        <v>2023.040532035626</v>
      </c>
      <c r="C1063">
        <v>963.27087023742672</v>
      </c>
      <c r="D1063" s="77">
        <v>160.54514503957111</v>
      </c>
      <c r="E1063" s="77">
        <v>160.54514503957111</v>
      </c>
      <c r="F1063" s="77">
        <v>160.54514503957111</v>
      </c>
      <c r="G1063" s="77">
        <v>160.54514503957111</v>
      </c>
      <c r="H1063" s="77">
        <v>160.54514503957111</v>
      </c>
      <c r="I1063" s="77">
        <v>160.54514503957111</v>
      </c>
    </row>
    <row r="1064" spans="2:9">
      <c r="B1064" s="76">
        <v>2023.2666275418026</v>
      </c>
      <c r="C1064">
        <v>956.86831787511244</v>
      </c>
      <c r="D1064" s="77">
        <v>159.47805297918541</v>
      </c>
      <c r="E1064" s="77">
        <v>159.47805297918541</v>
      </c>
      <c r="F1064" s="77">
        <v>159.47805297918541</v>
      </c>
      <c r="G1064" s="77">
        <v>159.47805297918541</v>
      </c>
      <c r="H1064" s="77">
        <v>159.47805297918541</v>
      </c>
      <c r="I1064" s="77">
        <v>159.47805297918541</v>
      </c>
    </row>
    <row r="1065" spans="2:9">
      <c r="B1065" s="76">
        <v>2023.2147589163249</v>
      </c>
      <c r="C1065">
        <v>938.3386037046422</v>
      </c>
      <c r="D1065" s="77">
        <v>156.38976728410702</v>
      </c>
      <c r="E1065" s="77">
        <v>156.38976728410702</v>
      </c>
      <c r="F1065" s="77">
        <v>156.38976728410702</v>
      </c>
      <c r="G1065" s="77">
        <v>156.38976728410702</v>
      </c>
      <c r="H1065" s="77">
        <v>156.38976728410702</v>
      </c>
      <c r="I1065" s="77">
        <v>156.38976728410702</v>
      </c>
    </row>
    <row r="1066" spans="2:9">
      <c r="B1066" s="76">
        <v>2022.6940340349176</v>
      </c>
      <c r="C1066">
        <v>834.50466457918355</v>
      </c>
      <c r="D1066" s="77">
        <v>139.08411076319726</v>
      </c>
      <c r="E1066" s="77">
        <v>139.08411076319726</v>
      </c>
      <c r="F1066" s="77">
        <v>139.08411076319726</v>
      </c>
      <c r="G1066" s="77">
        <v>139.08411076319726</v>
      </c>
      <c r="H1066" s="77">
        <v>139.08411076319726</v>
      </c>
      <c r="I1066" s="77">
        <v>139.08411076319726</v>
      </c>
    </row>
    <row r="1067" spans="2:9">
      <c r="B1067" s="76">
        <v>2023.3155408996772</v>
      </c>
      <c r="C1067">
        <v>879.38610273893858</v>
      </c>
      <c r="D1067" s="77">
        <v>146.56435045648976</v>
      </c>
      <c r="E1067" s="77">
        <v>146.56435045648976</v>
      </c>
      <c r="F1067" s="77">
        <v>146.56435045648976</v>
      </c>
      <c r="G1067" s="77">
        <v>146.56435045648976</v>
      </c>
      <c r="H1067" s="77">
        <v>146.56435045648976</v>
      </c>
      <c r="I1067" s="77">
        <v>146.56435045648976</v>
      </c>
    </row>
    <row r="1068" spans="2:9">
      <c r="B1068" s="76">
        <v>2022.8668702324978</v>
      </c>
      <c r="C1068">
        <v>873.0328443876997</v>
      </c>
      <c r="D1068" s="77">
        <v>145.50547406461661</v>
      </c>
      <c r="E1068" s="77">
        <v>145.50547406461661</v>
      </c>
      <c r="F1068" s="77">
        <v>145.50547406461661</v>
      </c>
      <c r="G1068" s="77">
        <v>145.50547406461661</v>
      </c>
      <c r="H1068" s="77">
        <v>145.50547406461661</v>
      </c>
      <c r="I1068" s="77">
        <v>145.50547406461661</v>
      </c>
    </row>
    <row r="1069" spans="2:9">
      <c r="B1069" s="76">
        <v>2024.2898893039694</v>
      </c>
      <c r="C1069">
        <v>1017.3038141728086</v>
      </c>
      <c r="D1069" s="77">
        <v>169.55063569546812</v>
      </c>
      <c r="E1069" s="77">
        <v>169.55063569546812</v>
      </c>
      <c r="F1069" s="77">
        <v>169.55063569546812</v>
      </c>
      <c r="G1069" s="77">
        <v>169.55063569546812</v>
      </c>
      <c r="H1069" s="77">
        <v>169.55063569546812</v>
      </c>
      <c r="I1069" s="77">
        <v>169.55063569546812</v>
      </c>
    </row>
    <row r="1070" spans="2:9">
      <c r="B1070" s="76">
        <v>2024.6034531216983</v>
      </c>
      <c r="C1070">
        <v>1057.796135978125</v>
      </c>
      <c r="D1070" s="77">
        <v>176.29935599635417</v>
      </c>
      <c r="E1070" s="77">
        <v>176.29935599635417</v>
      </c>
      <c r="F1070" s="77">
        <v>176.29935599635417</v>
      </c>
      <c r="G1070" s="77">
        <v>176.29935599635417</v>
      </c>
      <c r="H1070" s="77">
        <v>176.29935599635417</v>
      </c>
      <c r="I1070" s="77">
        <v>176.29935599635417</v>
      </c>
    </row>
    <row r="1071" spans="2:9">
      <c r="B1071" s="76">
        <v>2024.8234337267836</v>
      </c>
      <c r="C1071">
        <v>1157.8232129867076</v>
      </c>
      <c r="D1071" s="77">
        <v>192.9705354977846</v>
      </c>
      <c r="E1071" s="77">
        <v>192.9705354977846</v>
      </c>
      <c r="F1071" s="77">
        <v>192.9705354977846</v>
      </c>
      <c r="G1071" s="77">
        <v>192.9705354977846</v>
      </c>
      <c r="H1071" s="77">
        <v>192.9705354977846</v>
      </c>
      <c r="I1071" s="77">
        <v>192.9705354977846</v>
      </c>
    </row>
    <row r="1072" spans="2:9">
      <c r="B1072" s="76">
        <v>2023.0345247412256</v>
      </c>
      <c r="C1072">
        <v>908.23971157722372</v>
      </c>
      <c r="D1072" s="77">
        <v>151.37328526287061</v>
      </c>
      <c r="E1072" s="77">
        <v>151.37328526287061</v>
      </c>
      <c r="F1072" s="77">
        <v>151.37328526287061</v>
      </c>
      <c r="G1072" s="77">
        <v>151.37328526287061</v>
      </c>
      <c r="H1072" s="77">
        <v>151.37328526287061</v>
      </c>
      <c r="I1072" s="77">
        <v>151.37328526287061</v>
      </c>
    </row>
    <row r="1073" spans="2:9">
      <c r="B1073" s="76">
        <v>2023.0423007318748</v>
      </c>
      <c r="C1073">
        <v>897.06967995575792</v>
      </c>
      <c r="D1073" s="77">
        <v>149.51161332595964</v>
      </c>
      <c r="E1073" s="77">
        <v>149.51161332595964</v>
      </c>
      <c r="F1073" s="77">
        <v>149.51161332595964</v>
      </c>
      <c r="G1073" s="77">
        <v>149.51161332595964</v>
      </c>
      <c r="H1073" s="77">
        <v>149.51161332595964</v>
      </c>
      <c r="I1073" s="77">
        <v>149.51161332595964</v>
      </c>
    </row>
    <row r="1074" spans="2:9">
      <c r="B1074" s="76">
        <v>2023.4444933723412</v>
      </c>
      <c r="C1074">
        <v>917.04652996902928</v>
      </c>
      <c r="D1074" s="77">
        <v>152.84108832817154</v>
      </c>
      <c r="E1074" s="77">
        <v>152.84108832817154</v>
      </c>
      <c r="F1074" s="77">
        <v>152.84108832817154</v>
      </c>
      <c r="G1074" s="77">
        <v>152.84108832817154</v>
      </c>
      <c r="H1074" s="77">
        <v>152.84108832817154</v>
      </c>
      <c r="I1074" s="77">
        <v>152.84108832817154</v>
      </c>
    </row>
    <row r="1075" spans="2:9">
      <c r="B1075" s="76">
        <v>2022.7783348390119</v>
      </c>
      <c r="C1075">
        <v>816.4023709552439</v>
      </c>
      <c r="D1075" s="77">
        <v>136.06706182587399</v>
      </c>
      <c r="E1075" s="77">
        <v>136.06706182587399</v>
      </c>
      <c r="F1075" s="77">
        <v>136.06706182587399</v>
      </c>
      <c r="G1075" s="77">
        <v>136.06706182587399</v>
      </c>
      <c r="H1075" s="77">
        <v>136.06706182587399</v>
      </c>
      <c r="I1075" s="77">
        <v>136.06706182587399</v>
      </c>
    </row>
    <row r="1076" spans="2:9">
      <c r="B1076" s="76">
        <v>2023.0250592107245</v>
      </c>
      <c r="C1076">
        <v>939.09370645928311</v>
      </c>
      <c r="D1076" s="77">
        <v>156.51561774321385</v>
      </c>
      <c r="E1076" s="77">
        <v>156.51561774321385</v>
      </c>
      <c r="F1076" s="77">
        <v>156.51561774321385</v>
      </c>
      <c r="G1076" s="77">
        <v>156.51561774321385</v>
      </c>
      <c r="H1076" s="77">
        <v>156.51561774321385</v>
      </c>
      <c r="I1076" s="77">
        <v>156.51561774321385</v>
      </c>
    </row>
    <row r="1077" spans="2:9">
      <c r="B1077" s="76">
        <v>2022.8438787934838</v>
      </c>
      <c r="C1077">
        <v>870.47949628527647</v>
      </c>
      <c r="D1077" s="77">
        <v>145.07991604754608</v>
      </c>
      <c r="E1077" s="77">
        <v>145.07991604754608</v>
      </c>
      <c r="F1077" s="77">
        <v>145.07991604754608</v>
      </c>
      <c r="G1077" s="77">
        <v>145.07991604754608</v>
      </c>
      <c r="H1077" s="77">
        <v>145.07991604754608</v>
      </c>
      <c r="I1077" s="77">
        <v>145.07991604754608</v>
      </c>
    </row>
    <row r="1078" spans="2:9">
      <c r="B1078" s="76">
        <v>2026.4453330357992</v>
      </c>
      <c r="C1078">
        <v>1290.0013986838269</v>
      </c>
      <c r="D1078" s="77">
        <v>215.00023311397115</v>
      </c>
      <c r="E1078" s="77">
        <v>215.00023311397115</v>
      </c>
      <c r="F1078" s="77">
        <v>215.00023311397115</v>
      </c>
      <c r="G1078" s="77">
        <v>215.00023311397115</v>
      </c>
      <c r="H1078" s="77">
        <v>215.00023311397115</v>
      </c>
      <c r="I1078" s="77">
        <v>215.00023311397115</v>
      </c>
    </row>
    <row r="1079" spans="2:9">
      <c r="B1079" s="76">
        <v>2022.7856928049168</v>
      </c>
      <c r="C1079">
        <v>895.12269355923172</v>
      </c>
      <c r="D1079" s="77">
        <v>149.18711559320528</v>
      </c>
      <c r="E1079" s="77">
        <v>149.18711559320528</v>
      </c>
      <c r="F1079" s="77">
        <v>149.18711559320528</v>
      </c>
      <c r="G1079" s="77">
        <v>149.18711559320528</v>
      </c>
      <c r="H1079" s="77">
        <v>149.18711559320528</v>
      </c>
      <c r="I1079" s="77">
        <v>149.18711559320528</v>
      </c>
    </row>
    <row r="1080" spans="2:9">
      <c r="B1080" s="76">
        <v>2023.4012050665747</v>
      </c>
      <c r="C1080">
        <v>907.00349376404495</v>
      </c>
      <c r="D1080" s="77">
        <v>151.16724896067416</v>
      </c>
      <c r="E1080" s="77">
        <v>151.16724896067416</v>
      </c>
      <c r="F1080" s="77">
        <v>151.16724896067416</v>
      </c>
      <c r="G1080" s="77">
        <v>151.16724896067416</v>
      </c>
      <c r="H1080" s="77">
        <v>151.16724896067416</v>
      </c>
      <c r="I1080" s="77">
        <v>151.16724896067416</v>
      </c>
    </row>
    <row r="1081" spans="2:9">
      <c r="B1081" s="76">
        <v>2023.3469733313091</v>
      </c>
      <c r="C1081">
        <v>942.94270744427638</v>
      </c>
      <c r="D1081" s="77">
        <v>157.15711790737939</v>
      </c>
      <c r="E1081" s="77">
        <v>157.15711790737939</v>
      </c>
      <c r="F1081" s="77">
        <v>157.15711790737939</v>
      </c>
      <c r="G1081" s="77">
        <v>157.15711790737939</v>
      </c>
      <c r="H1081" s="77">
        <v>157.15711790737939</v>
      </c>
      <c r="I1081" s="77">
        <v>157.15711790737939</v>
      </c>
    </row>
    <row r="1082" spans="2:9">
      <c r="B1082" s="76">
        <v>2023.2776218250576</v>
      </c>
      <c r="C1082">
        <v>929.37957517505936</v>
      </c>
      <c r="D1082" s="77">
        <v>154.89659586250988</v>
      </c>
      <c r="E1082" s="77">
        <v>154.89659586250988</v>
      </c>
      <c r="F1082" s="77">
        <v>154.89659586250988</v>
      </c>
      <c r="G1082" s="77">
        <v>154.89659586250988</v>
      </c>
      <c r="H1082" s="77">
        <v>154.89659586250988</v>
      </c>
      <c r="I1082" s="77">
        <v>154.89659586250988</v>
      </c>
    </row>
    <row r="1083" spans="2:9">
      <c r="B1083" s="76">
        <v>2023.2072518837965</v>
      </c>
      <c r="C1083">
        <v>922.98228489458552</v>
      </c>
      <c r="D1083" s="77">
        <v>153.83038081576424</v>
      </c>
      <c r="E1083" s="77">
        <v>153.83038081576424</v>
      </c>
      <c r="F1083" s="77">
        <v>153.83038081576424</v>
      </c>
      <c r="G1083" s="77">
        <v>153.83038081576424</v>
      </c>
      <c r="H1083" s="77">
        <v>153.83038081576424</v>
      </c>
      <c r="I1083" s="77">
        <v>153.83038081576424</v>
      </c>
    </row>
    <row r="1084" spans="2:9">
      <c r="B1084" s="76">
        <v>2023.058737382742</v>
      </c>
      <c r="C1084">
        <v>953.66087190292444</v>
      </c>
      <c r="D1084" s="77">
        <v>158.94347865048741</v>
      </c>
      <c r="E1084" s="77">
        <v>158.94347865048741</v>
      </c>
      <c r="F1084" s="77">
        <v>158.94347865048741</v>
      </c>
      <c r="G1084" s="77">
        <v>158.94347865048741</v>
      </c>
      <c r="H1084" s="77">
        <v>158.94347865048741</v>
      </c>
      <c r="I1084" s="77">
        <v>158.94347865048741</v>
      </c>
    </row>
    <row r="1085" spans="2:9">
      <c r="B1085" s="76">
        <v>2025.1576956386866</v>
      </c>
      <c r="C1085">
        <v>1149.6951245088924</v>
      </c>
      <c r="D1085" s="77">
        <v>191.6158540848154</v>
      </c>
      <c r="E1085" s="77">
        <v>191.6158540848154</v>
      </c>
      <c r="F1085" s="77">
        <v>191.6158540848154</v>
      </c>
      <c r="G1085" s="77">
        <v>191.6158540848154</v>
      </c>
      <c r="H1085" s="77">
        <v>191.6158540848154</v>
      </c>
      <c r="I1085" s="77">
        <v>191.6158540848154</v>
      </c>
    </row>
    <row r="1086" spans="2:9">
      <c r="B1086" s="76">
        <v>2023.558164098265</v>
      </c>
      <c r="C1086">
        <v>1009.0457085719067</v>
      </c>
      <c r="D1086" s="77">
        <v>168.17428476198447</v>
      </c>
      <c r="E1086" s="77">
        <v>168.17428476198447</v>
      </c>
      <c r="F1086" s="77">
        <v>168.17428476198447</v>
      </c>
      <c r="G1086" s="77">
        <v>168.17428476198447</v>
      </c>
      <c r="H1086" s="77">
        <v>168.17428476198447</v>
      </c>
      <c r="I1086" s="77">
        <v>168.17428476198447</v>
      </c>
    </row>
    <row r="1087" spans="2:9">
      <c r="B1087" s="76">
        <v>2023.2612352737242</v>
      </c>
      <c r="C1087">
        <v>914.61681993835487</v>
      </c>
      <c r="D1087" s="77">
        <v>152.43613665639248</v>
      </c>
      <c r="E1087" s="77">
        <v>152.43613665639248</v>
      </c>
      <c r="F1087" s="77">
        <v>152.43613665639248</v>
      </c>
      <c r="G1087" s="77">
        <v>152.43613665639248</v>
      </c>
      <c r="H1087" s="77">
        <v>152.43613665639248</v>
      </c>
      <c r="I1087" s="77">
        <v>152.43613665639248</v>
      </c>
    </row>
    <row r="1088" spans="2:9">
      <c r="B1088" s="76">
        <v>2024.1814912057582</v>
      </c>
      <c r="C1088">
        <v>1019.4353612331134</v>
      </c>
      <c r="D1088" s="77">
        <v>169.90589353885224</v>
      </c>
      <c r="E1088" s="77">
        <v>169.90589353885224</v>
      </c>
      <c r="F1088" s="77">
        <v>169.90589353885224</v>
      </c>
      <c r="G1088" s="77">
        <v>169.90589353885224</v>
      </c>
      <c r="H1088" s="77">
        <v>169.90589353885224</v>
      </c>
      <c r="I1088" s="77">
        <v>169.90589353885224</v>
      </c>
    </row>
    <row r="1089" spans="2:9">
      <c r="B1089" s="76">
        <v>2025.1748809823725</v>
      </c>
      <c r="C1089">
        <v>1103.4373784366305</v>
      </c>
      <c r="D1089" s="77">
        <v>183.90622973943843</v>
      </c>
      <c r="E1089" s="77">
        <v>183.90622973943843</v>
      </c>
      <c r="F1089" s="77">
        <v>183.90622973943843</v>
      </c>
      <c r="G1089" s="77">
        <v>183.90622973943843</v>
      </c>
      <c r="H1089" s="77">
        <v>183.90622973943843</v>
      </c>
      <c r="I1089" s="77">
        <v>183.90622973943843</v>
      </c>
    </row>
    <row r="1090" spans="2:9">
      <c r="B1090" s="76">
        <v>2023.4840935450061</v>
      </c>
      <c r="C1090">
        <v>887.80312019566736</v>
      </c>
      <c r="D1090" s="77">
        <v>147.9671866992779</v>
      </c>
      <c r="E1090" s="77">
        <v>147.9671866992779</v>
      </c>
      <c r="F1090" s="77">
        <v>147.9671866992779</v>
      </c>
      <c r="G1090" s="77">
        <v>147.9671866992779</v>
      </c>
      <c r="H1090" s="77">
        <v>147.9671866992779</v>
      </c>
      <c r="I1090" s="77">
        <v>147.9671866992779</v>
      </c>
    </row>
    <row r="1091" spans="2:9">
      <c r="B1091" s="76">
        <v>2025.0584977307522</v>
      </c>
      <c r="C1091">
        <v>1187.8136704947651</v>
      </c>
      <c r="D1091" s="77">
        <v>197.96894508246086</v>
      </c>
      <c r="E1091" s="77">
        <v>197.96894508246086</v>
      </c>
      <c r="F1091" s="77">
        <v>197.96894508246086</v>
      </c>
      <c r="G1091" s="77">
        <v>197.96894508246086</v>
      </c>
      <c r="H1091" s="77">
        <v>197.96894508246086</v>
      </c>
      <c r="I1091" s="77">
        <v>197.96894508246086</v>
      </c>
    </row>
    <row r="1092" spans="2:9">
      <c r="B1092" s="76">
        <v>2025.1675435047223</v>
      </c>
      <c r="C1092">
        <v>1119.0965706325119</v>
      </c>
      <c r="D1092" s="77">
        <v>186.51609510541866</v>
      </c>
      <c r="E1092" s="77">
        <v>186.51609510541866</v>
      </c>
      <c r="F1092" s="77">
        <v>186.51609510541866</v>
      </c>
      <c r="G1092" s="77">
        <v>186.51609510541866</v>
      </c>
      <c r="H1092" s="77">
        <v>186.51609510541866</v>
      </c>
      <c r="I1092" s="77">
        <v>186.51609510541866</v>
      </c>
    </row>
    <row r="1093" spans="2:9">
      <c r="B1093" s="76">
        <v>2023.120178388252</v>
      </c>
      <c r="C1093">
        <v>871.56639013922506</v>
      </c>
      <c r="D1093" s="77">
        <v>145.26106502320417</v>
      </c>
      <c r="E1093" s="77">
        <v>145.26106502320417</v>
      </c>
      <c r="F1093" s="77">
        <v>145.26106502320417</v>
      </c>
      <c r="G1093" s="77">
        <v>145.26106502320417</v>
      </c>
      <c r="H1093" s="77">
        <v>145.26106502320417</v>
      </c>
      <c r="I1093" s="77">
        <v>145.26106502320417</v>
      </c>
    </row>
    <row r="1094" spans="2:9">
      <c r="B1094" s="76">
        <v>2025.0557000383976</v>
      </c>
      <c r="C1094">
        <v>1146.243702090916</v>
      </c>
      <c r="D1094" s="77">
        <v>191.04061701515266</v>
      </c>
      <c r="E1094" s="77">
        <v>191.04061701515266</v>
      </c>
      <c r="F1094" s="77">
        <v>191.04061701515266</v>
      </c>
      <c r="G1094" s="77">
        <v>191.04061701515266</v>
      </c>
      <c r="H1094" s="77">
        <v>191.04061701515266</v>
      </c>
      <c r="I1094" s="77">
        <v>191.04061701515266</v>
      </c>
    </row>
    <row r="1095" spans="2:9">
      <c r="B1095" s="76">
        <v>2023.4634701726366</v>
      </c>
      <c r="C1095">
        <v>1028.899237541186</v>
      </c>
      <c r="D1095" s="77">
        <v>171.48320625686435</v>
      </c>
      <c r="E1095" s="77">
        <v>171.48320625686435</v>
      </c>
      <c r="F1095" s="77">
        <v>171.48320625686435</v>
      </c>
      <c r="G1095" s="77">
        <v>171.48320625686435</v>
      </c>
      <c r="H1095" s="77">
        <v>171.48320625686435</v>
      </c>
      <c r="I1095" s="77">
        <v>171.48320625686435</v>
      </c>
    </row>
    <row r="1096" spans="2:9">
      <c r="B1096" s="76">
        <v>2024.667453774247</v>
      </c>
      <c r="C1096">
        <v>1074.7020568441387</v>
      </c>
      <c r="D1096" s="77">
        <v>179.11700947402312</v>
      </c>
      <c r="E1096" s="77">
        <v>179.11700947402312</v>
      </c>
      <c r="F1096" s="77">
        <v>179.11700947402312</v>
      </c>
      <c r="G1096" s="77">
        <v>179.11700947402312</v>
      </c>
      <c r="H1096" s="77">
        <v>179.11700947402312</v>
      </c>
      <c r="I1096" s="77">
        <v>179.11700947402312</v>
      </c>
    </row>
    <row r="1097" spans="2:9">
      <c r="B1097" s="76">
        <v>2023.2018410867165</v>
      </c>
      <c r="C1097">
        <v>942.72096324126403</v>
      </c>
      <c r="D1097" s="77">
        <v>157.12016054021066</v>
      </c>
      <c r="E1097" s="77">
        <v>157.12016054021066</v>
      </c>
      <c r="F1097" s="77">
        <v>157.12016054021066</v>
      </c>
      <c r="G1097" s="77">
        <v>157.12016054021066</v>
      </c>
      <c r="H1097" s="77">
        <v>157.12016054021066</v>
      </c>
      <c r="I1097" s="77">
        <v>157.12016054021066</v>
      </c>
    </row>
    <row r="1098" spans="2:9">
      <c r="B1098" s="76">
        <v>2023.1889053556008</v>
      </c>
      <c r="C1098">
        <v>919.24868390301742</v>
      </c>
      <c r="D1098" s="77">
        <v>153.20811398383623</v>
      </c>
      <c r="E1098" s="77">
        <v>153.20811398383623</v>
      </c>
      <c r="F1098" s="77">
        <v>153.20811398383623</v>
      </c>
      <c r="G1098" s="77">
        <v>153.20811398383623</v>
      </c>
      <c r="H1098" s="77">
        <v>153.20811398383623</v>
      </c>
      <c r="I1098" s="77">
        <v>153.20811398383623</v>
      </c>
    </row>
    <row r="1099" spans="2:9">
      <c r="B1099" s="76">
        <v>2024.5744830844196</v>
      </c>
      <c r="C1099">
        <v>1138.4565638952172</v>
      </c>
      <c r="D1099" s="77">
        <v>189.74276064920286</v>
      </c>
      <c r="E1099" s="77">
        <v>189.74276064920286</v>
      </c>
      <c r="F1099" s="77">
        <v>189.74276064920286</v>
      </c>
      <c r="G1099" s="77">
        <v>189.74276064920286</v>
      </c>
      <c r="H1099" s="77">
        <v>189.74276064920286</v>
      </c>
      <c r="I1099" s="77">
        <v>189.74276064920286</v>
      </c>
    </row>
    <row r="1100" spans="2:9">
      <c r="B1100" s="76">
        <v>2023.4881128633781</v>
      </c>
      <c r="C1100">
        <v>955.8800544367391</v>
      </c>
      <c r="D1100" s="77">
        <v>159.31334240612318</v>
      </c>
      <c r="E1100" s="77">
        <v>159.31334240612318</v>
      </c>
      <c r="F1100" s="77">
        <v>159.31334240612318</v>
      </c>
      <c r="G1100" s="77">
        <v>159.31334240612318</v>
      </c>
      <c r="H1100" s="77">
        <v>159.31334240612318</v>
      </c>
      <c r="I1100" s="77">
        <v>159.31334240612318</v>
      </c>
    </row>
    <row r="1101" spans="2:9">
      <c r="B1101" s="76">
        <v>2023.2819268871829</v>
      </c>
      <c r="C1101">
        <v>886.08919736007965</v>
      </c>
      <c r="D1101" s="77">
        <v>147.6815328933466</v>
      </c>
      <c r="E1101" s="77">
        <v>147.6815328933466</v>
      </c>
      <c r="F1101" s="77">
        <v>147.6815328933466</v>
      </c>
      <c r="G1101" s="77">
        <v>147.6815328933466</v>
      </c>
      <c r="H1101" s="77">
        <v>147.6815328933466</v>
      </c>
      <c r="I1101" s="77">
        <v>147.6815328933466</v>
      </c>
    </row>
    <row r="1102" spans="2:9">
      <c r="B1102" s="76">
        <v>2025.00570198171</v>
      </c>
      <c r="C1102">
        <v>1212.6294405568267</v>
      </c>
      <c r="D1102" s="77">
        <v>202.10490675947111</v>
      </c>
      <c r="E1102" s="77">
        <v>202.10490675947111</v>
      </c>
      <c r="F1102" s="77">
        <v>202.10490675947111</v>
      </c>
      <c r="G1102" s="77">
        <v>202.10490675947111</v>
      </c>
      <c r="H1102" s="77">
        <v>202.10490675947111</v>
      </c>
      <c r="I1102" s="77">
        <v>202.10490675947111</v>
      </c>
    </row>
    <row r="1103" spans="2:9">
      <c r="B1103" s="76">
        <v>2023.1895511541516</v>
      </c>
      <c r="C1103">
        <v>974.42377639011363</v>
      </c>
      <c r="D1103" s="77">
        <v>162.4039627316856</v>
      </c>
      <c r="E1103" s="77">
        <v>162.4039627316856</v>
      </c>
      <c r="F1103" s="77">
        <v>162.4039627316856</v>
      </c>
      <c r="G1103" s="77">
        <v>162.4039627316856</v>
      </c>
      <c r="H1103" s="77">
        <v>162.4039627316856</v>
      </c>
      <c r="I1103" s="77">
        <v>162.4039627316856</v>
      </c>
    </row>
    <row r="1104" spans="2:9">
      <c r="B1104" s="76">
        <v>2023.0084979835378</v>
      </c>
      <c r="C1104">
        <v>840.12831011202036</v>
      </c>
      <c r="D1104" s="77">
        <v>140.02138501867006</v>
      </c>
      <c r="E1104" s="77">
        <v>140.02138501867006</v>
      </c>
      <c r="F1104" s="77">
        <v>140.02138501867006</v>
      </c>
      <c r="G1104" s="77">
        <v>140.02138501867006</v>
      </c>
      <c r="H1104" s="77">
        <v>140.02138501867006</v>
      </c>
      <c r="I1104" s="77">
        <v>140.02138501867006</v>
      </c>
    </row>
    <row r="1105" spans="2:9">
      <c r="B1105" s="76">
        <v>2023.0509852324356</v>
      </c>
      <c r="C1105">
        <v>875.06998936253956</v>
      </c>
      <c r="D1105" s="77">
        <v>145.84499822708992</v>
      </c>
      <c r="E1105" s="77">
        <v>145.84499822708992</v>
      </c>
      <c r="F1105" s="77">
        <v>145.84499822708992</v>
      </c>
      <c r="G1105" s="77">
        <v>145.84499822708992</v>
      </c>
      <c r="H1105" s="77">
        <v>145.84499822708992</v>
      </c>
      <c r="I1105" s="77">
        <v>145.84499822708992</v>
      </c>
    </row>
    <row r="1106" spans="2:9">
      <c r="B1106" s="76">
        <v>2023.1561645166455</v>
      </c>
      <c r="C1106">
        <v>859.26493946672986</v>
      </c>
      <c r="D1106" s="77">
        <v>143.21082324445499</v>
      </c>
      <c r="E1106" s="77">
        <v>143.21082324445499</v>
      </c>
      <c r="F1106" s="77">
        <v>143.21082324445499</v>
      </c>
      <c r="G1106" s="77">
        <v>143.21082324445499</v>
      </c>
      <c r="H1106" s="77">
        <v>143.21082324445499</v>
      </c>
      <c r="I1106" s="77">
        <v>143.21082324445499</v>
      </c>
    </row>
    <row r="1107" spans="2:9">
      <c r="B1107" s="76">
        <v>2023.6228756802377</v>
      </c>
      <c r="C1107">
        <v>956.17033438168039</v>
      </c>
      <c r="D1107" s="77">
        <v>159.36172239694673</v>
      </c>
      <c r="E1107" s="77">
        <v>159.36172239694673</v>
      </c>
      <c r="F1107" s="77">
        <v>159.36172239694673</v>
      </c>
      <c r="G1107" s="77">
        <v>159.36172239694673</v>
      </c>
      <c r="H1107" s="77">
        <v>159.36172239694673</v>
      </c>
      <c r="I1107" s="77">
        <v>159.36172239694673</v>
      </c>
    </row>
    <row r="1108" spans="2:9">
      <c r="B1108" s="76">
        <v>2023.2971343683464</v>
      </c>
      <c r="C1108">
        <v>893.58262382922669</v>
      </c>
      <c r="D1108" s="77">
        <v>148.93043730487111</v>
      </c>
      <c r="E1108" s="77">
        <v>148.93043730487111</v>
      </c>
      <c r="F1108" s="77">
        <v>148.93043730487111</v>
      </c>
      <c r="G1108" s="77">
        <v>148.93043730487111</v>
      </c>
      <c r="H1108" s="77">
        <v>148.93043730487111</v>
      </c>
      <c r="I1108" s="77">
        <v>148.93043730487111</v>
      </c>
    </row>
    <row r="1109" spans="2:9">
      <c r="B1109" s="76">
        <v>2023.0847899079226</v>
      </c>
      <c r="C1109">
        <v>905.66341682146663</v>
      </c>
      <c r="D1109" s="77">
        <v>150.94390280357777</v>
      </c>
      <c r="E1109" s="77">
        <v>150.94390280357777</v>
      </c>
      <c r="F1109" s="77">
        <v>150.94390280357777</v>
      </c>
      <c r="G1109" s="77">
        <v>150.94390280357777</v>
      </c>
      <c r="H1109" s="77">
        <v>150.94390280357777</v>
      </c>
      <c r="I1109" s="77">
        <v>150.94390280357777</v>
      </c>
    </row>
    <row r="1110" spans="2:9">
      <c r="B1110" s="76">
        <v>2024.7703550312472</v>
      </c>
      <c r="C1110">
        <v>1083.6022288741829</v>
      </c>
      <c r="D1110" s="77">
        <v>180.60037147903049</v>
      </c>
      <c r="E1110" s="77">
        <v>180.60037147903049</v>
      </c>
      <c r="F1110" s="77">
        <v>180.60037147903049</v>
      </c>
      <c r="G1110" s="77">
        <v>180.60037147903049</v>
      </c>
      <c r="H1110" s="77">
        <v>180.60037147903049</v>
      </c>
      <c r="I1110" s="77">
        <v>180.60037147903049</v>
      </c>
    </row>
    <row r="1111" spans="2:9">
      <c r="B1111" s="76">
        <v>2025.1505070318183</v>
      </c>
      <c r="C1111">
        <v>1245.5698200257038</v>
      </c>
      <c r="D1111" s="77">
        <v>207.59497000428397</v>
      </c>
      <c r="E1111" s="77">
        <v>207.59497000428397</v>
      </c>
      <c r="F1111" s="77">
        <v>207.59497000428397</v>
      </c>
      <c r="G1111" s="77">
        <v>207.59497000428397</v>
      </c>
      <c r="H1111" s="77">
        <v>207.59497000428397</v>
      </c>
      <c r="I1111" s="77">
        <v>207.59497000428397</v>
      </c>
    </row>
    <row r="1112" spans="2:9">
      <c r="B1112" s="76">
        <v>2024.9819135471807</v>
      </c>
      <c r="C1112">
        <v>1113.4452895894942</v>
      </c>
      <c r="D1112" s="77">
        <v>185.57421493158236</v>
      </c>
      <c r="E1112" s="77">
        <v>185.57421493158236</v>
      </c>
      <c r="F1112" s="77">
        <v>185.57421493158236</v>
      </c>
      <c r="G1112" s="77">
        <v>185.57421493158236</v>
      </c>
      <c r="H1112" s="77">
        <v>185.57421493158236</v>
      </c>
      <c r="I1112" s="77">
        <v>185.57421493158236</v>
      </c>
    </row>
    <row r="1113" spans="2:9">
      <c r="B1113" s="76">
        <v>2023.1660113736339</v>
      </c>
      <c r="C1113">
        <v>900.26703958943506</v>
      </c>
      <c r="D1113" s="77">
        <v>150.04450659823917</v>
      </c>
      <c r="E1113" s="77">
        <v>150.04450659823917</v>
      </c>
      <c r="F1113" s="77">
        <v>150.04450659823917</v>
      </c>
      <c r="G1113" s="77">
        <v>150.04450659823917</v>
      </c>
      <c r="H1113" s="77">
        <v>150.04450659823917</v>
      </c>
      <c r="I1113" s="77">
        <v>150.04450659823917</v>
      </c>
    </row>
    <row r="1114" spans="2:9">
      <c r="B1114" s="76">
        <v>2023.0954810854412</v>
      </c>
      <c r="C1114">
        <v>955.63691549770692</v>
      </c>
      <c r="D1114" s="77">
        <v>159.27281924961781</v>
      </c>
      <c r="E1114" s="77">
        <v>159.27281924961781</v>
      </c>
      <c r="F1114" s="77">
        <v>159.27281924961781</v>
      </c>
      <c r="G1114" s="77">
        <v>159.27281924961781</v>
      </c>
      <c r="H1114" s="77">
        <v>159.27281924961781</v>
      </c>
      <c r="I1114" s="77">
        <v>159.27281924961781</v>
      </c>
    </row>
    <row r="1115" spans="2:9">
      <c r="B1115" s="76">
        <v>2023.1328039369603</v>
      </c>
      <c r="C1115">
        <v>859.29256632640784</v>
      </c>
      <c r="D1115" s="77">
        <v>143.21542772106798</v>
      </c>
      <c r="E1115" s="77">
        <v>143.21542772106798</v>
      </c>
      <c r="F1115" s="77">
        <v>143.21542772106798</v>
      </c>
      <c r="G1115" s="77">
        <v>143.21542772106798</v>
      </c>
      <c r="H1115" s="77">
        <v>143.21542772106798</v>
      </c>
      <c r="I1115" s="77">
        <v>143.21542772106798</v>
      </c>
    </row>
    <row r="1116" spans="2:9">
      <c r="B1116" s="76">
        <v>2023.3373403943513</v>
      </c>
      <c r="C1116">
        <v>919.42392193619764</v>
      </c>
      <c r="D1116" s="77">
        <v>153.23732032269962</v>
      </c>
      <c r="E1116" s="77">
        <v>153.23732032269962</v>
      </c>
      <c r="F1116" s="77">
        <v>153.23732032269962</v>
      </c>
      <c r="G1116" s="77">
        <v>153.23732032269962</v>
      </c>
      <c r="H1116" s="77">
        <v>153.23732032269962</v>
      </c>
      <c r="I1116" s="77">
        <v>153.23732032269962</v>
      </c>
    </row>
    <row r="1117" spans="2:9">
      <c r="B1117" s="76">
        <v>2023.6908245779377</v>
      </c>
      <c r="C1117">
        <v>1017.5389979565851</v>
      </c>
      <c r="D1117" s="77">
        <v>169.5898329927642</v>
      </c>
      <c r="E1117" s="77">
        <v>169.5898329927642</v>
      </c>
      <c r="F1117" s="77">
        <v>169.5898329927642</v>
      </c>
      <c r="G1117" s="77">
        <v>169.5898329927642</v>
      </c>
      <c r="H1117" s="77">
        <v>169.5898329927642</v>
      </c>
      <c r="I1117" s="77">
        <v>169.5898329927642</v>
      </c>
    </row>
    <row r="1118" spans="2:9">
      <c r="B1118" s="76">
        <v>2022.9691238567721</v>
      </c>
      <c r="C1118">
        <v>855.8329821517525</v>
      </c>
      <c r="D1118" s="77">
        <v>142.63883035862543</v>
      </c>
      <c r="E1118" s="77">
        <v>142.63883035862543</v>
      </c>
      <c r="F1118" s="77">
        <v>142.63883035862543</v>
      </c>
      <c r="G1118" s="77">
        <v>142.63883035862543</v>
      </c>
      <c r="H1118" s="77">
        <v>142.63883035862543</v>
      </c>
      <c r="I1118" s="77">
        <v>142.63883035862543</v>
      </c>
    </row>
    <row r="1119" spans="2:9">
      <c r="B1119" s="76">
        <v>2023.016840672738</v>
      </c>
      <c r="C1119">
        <v>911.19202267980927</v>
      </c>
      <c r="D1119" s="77">
        <v>151.86533711330154</v>
      </c>
      <c r="E1119" s="77">
        <v>151.86533711330154</v>
      </c>
      <c r="F1119" s="77">
        <v>151.86533711330154</v>
      </c>
      <c r="G1119" s="77">
        <v>151.86533711330154</v>
      </c>
      <c r="H1119" s="77">
        <v>151.86533711330154</v>
      </c>
      <c r="I1119" s="77">
        <v>151.86533711330154</v>
      </c>
    </row>
    <row r="1120" spans="2:9">
      <c r="B1120" s="76">
        <v>2024.5447350803988</v>
      </c>
      <c r="C1120">
        <v>1094.1201161334598</v>
      </c>
      <c r="D1120" s="77">
        <v>182.35335268890995</v>
      </c>
      <c r="E1120" s="77">
        <v>182.35335268890995</v>
      </c>
      <c r="F1120" s="77">
        <v>182.35335268890995</v>
      </c>
      <c r="G1120" s="77">
        <v>182.35335268890995</v>
      </c>
      <c r="H1120" s="77">
        <v>182.35335268890995</v>
      </c>
      <c r="I1120" s="77">
        <v>182.35335268890995</v>
      </c>
    </row>
    <row r="1121" spans="2:9">
      <c r="B1121" s="76">
        <v>2023.3172394086464</v>
      </c>
      <c r="C1121">
        <v>905.13423500059457</v>
      </c>
      <c r="D1121" s="77">
        <v>150.85570583343244</v>
      </c>
      <c r="E1121" s="77">
        <v>150.85570583343244</v>
      </c>
      <c r="F1121" s="77">
        <v>150.85570583343244</v>
      </c>
      <c r="G1121" s="77">
        <v>150.85570583343244</v>
      </c>
      <c r="H1121" s="77">
        <v>150.85570583343244</v>
      </c>
      <c r="I1121" s="77">
        <v>150.85570583343244</v>
      </c>
    </row>
    <row r="1122" spans="2:9">
      <c r="B1122" s="76">
        <v>2023.4711111268405</v>
      </c>
      <c r="C1122">
        <v>923.27470233666702</v>
      </c>
      <c r="D1122" s="77">
        <v>153.87911705611117</v>
      </c>
      <c r="E1122" s="77">
        <v>153.87911705611117</v>
      </c>
      <c r="F1122" s="77">
        <v>153.87911705611117</v>
      </c>
      <c r="G1122" s="77">
        <v>153.87911705611117</v>
      </c>
      <c r="H1122" s="77">
        <v>153.87911705611117</v>
      </c>
      <c r="I1122" s="77">
        <v>153.87911705611117</v>
      </c>
    </row>
    <row r="1123" spans="2:9">
      <c r="B1123" s="76">
        <v>2023.0810602709244</v>
      </c>
      <c r="C1123">
        <v>857.51182386680875</v>
      </c>
      <c r="D1123" s="77">
        <v>142.9186373111348</v>
      </c>
      <c r="E1123" s="77">
        <v>142.9186373111348</v>
      </c>
      <c r="F1123" s="77">
        <v>142.9186373111348</v>
      </c>
      <c r="G1123" s="77">
        <v>142.9186373111348</v>
      </c>
      <c r="H1123" s="77">
        <v>142.9186373111348</v>
      </c>
      <c r="I1123" s="77">
        <v>142.9186373111348</v>
      </c>
    </row>
    <row r="1124" spans="2:9">
      <c r="B1124" s="76">
        <v>2024.7530423084711</v>
      </c>
      <c r="C1124">
        <v>1160.0768173232191</v>
      </c>
      <c r="D1124" s="77">
        <v>193.34613622053652</v>
      </c>
      <c r="E1124" s="77">
        <v>193.34613622053652</v>
      </c>
      <c r="F1124" s="77">
        <v>193.34613622053652</v>
      </c>
      <c r="G1124" s="77">
        <v>193.34613622053652</v>
      </c>
      <c r="H1124" s="77">
        <v>193.34613622053652</v>
      </c>
      <c r="I1124" s="77">
        <v>193.34613622053652</v>
      </c>
    </row>
    <row r="1125" spans="2:9">
      <c r="B1125" s="76">
        <v>2024.968611314895</v>
      </c>
      <c r="C1125">
        <v>1141.1222753190198</v>
      </c>
      <c r="D1125" s="77">
        <v>190.18704588650328</v>
      </c>
      <c r="E1125" s="77">
        <v>190.18704588650328</v>
      </c>
      <c r="F1125" s="77">
        <v>190.18704588650328</v>
      </c>
      <c r="G1125" s="77">
        <v>190.18704588650328</v>
      </c>
      <c r="H1125" s="77">
        <v>190.18704588650328</v>
      </c>
      <c r="I1125" s="77">
        <v>190.18704588650328</v>
      </c>
    </row>
    <row r="1126" spans="2:9">
      <c r="B1126" s="76">
        <v>2022.9564244750711</v>
      </c>
      <c r="C1126">
        <v>897.05465092110353</v>
      </c>
      <c r="D1126" s="77">
        <v>149.50910848685058</v>
      </c>
      <c r="E1126" s="77">
        <v>149.50910848685058</v>
      </c>
      <c r="F1126" s="77">
        <v>149.50910848685058</v>
      </c>
      <c r="G1126" s="77">
        <v>149.50910848685058</v>
      </c>
      <c r="H1126" s="77">
        <v>149.50910848685058</v>
      </c>
      <c r="I1126" s="77">
        <v>149.50910848685058</v>
      </c>
    </row>
    <row r="1127" spans="2:9">
      <c r="B1127" s="76">
        <v>2025.2997956605834</v>
      </c>
      <c r="C1127">
        <v>1132.2289526387549</v>
      </c>
      <c r="D1127" s="77">
        <v>188.70482543979247</v>
      </c>
      <c r="E1127" s="77">
        <v>188.70482543979247</v>
      </c>
      <c r="F1127" s="77">
        <v>188.70482543979247</v>
      </c>
      <c r="G1127" s="77">
        <v>188.70482543979247</v>
      </c>
      <c r="H1127" s="77">
        <v>188.70482543979247</v>
      </c>
      <c r="I1127" s="77">
        <v>188.70482543979247</v>
      </c>
    </row>
    <row r="1128" spans="2:9">
      <c r="B1128" s="76">
        <v>2023.0855741286946</v>
      </c>
      <c r="C1128">
        <v>858.59263592938328</v>
      </c>
      <c r="D1128" s="77">
        <v>143.0987726548972</v>
      </c>
      <c r="E1128" s="77">
        <v>143.0987726548972</v>
      </c>
      <c r="F1128" s="77">
        <v>143.0987726548972</v>
      </c>
      <c r="G1128" s="77">
        <v>143.0987726548972</v>
      </c>
      <c r="H1128" s="77">
        <v>143.0987726548972</v>
      </c>
      <c r="I1128" s="77">
        <v>143.0987726548972</v>
      </c>
    </row>
    <row r="1129" spans="2:9">
      <c r="B1129" s="76">
        <v>2023.0966134630426</v>
      </c>
      <c r="C1129">
        <v>901.34148382737226</v>
      </c>
      <c r="D1129" s="77">
        <v>150.22358063789537</v>
      </c>
      <c r="E1129" s="77">
        <v>150.22358063789537</v>
      </c>
      <c r="F1129" s="77">
        <v>150.22358063789537</v>
      </c>
      <c r="G1129" s="77">
        <v>150.22358063789537</v>
      </c>
      <c r="H1129" s="77">
        <v>150.22358063789537</v>
      </c>
      <c r="I1129" s="77">
        <v>150.22358063789537</v>
      </c>
    </row>
    <row r="1130" spans="2:9">
      <c r="B1130" s="76">
        <v>2022.9807945344992</v>
      </c>
      <c r="C1130">
        <v>901.60923452177246</v>
      </c>
      <c r="D1130" s="77">
        <v>150.26820575362873</v>
      </c>
      <c r="E1130" s="77">
        <v>150.26820575362873</v>
      </c>
      <c r="F1130" s="77">
        <v>150.26820575362873</v>
      </c>
      <c r="G1130" s="77">
        <v>150.26820575362873</v>
      </c>
      <c r="H1130" s="77">
        <v>150.26820575362873</v>
      </c>
      <c r="I1130" s="77">
        <v>150.26820575362873</v>
      </c>
    </row>
    <row r="1131" spans="2:9">
      <c r="B1131" s="76">
        <v>2022.8760503556425</v>
      </c>
      <c r="C1131">
        <v>844.30294603166385</v>
      </c>
      <c r="D1131" s="77">
        <v>140.71715767194397</v>
      </c>
      <c r="E1131" s="77">
        <v>140.71715767194397</v>
      </c>
      <c r="F1131" s="77">
        <v>140.71715767194397</v>
      </c>
      <c r="G1131" s="77">
        <v>140.71715767194397</v>
      </c>
      <c r="H1131" s="77">
        <v>140.71715767194397</v>
      </c>
      <c r="I1131" s="77">
        <v>140.71715767194397</v>
      </c>
    </row>
    <row r="1132" spans="2:9">
      <c r="B1132" s="76">
        <v>2024.1993422932173</v>
      </c>
      <c r="C1132">
        <v>1034.7237857212149</v>
      </c>
      <c r="D1132" s="77">
        <v>172.45396428686914</v>
      </c>
      <c r="E1132" s="77">
        <v>172.45396428686914</v>
      </c>
      <c r="F1132" s="77">
        <v>172.45396428686914</v>
      </c>
      <c r="G1132" s="77">
        <v>172.45396428686914</v>
      </c>
      <c r="H1132" s="77">
        <v>172.45396428686914</v>
      </c>
      <c r="I1132" s="77">
        <v>172.45396428686914</v>
      </c>
    </row>
    <row r="1133" spans="2:9">
      <c r="B1133" s="76">
        <v>2023.115516222636</v>
      </c>
      <c r="C1133">
        <v>878.53439445154572</v>
      </c>
      <c r="D1133" s="77">
        <v>146.42239907525763</v>
      </c>
      <c r="E1133" s="77">
        <v>146.42239907525763</v>
      </c>
      <c r="F1133" s="77">
        <v>146.42239907525763</v>
      </c>
      <c r="G1133" s="77">
        <v>146.42239907525763</v>
      </c>
      <c r="H1133" s="77">
        <v>146.42239907525763</v>
      </c>
      <c r="I1133" s="77">
        <v>146.42239907525763</v>
      </c>
    </row>
    <row r="1134" spans="2:9">
      <c r="B1134" s="76">
        <v>2023.3882663520383</v>
      </c>
      <c r="C1134">
        <v>915.12844017293332</v>
      </c>
      <c r="D1134" s="77">
        <v>152.52140669548888</v>
      </c>
      <c r="E1134" s="77">
        <v>152.52140669548888</v>
      </c>
      <c r="F1134" s="77">
        <v>152.52140669548888</v>
      </c>
      <c r="G1134" s="77">
        <v>152.52140669548888</v>
      </c>
      <c r="H1134" s="77">
        <v>152.52140669548888</v>
      </c>
      <c r="I1134" s="77">
        <v>152.52140669548888</v>
      </c>
    </row>
    <row r="1135" spans="2:9">
      <c r="B1135" s="76">
        <v>2023.1757367403347</v>
      </c>
      <c r="C1135">
        <v>940.13871222970215</v>
      </c>
      <c r="D1135" s="77">
        <v>156.68978537161703</v>
      </c>
      <c r="E1135" s="77">
        <v>156.68978537161703</v>
      </c>
      <c r="F1135" s="77">
        <v>156.68978537161703</v>
      </c>
      <c r="G1135" s="77">
        <v>156.68978537161703</v>
      </c>
      <c r="H1135" s="77">
        <v>156.68978537161703</v>
      </c>
      <c r="I1135" s="77">
        <v>156.68978537161703</v>
      </c>
    </row>
    <row r="1136" spans="2:9">
      <c r="B1136" s="76">
        <v>2025.0215857120859</v>
      </c>
      <c r="C1136">
        <v>1101.2076983246448</v>
      </c>
      <c r="D1136" s="77">
        <v>183.53461638744079</v>
      </c>
      <c r="E1136" s="77">
        <v>183.53461638744079</v>
      </c>
      <c r="F1136" s="77">
        <v>183.53461638744079</v>
      </c>
      <c r="G1136" s="77">
        <v>183.53461638744079</v>
      </c>
      <c r="H1136" s="77">
        <v>183.53461638744079</v>
      </c>
      <c r="I1136" s="77">
        <v>183.53461638744079</v>
      </c>
    </row>
    <row r="1137" spans="2:9">
      <c r="B1137" s="76">
        <v>2023.2848294089868</v>
      </c>
      <c r="C1137">
        <v>951.67432577289037</v>
      </c>
      <c r="D1137" s="77">
        <v>158.61238762881507</v>
      </c>
      <c r="E1137" s="77">
        <v>158.61238762881507</v>
      </c>
      <c r="F1137" s="77">
        <v>158.61238762881507</v>
      </c>
      <c r="G1137" s="77">
        <v>158.61238762881507</v>
      </c>
      <c r="H1137" s="77">
        <v>158.61238762881507</v>
      </c>
      <c r="I1137" s="77">
        <v>158.61238762881507</v>
      </c>
    </row>
    <row r="1138" spans="2:9">
      <c r="B1138" s="76">
        <v>2024.9490956656855</v>
      </c>
      <c r="C1138">
        <v>1116.1907856069686</v>
      </c>
      <c r="D1138" s="77">
        <v>186.03179760116143</v>
      </c>
      <c r="E1138" s="77">
        <v>186.03179760116143</v>
      </c>
      <c r="F1138" s="77">
        <v>186.03179760116143</v>
      </c>
      <c r="G1138" s="77">
        <v>186.03179760116143</v>
      </c>
      <c r="H1138" s="77">
        <v>186.03179760116143</v>
      </c>
      <c r="I1138" s="77">
        <v>186.03179760116143</v>
      </c>
    </row>
    <row r="1139" spans="2:9">
      <c r="B1139" s="76">
        <v>2022.9163512378941</v>
      </c>
      <c r="C1139">
        <v>896.98571997864019</v>
      </c>
      <c r="D1139" s="77">
        <v>149.49761999644002</v>
      </c>
      <c r="E1139" s="77">
        <v>149.49761999644002</v>
      </c>
      <c r="F1139" s="77">
        <v>149.49761999644002</v>
      </c>
      <c r="G1139" s="77">
        <v>149.49761999644002</v>
      </c>
      <c r="H1139" s="77">
        <v>149.49761999644002</v>
      </c>
      <c r="I1139" s="77">
        <v>149.49761999644002</v>
      </c>
    </row>
    <row r="1140" spans="2:9">
      <c r="B1140" s="76">
        <v>2025.1518369151086</v>
      </c>
      <c r="C1140">
        <v>1149.5166892232926</v>
      </c>
      <c r="D1140" s="77">
        <v>191.58611487054876</v>
      </c>
      <c r="E1140" s="77">
        <v>191.58611487054876</v>
      </c>
      <c r="F1140" s="77">
        <v>191.58611487054876</v>
      </c>
      <c r="G1140" s="77">
        <v>191.58611487054876</v>
      </c>
      <c r="H1140" s="77">
        <v>191.58611487054876</v>
      </c>
      <c r="I1140" s="77">
        <v>191.58611487054876</v>
      </c>
    </row>
    <row r="1141" spans="2:9">
      <c r="B1141" s="76">
        <v>2023.2498811565163</v>
      </c>
      <c r="C1141">
        <v>937.46088784746485</v>
      </c>
      <c r="D1141" s="77">
        <v>156.2434813079108</v>
      </c>
      <c r="E1141" s="77">
        <v>156.2434813079108</v>
      </c>
      <c r="F1141" s="77">
        <v>156.2434813079108</v>
      </c>
      <c r="G1141" s="77">
        <v>156.2434813079108</v>
      </c>
      <c r="H1141" s="77">
        <v>156.2434813079108</v>
      </c>
      <c r="I1141" s="77">
        <v>156.2434813079108</v>
      </c>
    </row>
    <row r="1142" spans="2:9">
      <c r="B1142" s="76">
        <v>2023.3840471391766</v>
      </c>
      <c r="C1142">
        <v>931.44474197553222</v>
      </c>
      <c r="D1142" s="77">
        <v>155.24079032925536</v>
      </c>
      <c r="E1142" s="77">
        <v>155.24079032925536</v>
      </c>
      <c r="F1142" s="77">
        <v>155.24079032925536</v>
      </c>
      <c r="G1142" s="77">
        <v>155.24079032925536</v>
      </c>
      <c r="H1142" s="77">
        <v>155.24079032925536</v>
      </c>
      <c r="I1142" s="77">
        <v>155.24079032925536</v>
      </c>
    </row>
    <row r="1143" spans="2:9">
      <c r="B1143" s="76">
        <v>2023.2040223521558</v>
      </c>
      <c r="C1143">
        <v>924.67532756467517</v>
      </c>
      <c r="D1143" s="77">
        <v>154.11255459411254</v>
      </c>
      <c r="E1143" s="77">
        <v>154.11255459411254</v>
      </c>
      <c r="F1143" s="77">
        <v>154.11255459411254</v>
      </c>
      <c r="G1143" s="77">
        <v>154.11255459411254</v>
      </c>
      <c r="H1143" s="77">
        <v>154.11255459411254</v>
      </c>
      <c r="I1143" s="77">
        <v>154.11255459411254</v>
      </c>
    </row>
    <row r="1144" spans="2:9">
      <c r="B1144" s="76">
        <v>2022.866742638691</v>
      </c>
      <c r="C1144">
        <v>832.97422213868458</v>
      </c>
      <c r="D1144" s="77">
        <v>138.8290370231141</v>
      </c>
      <c r="E1144" s="77">
        <v>138.8290370231141</v>
      </c>
      <c r="F1144" s="77">
        <v>138.8290370231141</v>
      </c>
      <c r="G1144" s="77">
        <v>138.8290370231141</v>
      </c>
      <c r="H1144" s="77">
        <v>138.8290370231141</v>
      </c>
      <c r="I1144" s="77">
        <v>138.8290370231141</v>
      </c>
    </row>
    <row r="1145" spans="2:9">
      <c r="B1145" s="76">
        <v>2023.0360634198332</v>
      </c>
      <c r="C1145">
        <v>811.3452213805291</v>
      </c>
      <c r="D1145" s="77">
        <v>135.22420356342153</v>
      </c>
      <c r="E1145" s="77">
        <v>135.22420356342153</v>
      </c>
      <c r="F1145" s="77">
        <v>135.22420356342153</v>
      </c>
      <c r="G1145" s="77">
        <v>135.22420356342153</v>
      </c>
      <c r="H1145" s="77">
        <v>135.22420356342153</v>
      </c>
      <c r="I1145" s="77">
        <v>135.22420356342153</v>
      </c>
    </row>
    <row r="1146" spans="2:9">
      <c r="B1146" s="76">
        <v>2024.0355435868407</v>
      </c>
      <c r="C1146">
        <v>1051.6046874319395</v>
      </c>
      <c r="D1146" s="77">
        <v>175.26744790532325</v>
      </c>
      <c r="E1146" s="77">
        <v>175.26744790532325</v>
      </c>
      <c r="F1146" s="77">
        <v>175.26744790532325</v>
      </c>
      <c r="G1146" s="77">
        <v>175.26744790532325</v>
      </c>
      <c r="H1146" s="77">
        <v>175.26744790532325</v>
      </c>
      <c r="I1146" s="77">
        <v>175.26744790532325</v>
      </c>
    </row>
    <row r="1147" spans="2:9">
      <c r="B1147" s="76">
        <v>2023.0409285826195</v>
      </c>
      <c r="C1147">
        <v>897.07224144315001</v>
      </c>
      <c r="D1147" s="77">
        <v>149.51204024052501</v>
      </c>
      <c r="E1147" s="77">
        <v>149.51204024052501</v>
      </c>
      <c r="F1147" s="77">
        <v>149.51204024052501</v>
      </c>
      <c r="G1147" s="77">
        <v>149.51204024052501</v>
      </c>
      <c r="H1147" s="77">
        <v>149.51204024052501</v>
      </c>
      <c r="I1147" s="77">
        <v>149.51204024052501</v>
      </c>
    </row>
    <row r="1148" spans="2:9">
      <c r="B1148" s="76">
        <v>2023.5002004149815</v>
      </c>
      <c r="C1148">
        <v>927.29586578754743</v>
      </c>
      <c r="D1148" s="77">
        <v>154.54931096459123</v>
      </c>
      <c r="E1148" s="77">
        <v>154.54931096459123</v>
      </c>
      <c r="F1148" s="77">
        <v>154.54931096459123</v>
      </c>
      <c r="G1148" s="77">
        <v>154.54931096459123</v>
      </c>
      <c r="H1148" s="77">
        <v>154.54931096459123</v>
      </c>
      <c r="I1148" s="77">
        <v>154.54931096459123</v>
      </c>
    </row>
    <row r="1149" spans="2:9">
      <c r="B1149" s="76">
        <v>2023.1719817429532</v>
      </c>
      <c r="C1149">
        <v>878.39706775618322</v>
      </c>
      <c r="D1149" s="77">
        <v>146.39951129269721</v>
      </c>
      <c r="E1149" s="77">
        <v>146.39951129269721</v>
      </c>
      <c r="F1149" s="77">
        <v>146.39951129269721</v>
      </c>
      <c r="G1149" s="77">
        <v>146.39951129269721</v>
      </c>
      <c r="H1149" s="77">
        <v>146.39951129269721</v>
      </c>
      <c r="I1149" s="77">
        <v>146.39951129269721</v>
      </c>
    </row>
    <row r="1150" spans="2:9">
      <c r="B1150" s="76">
        <v>2023.327859601917</v>
      </c>
      <c r="C1150">
        <v>956.08616354401136</v>
      </c>
      <c r="D1150" s="77">
        <v>159.3476939240019</v>
      </c>
      <c r="E1150" s="77">
        <v>159.3476939240019</v>
      </c>
      <c r="F1150" s="77">
        <v>159.3476939240019</v>
      </c>
      <c r="G1150" s="77">
        <v>159.3476939240019</v>
      </c>
      <c r="H1150" s="77">
        <v>159.3476939240019</v>
      </c>
      <c r="I1150" s="77">
        <v>159.3476939240019</v>
      </c>
    </row>
    <row r="1151" spans="2:9">
      <c r="B1151" s="76">
        <v>2025.5174964647499</v>
      </c>
      <c r="C1151">
        <v>1133.8205406501743</v>
      </c>
      <c r="D1151" s="77">
        <v>188.97009010836237</v>
      </c>
      <c r="E1151" s="77">
        <v>188.97009010836237</v>
      </c>
      <c r="F1151" s="77">
        <v>188.97009010836237</v>
      </c>
      <c r="G1151" s="77">
        <v>188.97009010836237</v>
      </c>
      <c r="H1151" s="77">
        <v>188.97009010836237</v>
      </c>
      <c r="I1151" s="77">
        <v>188.97009010836237</v>
      </c>
    </row>
    <row r="1152" spans="2:9">
      <c r="B1152" s="76">
        <v>2023.6357521443408</v>
      </c>
      <c r="C1152">
        <v>945.86552641716889</v>
      </c>
      <c r="D1152" s="77">
        <v>157.64425440286149</v>
      </c>
      <c r="E1152" s="77">
        <v>157.64425440286149</v>
      </c>
      <c r="F1152" s="77">
        <v>157.64425440286149</v>
      </c>
      <c r="G1152" s="77">
        <v>157.64425440286149</v>
      </c>
      <c r="H1152" s="77">
        <v>157.64425440286149</v>
      </c>
      <c r="I1152" s="77">
        <v>157.64425440286149</v>
      </c>
    </row>
    <row r="1153" spans="2:9">
      <c r="B1153" s="76">
        <v>2022.7559509466623</v>
      </c>
      <c r="C1153">
        <v>871.81570331007913</v>
      </c>
      <c r="D1153" s="77">
        <v>145.30261721834651</v>
      </c>
      <c r="E1153" s="77">
        <v>145.30261721834651</v>
      </c>
      <c r="F1153" s="77">
        <v>145.30261721834651</v>
      </c>
      <c r="G1153" s="77">
        <v>145.30261721834651</v>
      </c>
      <c r="H1153" s="77">
        <v>145.30261721834651</v>
      </c>
      <c r="I1153" s="77">
        <v>145.30261721834651</v>
      </c>
    </row>
    <row r="1154" spans="2:9">
      <c r="B1154" s="76">
        <v>2024.8219507819133</v>
      </c>
      <c r="C1154">
        <v>1122.3919806022907</v>
      </c>
      <c r="D1154" s="77">
        <v>187.06533010038177</v>
      </c>
      <c r="E1154" s="77">
        <v>187.06533010038177</v>
      </c>
      <c r="F1154" s="77">
        <v>187.06533010038177</v>
      </c>
      <c r="G1154" s="77">
        <v>187.06533010038177</v>
      </c>
      <c r="H1154" s="77">
        <v>187.06533010038177</v>
      </c>
      <c r="I1154" s="77">
        <v>187.06533010038177</v>
      </c>
    </row>
    <row r="1155" spans="2:9">
      <c r="B1155" s="76">
        <v>2023.5361682935293</v>
      </c>
      <c r="C1155">
        <v>908.60598862507754</v>
      </c>
      <c r="D1155" s="77">
        <v>151.43433143751292</v>
      </c>
      <c r="E1155" s="77">
        <v>151.43433143751292</v>
      </c>
      <c r="F1155" s="77">
        <v>151.43433143751292</v>
      </c>
      <c r="G1155" s="77">
        <v>151.43433143751292</v>
      </c>
      <c r="H1155" s="77">
        <v>151.43433143751292</v>
      </c>
      <c r="I1155" s="77">
        <v>151.43433143751292</v>
      </c>
    </row>
    <row r="1156" spans="2:9">
      <c r="B1156" s="76">
        <v>2022.9758809515949</v>
      </c>
      <c r="C1156">
        <v>863.35914269978434</v>
      </c>
      <c r="D1156" s="77">
        <v>143.89319044996407</v>
      </c>
      <c r="E1156" s="77">
        <v>143.89319044996407</v>
      </c>
      <c r="F1156" s="77">
        <v>143.89319044996407</v>
      </c>
      <c r="G1156" s="77">
        <v>143.89319044996407</v>
      </c>
      <c r="H1156" s="77">
        <v>143.89319044996407</v>
      </c>
      <c r="I1156" s="77">
        <v>143.89319044996407</v>
      </c>
    </row>
    <row r="1157" spans="2:9">
      <c r="B1157" s="76">
        <v>2024.955120136168</v>
      </c>
      <c r="C1157">
        <v>1063.7365700821399</v>
      </c>
      <c r="D1157" s="77">
        <v>177.28942834702332</v>
      </c>
      <c r="E1157" s="77">
        <v>177.28942834702332</v>
      </c>
      <c r="F1157" s="77">
        <v>177.28942834702332</v>
      </c>
      <c r="G1157" s="77">
        <v>177.28942834702332</v>
      </c>
      <c r="H1157" s="77">
        <v>177.28942834702332</v>
      </c>
      <c r="I1157" s="77">
        <v>177.28942834702332</v>
      </c>
    </row>
    <row r="1158" spans="2:9">
      <c r="B1158" s="76">
        <v>2024.8444577593261</v>
      </c>
      <c r="C1158">
        <v>1166.3441791336866</v>
      </c>
      <c r="D1158" s="77">
        <v>194.3906965222811</v>
      </c>
      <c r="E1158" s="77">
        <v>194.3906965222811</v>
      </c>
      <c r="F1158" s="77">
        <v>194.3906965222811</v>
      </c>
      <c r="G1158" s="77">
        <v>194.3906965222811</v>
      </c>
      <c r="H1158" s="77">
        <v>194.3906965222811</v>
      </c>
      <c r="I1158" s="77">
        <v>194.3906965222811</v>
      </c>
    </row>
    <row r="1159" spans="2:9">
      <c r="B1159" s="76">
        <v>2024.5185697066429</v>
      </c>
      <c r="C1159">
        <v>1087.7643743633057</v>
      </c>
      <c r="D1159" s="77">
        <v>181.29406239388427</v>
      </c>
      <c r="E1159" s="77">
        <v>181.29406239388427</v>
      </c>
      <c r="F1159" s="77">
        <v>181.29406239388427</v>
      </c>
      <c r="G1159" s="77">
        <v>181.29406239388427</v>
      </c>
      <c r="H1159" s="77">
        <v>181.29406239388427</v>
      </c>
      <c r="I1159" s="77">
        <v>181.29406239388427</v>
      </c>
    </row>
    <row r="1160" spans="2:9">
      <c r="B1160" s="76">
        <v>2025.3196435873581</v>
      </c>
      <c r="C1160">
        <v>1243.6596196669816</v>
      </c>
      <c r="D1160" s="77">
        <v>207.27660327783028</v>
      </c>
      <c r="E1160" s="77">
        <v>207.27660327783028</v>
      </c>
      <c r="F1160" s="77">
        <v>207.27660327783028</v>
      </c>
      <c r="G1160" s="77">
        <v>207.27660327783028</v>
      </c>
      <c r="H1160" s="77">
        <v>207.27660327783028</v>
      </c>
      <c r="I1160" s="77">
        <v>207.27660327783028</v>
      </c>
    </row>
    <row r="1161" spans="2:9">
      <c r="B1161" s="76">
        <v>2022.9535904132374</v>
      </c>
      <c r="C1161">
        <v>898.50462503677636</v>
      </c>
      <c r="D1161" s="77">
        <v>149.75077083946272</v>
      </c>
      <c r="E1161" s="77">
        <v>149.75077083946272</v>
      </c>
      <c r="F1161" s="77">
        <v>149.75077083946272</v>
      </c>
      <c r="G1161" s="77">
        <v>149.75077083946272</v>
      </c>
      <c r="H1161" s="77">
        <v>149.75077083946272</v>
      </c>
      <c r="I1161" s="77">
        <v>149.75077083946272</v>
      </c>
    </row>
    <row r="1162" spans="2:9">
      <c r="B1162" s="76">
        <v>2023.226539766998</v>
      </c>
      <c r="C1162">
        <v>926.04188178728123</v>
      </c>
      <c r="D1162" s="77">
        <v>154.34031363121355</v>
      </c>
      <c r="E1162" s="77">
        <v>154.34031363121355</v>
      </c>
      <c r="F1162" s="77">
        <v>154.34031363121355</v>
      </c>
      <c r="G1162" s="77">
        <v>154.34031363121355</v>
      </c>
      <c r="H1162" s="77">
        <v>154.34031363121355</v>
      </c>
      <c r="I1162" s="77">
        <v>154.34031363121355</v>
      </c>
    </row>
    <row r="1163" spans="2:9">
      <c r="B1163" s="76">
        <v>2023.1165721036095</v>
      </c>
      <c r="C1163">
        <v>904.68768326340887</v>
      </c>
      <c r="D1163" s="77">
        <v>150.78128054390149</v>
      </c>
      <c r="E1163" s="77">
        <v>150.78128054390149</v>
      </c>
      <c r="F1163" s="77">
        <v>150.78128054390149</v>
      </c>
      <c r="G1163" s="77">
        <v>150.78128054390149</v>
      </c>
      <c r="H1163" s="77">
        <v>150.78128054390149</v>
      </c>
      <c r="I1163" s="77">
        <v>150.78128054390149</v>
      </c>
    </row>
    <row r="1164" spans="2:9">
      <c r="B1164" s="76">
        <v>2022.9254368290751</v>
      </c>
      <c r="C1164">
        <v>876.72523556796818</v>
      </c>
      <c r="D1164" s="77">
        <v>146.12087259466136</v>
      </c>
      <c r="E1164" s="77">
        <v>146.12087259466136</v>
      </c>
      <c r="F1164" s="77">
        <v>146.12087259466136</v>
      </c>
      <c r="G1164" s="77">
        <v>146.12087259466136</v>
      </c>
      <c r="H1164" s="77">
        <v>146.12087259466136</v>
      </c>
      <c r="I1164" s="77">
        <v>146.12087259466136</v>
      </c>
    </row>
    <row r="1165" spans="2:9">
      <c r="B1165" s="76">
        <v>2022.8099112815232</v>
      </c>
      <c r="C1165">
        <v>833.53972079807522</v>
      </c>
      <c r="D1165" s="77">
        <v>138.9232867996792</v>
      </c>
      <c r="E1165" s="77">
        <v>138.9232867996792</v>
      </c>
      <c r="F1165" s="77">
        <v>138.9232867996792</v>
      </c>
      <c r="G1165" s="77">
        <v>138.9232867996792</v>
      </c>
      <c r="H1165" s="77">
        <v>138.9232867996792</v>
      </c>
      <c r="I1165" s="77">
        <v>138.9232867996792</v>
      </c>
    </row>
    <row r="1166" spans="2:9">
      <c r="B1166" s="76">
        <v>2024.4872269126101</v>
      </c>
      <c r="C1166">
        <v>1048.9045747588357</v>
      </c>
      <c r="D1166" s="77">
        <v>174.8174291264726</v>
      </c>
      <c r="E1166" s="77">
        <v>174.8174291264726</v>
      </c>
      <c r="F1166" s="77">
        <v>174.8174291264726</v>
      </c>
      <c r="G1166" s="77">
        <v>174.8174291264726</v>
      </c>
      <c r="H1166" s="77">
        <v>174.8174291264726</v>
      </c>
      <c r="I1166" s="77">
        <v>174.8174291264726</v>
      </c>
    </row>
    <row r="1167" spans="2:9">
      <c r="B1167" s="76">
        <v>2023.5912801522022</v>
      </c>
      <c r="C1167">
        <v>978.35645510228767</v>
      </c>
      <c r="D1167" s="77">
        <v>163.05940918371462</v>
      </c>
      <c r="E1167" s="77">
        <v>163.05940918371462</v>
      </c>
      <c r="F1167" s="77">
        <v>163.05940918371462</v>
      </c>
      <c r="G1167" s="77">
        <v>163.05940918371462</v>
      </c>
      <c r="H1167" s="77">
        <v>163.05940918371462</v>
      </c>
      <c r="I1167" s="77">
        <v>163.05940918371462</v>
      </c>
    </row>
    <row r="1168" spans="2:9">
      <c r="B1168" s="76">
        <v>2023.6673542967192</v>
      </c>
      <c r="C1168">
        <v>913.64641700771665</v>
      </c>
      <c r="D1168" s="77">
        <v>152.27440283461945</v>
      </c>
      <c r="E1168" s="77">
        <v>152.27440283461945</v>
      </c>
      <c r="F1168" s="77">
        <v>152.27440283461945</v>
      </c>
      <c r="G1168" s="77">
        <v>152.27440283461945</v>
      </c>
      <c r="H1168" s="77">
        <v>152.27440283461945</v>
      </c>
      <c r="I1168" s="77">
        <v>152.27440283461945</v>
      </c>
    </row>
    <row r="1169" spans="2:9">
      <c r="B1169" s="76">
        <v>2023.15426819053</v>
      </c>
      <c r="C1169">
        <v>872.37546637681339</v>
      </c>
      <c r="D1169" s="77">
        <v>145.39591106280224</v>
      </c>
      <c r="E1169" s="77">
        <v>145.39591106280224</v>
      </c>
      <c r="F1169" s="77">
        <v>145.39591106280224</v>
      </c>
      <c r="G1169" s="77">
        <v>145.39591106280224</v>
      </c>
      <c r="H1169" s="77">
        <v>145.39591106280224</v>
      </c>
      <c r="I1169" s="77">
        <v>145.39591106280224</v>
      </c>
    </row>
    <row r="1170" spans="2:9">
      <c r="B1170" s="76">
        <v>2023.3619225249693</v>
      </c>
      <c r="C1170">
        <v>945.10368962308394</v>
      </c>
      <c r="D1170" s="77">
        <v>157.51728160384732</v>
      </c>
      <c r="E1170" s="77">
        <v>157.51728160384732</v>
      </c>
      <c r="F1170" s="77">
        <v>157.51728160384732</v>
      </c>
      <c r="G1170" s="77">
        <v>157.51728160384732</v>
      </c>
      <c r="H1170" s="77">
        <v>157.51728160384732</v>
      </c>
      <c r="I1170" s="77">
        <v>157.51728160384732</v>
      </c>
    </row>
    <row r="1171" spans="2:9">
      <c r="B1171" s="76">
        <v>2023.150713542721</v>
      </c>
      <c r="C1171">
        <v>927.05059397493403</v>
      </c>
      <c r="D1171" s="77">
        <v>154.50843232915568</v>
      </c>
      <c r="E1171" s="77">
        <v>154.50843232915568</v>
      </c>
      <c r="F1171" s="77">
        <v>154.50843232915568</v>
      </c>
      <c r="G1171" s="77">
        <v>154.50843232915568</v>
      </c>
      <c r="H1171" s="77">
        <v>154.50843232915568</v>
      </c>
      <c r="I1171" s="77">
        <v>154.50843232915568</v>
      </c>
    </row>
    <row r="1172" spans="2:9">
      <c r="B1172" s="76">
        <v>2025.2006833775624</v>
      </c>
      <c r="C1172">
        <v>1112.1427179590867</v>
      </c>
      <c r="D1172" s="77">
        <v>185.35711965984777</v>
      </c>
      <c r="E1172" s="77">
        <v>185.35711965984777</v>
      </c>
      <c r="F1172" s="77">
        <v>185.35711965984777</v>
      </c>
      <c r="G1172" s="77">
        <v>185.35711965984777</v>
      </c>
      <c r="H1172" s="77">
        <v>185.35711965984777</v>
      </c>
      <c r="I1172" s="77">
        <v>185.35711965984777</v>
      </c>
    </row>
    <row r="1173" spans="2:9">
      <c r="B1173" s="76">
        <v>2024.1539479697717</v>
      </c>
      <c r="C1173">
        <v>1066.6154787450148</v>
      </c>
      <c r="D1173" s="77">
        <v>177.76924645750248</v>
      </c>
      <c r="E1173" s="77">
        <v>177.76924645750248</v>
      </c>
      <c r="F1173" s="77">
        <v>177.76924645750248</v>
      </c>
      <c r="G1173" s="77">
        <v>177.76924645750248</v>
      </c>
      <c r="H1173" s="77">
        <v>177.76924645750248</v>
      </c>
      <c r="I1173" s="77">
        <v>177.76924645750248</v>
      </c>
    </row>
    <row r="1174" spans="2:9">
      <c r="B1174" s="76">
        <v>2024.8852013986457</v>
      </c>
      <c r="C1174">
        <v>1117.7838892077762</v>
      </c>
      <c r="D1174" s="77">
        <v>186.29731486796268</v>
      </c>
      <c r="E1174" s="77">
        <v>186.29731486796268</v>
      </c>
      <c r="F1174" s="77">
        <v>186.29731486796268</v>
      </c>
      <c r="G1174" s="77">
        <v>186.29731486796268</v>
      </c>
      <c r="H1174" s="77">
        <v>186.29731486796268</v>
      </c>
      <c r="I1174" s="77">
        <v>186.29731486796268</v>
      </c>
    </row>
    <row r="1175" spans="2:9">
      <c r="B1175" s="76">
        <v>2025.3397274430279</v>
      </c>
      <c r="C1175">
        <v>1208.3266458282246</v>
      </c>
      <c r="D1175" s="77">
        <v>201.3877743047041</v>
      </c>
      <c r="E1175" s="77">
        <v>201.3877743047041</v>
      </c>
      <c r="F1175" s="77">
        <v>201.3877743047041</v>
      </c>
      <c r="G1175" s="77">
        <v>201.3877743047041</v>
      </c>
      <c r="H1175" s="77">
        <v>201.3877743047041</v>
      </c>
      <c r="I1175" s="77">
        <v>201.3877743047041</v>
      </c>
    </row>
    <row r="1176" spans="2:9">
      <c r="B1176" s="76">
        <v>2023.477022353966</v>
      </c>
      <c r="C1176">
        <v>901.68252677677162</v>
      </c>
      <c r="D1176" s="77">
        <v>150.28042112946193</v>
      </c>
      <c r="E1176" s="77">
        <v>150.28042112946193</v>
      </c>
      <c r="F1176" s="77">
        <v>150.28042112946193</v>
      </c>
      <c r="G1176" s="77">
        <v>150.28042112946193</v>
      </c>
      <c r="H1176" s="77">
        <v>150.28042112946193</v>
      </c>
      <c r="I1176" s="77">
        <v>150.28042112946193</v>
      </c>
    </row>
    <row r="1177" spans="2:9">
      <c r="B1177" s="76">
        <v>2024.959665228341</v>
      </c>
      <c r="C1177">
        <v>1160.4133165418198</v>
      </c>
      <c r="D1177" s="77">
        <v>193.40221942363664</v>
      </c>
      <c r="E1177" s="77">
        <v>193.40221942363664</v>
      </c>
      <c r="F1177" s="77">
        <v>193.40221942363664</v>
      </c>
      <c r="G1177" s="77">
        <v>193.40221942363664</v>
      </c>
      <c r="H1177" s="77">
        <v>193.40221942363664</v>
      </c>
      <c r="I1177" s="77">
        <v>193.40221942363664</v>
      </c>
    </row>
    <row r="1178" spans="2:9">
      <c r="B1178" s="76">
        <v>2022.8147105327498</v>
      </c>
      <c r="C1178">
        <v>903.73399671772586</v>
      </c>
      <c r="D1178" s="77">
        <v>150.62233278628764</v>
      </c>
      <c r="E1178" s="77">
        <v>150.62233278628764</v>
      </c>
      <c r="F1178" s="77">
        <v>150.62233278628764</v>
      </c>
      <c r="G1178" s="77">
        <v>150.62233278628764</v>
      </c>
      <c r="H1178" s="77">
        <v>150.62233278628764</v>
      </c>
      <c r="I1178" s="77">
        <v>150.62233278628764</v>
      </c>
    </row>
    <row r="1179" spans="2:9">
      <c r="B1179" s="76">
        <v>2022.9101231862562</v>
      </c>
      <c r="C1179">
        <v>818.11066856238608</v>
      </c>
      <c r="D1179" s="77">
        <v>136.35177809373101</v>
      </c>
      <c r="E1179" s="77">
        <v>136.35177809373101</v>
      </c>
      <c r="F1179" s="77">
        <v>136.35177809373101</v>
      </c>
      <c r="G1179" s="77">
        <v>136.35177809373101</v>
      </c>
      <c r="H1179" s="77">
        <v>136.35177809373101</v>
      </c>
      <c r="I1179" s="77">
        <v>136.35177809373101</v>
      </c>
    </row>
    <row r="1180" spans="2:9">
      <c r="B1180" s="76">
        <v>2023.5580232015097</v>
      </c>
      <c r="C1180">
        <v>937.3386968865068</v>
      </c>
      <c r="D1180" s="77">
        <v>156.22311614775114</v>
      </c>
      <c r="E1180" s="77">
        <v>156.22311614775114</v>
      </c>
      <c r="F1180" s="77">
        <v>156.22311614775114</v>
      </c>
      <c r="G1180" s="77">
        <v>156.22311614775114</v>
      </c>
      <c r="H1180" s="77">
        <v>156.22311614775114</v>
      </c>
      <c r="I1180" s="77">
        <v>156.22311614775114</v>
      </c>
    </row>
    <row r="1181" spans="2:9">
      <c r="B1181" s="76">
        <v>2024.4521264605303</v>
      </c>
      <c r="C1181">
        <v>1133.2335240375728</v>
      </c>
      <c r="D1181" s="77">
        <v>188.87225400626212</v>
      </c>
      <c r="E1181" s="77">
        <v>188.87225400626212</v>
      </c>
      <c r="F1181" s="77">
        <v>188.87225400626212</v>
      </c>
      <c r="G1181" s="77">
        <v>188.87225400626212</v>
      </c>
      <c r="H1181" s="77">
        <v>188.87225400626212</v>
      </c>
      <c r="I1181" s="77">
        <v>188.87225400626212</v>
      </c>
    </row>
    <row r="1182" spans="2:9">
      <c r="B1182" s="76">
        <v>2022.8995745590414</v>
      </c>
      <c r="C1182">
        <v>827.38431097393095</v>
      </c>
      <c r="D1182" s="77">
        <v>137.89738516232183</v>
      </c>
      <c r="E1182" s="77">
        <v>137.89738516232183</v>
      </c>
      <c r="F1182" s="77">
        <v>137.89738516232183</v>
      </c>
      <c r="G1182" s="77">
        <v>137.89738516232183</v>
      </c>
      <c r="H1182" s="77">
        <v>137.89738516232183</v>
      </c>
      <c r="I1182" s="77">
        <v>137.89738516232183</v>
      </c>
    </row>
    <row r="1183" spans="2:9">
      <c r="B1183" s="76">
        <v>2023.3255210542352</v>
      </c>
      <c r="C1183">
        <v>918.04209426623709</v>
      </c>
      <c r="D1183" s="77">
        <v>153.00701571103951</v>
      </c>
      <c r="E1183" s="77">
        <v>153.00701571103951</v>
      </c>
      <c r="F1183" s="77">
        <v>153.00701571103951</v>
      </c>
      <c r="G1183" s="77">
        <v>153.00701571103951</v>
      </c>
      <c r="H1183" s="77">
        <v>153.00701571103951</v>
      </c>
      <c r="I1183" s="77">
        <v>153.00701571103951</v>
      </c>
    </row>
    <row r="1184" spans="2:9">
      <c r="B1184" s="76">
        <v>2025.7069699505519</v>
      </c>
      <c r="C1184">
        <v>1164.4220630386449</v>
      </c>
      <c r="D1184" s="77">
        <v>194.07034383977415</v>
      </c>
      <c r="E1184" s="77">
        <v>194.07034383977415</v>
      </c>
      <c r="F1184" s="77">
        <v>194.07034383977415</v>
      </c>
      <c r="G1184" s="77">
        <v>194.07034383977415</v>
      </c>
      <c r="H1184" s="77">
        <v>194.07034383977415</v>
      </c>
      <c r="I1184" s="77">
        <v>194.07034383977415</v>
      </c>
    </row>
    <row r="1185" spans="2:9">
      <c r="B1185" s="76">
        <v>2023.2859275722949</v>
      </c>
      <c r="C1185">
        <v>904.52875828581443</v>
      </c>
      <c r="D1185" s="77">
        <v>150.75479304763573</v>
      </c>
      <c r="E1185" s="77">
        <v>150.75479304763573</v>
      </c>
      <c r="F1185" s="77">
        <v>150.75479304763573</v>
      </c>
      <c r="G1185" s="77">
        <v>150.75479304763573</v>
      </c>
      <c r="H1185" s="77">
        <v>150.75479304763573</v>
      </c>
      <c r="I1185" s="77">
        <v>150.75479304763573</v>
      </c>
    </row>
    <row r="1186" spans="2:9">
      <c r="B1186" s="76">
        <v>2025.0821726429303</v>
      </c>
      <c r="C1186">
        <v>1110.2289877207572</v>
      </c>
      <c r="D1186" s="77">
        <v>185.0381646201262</v>
      </c>
      <c r="E1186" s="77">
        <v>185.0381646201262</v>
      </c>
      <c r="F1186" s="77">
        <v>185.0381646201262</v>
      </c>
      <c r="G1186" s="77">
        <v>185.0381646201262</v>
      </c>
      <c r="H1186" s="77">
        <v>185.0381646201262</v>
      </c>
      <c r="I1186" s="77">
        <v>185.0381646201262</v>
      </c>
    </row>
    <row r="1187" spans="2:9">
      <c r="B1187" s="76">
        <v>2023.6144407563063</v>
      </c>
      <c r="C1187">
        <v>919.97681417143656</v>
      </c>
      <c r="D1187" s="77">
        <v>153.32946902857276</v>
      </c>
      <c r="E1187" s="77">
        <v>153.32946902857276</v>
      </c>
      <c r="F1187" s="77">
        <v>153.32946902857276</v>
      </c>
      <c r="G1187" s="77">
        <v>153.32946902857276</v>
      </c>
      <c r="H1187" s="77">
        <v>153.32946902857276</v>
      </c>
      <c r="I1187" s="77">
        <v>153.32946902857276</v>
      </c>
    </row>
    <row r="1188" spans="2:9">
      <c r="B1188" s="76">
        <v>2023.0720213010891</v>
      </c>
      <c r="C1188">
        <v>878.87211485376633</v>
      </c>
      <c r="D1188" s="77">
        <v>146.47868580896105</v>
      </c>
      <c r="E1188" s="77">
        <v>146.47868580896105</v>
      </c>
      <c r="F1188" s="77">
        <v>146.47868580896105</v>
      </c>
      <c r="G1188" s="77">
        <v>146.47868580896105</v>
      </c>
      <c r="H1188" s="77">
        <v>146.47868580896105</v>
      </c>
      <c r="I1188" s="77">
        <v>146.47868580896105</v>
      </c>
    </row>
    <row r="1189" spans="2:9">
      <c r="B1189" s="76">
        <v>2024.6060860840378</v>
      </c>
      <c r="C1189">
        <v>1008.273791250699</v>
      </c>
      <c r="D1189" s="77">
        <v>168.0456318751165</v>
      </c>
      <c r="E1189" s="77">
        <v>168.0456318751165</v>
      </c>
      <c r="F1189" s="77">
        <v>168.0456318751165</v>
      </c>
      <c r="G1189" s="77">
        <v>168.0456318751165</v>
      </c>
      <c r="H1189" s="77">
        <v>168.0456318751165</v>
      </c>
      <c r="I1189" s="77">
        <v>168.0456318751165</v>
      </c>
    </row>
    <row r="1190" spans="2:9">
      <c r="B1190" s="76">
        <v>2022.8175476923368</v>
      </c>
      <c r="C1190">
        <v>882.37354237632303</v>
      </c>
      <c r="D1190" s="77">
        <v>147.06225706272051</v>
      </c>
      <c r="E1190" s="77">
        <v>147.06225706272051</v>
      </c>
      <c r="F1190" s="77">
        <v>147.06225706272051</v>
      </c>
      <c r="G1190" s="77">
        <v>147.06225706272051</v>
      </c>
      <c r="H1190" s="77">
        <v>147.06225706272051</v>
      </c>
      <c r="I1190" s="77">
        <v>147.06225706272051</v>
      </c>
    </row>
    <row r="1191" spans="2:9">
      <c r="B1191" s="76">
        <v>2024.8044606075316</v>
      </c>
      <c r="C1191">
        <v>1161.4572286830326</v>
      </c>
      <c r="D1191" s="77">
        <v>193.57620478050544</v>
      </c>
      <c r="E1191" s="77">
        <v>193.57620478050544</v>
      </c>
      <c r="F1191" s="77">
        <v>193.57620478050544</v>
      </c>
      <c r="G1191" s="77">
        <v>193.57620478050544</v>
      </c>
      <c r="H1191" s="77">
        <v>193.57620478050544</v>
      </c>
      <c r="I1191" s="77">
        <v>193.57620478050544</v>
      </c>
    </row>
    <row r="1192" spans="2:9">
      <c r="B1192" s="76">
        <v>2023.1844865734888</v>
      </c>
      <c r="C1192">
        <v>873.5563409315389</v>
      </c>
      <c r="D1192" s="77">
        <v>145.59272348858983</v>
      </c>
      <c r="E1192" s="77">
        <v>145.59272348858983</v>
      </c>
      <c r="F1192" s="77">
        <v>145.59272348858983</v>
      </c>
      <c r="G1192" s="77">
        <v>145.59272348858983</v>
      </c>
      <c r="H1192" s="77">
        <v>145.59272348858983</v>
      </c>
      <c r="I1192" s="77">
        <v>145.59272348858983</v>
      </c>
    </row>
    <row r="1193" spans="2:9">
      <c r="B1193" s="76">
        <v>2023.2801073381204</v>
      </c>
      <c r="C1193">
        <v>942.31655775713989</v>
      </c>
      <c r="D1193" s="77">
        <v>157.05275962618998</v>
      </c>
      <c r="E1193" s="77">
        <v>157.05275962618998</v>
      </c>
      <c r="F1193" s="77">
        <v>157.05275962618998</v>
      </c>
      <c r="G1193" s="77">
        <v>157.05275962618998</v>
      </c>
      <c r="H1193" s="77">
        <v>157.05275962618998</v>
      </c>
      <c r="I1193" s="77">
        <v>157.05275962618998</v>
      </c>
    </row>
    <row r="1194" spans="2:9">
      <c r="B1194" s="76">
        <v>2024.8440467968462</v>
      </c>
      <c r="C1194">
        <v>1151.1684123917642</v>
      </c>
      <c r="D1194" s="77">
        <v>191.86140206529402</v>
      </c>
      <c r="E1194" s="77">
        <v>191.86140206529402</v>
      </c>
      <c r="F1194" s="77">
        <v>191.86140206529402</v>
      </c>
      <c r="G1194" s="77">
        <v>191.86140206529402</v>
      </c>
      <c r="H1194" s="77">
        <v>191.86140206529402</v>
      </c>
      <c r="I1194" s="77">
        <v>191.86140206529402</v>
      </c>
    </row>
    <row r="1195" spans="2:9">
      <c r="B1195" s="76">
        <v>2024.7245637256867</v>
      </c>
      <c r="C1195">
        <v>1114.3297685352513</v>
      </c>
      <c r="D1195" s="77">
        <v>185.72162808920856</v>
      </c>
      <c r="E1195" s="77">
        <v>185.72162808920856</v>
      </c>
      <c r="F1195" s="77">
        <v>185.72162808920856</v>
      </c>
      <c r="G1195" s="77">
        <v>185.72162808920856</v>
      </c>
      <c r="H1195" s="77">
        <v>185.72162808920856</v>
      </c>
      <c r="I1195" s="77">
        <v>185.72162808920856</v>
      </c>
    </row>
    <row r="1196" spans="2:9">
      <c r="B1196" s="76">
        <v>2022.9507816561738</v>
      </c>
      <c r="C1196">
        <v>872.68268539419648</v>
      </c>
      <c r="D1196" s="77">
        <v>145.44711423236609</v>
      </c>
      <c r="E1196" s="77">
        <v>145.44711423236609</v>
      </c>
      <c r="F1196" s="77">
        <v>145.44711423236609</v>
      </c>
      <c r="G1196" s="77">
        <v>145.44711423236609</v>
      </c>
      <c r="H1196" s="77">
        <v>145.44711423236609</v>
      </c>
      <c r="I1196" s="77">
        <v>145.44711423236609</v>
      </c>
    </row>
    <row r="1197" spans="2:9">
      <c r="B1197" s="76">
        <v>2025.2299236269864</v>
      </c>
      <c r="C1197">
        <v>1150.7808020525556</v>
      </c>
      <c r="D1197" s="77">
        <v>191.79680034209261</v>
      </c>
      <c r="E1197" s="77">
        <v>191.79680034209261</v>
      </c>
      <c r="F1197" s="77">
        <v>191.79680034209261</v>
      </c>
      <c r="G1197" s="77">
        <v>191.79680034209261</v>
      </c>
      <c r="H1197" s="77">
        <v>191.79680034209261</v>
      </c>
      <c r="I1197" s="77">
        <v>191.79680034209261</v>
      </c>
    </row>
    <row r="1198" spans="2:9">
      <c r="B1198" s="76">
        <v>2024.0416790383108</v>
      </c>
      <c r="C1198">
        <v>991.95703188408606</v>
      </c>
      <c r="D1198" s="77">
        <v>165.32617198068101</v>
      </c>
      <c r="E1198" s="77">
        <v>165.32617198068101</v>
      </c>
      <c r="F1198" s="77">
        <v>165.32617198068101</v>
      </c>
      <c r="G1198" s="77">
        <v>165.32617198068101</v>
      </c>
      <c r="H1198" s="77">
        <v>165.32617198068101</v>
      </c>
      <c r="I1198" s="77">
        <v>165.32617198068101</v>
      </c>
    </row>
    <row r="1199" spans="2:9">
      <c r="B1199" s="76">
        <v>2023.2849857526267</v>
      </c>
      <c r="C1199">
        <v>947.6852180388538</v>
      </c>
      <c r="D1199" s="77">
        <v>157.94753633980898</v>
      </c>
      <c r="E1199" s="77">
        <v>157.94753633980898</v>
      </c>
      <c r="F1199" s="77">
        <v>157.94753633980898</v>
      </c>
      <c r="G1199" s="77">
        <v>157.94753633980898</v>
      </c>
      <c r="H1199" s="77">
        <v>157.94753633980898</v>
      </c>
      <c r="I1199" s="77">
        <v>157.94753633980898</v>
      </c>
    </row>
    <row r="1200" spans="2:9">
      <c r="B1200" s="76">
        <v>2023.8674269061439</v>
      </c>
      <c r="C1200">
        <v>962.52825554575793</v>
      </c>
      <c r="D1200" s="77">
        <v>160.42137592429299</v>
      </c>
      <c r="E1200" s="77">
        <v>160.42137592429299</v>
      </c>
      <c r="F1200" s="77">
        <v>160.42137592429299</v>
      </c>
      <c r="G1200" s="77">
        <v>160.42137592429299</v>
      </c>
      <c r="H1200" s="77">
        <v>160.42137592429299</v>
      </c>
      <c r="I1200" s="77">
        <v>160.42137592429299</v>
      </c>
    </row>
    <row r="1201" spans="2:9">
      <c r="B1201" s="76">
        <v>2023.1514207758755</v>
      </c>
      <c r="C1201">
        <v>890.32684611976822</v>
      </c>
      <c r="D1201" s="77">
        <v>148.38780768662804</v>
      </c>
      <c r="E1201" s="77">
        <v>148.38780768662804</v>
      </c>
      <c r="F1201" s="77">
        <v>148.38780768662804</v>
      </c>
      <c r="G1201" s="77">
        <v>148.38780768662804</v>
      </c>
      <c r="H1201" s="77">
        <v>148.38780768662804</v>
      </c>
      <c r="I1201" s="77">
        <v>148.38780768662804</v>
      </c>
    </row>
    <row r="1202" spans="2:9">
      <c r="B1202" s="76">
        <v>2023.0700073498613</v>
      </c>
      <c r="C1202">
        <v>909.51962043306617</v>
      </c>
      <c r="D1202" s="77">
        <v>151.58660340551103</v>
      </c>
      <c r="E1202" s="77">
        <v>151.58660340551103</v>
      </c>
      <c r="F1202" s="77">
        <v>151.58660340551103</v>
      </c>
      <c r="G1202" s="77">
        <v>151.58660340551103</v>
      </c>
      <c r="H1202" s="77">
        <v>151.58660340551103</v>
      </c>
      <c r="I1202" s="77">
        <v>151.58660340551103</v>
      </c>
    </row>
    <row r="1203" spans="2:9">
      <c r="B1203" s="76">
        <v>2023.2367169564286</v>
      </c>
      <c r="C1203">
        <v>899.50881534712698</v>
      </c>
      <c r="D1203" s="77">
        <v>149.91813589118783</v>
      </c>
      <c r="E1203" s="77">
        <v>149.91813589118783</v>
      </c>
      <c r="F1203" s="77">
        <v>149.91813589118783</v>
      </c>
      <c r="G1203" s="77">
        <v>149.91813589118783</v>
      </c>
      <c r="H1203" s="77">
        <v>149.91813589118783</v>
      </c>
      <c r="I1203" s="77">
        <v>149.91813589118783</v>
      </c>
    </row>
    <row r="1204" spans="2:9">
      <c r="B1204" s="76">
        <v>2023.5603249827773</v>
      </c>
      <c r="C1204">
        <v>869.94988826306087</v>
      </c>
      <c r="D1204" s="77">
        <v>144.99164804384347</v>
      </c>
      <c r="E1204" s="77">
        <v>144.99164804384347</v>
      </c>
      <c r="F1204" s="77">
        <v>144.99164804384347</v>
      </c>
      <c r="G1204" s="77">
        <v>144.99164804384347</v>
      </c>
      <c r="H1204" s="77">
        <v>144.99164804384347</v>
      </c>
      <c r="I1204" s="77">
        <v>144.99164804384347</v>
      </c>
    </row>
    <row r="1205" spans="2:9">
      <c r="B1205" s="76">
        <v>2022.7212366872368</v>
      </c>
      <c r="C1205">
        <v>825.76308362446366</v>
      </c>
      <c r="D1205" s="77">
        <v>137.62718060407727</v>
      </c>
      <c r="E1205" s="77">
        <v>137.62718060407727</v>
      </c>
      <c r="F1205" s="77">
        <v>137.62718060407727</v>
      </c>
      <c r="G1205" s="77">
        <v>137.62718060407727</v>
      </c>
      <c r="H1205" s="77">
        <v>137.62718060407727</v>
      </c>
      <c r="I1205" s="77">
        <v>137.62718060407727</v>
      </c>
    </row>
    <row r="1206" spans="2:9">
      <c r="B1206" s="76">
        <v>2023.2842541149068</v>
      </c>
      <c r="C1206">
        <v>916.1606501289483</v>
      </c>
      <c r="D1206" s="77">
        <v>152.69344168815806</v>
      </c>
      <c r="E1206" s="77">
        <v>152.69344168815806</v>
      </c>
      <c r="F1206" s="77">
        <v>152.69344168815806</v>
      </c>
      <c r="G1206" s="77">
        <v>152.69344168815806</v>
      </c>
      <c r="H1206" s="77">
        <v>152.69344168815806</v>
      </c>
      <c r="I1206" s="77">
        <v>152.69344168815806</v>
      </c>
    </row>
    <row r="1207" spans="2:9">
      <c r="B1207" s="76">
        <v>2023.0257833149385</v>
      </c>
      <c r="C1207">
        <v>937.02454361600383</v>
      </c>
      <c r="D1207" s="77">
        <v>156.17075726933396</v>
      </c>
      <c r="E1207" s="77">
        <v>156.17075726933396</v>
      </c>
      <c r="F1207" s="77">
        <v>156.17075726933396</v>
      </c>
      <c r="G1207" s="77">
        <v>156.17075726933396</v>
      </c>
      <c r="H1207" s="77">
        <v>156.17075726933396</v>
      </c>
      <c r="I1207" s="77">
        <v>156.17075726933396</v>
      </c>
    </row>
    <row r="1208" spans="2:9">
      <c r="B1208" s="76">
        <v>2024.6882260298003</v>
      </c>
      <c r="C1208">
        <v>1133.0513149340402</v>
      </c>
      <c r="D1208" s="77">
        <v>188.84188582234003</v>
      </c>
      <c r="E1208" s="77">
        <v>188.84188582234003</v>
      </c>
      <c r="F1208" s="77">
        <v>188.84188582234003</v>
      </c>
      <c r="G1208" s="77">
        <v>188.84188582234003</v>
      </c>
      <c r="H1208" s="77">
        <v>188.84188582234003</v>
      </c>
      <c r="I1208" s="77">
        <v>188.84188582234003</v>
      </c>
    </row>
    <row r="1209" spans="2:9">
      <c r="B1209" s="76">
        <v>2024.9400037803794</v>
      </c>
      <c r="C1209">
        <v>1139.5578764872021</v>
      </c>
      <c r="D1209" s="77">
        <v>189.926312747867</v>
      </c>
      <c r="E1209" s="77">
        <v>189.926312747867</v>
      </c>
      <c r="F1209" s="77">
        <v>189.926312747867</v>
      </c>
      <c r="G1209" s="77">
        <v>189.926312747867</v>
      </c>
      <c r="H1209" s="77">
        <v>189.926312747867</v>
      </c>
      <c r="I1209" s="77">
        <v>189.926312747867</v>
      </c>
    </row>
    <row r="1210" spans="2:9">
      <c r="B1210" s="76">
        <v>2023.4070317162186</v>
      </c>
      <c r="C1210">
        <v>932.53377581971597</v>
      </c>
      <c r="D1210" s="77">
        <v>155.42229596995267</v>
      </c>
      <c r="E1210" s="77">
        <v>155.42229596995267</v>
      </c>
      <c r="F1210" s="77">
        <v>155.42229596995267</v>
      </c>
      <c r="G1210" s="77">
        <v>155.42229596995267</v>
      </c>
      <c r="H1210" s="77">
        <v>155.42229596995267</v>
      </c>
      <c r="I1210" s="77">
        <v>155.42229596995267</v>
      </c>
    </row>
    <row r="1211" spans="2:9">
      <c r="B1211" s="76">
        <v>2023.6580681204066</v>
      </c>
      <c r="C1211">
        <v>884.7408957214717</v>
      </c>
      <c r="D1211" s="77">
        <v>147.45681595357863</v>
      </c>
      <c r="E1211" s="77">
        <v>147.45681595357863</v>
      </c>
      <c r="F1211" s="77">
        <v>147.45681595357863</v>
      </c>
      <c r="G1211" s="77">
        <v>147.45681595357863</v>
      </c>
      <c r="H1211" s="77">
        <v>147.45681595357863</v>
      </c>
      <c r="I1211" s="77">
        <v>147.45681595357863</v>
      </c>
    </row>
    <row r="1212" spans="2:9">
      <c r="B1212" s="76">
        <v>2022.9506810153912</v>
      </c>
      <c r="C1212">
        <v>895.49194250280834</v>
      </c>
      <c r="D1212" s="77">
        <v>149.24865708380139</v>
      </c>
      <c r="E1212" s="77">
        <v>149.24865708380139</v>
      </c>
      <c r="F1212" s="77">
        <v>149.24865708380139</v>
      </c>
      <c r="G1212" s="77">
        <v>149.24865708380139</v>
      </c>
      <c r="H1212" s="77">
        <v>149.24865708380139</v>
      </c>
      <c r="I1212" s="77">
        <v>149.24865708380139</v>
      </c>
    </row>
    <row r="1213" spans="2:9">
      <c r="B1213" s="76">
        <v>2023.3617917247591</v>
      </c>
      <c r="C1213">
        <v>929.18512198101257</v>
      </c>
      <c r="D1213" s="77">
        <v>154.86418699683543</v>
      </c>
      <c r="E1213" s="77">
        <v>154.86418699683543</v>
      </c>
      <c r="F1213" s="77">
        <v>154.86418699683543</v>
      </c>
      <c r="G1213" s="77">
        <v>154.86418699683543</v>
      </c>
      <c r="H1213" s="77">
        <v>154.86418699683543</v>
      </c>
      <c r="I1213" s="77">
        <v>154.86418699683543</v>
      </c>
    </row>
    <row r="1214" spans="2:9">
      <c r="B1214" s="76">
        <v>2023.3458288380343</v>
      </c>
      <c r="C1214">
        <v>926.43683837772608</v>
      </c>
      <c r="D1214" s="77">
        <v>154.406139729621</v>
      </c>
      <c r="E1214" s="77">
        <v>154.406139729621</v>
      </c>
      <c r="F1214" s="77">
        <v>154.406139729621</v>
      </c>
      <c r="G1214" s="77">
        <v>154.406139729621</v>
      </c>
      <c r="H1214" s="77">
        <v>154.406139729621</v>
      </c>
      <c r="I1214" s="77">
        <v>154.406139729621</v>
      </c>
    </row>
    <row r="1215" spans="2:9">
      <c r="B1215" s="76">
        <v>2023.1847575613399</v>
      </c>
      <c r="C1215">
        <v>947.91711943285043</v>
      </c>
      <c r="D1215" s="77">
        <v>157.98618657214175</v>
      </c>
      <c r="E1215" s="77">
        <v>157.98618657214175</v>
      </c>
      <c r="F1215" s="77">
        <v>157.98618657214175</v>
      </c>
      <c r="G1215" s="77">
        <v>157.98618657214175</v>
      </c>
      <c r="H1215" s="77">
        <v>157.98618657214175</v>
      </c>
      <c r="I1215" s="77">
        <v>157.98618657214175</v>
      </c>
    </row>
    <row r="1216" spans="2:9">
      <c r="B1216" s="76">
        <v>2025.7010909278829</v>
      </c>
      <c r="C1216">
        <v>1173.5012150501607</v>
      </c>
      <c r="D1216" s="77">
        <v>195.58353584169345</v>
      </c>
      <c r="E1216" s="77">
        <v>195.58353584169345</v>
      </c>
      <c r="F1216" s="77">
        <v>195.58353584169345</v>
      </c>
      <c r="G1216" s="77">
        <v>195.58353584169345</v>
      </c>
      <c r="H1216" s="77">
        <v>195.58353584169345</v>
      </c>
      <c r="I1216" s="77">
        <v>195.58353584169345</v>
      </c>
    </row>
    <row r="1217" spans="2:9">
      <c r="B1217" s="76">
        <v>2023.2683152971035</v>
      </c>
      <c r="C1217">
        <v>891.04924301673179</v>
      </c>
      <c r="D1217" s="77">
        <v>148.50820716945529</v>
      </c>
      <c r="E1217" s="77">
        <v>148.50820716945529</v>
      </c>
      <c r="F1217" s="77">
        <v>148.50820716945529</v>
      </c>
      <c r="G1217" s="77">
        <v>148.50820716945529</v>
      </c>
      <c r="H1217" s="77">
        <v>148.50820716945529</v>
      </c>
      <c r="I1217" s="77">
        <v>148.50820716945529</v>
      </c>
    </row>
    <row r="1218" spans="2:9">
      <c r="B1218" s="76">
        <v>2024.7262259570791</v>
      </c>
      <c r="C1218">
        <v>1007.6448655008192</v>
      </c>
      <c r="D1218" s="77">
        <v>167.9408109168032</v>
      </c>
      <c r="E1218" s="77">
        <v>167.9408109168032</v>
      </c>
      <c r="F1218" s="77">
        <v>167.9408109168032</v>
      </c>
      <c r="G1218" s="77">
        <v>167.9408109168032</v>
      </c>
      <c r="H1218" s="77">
        <v>167.9408109168032</v>
      </c>
      <c r="I1218" s="77">
        <v>167.9408109168032</v>
      </c>
    </row>
    <row r="1219" spans="2:9">
      <c r="B1219" s="76">
        <v>2024.191688054914</v>
      </c>
      <c r="C1219">
        <v>1033.939017578464</v>
      </c>
      <c r="D1219" s="77">
        <v>172.32316959641068</v>
      </c>
      <c r="E1219" s="77">
        <v>172.32316959641068</v>
      </c>
      <c r="F1219" s="77">
        <v>172.32316959641068</v>
      </c>
      <c r="G1219" s="77">
        <v>172.32316959641068</v>
      </c>
      <c r="H1219" s="77">
        <v>172.32316959641068</v>
      </c>
      <c r="I1219" s="77">
        <v>172.32316959641068</v>
      </c>
    </row>
    <row r="1220" spans="2:9">
      <c r="B1220" s="76">
        <v>2023.080059509319</v>
      </c>
      <c r="C1220">
        <v>871.48399008842023</v>
      </c>
      <c r="D1220" s="77">
        <v>145.24733168140338</v>
      </c>
      <c r="E1220" s="77">
        <v>145.24733168140338</v>
      </c>
      <c r="F1220" s="77">
        <v>145.24733168140338</v>
      </c>
      <c r="G1220" s="77">
        <v>145.24733168140338</v>
      </c>
      <c r="H1220" s="77">
        <v>145.24733168140338</v>
      </c>
      <c r="I1220" s="77">
        <v>145.24733168140338</v>
      </c>
    </row>
    <row r="1221" spans="2:9">
      <c r="B1221" s="76">
        <v>2024.730619093888</v>
      </c>
      <c r="C1221">
        <v>1021.0636442053254</v>
      </c>
      <c r="D1221" s="77">
        <v>170.17727403422091</v>
      </c>
      <c r="E1221" s="77">
        <v>170.17727403422091</v>
      </c>
      <c r="F1221" s="77">
        <v>170.17727403422091</v>
      </c>
      <c r="G1221" s="77">
        <v>170.17727403422091</v>
      </c>
      <c r="H1221" s="77">
        <v>170.17727403422091</v>
      </c>
      <c r="I1221" s="77">
        <v>170.17727403422091</v>
      </c>
    </row>
    <row r="1222" spans="2:9">
      <c r="B1222" s="76">
        <v>2022.9607620747418</v>
      </c>
      <c r="C1222">
        <v>896.83168890042282</v>
      </c>
      <c r="D1222" s="77">
        <v>149.47194815007046</v>
      </c>
      <c r="E1222" s="77">
        <v>149.47194815007046</v>
      </c>
      <c r="F1222" s="77">
        <v>149.47194815007046</v>
      </c>
      <c r="G1222" s="77">
        <v>149.47194815007046</v>
      </c>
      <c r="H1222" s="77">
        <v>149.47194815007046</v>
      </c>
      <c r="I1222" s="77">
        <v>149.47194815007046</v>
      </c>
    </row>
    <row r="1223" spans="2:9">
      <c r="B1223" s="76">
        <v>2022.8951469385822</v>
      </c>
      <c r="C1223">
        <v>888.84021694060891</v>
      </c>
      <c r="D1223" s="77">
        <v>148.14003615676816</v>
      </c>
      <c r="E1223" s="77">
        <v>148.14003615676816</v>
      </c>
      <c r="F1223" s="77">
        <v>148.14003615676816</v>
      </c>
      <c r="G1223" s="77">
        <v>148.14003615676816</v>
      </c>
      <c r="H1223" s="77">
        <v>148.14003615676816</v>
      </c>
      <c r="I1223" s="77">
        <v>148.14003615676816</v>
      </c>
    </row>
    <row r="1224" spans="2:9">
      <c r="B1224" s="76">
        <v>2024.7346469995348</v>
      </c>
      <c r="C1224">
        <v>1092.6310830238933</v>
      </c>
      <c r="D1224" s="77">
        <v>182.10518050398221</v>
      </c>
      <c r="E1224" s="77">
        <v>182.10518050398221</v>
      </c>
      <c r="F1224" s="77">
        <v>182.10518050398221</v>
      </c>
      <c r="G1224" s="77">
        <v>182.10518050398221</v>
      </c>
      <c r="H1224" s="77">
        <v>182.10518050398221</v>
      </c>
      <c r="I1224" s="77">
        <v>182.10518050398221</v>
      </c>
    </row>
    <row r="1225" spans="2:9">
      <c r="B1225" s="76">
        <v>2023.2467253936786</v>
      </c>
      <c r="C1225">
        <v>969.10956225774567</v>
      </c>
      <c r="D1225" s="77">
        <v>161.51826037629095</v>
      </c>
      <c r="E1225" s="77">
        <v>161.51826037629095</v>
      </c>
      <c r="F1225" s="77">
        <v>161.51826037629095</v>
      </c>
      <c r="G1225" s="77">
        <v>161.51826037629095</v>
      </c>
      <c r="H1225" s="77">
        <v>161.51826037629095</v>
      </c>
      <c r="I1225" s="77">
        <v>161.51826037629095</v>
      </c>
    </row>
    <row r="1226" spans="2:9">
      <c r="B1226" s="76">
        <v>2024.7701418570275</v>
      </c>
      <c r="C1226">
        <v>1111.5610461754572</v>
      </c>
      <c r="D1226" s="77">
        <v>185.26017436257621</v>
      </c>
      <c r="E1226" s="77">
        <v>185.26017436257621</v>
      </c>
      <c r="F1226" s="77">
        <v>185.26017436257621</v>
      </c>
      <c r="G1226" s="77">
        <v>185.26017436257621</v>
      </c>
      <c r="H1226" s="77">
        <v>185.26017436257621</v>
      </c>
      <c r="I1226" s="77">
        <v>185.26017436257621</v>
      </c>
    </row>
    <row r="1227" spans="2:9">
      <c r="B1227" s="76">
        <v>2023.3407742845836</v>
      </c>
      <c r="C1227">
        <v>948.06635839443129</v>
      </c>
      <c r="D1227" s="77">
        <v>158.01105973240522</v>
      </c>
      <c r="E1227" s="77">
        <v>158.01105973240522</v>
      </c>
      <c r="F1227" s="77">
        <v>158.01105973240522</v>
      </c>
      <c r="G1227" s="77">
        <v>158.01105973240522</v>
      </c>
      <c r="H1227" s="77">
        <v>158.01105973240522</v>
      </c>
      <c r="I1227" s="77">
        <v>158.01105973240522</v>
      </c>
    </row>
    <row r="1228" spans="2:9">
      <c r="B1228" s="76">
        <v>2022.8495453013822</v>
      </c>
      <c r="C1228">
        <v>896.71586130940386</v>
      </c>
      <c r="D1228" s="77">
        <v>149.45264355156732</v>
      </c>
      <c r="E1228" s="77">
        <v>149.45264355156732</v>
      </c>
      <c r="F1228" s="77">
        <v>149.45264355156732</v>
      </c>
      <c r="G1228" s="77">
        <v>149.45264355156732</v>
      </c>
      <c r="H1228" s="77">
        <v>149.45264355156732</v>
      </c>
      <c r="I1228" s="77">
        <v>149.45264355156732</v>
      </c>
    </row>
    <row r="1229" spans="2:9">
      <c r="B1229" s="76">
        <v>2023.231906647525</v>
      </c>
      <c r="C1229">
        <v>991.109745267314</v>
      </c>
      <c r="D1229" s="77">
        <v>165.18495754455233</v>
      </c>
      <c r="E1229" s="77">
        <v>165.18495754455233</v>
      </c>
      <c r="F1229" s="77">
        <v>165.18495754455233</v>
      </c>
      <c r="G1229" s="77">
        <v>165.18495754455233</v>
      </c>
      <c r="H1229" s="77">
        <v>165.18495754455233</v>
      </c>
      <c r="I1229" s="77">
        <v>165.18495754455233</v>
      </c>
    </row>
    <row r="1230" spans="2:9">
      <c r="B1230" s="76">
        <v>2023.4810789670948</v>
      </c>
      <c r="C1230">
        <v>975.16527130412089</v>
      </c>
      <c r="D1230" s="77">
        <v>162.52754521735349</v>
      </c>
      <c r="E1230" s="77">
        <v>162.52754521735349</v>
      </c>
      <c r="F1230" s="77">
        <v>162.52754521735349</v>
      </c>
      <c r="G1230" s="77">
        <v>162.52754521735349</v>
      </c>
      <c r="H1230" s="77">
        <v>162.52754521735349</v>
      </c>
      <c r="I1230" s="77">
        <v>162.52754521735349</v>
      </c>
    </row>
    <row r="1231" spans="2:9">
      <c r="B1231" s="76">
        <v>2025.7909755383641</v>
      </c>
      <c r="C1231">
        <v>1108.8058939113096</v>
      </c>
      <c r="D1231" s="77">
        <v>184.8009823185516</v>
      </c>
      <c r="E1231" s="77">
        <v>184.8009823185516</v>
      </c>
      <c r="F1231" s="77">
        <v>184.8009823185516</v>
      </c>
      <c r="G1231" s="77">
        <v>184.8009823185516</v>
      </c>
      <c r="H1231" s="77">
        <v>184.8009823185516</v>
      </c>
      <c r="I1231" s="77">
        <v>184.8009823185516</v>
      </c>
    </row>
    <row r="1232" spans="2:9">
      <c r="B1232" s="76">
        <v>2023.2843242560205</v>
      </c>
      <c r="C1232">
        <v>984.57921349294361</v>
      </c>
      <c r="D1232" s="77">
        <v>164.09653558215726</v>
      </c>
      <c r="E1232" s="77">
        <v>164.09653558215726</v>
      </c>
      <c r="F1232" s="77">
        <v>164.09653558215726</v>
      </c>
      <c r="G1232" s="77">
        <v>164.09653558215726</v>
      </c>
      <c r="H1232" s="77">
        <v>164.09653558215726</v>
      </c>
      <c r="I1232" s="77">
        <v>164.09653558215726</v>
      </c>
    </row>
    <row r="1233" spans="2:9">
      <c r="B1233" s="76">
        <v>2023.1362016750702</v>
      </c>
      <c r="C1233">
        <v>873.817565519965</v>
      </c>
      <c r="D1233" s="77">
        <v>145.63626091999416</v>
      </c>
      <c r="E1233" s="77">
        <v>145.63626091999416</v>
      </c>
      <c r="F1233" s="77">
        <v>145.63626091999416</v>
      </c>
      <c r="G1233" s="77">
        <v>145.63626091999416</v>
      </c>
      <c r="H1233" s="77">
        <v>145.63626091999416</v>
      </c>
      <c r="I1233" s="77">
        <v>145.63626091999416</v>
      </c>
    </row>
    <row r="1234" spans="2:9">
      <c r="B1234" s="76">
        <v>2023.3093978498998</v>
      </c>
      <c r="C1234">
        <v>873.14893993136411</v>
      </c>
      <c r="D1234" s="77">
        <v>145.52482332189402</v>
      </c>
      <c r="E1234" s="77">
        <v>145.52482332189402</v>
      </c>
      <c r="F1234" s="77">
        <v>145.52482332189402</v>
      </c>
      <c r="G1234" s="77">
        <v>145.52482332189402</v>
      </c>
      <c r="H1234" s="77">
        <v>145.52482332189402</v>
      </c>
      <c r="I1234" s="77">
        <v>145.52482332189402</v>
      </c>
    </row>
    <row r="1235" spans="2:9">
      <c r="B1235" s="76">
        <v>2022.8588687282004</v>
      </c>
      <c r="C1235">
        <v>908.37285195520553</v>
      </c>
      <c r="D1235" s="77">
        <v>151.39547532586758</v>
      </c>
      <c r="E1235" s="77">
        <v>151.39547532586758</v>
      </c>
      <c r="F1235" s="77">
        <v>151.39547532586758</v>
      </c>
      <c r="G1235" s="77">
        <v>151.39547532586758</v>
      </c>
      <c r="H1235" s="77">
        <v>151.39547532586758</v>
      </c>
      <c r="I1235" s="77">
        <v>151.39547532586758</v>
      </c>
    </row>
    <row r="1236" spans="2:9">
      <c r="B1236" s="76">
        <v>2024.4798408418358</v>
      </c>
      <c r="C1236">
        <v>990.91317772360583</v>
      </c>
      <c r="D1236" s="77">
        <v>165.15219628726763</v>
      </c>
      <c r="E1236" s="77">
        <v>165.15219628726763</v>
      </c>
      <c r="F1236" s="77">
        <v>165.15219628726763</v>
      </c>
      <c r="G1236" s="77">
        <v>165.15219628726763</v>
      </c>
      <c r="H1236" s="77">
        <v>165.15219628726763</v>
      </c>
      <c r="I1236" s="77">
        <v>165.15219628726763</v>
      </c>
    </row>
    <row r="1237" spans="2:9">
      <c r="B1237" s="76">
        <v>2023.2476989086313</v>
      </c>
      <c r="C1237">
        <v>912.72132115318038</v>
      </c>
      <c r="D1237" s="77">
        <v>152.12022019219674</v>
      </c>
      <c r="E1237" s="77">
        <v>152.12022019219674</v>
      </c>
      <c r="F1237" s="77">
        <v>152.12022019219674</v>
      </c>
      <c r="G1237" s="77">
        <v>152.12022019219674</v>
      </c>
      <c r="H1237" s="77">
        <v>152.12022019219674</v>
      </c>
      <c r="I1237" s="77">
        <v>152.12022019219674</v>
      </c>
    </row>
    <row r="1238" spans="2:9">
      <c r="B1238" s="76">
        <v>2023.0988889733223</v>
      </c>
      <c r="C1238">
        <v>960.61886771882791</v>
      </c>
      <c r="D1238" s="77">
        <v>160.10314461980465</v>
      </c>
      <c r="E1238" s="77">
        <v>160.10314461980465</v>
      </c>
      <c r="F1238" s="77">
        <v>160.10314461980465</v>
      </c>
      <c r="G1238" s="77">
        <v>160.10314461980465</v>
      </c>
      <c r="H1238" s="77">
        <v>160.10314461980465</v>
      </c>
      <c r="I1238" s="77">
        <v>160.10314461980465</v>
      </c>
    </row>
    <row r="1239" spans="2:9">
      <c r="B1239" s="76">
        <v>2022.943705827154</v>
      </c>
      <c r="C1239">
        <v>911.5664498098497</v>
      </c>
      <c r="D1239" s="77">
        <v>151.92774163497495</v>
      </c>
      <c r="E1239" s="77">
        <v>151.92774163497495</v>
      </c>
      <c r="F1239" s="77">
        <v>151.92774163497495</v>
      </c>
      <c r="G1239" s="77">
        <v>151.92774163497495</v>
      </c>
      <c r="H1239" s="77">
        <v>151.92774163497495</v>
      </c>
      <c r="I1239" s="77">
        <v>151.92774163497495</v>
      </c>
    </row>
    <row r="1240" spans="2:9">
      <c r="B1240" s="76">
        <v>2025.7476995148304</v>
      </c>
      <c r="C1240">
        <v>1183.2203989037346</v>
      </c>
      <c r="D1240" s="77">
        <v>197.2033998172891</v>
      </c>
      <c r="E1240" s="77">
        <v>197.2033998172891</v>
      </c>
      <c r="F1240" s="77">
        <v>197.2033998172891</v>
      </c>
      <c r="G1240" s="77">
        <v>197.2033998172891</v>
      </c>
      <c r="H1240" s="77">
        <v>197.2033998172891</v>
      </c>
      <c r="I1240" s="77">
        <v>197.2033998172891</v>
      </c>
    </row>
    <row r="1241" spans="2:9">
      <c r="B1241" s="76">
        <v>2023.1659246192289</v>
      </c>
      <c r="C1241">
        <v>851.30192217723288</v>
      </c>
      <c r="D1241" s="77">
        <v>141.88365369620547</v>
      </c>
      <c r="E1241" s="77">
        <v>141.88365369620547</v>
      </c>
      <c r="F1241" s="77">
        <v>141.88365369620547</v>
      </c>
      <c r="G1241" s="77">
        <v>141.88365369620547</v>
      </c>
      <c r="H1241" s="77">
        <v>141.88365369620547</v>
      </c>
      <c r="I1241" s="77">
        <v>141.88365369620547</v>
      </c>
    </row>
    <row r="1242" spans="2:9">
      <c r="B1242" s="76">
        <v>2023.7568137683197</v>
      </c>
      <c r="C1242">
        <v>978.58641414275496</v>
      </c>
      <c r="D1242" s="77">
        <v>163.09773569045916</v>
      </c>
      <c r="E1242" s="77">
        <v>163.09773569045916</v>
      </c>
      <c r="F1242" s="77">
        <v>163.09773569045916</v>
      </c>
      <c r="G1242" s="77">
        <v>163.09773569045916</v>
      </c>
      <c r="H1242" s="77">
        <v>163.09773569045916</v>
      </c>
      <c r="I1242" s="77">
        <v>163.09773569045916</v>
      </c>
    </row>
    <row r="1243" spans="2:9">
      <c r="B1243" s="76">
        <v>2023.2373624854324</v>
      </c>
      <c r="C1243">
        <v>940.085235026502</v>
      </c>
      <c r="D1243" s="77">
        <v>156.68087250441701</v>
      </c>
      <c r="E1243" s="77">
        <v>156.68087250441701</v>
      </c>
      <c r="F1243" s="77">
        <v>156.68087250441701</v>
      </c>
      <c r="G1243" s="77">
        <v>156.68087250441701</v>
      </c>
      <c r="H1243" s="77">
        <v>156.68087250441701</v>
      </c>
      <c r="I1243" s="77">
        <v>156.68087250441701</v>
      </c>
    </row>
    <row r="1244" spans="2:9">
      <c r="B1244" s="76">
        <v>2022.9217519597739</v>
      </c>
      <c r="C1244">
        <v>868.29466648580672</v>
      </c>
      <c r="D1244" s="77">
        <v>144.71577774763446</v>
      </c>
      <c r="E1244" s="77">
        <v>144.71577774763446</v>
      </c>
      <c r="F1244" s="77">
        <v>144.71577774763446</v>
      </c>
      <c r="G1244" s="77">
        <v>144.71577774763446</v>
      </c>
      <c r="H1244" s="77">
        <v>144.71577774763446</v>
      </c>
      <c r="I1244" s="77">
        <v>144.71577774763446</v>
      </c>
    </row>
    <row r="1245" spans="2:9">
      <c r="B1245" s="76">
        <v>2022.8452677682278</v>
      </c>
      <c r="C1245">
        <v>892.49212282092265</v>
      </c>
      <c r="D1245" s="77">
        <v>148.74868713682045</v>
      </c>
      <c r="E1245" s="77">
        <v>148.74868713682045</v>
      </c>
      <c r="F1245" s="77">
        <v>148.74868713682045</v>
      </c>
      <c r="G1245" s="77">
        <v>148.74868713682045</v>
      </c>
      <c r="H1245" s="77">
        <v>148.74868713682045</v>
      </c>
      <c r="I1245" s="77">
        <v>148.74868713682045</v>
      </c>
    </row>
    <row r="1246" spans="2:9">
      <c r="B1246" s="76">
        <v>2024.9704689303799</v>
      </c>
      <c r="C1246">
        <v>1055.3790307078168</v>
      </c>
      <c r="D1246" s="77">
        <v>175.89650511796947</v>
      </c>
      <c r="E1246" s="77">
        <v>175.89650511796947</v>
      </c>
      <c r="F1246" s="77">
        <v>175.89650511796947</v>
      </c>
      <c r="G1246" s="77">
        <v>175.89650511796947</v>
      </c>
      <c r="H1246" s="77">
        <v>175.89650511796947</v>
      </c>
      <c r="I1246" s="77">
        <v>175.89650511796947</v>
      </c>
    </row>
    <row r="1247" spans="2:9">
      <c r="B1247" s="76">
        <v>2025.3284129178082</v>
      </c>
      <c r="C1247">
        <v>1168.6198850454541</v>
      </c>
      <c r="D1247" s="77">
        <v>194.76998084090903</v>
      </c>
      <c r="E1247" s="77">
        <v>194.76998084090903</v>
      </c>
      <c r="F1247" s="77">
        <v>194.76998084090903</v>
      </c>
      <c r="G1247" s="77">
        <v>194.76998084090903</v>
      </c>
      <c r="H1247" s="77">
        <v>194.76998084090903</v>
      </c>
      <c r="I1247" s="77">
        <v>194.76998084090903</v>
      </c>
    </row>
    <row r="1248" spans="2:9">
      <c r="B1248" s="76">
        <v>2023.1462121993143</v>
      </c>
      <c r="C1248">
        <v>910.94751422472052</v>
      </c>
      <c r="D1248" s="77">
        <v>151.8245857041201</v>
      </c>
      <c r="E1248" s="77">
        <v>151.8245857041201</v>
      </c>
      <c r="F1248" s="77">
        <v>151.8245857041201</v>
      </c>
      <c r="G1248" s="77">
        <v>151.8245857041201</v>
      </c>
      <c r="H1248" s="77">
        <v>151.8245857041201</v>
      </c>
      <c r="I1248" s="77">
        <v>151.8245857041201</v>
      </c>
    </row>
    <row r="1249" spans="2:9">
      <c r="B1249" s="76">
        <v>2024.8254824252278</v>
      </c>
      <c r="C1249">
        <v>1108.4629662685977</v>
      </c>
      <c r="D1249" s="77">
        <v>184.74382771143294</v>
      </c>
      <c r="E1249" s="77">
        <v>184.74382771143294</v>
      </c>
      <c r="F1249" s="77">
        <v>184.74382771143294</v>
      </c>
      <c r="G1249" s="77">
        <v>184.74382771143294</v>
      </c>
      <c r="H1249" s="77">
        <v>184.74382771143294</v>
      </c>
      <c r="I1249" s="77">
        <v>184.74382771143294</v>
      </c>
    </row>
    <row r="1250" spans="2:9">
      <c r="B1250" s="76">
        <v>2022.8741761585145</v>
      </c>
      <c r="C1250">
        <v>951.00034218438157</v>
      </c>
      <c r="D1250" s="77">
        <v>158.50005703073026</v>
      </c>
      <c r="E1250" s="77">
        <v>158.50005703073026</v>
      </c>
      <c r="F1250" s="77">
        <v>158.50005703073026</v>
      </c>
      <c r="G1250" s="77">
        <v>158.50005703073026</v>
      </c>
      <c r="H1250" s="77">
        <v>158.50005703073026</v>
      </c>
      <c r="I1250" s="77">
        <v>158.50005703073026</v>
      </c>
    </row>
    <row r="1251" spans="2:9">
      <c r="B1251" s="76">
        <v>2024.6094655293607</v>
      </c>
      <c r="C1251">
        <v>1059.4795339165717</v>
      </c>
      <c r="D1251" s="77">
        <v>176.57992231942862</v>
      </c>
      <c r="E1251" s="77">
        <v>176.57992231942862</v>
      </c>
      <c r="F1251" s="77">
        <v>176.57992231942862</v>
      </c>
      <c r="G1251" s="77">
        <v>176.57992231942862</v>
      </c>
      <c r="H1251" s="77">
        <v>176.57992231942862</v>
      </c>
      <c r="I1251" s="77">
        <v>176.57992231942862</v>
      </c>
    </row>
    <row r="1252" spans="2:9">
      <c r="B1252" s="76">
        <v>2022.8018030199535</v>
      </c>
      <c r="C1252">
        <v>828.55021776788874</v>
      </c>
      <c r="D1252" s="77">
        <v>138.09170296131478</v>
      </c>
      <c r="E1252" s="77">
        <v>138.09170296131478</v>
      </c>
      <c r="F1252" s="77">
        <v>138.09170296131478</v>
      </c>
      <c r="G1252" s="77">
        <v>138.09170296131478</v>
      </c>
      <c r="H1252" s="77">
        <v>138.09170296131478</v>
      </c>
      <c r="I1252" s="77">
        <v>138.09170296131478</v>
      </c>
    </row>
    <row r="1253" spans="2:9">
      <c r="B1253" s="76">
        <v>2024.4303347925193</v>
      </c>
      <c r="C1253">
        <v>973.44555912980638</v>
      </c>
      <c r="D1253" s="77">
        <v>162.24092652163441</v>
      </c>
      <c r="E1253" s="77">
        <v>162.24092652163441</v>
      </c>
      <c r="F1253" s="77">
        <v>162.24092652163441</v>
      </c>
      <c r="G1253" s="77">
        <v>162.24092652163441</v>
      </c>
      <c r="H1253" s="77">
        <v>162.24092652163441</v>
      </c>
      <c r="I1253" s="77">
        <v>162.24092652163441</v>
      </c>
    </row>
    <row r="1254" spans="2:9">
      <c r="B1254" s="76">
        <v>2022.8074018452255</v>
      </c>
      <c r="C1254">
        <v>852.54402399989874</v>
      </c>
      <c r="D1254" s="77">
        <v>142.0906706666498</v>
      </c>
      <c r="E1254" s="77">
        <v>142.0906706666498</v>
      </c>
      <c r="F1254" s="77">
        <v>142.0906706666498</v>
      </c>
      <c r="G1254" s="77">
        <v>142.0906706666498</v>
      </c>
      <c r="H1254" s="77">
        <v>142.0906706666498</v>
      </c>
      <c r="I1254" s="77">
        <v>142.0906706666498</v>
      </c>
    </row>
    <row r="1255" spans="2:9">
      <c r="B1255" s="76">
        <v>2023.7871961348515</v>
      </c>
      <c r="C1255">
        <v>1016.8104122853559</v>
      </c>
      <c r="D1255" s="77">
        <v>169.46840204755932</v>
      </c>
      <c r="E1255" s="77">
        <v>169.46840204755932</v>
      </c>
      <c r="F1255" s="77">
        <v>169.46840204755932</v>
      </c>
      <c r="G1255" s="77">
        <v>169.46840204755932</v>
      </c>
      <c r="H1255" s="77">
        <v>169.46840204755932</v>
      </c>
      <c r="I1255" s="77">
        <v>169.46840204755932</v>
      </c>
    </row>
    <row r="1256" spans="2:9">
      <c r="B1256" s="76">
        <v>2024.8378314073045</v>
      </c>
      <c r="C1256">
        <v>1196.3832689751944</v>
      </c>
      <c r="D1256" s="77">
        <v>199.39721149586572</v>
      </c>
      <c r="E1256" s="77">
        <v>199.39721149586572</v>
      </c>
      <c r="F1256" s="77">
        <v>199.39721149586572</v>
      </c>
      <c r="G1256" s="77">
        <v>199.39721149586572</v>
      </c>
      <c r="H1256" s="77">
        <v>199.39721149586572</v>
      </c>
      <c r="I1256" s="77">
        <v>199.39721149586572</v>
      </c>
    </row>
    <row r="1257" spans="2:9">
      <c r="B1257" s="76">
        <v>2023.3533928633003</v>
      </c>
      <c r="C1257">
        <v>968.07409210671722</v>
      </c>
      <c r="D1257" s="77">
        <v>161.3456820177862</v>
      </c>
      <c r="E1257" s="77">
        <v>161.3456820177862</v>
      </c>
      <c r="F1257" s="77">
        <v>161.3456820177862</v>
      </c>
      <c r="G1257" s="77">
        <v>161.3456820177862</v>
      </c>
      <c r="H1257" s="77">
        <v>161.3456820177862</v>
      </c>
      <c r="I1257" s="77">
        <v>161.3456820177862</v>
      </c>
    </row>
    <row r="1258" spans="2:9">
      <c r="B1258" s="76">
        <v>2022.899330018741</v>
      </c>
      <c r="C1258">
        <v>919.46612597947785</v>
      </c>
      <c r="D1258" s="77">
        <v>153.24435432991297</v>
      </c>
      <c r="E1258" s="77">
        <v>153.24435432991297</v>
      </c>
      <c r="F1258" s="77">
        <v>153.24435432991297</v>
      </c>
      <c r="G1258" s="77">
        <v>153.24435432991297</v>
      </c>
      <c r="H1258" s="77">
        <v>153.24435432991297</v>
      </c>
      <c r="I1258" s="77">
        <v>153.24435432991297</v>
      </c>
    </row>
    <row r="1259" spans="2:9">
      <c r="B1259" s="76">
        <v>2024.7152241547931</v>
      </c>
      <c r="C1259">
        <v>1100.8788275915852</v>
      </c>
      <c r="D1259" s="77">
        <v>183.47980459859753</v>
      </c>
      <c r="E1259" s="77">
        <v>183.47980459859753</v>
      </c>
      <c r="F1259" s="77">
        <v>183.47980459859753</v>
      </c>
      <c r="G1259" s="77">
        <v>183.47980459859753</v>
      </c>
      <c r="H1259" s="77">
        <v>183.47980459859753</v>
      </c>
      <c r="I1259" s="77">
        <v>183.47980459859753</v>
      </c>
    </row>
    <row r="1260" spans="2:9">
      <c r="B1260" s="76">
        <v>2025.2419430339498</v>
      </c>
      <c r="C1260">
        <v>1191.4670831406975</v>
      </c>
      <c r="D1260" s="77">
        <v>198.57784719011624</v>
      </c>
      <c r="E1260" s="77">
        <v>198.57784719011624</v>
      </c>
      <c r="F1260" s="77">
        <v>198.57784719011624</v>
      </c>
      <c r="G1260" s="77">
        <v>198.57784719011624</v>
      </c>
      <c r="H1260" s="77">
        <v>198.57784719011624</v>
      </c>
      <c r="I1260" s="77">
        <v>198.57784719011624</v>
      </c>
    </row>
    <row r="1261" spans="2:9">
      <c r="B1261" s="76">
        <v>2023.2017764370285</v>
      </c>
      <c r="C1261">
        <v>881.77920441426784</v>
      </c>
      <c r="D1261" s="77">
        <v>146.9632007357113</v>
      </c>
      <c r="E1261" s="77">
        <v>146.9632007357113</v>
      </c>
      <c r="F1261" s="77">
        <v>146.9632007357113</v>
      </c>
      <c r="G1261" s="77">
        <v>146.9632007357113</v>
      </c>
      <c r="H1261" s="77">
        <v>146.9632007357113</v>
      </c>
      <c r="I1261" s="77">
        <v>146.9632007357113</v>
      </c>
    </row>
    <row r="1262" spans="2:9">
      <c r="B1262" s="76">
        <v>2023.6523322978426</v>
      </c>
      <c r="C1262">
        <v>943.73940542058881</v>
      </c>
      <c r="D1262" s="77">
        <v>157.28990090343146</v>
      </c>
      <c r="E1262" s="77">
        <v>157.28990090343146</v>
      </c>
      <c r="F1262" s="77">
        <v>157.28990090343146</v>
      </c>
      <c r="G1262" s="77">
        <v>157.28990090343146</v>
      </c>
      <c r="H1262" s="77">
        <v>157.28990090343146</v>
      </c>
      <c r="I1262" s="77">
        <v>157.28990090343146</v>
      </c>
    </row>
    <row r="1263" spans="2:9">
      <c r="B1263" s="76">
        <v>2023.3610973965397</v>
      </c>
      <c r="C1263">
        <v>940.11599834734204</v>
      </c>
      <c r="D1263" s="77">
        <v>156.68599972455701</v>
      </c>
      <c r="E1263" s="77">
        <v>156.68599972455701</v>
      </c>
      <c r="F1263" s="77">
        <v>156.68599972455701</v>
      </c>
      <c r="G1263" s="77">
        <v>156.68599972455701</v>
      </c>
      <c r="H1263" s="77">
        <v>156.68599972455701</v>
      </c>
      <c r="I1263" s="77">
        <v>156.68599972455701</v>
      </c>
    </row>
    <row r="1264" spans="2:9">
      <c r="B1264" s="76">
        <v>2025.1394844628662</v>
      </c>
      <c r="C1264">
        <v>1168.8247667495953</v>
      </c>
      <c r="D1264" s="77">
        <v>194.8041277915992</v>
      </c>
      <c r="E1264" s="77">
        <v>194.8041277915992</v>
      </c>
      <c r="F1264" s="77">
        <v>194.8041277915992</v>
      </c>
      <c r="G1264" s="77">
        <v>194.8041277915992</v>
      </c>
      <c r="H1264" s="77">
        <v>194.8041277915992</v>
      </c>
      <c r="I1264" s="77">
        <v>194.8041277915992</v>
      </c>
    </row>
    <row r="1265" spans="2:9">
      <c r="B1265" s="76">
        <v>2023.077118386648</v>
      </c>
      <c r="C1265">
        <v>950.56436010014704</v>
      </c>
      <c r="D1265" s="77">
        <v>158.42739335002452</v>
      </c>
      <c r="E1265" s="77">
        <v>158.42739335002452</v>
      </c>
      <c r="F1265" s="77">
        <v>158.42739335002452</v>
      </c>
      <c r="G1265" s="77">
        <v>158.42739335002452</v>
      </c>
      <c r="H1265" s="77">
        <v>158.42739335002452</v>
      </c>
      <c r="I1265" s="77">
        <v>158.42739335002452</v>
      </c>
    </row>
    <row r="1266" spans="2:9">
      <c r="B1266" s="76">
        <v>2023.2669914898213</v>
      </c>
      <c r="C1266">
        <v>914.43737486569739</v>
      </c>
      <c r="D1266" s="77">
        <v>152.40622914428289</v>
      </c>
      <c r="E1266" s="77">
        <v>152.40622914428289</v>
      </c>
      <c r="F1266" s="77">
        <v>152.40622914428289</v>
      </c>
      <c r="G1266" s="77">
        <v>152.40622914428289</v>
      </c>
      <c r="H1266" s="77">
        <v>152.40622914428289</v>
      </c>
      <c r="I1266" s="77">
        <v>152.40622914428289</v>
      </c>
    </row>
    <row r="1267" spans="2:9">
      <c r="B1267" s="76">
        <v>2025.1649712592016</v>
      </c>
      <c r="C1267">
        <v>1217.3203501978562</v>
      </c>
      <c r="D1267" s="77">
        <v>202.88672503297605</v>
      </c>
      <c r="E1267" s="77">
        <v>202.88672503297605</v>
      </c>
      <c r="F1267" s="77">
        <v>202.88672503297605</v>
      </c>
      <c r="G1267" s="77">
        <v>202.88672503297605</v>
      </c>
      <c r="H1267" s="77">
        <v>202.88672503297605</v>
      </c>
      <c r="I1267" s="77">
        <v>202.88672503297605</v>
      </c>
    </row>
    <row r="1268" spans="2:9">
      <c r="B1268" s="76">
        <v>2024.8756870061354</v>
      </c>
      <c r="C1268">
        <v>1063.4608855039244</v>
      </c>
      <c r="D1268" s="77">
        <v>177.24348091732074</v>
      </c>
      <c r="E1268" s="77">
        <v>177.24348091732074</v>
      </c>
      <c r="F1268" s="77">
        <v>177.24348091732074</v>
      </c>
      <c r="G1268" s="77">
        <v>177.24348091732074</v>
      </c>
      <c r="H1268" s="77">
        <v>177.24348091732074</v>
      </c>
      <c r="I1268" s="77">
        <v>177.24348091732074</v>
      </c>
    </row>
    <row r="1269" spans="2:9">
      <c r="B1269" s="76">
        <v>2024.8900683287447</v>
      </c>
      <c r="C1269">
        <v>1119.1036613399838</v>
      </c>
      <c r="D1269" s="77">
        <v>186.51727688999731</v>
      </c>
      <c r="E1269" s="77">
        <v>186.51727688999731</v>
      </c>
      <c r="F1269" s="77">
        <v>186.51727688999731</v>
      </c>
      <c r="G1269" s="77">
        <v>186.51727688999731</v>
      </c>
      <c r="H1269" s="77">
        <v>186.51727688999731</v>
      </c>
      <c r="I1269" s="77">
        <v>186.51727688999731</v>
      </c>
    </row>
    <row r="1270" spans="2:9">
      <c r="B1270" s="76">
        <v>2023.0967328406116</v>
      </c>
      <c r="C1270">
        <v>900.98402276367403</v>
      </c>
      <c r="D1270" s="77">
        <v>150.16400379394568</v>
      </c>
      <c r="E1270" s="77">
        <v>150.16400379394568</v>
      </c>
      <c r="F1270" s="77">
        <v>150.16400379394568</v>
      </c>
      <c r="G1270" s="77">
        <v>150.16400379394568</v>
      </c>
      <c r="H1270" s="77">
        <v>150.16400379394568</v>
      </c>
      <c r="I1270" s="77">
        <v>150.16400379394568</v>
      </c>
    </row>
    <row r="1271" spans="2:9">
      <c r="B1271" s="76">
        <v>2023.0195128530779</v>
      </c>
      <c r="C1271">
        <v>939.28154650258944</v>
      </c>
      <c r="D1271" s="77">
        <v>156.54692441709824</v>
      </c>
      <c r="E1271" s="77">
        <v>156.54692441709824</v>
      </c>
      <c r="F1271" s="77">
        <v>156.54692441709824</v>
      </c>
      <c r="G1271" s="77">
        <v>156.54692441709824</v>
      </c>
      <c r="H1271" s="77">
        <v>156.54692441709824</v>
      </c>
      <c r="I1271" s="77">
        <v>156.54692441709824</v>
      </c>
    </row>
    <row r="1272" spans="2:9">
      <c r="B1272" s="76">
        <v>2023.3174711720442</v>
      </c>
      <c r="C1272">
        <v>970.26291585585955</v>
      </c>
      <c r="D1272" s="77">
        <v>161.71048597597658</v>
      </c>
      <c r="E1272" s="77">
        <v>161.71048597597658</v>
      </c>
      <c r="F1272" s="77">
        <v>161.71048597597658</v>
      </c>
      <c r="G1272" s="77">
        <v>161.71048597597658</v>
      </c>
      <c r="H1272" s="77">
        <v>161.71048597597658</v>
      </c>
      <c r="I1272" s="77">
        <v>161.71048597597658</v>
      </c>
    </row>
    <row r="1273" spans="2:9">
      <c r="B1273" s="76">
        <v>2023.1654551196536</v>
      </c>
      <c r="C1273">
        <v>894.35165064281728</v>
      </c>
      <c r="D1273" s="77">
        <v>149.05860844046956</v>
      </c>
      <c r="E1273" s="77">
        <v>149.05860844046956</v>
      </c>
      <c r="F1273" s="77">
        <v>149.05860844046956</v>
      </c>
      <c r="G1273" s="77">
        <v>149.05860844046956</v>
      </c>
      <c r="H1273" s="77">
        <v>149.05860844046956</v>
      </c>
      <c r="I1273" s="77">
        <v>149.05860844046956</v>
      </c>
    </row>
    <row r="1274" spans="2:9">
      <c r="B1274" s="76">
        <v>2023.442504120168</v>
      </c>
      <c r="C1274">
        <v>911.65776524170701</v>
      </c>
      <c r="D1274" s="77">
        <v>151.94296087361784</v>
      </c>
      <c r="E1274" s="77">
        <v>151.94296087361784</v>
      </c>
      <c r="F1274" s="77">
        <v>151.94296087361784</v>
      </c>
      <c r="G1274" s="77">
        <v>151.94296087361784</v>
      </c>
      <c r="H1274" s="77">
        <v>151.94296087361784</v>
      </c>
      <c r="I1274" s="77">
        <v>151.94296087361784</v>
      </c>
    </row>
    <row r="1275" spans="2:9">
      <c r="B1275" s="76">
        <v>2024.7045896050547</v>
      </c>
      <c r="C1275">
        <v>1067.6482600305837</v>
      </c>
      <c r="D1275" s="77">
        <v>177.94137667176395</v>
      </c>
      <c r="E1275" s="77">
        <v>177.94137667176395</v>
      </c>
      <c r="F1275" s="77">
        <v>177.94137667176395</v>
      </c>
      <c r="G1275" s="77">
        <v>177.94137667176395</v>
      </c>
      <c r="H1275" s="77">
        <v>177.94137667176395</v>
      </c>
      <c r="I1275" s="77">
        <v>177.94137667176395</v>
      </c>
    </row>
    <row r="1276" spans="2:9">
      <c r="B1276" s="76">
        <v>2023.6029726189963</v>
      </c>
      <c r="C1276">
        <v>938.56729478950137</v>
      </c>
      <c r="D1276" s="77">
        <v>156.42788246491691</v>
      </c>
      <c r="E1276" s="77">
        <v>156.42788246491691</v>
      </c>
      <c r="F1276" s="77">
        <v>156.42788246491691</v>
      </c>
      <c r="G1276" s="77">
        <v>156.42788246491691</v>
      </c>
      <c r="H1276" s="77">
        <v>156.42788246491691</v>
      </c>
      <c r="I1276" s="77">
        <v>156.42788246491691</v>
      </c>
    </row>
    <row r="1277" spans="2:9">
      <c r="B1277" s="76">
        <v>2022.8599264291877</v>
      </c>
      <c r="C1277">
        <v>889.33510635688901</v>
      </c>
      <c r="D1277" s="77">
        <v>148.22251772614817</v>
      </c>
      <c r="E1277" s="77">
        <v>148.22251772614817</v>
      </c>
      <c r="F1277" s="77">
        <v>148.22251772614817</v>
      </c>
      <c r="G1277" s="77">
        <v>148.22251772614817</v>
      </c>
      <c r="H1277" s="77">
        <v>148.22251772614817</v>
      </c>
      <c r="I1277" s="77">
        <v>148.22251772614817</v>
      </c>
    </row>
    <row r="1278" spans="2:9">
      <c r="B1278" s="76">
        <v>2023.2293117398349</v>
      </c>
      <c r="C1278">
        <v>954.31895859545614</v>
      </c>
      <c r="D1278" s="77">
        <v>159.05315976590936</v>
      </c>
      <c r="E1278" s="77">
        <v>159.05315976590936</v>
      </c>
      <c r="F1278" s="77">
        <v>159.05315976590936</v>
      </c>
      <c r="G1278" s="77">
        <v>159.05315976590936</v>
      </c>
      <c r="H1278" s="77">
        <v>159.05315976590936</v>
      </c>
      <c r="I1278" s="77">
        <v>159.05315976590936</v>
      </c>
    </row>
    <row r="1279" spans="2:9">
      <c r="B1279" s="76">
        <v>2023.0075366235214</v>
      </c>
      <c r="C1279">
        <v>949.04212053208062</v>
      </c>
      <c r="D1279" s="77">
        <v>158.17368675534678</v>
      </c>
      <c r="E1279" s="77">
        <v>158.17368675534678</v>
      </c>
      <c r="F1279" s="77">
        <v>158.17368675534678</v>
      </c>
      <c r="G1279" s="77">
        <v>158.17368675534678</v>
      </c>
      <c r="H1279" s="77">
        <v>158.17368675534678</v>
      </c>
      <c r="I1279" s="77">
        <v>158.17368675534678</v>
      </c>
    </row>
    <row r="1280" spans="2:9">
      <c r="B1280" s="76">
        <v>2023.8861615434489</v>
      </c>
      <c r="C1280">
        <v>1007.7482577481173</v>
      </c>
      <c r="D1280" s="77">
        <v>167.95804295801955</v>
      </c>
      <c r="E1280" s="77">
        <v>167.95804295801955</v>
      </c>
      <c r="F1280" s="77">
        <v>167.95804295801955</v>
      </c>
      <c r="G1280" s="77">
        <v>167.95804295801955</v>
      </c>
      <c r="H1280" s="77">
        <v>167.95804295801955</v>
      </c>
      <c r="I1280" s="77">
        <v>167.95804295801955</v>
      </c>
    </row>
    <row r="1281" spans="2:9">
      <c r="B1281" s="76">
        <v>2023.4955637369974</v>
      </c>
      <c r="C1281">
        <v>897.86888620866625</v>
      </c>
      <c r="D1281" s="77">
        <v>149.64481436811104</v>
      </c>
      <c r="E1281" s="77">
        <v>149.64481436811104</v>
      </c>
      <c r="F1281" s="77">
        <v>149.64481436811104</v>
      </c>
      <c r="G1281" s="77">
        <v>149.64481436811104</v>
      </c>
      <c r="H1281" s="77">
        <v>149.64481436811104</v>
      </c>
      <c r="I1281" s="77">
        <v>149.64481436811104</v>
      </c>
    </row>
    <row r="1282" spans="2:9">
      <c r="B1282" s="76">
        <v>2024.1339042109062</v>
      </c>
      <c r="C1282">
        <v>978.59990574817982</v>
      </c>
      <c r="D1282" s="77">
        <v>163.09998429136331</v>
      </c>
      <c r="E1282" s="77">
        <v>163.09998429136331</v>
      </c>
      <c r="F1282" s="77">
        <v>163.09998429136331</v>
      </c>
      <c r="G1282" s="77">
        <v>163.09998429136331</v>
      </c>
      <c r="H1282" s="77">
        <v>163.09998429136331</v>
      </c>
      <c r="I1282" s="77">
        <v>163.09998429136331</v>
      </c>
    </row>
    <row r="1283" spans="2:9">
      <c r="B1283" s="76">
        <v>2023.7069551115428</v>
      </c>
      <c r="C1283">
        <v>907.66754750827749</v>
      </c>
      <c r="D1283" s="77">
        <v>151.27792458471291</v>
      </c>
      <c r="E1283" s="77">
        <v>151.27792458471291</v>
      </c>
      <c r="F1283" s="77">
        <v>151.27792458471291</v>
      </c>
      <c r="G1283" s="77">
        <v>151.27792458471291</v>
      </c>
      <c r="H1283" s="77">
        <v>151.27792458471291</v>
      </c>
      <c r="I1283" s="77">
        <v>151.27792458471291</v>
      </c>
    </row>
    <row r="1284" spans="2:9">
      <c r="B1284" s="76">
        <v>2022.9255221481469</v>
      </c>
      <c r="C1284">
        <v>900.34642030732186</v>
      </c>
      <c r="D1284" s="77">
        <v>150.05773671788697</v>
      </c>
      <c r="E1284" s="77">
        <v>150.05773671788697</v>
      </c>
      <c r="F1284" s="77">
        <v>150.05773671788697</v>
      </c>
      <c r="G1284" s="77">
        <v>150.05773671788697</v>
      </c>
      <c r="H1284" s="77">
        <v>150.05773671788697</v>
      </c>
      <c r="I1284" s="77">
        <v>150.05773671788697</v>
      </c>
    </row>
    <row r="1285" spans="2:9">
      <c r="B1285" s="76">
        <v>2025.4410609287372</v>
      </c>
      <c r="C1285">
        <v>1255.4728494577259</v>
      </c>
      <c r="D1285" s="77">
        <v>209.24547490962098</v>
      </c>
      <c r="E1285" s="77">
        <v>209.24547490962098</v>
      </c>
      <c r="F1285" s="77">
        <v>209.24547490962098</v>
      </c>
      <c r="G1285" s="77">
        <v>209.24547490962098</v>
      </c>
      <c r="H1285" s="77">
        <v>209.24547490962098</v>
      </c>
      <c r="I1285" s="77">
        <v>209.24547490962098</v>
      </c>
    </row>
    <row r="1286" spans="2:9">
      <c r="B1286" s="76">
        <v>2025.3672048892593</v>
      </c>
      <c r="C1286">
        <v>1189.9364253370275</v>
      </c>
      <c r="D1286" s="77">
        <v>198.32273755617123</v>
      </c>
      <c r="E1286" s="77">
        <v>198.32273755617123</v>
      </c>
      <c r="F1286" s="77">
        <v>198.32273755617123</v>
      </c>
      <c r="G1286" s="77">
        <v>198.32273755617123</v>
      </c>
      <c r="H1286" s="77">
        <v>198.32273755617123</v>
      </c>
      <c r="I1286" s="77">
        <v>198.32273755617123</v>
      </c>
    </row>
    <row r="1287" spans="2:9">
      <c r="B1287" s="76">
        <v>2023.6245007951104</v>
      </c>
      <c r="C1287">
        <v>972.35102127653386</v>
      </c>
      <c r="D1287" s="77">
        <v>162.05850354608899</v>
      </c>
      <c r="E1287" s="77">
        <v>162.05850354608899</v>
      </c>
      <c r="F1287" s="77">
        <v>162.05850354608899</v>
      </c>
      <c r="G1287" s="77">
        <v>162.05850354608899</v>
      </c>
      <c r="H1287" s="77">
        <v>162.05850354608899</v>
      </c>
      <c r="I1287" s="77">
        <v>162.05850354608899</v>
      </c>
    </row>
    <row r="1288" spans="2:9">
      <c r="B1288" s="76">
        <v>2024.49296267676</v>
      </c>
      <c r="C1288">
        <v>1041.355109118369</v>
      </c>
      <c r="D1288" s="77">
        <v>173.55918485306151</v>
      </c>
      <c r="E1288" s="77">
        <v>173.55918485306151</v>
      </c>
      <c r="F1288" s="77">
        <v>173.55918485306151</v>
      </c>
      <c r="G1288" s="77">
        <v>173.55918485306151</v>
      </c>
      <c r="H1288" s="77">
        <v>173.55918485306151</v>
      </c>
      <c r="I1288" s="77">
        <v>173.55918485306151</v>
      </c>
    </row>
    <row r="1289" spans="2:9">
      <c r="B1289" s="76">
        <v>2022.9887078551844</v>
      </c>
      <c r="C1289">
        <v>901.0514568136241</v>
      </c>
      <c r="D1289" s="77">
        <v>150.17524280227067</v>
      </c>
      <c r="E1289" s="77">
        <v>150.17524280227067</v>
      </c>
      <c r="F1289" s="77">
        <v>150.17524280227067</v>
      </c>
      <c r="G1289" s="77">
        <v>150.17524280227067</v>
      </c>
      <c r="H1289" s="77">
        <v>150.17524280227067</v>
      </c>
      <c r="I1289" s="77">
        <v>150.17524280227067</v>
      </c>
    </row>
    <row r="1290" spans="2:9">
      <c r="B1290" s="76">
        <v>2023.2816044897297</v>
      </c>
      <c r="C1290">
        <v>909.57324923112355</v>
      </c>
      <c r="D1290" s="77">
        <v>151.59554153852059</v>
      </c>
      <c r="E1290" s="77">
        <v>151.59554153852059</v>
      </c>
      <c r="F1290" s="77">
        <v>151.59554153852059</v>
      </c>
      <c r="G1290" s="77">
        <v>151.59554153852059</v>
      </c>
      <c r="H1290" s="77">
        <v>151.59554153852059</v>
      </c>
      <c r="I1290" s="77">
        <v>151.59554153852059</v>
      </c>
    </row>
    <row r="1291" spans="2:9">
      <c r="B1291" s="76">
        <v>2023.3000617710645</v>
      </c>
      <c r="C1291">
        <v>900.84907501264695</v>
      </c>
      <c r="D1291" s="77">
        <v>150.14151250210782</v>
      </c>
      <c r="E1291" s="77">
        <v>150.14151250210782</v>
      </c>
      <c r="F1291" s="77">
        <v>150.14151250210782</v>
      </c>
      <c r="G1291" s="77">
        <v>150.14151250210782</v>
      </c>
      <c r="H1291" s="77">
        <v>150.14151250210782</v>
      </c>
      <c r="I1291" s="77">
        <v>150.14151250210782</v>
      </c>
    </row>
    <row r="1292" spans="2:9">
      <c r="B1292" s="76">
        <v>2024.7894000892375</v>
      </c>
      <c r="C1292">
        <v>1120.9271710225257</v>
      </c>
      <c r="D1292" s="77">
        <v>186.82119517042096</v>
      </c>
      <c r="E1292" s="77">
        <v>186.82119517042096</v>
      </c>
      <c r="F1292" s="77">
        <v>186.82119517042096</v>
      </c>
      <c r="G1292" s="77">
        <v>186.82119517042096</v>
      </c>
      <c r="H1292" s="77">
        <v>186.82119517042096</v>
      </c>
      <c r="I1292" s="77">
        <v>186.82119517042096</v>
      </c>
    </row>
    <row r="1293" spans="2:9">
      <c r="B1293" s="76">
        <v>2024.5885363813081</v>
      </c>
      <c r="C1293">
        <v>1100.3948800593098</v>
      </c>
      <c r="D1293" s="77">
        <v>183.39914667655162</v>
      </c>
      <c r="E1293" s="77">
        <v>183.39914667655162</v>
      </c>
      <c r="F1293" s="77">
        <v>183.39914667655162</v>
      </c>
      <c r="G1293" s="77">
        <v>183.39914667655162</v>
      </c>
      <c r="H1293" s="77">
        <v>183.39914667655162</v>
      </c>
      <c r="I1293" s="77">
        <v>183.39914667655162</v>
      </c>
    </row>
    <row r="1294" spans="2:9">
      <c r="B1294" s="76">
        <v>2023.5489520800188</v>
      </c>
      <c r="C1294">
        <v>984.5097350756655</v>
      </c>
      <c r="D1294" s="77">
        <v>164.08495584594425</v>
      </c>
      <c r="E1294" s="77">
        <v>164.08495584594425</v>
      </c>
      <c r="F1294" s="77">
        <v>164.08495584594425</v>
      </c>
      <c r="G1294" s="77">
        <v>164.08495584594425</v>
      </c>
      <c r="H1294" s="77">
        <v>164.08495584594425</v>
      </c>
      <c r="I1294" s="77">
        <v>164.08495584594425</v>
      </c>
    </row>
    <row r="1295" spans="2:9">
      <c r="B1295" s="76">
        <v>2023.1186226755701</v>
      </c>
      <c r="C1295">
        <v>876.08893103965227</v>
      </c>
      <c r="D1295" s="77">
        <v>146.01482183994204</v>
      </c>
      <c r="E1295" s="77">
        <v>146.01482183994204</v>
      </c>
      <c r="F1295" s="77">
        <v>146.01482183994204</v>
      </c>
      <c r="G1295" s="77">
        <v>146.01482183994204</v>
      </c>
      <c r="H1295" s="77">
        <v>146.01482183994204</v>
      </c>
      <c r="I1295" s="77">
        <v>146.01482183994204</v>
      </c>
    </row>
    <row r="1296" spans="2:9">
      <c r="B1296" s="76">
        <v>2025.183563559169</v>
      </c>
      <c r="C1296">
        <v>1185.1783091240793</v>
      </c>
      <c r="D1296" s="77">
        <v>197.52971818734656</v>
      </c>
      <c r="E1296" s="77">
        <v>197.52971818734656</v>
      </c>
      <c r="F1296" s="77">
        <v>197.52971818734656</v>
      </c>
      <c r="G1296" s="77">
        <v>197.52971818734656</v>
      </c>
      <c r="H1296" s="77">
        <v>197.52971818734656</v>
      </c>
      <c r="I1296" s="77">
        <v>197.52971818734656</v>
      </c>
    </row>
    <row r="1297" spans="2:9">
      <c r="B1297" s="76">
        <v>2023.4359845875065</v>
      </c>
      <c r="C1297">
        <v>967.38519127381414</v>
      </c>
      <c r="D1297" s="77">
        <v>161.23086521230235</v>
      </c>
      <c r="E1297" s="77">
        <v>161.23086521230235</v>
      </c>
      <c r="F1297" s="77">
        <v>161.23086521230235</v>
      </c>
      <c r="G1297" s="77">
        <v>161.23086521230235</v>
      </c>
      <c r="H1297" s="77">
        <v>161.23086521230235</v>
      </c>
      <c r="I1297" s="77">
        <v>161.23086521230235</v>
      </c>
    </row>
    <row r="1298" spans="2:9">
      <c r="B1298" s="76">
        <v>2023.632925871151</v>
      </c>
      <c r="C1298">
        <v>955.56439363359289</v>
      </c>
      <c r="D1298" s="77">
        <v>159.26073227226547</v>
      </c>
      <c r="E1298" s="77">
        <v>159.26073227226547</v>
      </c>
      <c r="F1298" s="77">
        <v>159.26073227226547</v>
      </c>
      <c r="G1298" s="77">
        <v>159.26073227226547</v>
      </c>
      <c r="H1298" s="77">
        <v>159.26073227226547</v>
      </c>
      <c r="I1298" s="77">
        <v>159.26073227226547</v>
      </c>
    </row>
    <row r="1299" spans="2:9">
      <c r="B1299" s="76">
        <v>2024.3473151570076</v>
      </c>
      <c r="C1299">
        <v>1038.8948650439324</v>
      </c>
      <c r="D1299" s="77">
        <v>173.14914417398873</v>
      </c>
      <c r="E1299" s="77">
        <v>173.14914417398873</v>
      </c>
      <c r="F1299" s="77">
        <v>173.14914417398873</v>
      </c>
      <c r="G1299" s="77">
        <v>173.14914417398873</v>
      </c>
      <c r="H1299" s="77">
        <v>173.14914417398873</v>
      </c>
      <c r="I1299" s="77">
        <v>173.14914417398873</v>
      </c>
    </row>
    <row r="1300" spans="2:9">
      <c r="B1300" s="76">
        <v>2024.147481483217</v>
      </c>
      <c r="C1300">
        <v>1072.6826616988296</v>
      </c>
      <c r="D1300" s="77">
        <v>178.78044361647162</v>
      </c>
      <c r="E1300" s="77">
        <v>178.78044361647162</v>
      </c>
      <c r="F1300" s="77">
        <v>178.78044361647162</v>
      </c>
      <c r="G1300" s="77">
        <v>178.78044361647162</v>
      </c>
      <c r="H1300" s="77">
        <v>178.78044361647162</v>
      </c>
      <c r="I1300" s="77">
        <v>178.78044361647162</v>
      </c>
    </row>
    <row r="1301" spans="2:9">
      <c r="B1301" s="76">
        <v>2022.8011551839431</v>
      </c>
      <c r="C1301">
        <v>866.91437587737164</v>
      </c>
      <c r="D1301" s="77">
        <v>144.48572931289527</v>
      </c>
      <c r="E1301" s="77">
        <v>144.48572931289527</v>
      </c>
      <c r="F1301" s="77">
        <v>144.48572931289527</v>
      </c>
      <c r="G1301" s="77">
        <v>144.48572931289527</v>
      </c>
      <c r="H1301" s="77">
        <v>144.48572931289527</v>
      </c>
      <c r="I1301" s="77">
        <v>144.48572931289527</v>
      </c>
    </row>
    <row r="1302" spans="2:9">
      <c r="B1302" s="76">
        <v>2023.1634711829042</v>
      </c>
      <c r="C1302">
        <v>1039.9531124774783</v>
      </c>
      <c r="D1302" s="77">
        <v>173.32551874624639</v>
      </c>
      <c r="E1302" s="77">
        <v>173.32551874624639</v>
      </c>
      <c r="F1302" s="77">
        <v>173.32551874624639</v>
      </c>
      <c r="G1302" s="77">
        <v>173.32551874624639</v>
      </c>
      <c r="H1302" s="77">
        <v>173.32551874624639</v>
      </c>
      <c r="I1302" s="77">
        <v>173.32551874624639</v>
      </c>
    </row>
    <row r="1303" spans="2:9">
      <c r="B1303" s="76">
        <v>2023.0970532872529</v>
      </c>
      <c r="C1303">
        <v>911.36233943437696</v>
      </c>
      <c r="D1303" s="77">
        <v>151.89372323906284</v>
      </c>
      <c r="E1303" s="77">
        <v>151.89372323906284</v>
      </c>
      <c r="F1303" s="77">
        <v>151.89372323906284</v>
      </c>
      <c r="G1303" s="77">
        <v>151.89372323906284</v>
      </c>
      <c r="H1303" s="77">
        <v>151.89372323906284</v>
      </c>
      <c r="I1303" s="77">
        <v>151.89372323906284</v>
      </c>
    </row>
    <row r="1304" spans="2:9">
      <c r="B1304" s="76">
        <v>2023.0467605937042</v>
      </c>
      <c r="C1304">
        <v>900.13236949438954</v>
      </c>
      <c r="D1304" s="77">
        <v>150.02206158239827</v>
      </c>
      <c r="E1304" s="77">
        <v>150.02206158239827</v>
      </c>
      <c r="F1304" s="77">
        <v>150.02206158239827</v>
      </c>
      <c r="G1304" s="77">
        <v>150.02206158239827</v>
      </c>
      <c r="H1304" s="77">
        <v>150.02206158239827</v>
      </c>
      <c r="I1304" s="77">
        <v>150.02206158239827</v>
      </c>
    </row>
    <row r="1305" spans="2:9">
      <c r="B1305" s="76">
        <v>2023.0753949607579</v>
      </c>
      <c r="C1305">
        <v>869.03544708929905</v>
      </c>
      <c r="D1305" s="77">
        <v>144.83924118154985</v>
      </c>
      <c r="E1305" s="77">
        <v>144.83924118154985</v>
      </c>
      <c r="F1305" s="77">
        <v>144.83924118154985</v>
      </c>
      <c r="G1305" s="77">
        <v>144.83924118154985</v>
      </c>
      <c r="H1305" s="77">
        <v>144.83924118154985</v>
      </c>
      <c r="I1305" s="77">
        <v>144.83924118154985</v>
      </c>
    </row>
    <row r="1306" spans="2:9">
      <c r="B1306" s="76">
        <v>2023.6346336493084</v>
      </c>
      <c r="C1306">
        <v>983.48390058628445</v>
      </c>
      <c r="D1306" s="77">
        <v>163.9139834310474</v>
      </c>
      <c r="E1306" s="77">
        <v>163.9139834310474</v>
      </c>
      <c r="F1306" s="77">
        <v>163.9139834310474</v>
      </c>
      <c r="G1306" s="77">
        <v>163.9139834310474</v>
      </c>
      <c r="H1306" s="77">
        <v>163.9139834310474</v>
      </c>
      <c r="I1306" s="77">
        <v>163.9139834310474</v>
      </c>
    </row>
    <row r="1307" spans="2:9">
      <c r="B1307" s="76">
        <v>2022.8978337150197</v>
      </c>
      <c r="C1307">
        <v>847.60753688005298</v>
      </c>
      <c r="D1307" s="77">
        <v>141.26792281334215</v>
      </c>
      <c r="E1307" s="77">
        <v>141.26792281334215</v>
      </c>
      <c r="F1307" s="77">
        <v>141.26792281334215</v>
      </c>
      <c r="G1307" s="77">
        <v>141.26792281334215</v>
      </c>
      <c r="H1307" s="77">
        <v>141.26792281334215</v>
      </c>
      <c r="I1307" s="77">
        <v>141.26792281334215</v>
      </c>
    </row>
    <row r="1308" spans="2:9">
      <c r="B1308" s="76">
        <v>2022.6968745119377</v>
      </c>
      <c r="C1308">
        <v>858.47310684005777</v>
      </c>
      <c r="D1308" s="77">
        <v>143.07885114000962</v>
      </c>
      <c r="E1308" s="77">
        <v>143.07885114000962</v>
      </c>
      <c r="F1308" s="77">
        <v>143.07885114000962</v>
      </c>
      <c r="G1308" s="77">
        <v>143.07885114000962</v>
      </c>
      <c r="H1308" s="77">
        <v>143.07885114000962</v>
      </c>
      <c r="I1308" s="77">
        <v>143.07885114000962</v>
      </c>
    </row>
    <row r="1309" spans="2:9">
      <c r="B1309" s="76">
        <v>2023.4015321648806</v>
      </c>
      <c r="C1309">
        <v>885.61669999176377</v>
      </c>
      <c r="D1309" s="77">
        <v>147.60278333196064</v>
      </c>
      <c r="E1309" s="77">
        <v>147.60278333196064</v>
      </c>
      <c r="F1309" s="77">
        <v>147.60278333196064</v>
      </c>
      <c r="G1309" s="77">
        <v>147.60278333196064</v>
      </c>
      <c r="H1309" s="77">
        <v>147.60278333196064</v>
      </c>
      <c r="I1309" s="77">
        <v>147.60278333196064</v>
      </c>
    </row>
    <row r="1310" spans="2:9">
      <c r="B1310" s="76">
        <v>2025.8343467545044</v>
      </c>
      <c r="C1310">
        <v>1273.817825843008</v>
      </c>
      <c r="D1310" s="77">
        <v>212.30297097383468</v>
      </c>
      <c r="E1310" s="77">
        <v>212.30297097383468</v>
      </c>
      <c r="F1310" s="77">
        <v>212.30297097383468</v>
      </c>
      <c r="G1310" s="77">
        <v>212.30297097383468</v>
      </c>
      <c r="H1310" s="77">
        <v>212.30297097383468</v>
      </c>
      <c r="I1310" s="77">
        <v>212.30297097383468</v>
      </c>
    </row>
    <row r="1311" spans="2:9">
      <c r="B1311" s="76">
        <v>2024.832911184375</v>
      </c>
      <c r="C1311">
        <v>1033.617233844468</v>
      </c>
      <c r="D1311" s="77">
        <v>172.26953897407802</v>
      </c>
      <c r="E1311" s="77">
        <v>172.26953897407802</v>
      </c>
      <c r="F1311" s="77">
        <v>172.26953897407802</v>
      </c>
      <c r="G1311" s="77">
        <v>172.26953897407802</v>
      </c>
      <c r="H1311" s="77">
        <v>172.26953897407802</v>
      </c>
      <c r="I1311" s="77">
        <v>172.26953897407802</v>
      </c>
    </row>
    <row r="1312" spans="2:9">
      <c r="B1312" s="76">
        <v>2022.9716830901832</v>
      </c>
      <c r="C1312">
        <v>877.44760713303299</v>
      </c>
      <c r="D1312" s="77">
        <v>146.2412678555055</v>
      </c>
      <c r="E1312" s="77">
        <v>146.2412678555055</v>
      </c>
      <c r="F1312" s="77">
        <v>146.2412678555055</v>
      </c>
      <c r="G1312" s="77">
        <v>146.2412678555055</v>
      </c>
      <c r="H1312" s="77">
        <v>146.2412678555055</v>
      </c>
      <c r="I1312" s="77">
        <v>146.2412678555055</v>
      </c>
    </row>
    <row r="1313" spans="2:9">
      <c r="B1313" s="76">
        <v>2022.9667506856895</v>
      </c>
      <c r="C1313">
        <v>834.2829767486603</v>
      </c>
      <c r="D1313" s="77">
        <v>139.04716279144338</v>
      </c>
      <c r="E1313" s="77">
        <v>139.04716279144338</v>
      </c>
      <c r="F1313" s="77">
        <v>139.04716279144338</v>
      </c>
      <c r="G1313" s="77">
        <v>139.04716279144338</v>
      </c>
      <c r="H1313" s="77">
        <v>139.04716279144338</v>
      </c>
      <c r="I1313" s="77">
        <v>139.04716279144338</v>
      </c>
    </row>
    <row r="1314" spans="2:9">
      <c r="B1314" s="76">
        <v>2023.3971725273439</v>
      </c>
      <c r="C1314">
        <v>972.27501609897297</v>
      </c>
      <c r="D1314" s="77">
        <v>162.04583601649549</v>
      </c>
      <c r="E1314" s="77">
        <v>162.04583601649549</v>
      </c>
      <c r="F1314" s="77">
        <v>162.04583601649549</v>
      </c>
      <c r="G1314" s="77">
        <v>162.04583601649549</v>
      </c>
      <c r="H1314" s="77">
        <v>162.04583601649549</v>
      </c>
      <c r="I1314" s="77">
        <v>162.04583601649549</v>
      </c>
    </row>
    <row r="1315" spans="2:9">
      <c r="B1315" s="76">
        <v>2024.7432137788169</v>
      </c>
      <c r="C1315">
        <v>1105.6823483673943</v>
      </c>
      <c r="D1315" s="77">
        <v>184.28039139456573</v>
      </c>
      <c r="E1315" s="77">
        <v>184.28039139456573</v>
      </c>
      <c r="F1315" s="77">
        <v>184.28039139456573</v>
      </c>
      <c r="G1315" s="77">
        <v>184.28039139456573</v>
      </c>
      <c r="H1315" s="77">
        <v>184.28039139456573</v>
      </c>
      <c r="I1315" s="77">
        <v>184.28039139456573</v>
      </c>
    </row>
    <row r="1316" spans="2:9">
      <c r="B1316" s="76">
        <v>2023.0801516776182</v>
      </c>
      <c r="C1316">
        <v>891.57504660815323</v>
      </c>
      <c r="D1316" s="77">
        <v>148.59584110135887</v>
      </c>
      <c r="E1316" s="77">
        <v>148.59584110135887</v>
      </c>
      <c r="F1316" s="77">
        <v>148.59584110135887</v>
      </c>
      <c r="G1316" s="77">
        <v>148.59584110135887</v>
      </c>
      <c r="H1316" s="77">
        <v>148.59584110135887</v>
      </c>
      <c r="I1316" s="77">
        <v>148.59584110135887</v>
      </c>
    </row>
    <row r="1317" spans="2:9">
      <c r="B1317" s="76">
        <v>2023.5749879364812</v>
      </c>
      <c r="C1317">
        <v>940.08643004706812</v>
      </c>
      <c r="D1317" s="77">
        <v>156.68107167451134</v>
      </c>
      <c r="E1317" s="77">
        <v>156.68107167451134</v>
      </c>
      <c r="F1317" s="77">
        <v>156.68107167451134</v>
      </c>
      <c r="G1317" s="77">
        <v>156.68107167451134</v>
      </c>
      <c r="H1317" s="77">
        <v>156.68107167451134</v>
      </c>
      <c r="I1317" s="77">
        <v>156.68107167451134</v>
      </c>
    </row>
    <row r="1318" spans="2:9">
      <c r="B1318" s="76">
        <v>2023.5273436364275</v>
      </c>
      <c r="C1318">
        <v>957.90785363012083</v>
      </c>
      <c r="D1318" s="77">
        <v>159.65130893835348</v>
      </c>
      <c r="E1318" s="77">
        <v>159.65130893835348</v>
      </c>
      <c r="F1318" s="77">
        <v>159.65130893835348</v>
      </c>
      <c r="G1318" s="77">
        <v>159.65130893835348</v>
      </c>
      <c r="H1318" s="77">
        <v>159.65130893835348</v>
      </c>
      <c r="I1318" s="77">
        <v>159.65130893835348</v>
      </c>
    </row>
    <row r="1319" spans="2:9">
      <c r="B1319" s="76">
        <v>2022.8356967990428</v>
      </c>
      <c r="C1319">
        <v>862.009536538254</v>
      </c>
      <c r="D1319" s="77">
        <v>143.66825608970899</v>
      </c>
      <c r="E1319" s="77">
        <v>143.66825608970899</v>
      </c>
      <c r="F1319" s="77">
        <v>143.66825608970899</v>
      </c>
      <c r="G1319" s="77">
        <v>143.66825608970899</v>
      </c>
      <c r="H1319" s="77">
        <v>143.66825608970899</v>
      </c>
      <c r="I1319" s="77">
        <v>143.66825608970899</v>
      </c>
    </row>
    <row r="1320" spans="2:9">
      <c r="B1320" s="76">
        <v>2024.1750228475896</v>
      </c>
      <c r="C1320">
        <v>1039.612159332507</v>
      </c>
      <c r="D1320" s="77">
        <v>173.26869322208449</v>
      </c>
      <c r="E1320" s="77">
        <v>173.26869322208449</v>
      </c>
      <c r="F1320" s="77">
        <v>173.26869322208449</v>
      </c>
      <c r="G1320" s="77">
        <v>173.26869322208449</v>
      </c>
      <c r="H1320" s="77">
        <v>173.26869322208449</v>
      </c>
      <c r="I1320" s="77">
        <v>173.26869322208449</v>
      </c>
    </row>
    <row r="1321" spans="2:9">
      <c r="B1321" s="76">
        <v>2024.3269552911727</v>
      </c>
      <c r="C1321">
        <v>1028.8886054475545</v>
      </c>
      <c r="D1321" s="77">
        <v>171.48143424125908</v>
      </c>
      <c r="E1321" s="77">
        <v>171.48143424125908</v>
      </c>
      <c r="F1321" s="77">
        <v>171.48143424125908</v>
      </c>
      <c r="G1321" s="77">
        <v>171.48143424125908</v>
      </c>
      <c r="H1321" s="77">
        <v>171.48143424125908</v>
      </c>
      <c r="I1321" s="77">
        <v>171.48143424125908</v>
      </c>
    </row>
    <row r="1322" spans="2:9">
      <c r="B1322" s="76">
        <v>2024.9184850641716</v>
      </c>
      <c r="C1322">
        <v>1168.9571175125081</v>
      </c>
      <c r="D1322" s="77">
        <v>194.82618625208468</v>
      </c>
      <c r="E1322" s="77">
        <v>194.82618625208468</v>
      </c>
      <c r="F1322" s="77">
        <v>194.82618625208468</v>
      </c>
      <c r="G1322" s="77">
        <v>194.82618625208468</v>
      </c>
      <c r="H1322" s="77">
        <v>194.82618625208468</v>
      </c>
      <c r="I1322" s="77">
        <v>194.82618625208468</v>
      </c>
    </row>
    <row r="1323" spans="2:9">
      <c r="B1323" s="76">
        <v>2024.4667466459869</v>
      </c>
      <c r="C1323">
        <v>1059.8911583346005</v>
      </c>
      <c r="D1323" s="77">
        <v>176.64852638910008</v>
      </c>
      <c r="E1323" s="77">
        <v>176.64852638910008</v>
      </c>
      <c r="F1323" s="77">
        <v>176.64852638910008</v>
      </c>
      <c r="G1323" s="77">
        <v>176.64852638910008</v>
      </c>
      <c r="H1323" s="77">
        <v>176.64852638910008</v>
      </c>
      <c r="I1323" s="77">
        <v>176.64852638910008</v>
      </c>
    </row>
    <row r="1324" spans="2:9">
      <c r="B1324" s="76">
        <v>2025.5613801644088</v>
      </c>
      <c r="C1324">
        <v>1159.6813985811204</v>
      </c>
      <c r="D1324" s="77">
        <v>193.28023309685341</v>
      </c>
      <c r="E1324" s="77">
        <v>193.28023309685341</v>
      </c>
      <c r="F1324" s="77">
        <v>193.28023309685341</v>
      </c>
      <c r="G1324" s="77">
        <v>193.28023309685341</v>
      </c>
      <c r="H1324" s="77">
        <v>193.28023309685341</v>
      </c>
      <c r="I1324" s="77">
        <v>193.28023309685341</v>
      </c>
    </row>
    <row r="1325" spans="2:9">
      <c r="B1325" s="76">
        <v>2025.2737575769461</v>
      </c>
      <c r="C1325">
        <v>1156.155213742725</v>
      </c>
      <c r="D1325" s="77">
        <v>192.69253562378751</v>
      </c>
      <c r="E1325" s="77">
        <v>192.69253562378751</v>
      </c>
      <c r="F1325" s="77">
        <v>192.69253562378751</v>
      </c>
      <c r="G1325" s="77">
        <v>192.69253562378751</v>
      </c>
      <c r="H1325" s="77">
        <v>192.69253562378751</v>
      </c>
      <c r="I1325" s="77">
        <v>192.69253562378751</v>
      </c>
    </row>
    <row r="1326" spans="2:9">
      <c r="B1326" s="76">
        <v>2025.8537391683801</v>
      </c>
      <c r="C1326">
        <v>1248.8549539856388</v>
      </c>
      <c r="D1326" s="77">
        <v>208.1424923309398</v>
      </c>
      <c r="E1326" s="77">
        <v>208.1424923309398</v>
      </c>
      <c r="F1326" s="77">
        <v>208.1424923309398</v>
      </c>
      <c r="G1326" s="77">
        <v>208.1424923309398</v>
      </c>
      <c r="H1326" s="77">
        <v>208.1424923309398</v>
      </c>
      <c r="I1326" s="77">
        <v>208.1424923309398</v>
      </c>
    </row>
    <row r="1327" spans="2:9">
      <c r="B1327" s="76">
        <v>2023.3683370814535</v>
      </c>
      <c r="C1327">
        <v>974.45983437055895</v>
      </c>
      <c r="D1327" s="77">
        <v>162.40997239509315</v>
      </c>
      <c r="E1327" s="77">
        <v>162.40997239509315</v>
      </c>
      <c r="F1327" s="77">
        <v>162.40997239509315</v>
      </c>
      <c r="G1327" s="77">
        <v>162.40997239509315</v>
      </c>
      <c r="H1327" s="77">
        <v>162.40997239509315</v>
      </c>
      <c r="I1327" s="77">
        <v>162.40997239509315</v>
      </c>
    </row>
    <row r="1328" spans="2:9">
      <c r="B1328" s="76">
        <v>2024.7922465286074</v>
      </c>
      <c r="C1328">
        <v>1142.3225452041806</v>
      </c>
      <c r="D1328" s="77">
        <v>190.38709086736344</v>
      </c>
      <c r="E1328" s="77">
        <v>190.38709086736344</v>
      </c>
      <c r="F1328" s="77">
        <v>190.38709086736344</v>
      </c>
      <c r="G1328" s="77">
        <v>190.38709086736344</v>
      </c>
      <c r="H1328" s="77">
        <v>190.38709086736344</v>
      </c>
      <c r="I1328" s="77">
        <v>190.38709086736344</v>
      </c>
    </row>
    <row r="1329" spans="2:9">
      <c r="B1329" s="76">
        <v>2023.1498965345693</v>
      </c>
      <c r="C1329">
        <v>918.46778473084919</v>
      </c>
      <c r="D1329" s="77">
        <v>153.07796412180821</v>
      </c>
      <c r="E1329" s="77">
        <v>153.07796412180821</v>
      </c>
      <c r="F1329" s="77">
        <v>153.07796412180821</v>
      </c>
      <c r="G1329" s="77">
        <v>153.07796412180821</v>
      </c>
      <c r="H1329" s="77">
        <v>153.07796412180821</v>
      </c>
      <c r="I1329" s="77">
        <v>153.07796412180821</v>
      </c>
    </row>
    <row r="1330" spans="2:9">
      <c r="B1330" s="76">
        <v>2023.3769147688552</v>
      </c>
      <c r="C1330">
        <v>880.18143558192003</v>
      </c>
      <c r="D1330" s="77">
        <v>146.69690593032001</v>
      </c>
      <c r="E1330" s="77">
        <v>146.69690593032001</v>
      </c>
      <c r="F1330" s="77">
        <v>146.69690593032001</v>
      </c>
      <c r="G1330" s="77">
        <v>146.69690593032001</v>
      </c>
      <c r="H1330" s="77">
        <v>146.69690593032001</v>
      </c>
      <c r="I1330" s="77">
        <v>146.69690593032001</v>
      </c>
    </row>
    <row r="1331" spans="2:9">
      <c r="B1331" s="76">
        <v>2023.1699573582148</v>
      </c>
      <c r="C1331">
        <v>907.97133322954835</v>
      </c>
      <c r="D1331" s="77">
        <v>151.32855553825806</v>
      </c>
      <c r="E1331" s="77">
        <v>151.32855553825806</v>
      </c>
      <c r="F1331" s="77">
        <v>151.32855553825806</v>
      </c>
      <c r="G1331" s="77">
        <v>151.32855553825806</v>
      </c>
      <c r="H1331" s="77">
        <v>151.32855553825806</v>
      </c>
      <c r="I1331" s="77">
        <v>151.32855553825806</v>
      </c>
    </row>
    <row r="1332" spans="2:9">
      <c r="B1332" s="76">
        <v>2023.901751898188</v>
      </c>
      <c r="C1332">
        <v>1007.0566841870137</v>
      </c>
      <c r="D1332" s="77">
        <v>167.84278069783562</v>
      </c>
      <c r="E1332" s="77">
        <v>167.84278069783562</v>
      </c>
      <c r="F1332" s="77">
        <v>167.84278069783562</v>
      </c>
      <c r="G1332" s="77">
        <v>167.84278069783562</v>
      </c>
      <c r="H1332" s="77">
        <v>167.84278069783562</v>
      </c>
      <c r="I1332" s="77">
        <v>167.84278069783562</v>
      </c>
    </row>
    <row r="1333" spans="2:9">
      <c r="B1333" s="76">
        <v>2022.8221735650022</v>
      </c>
      <c r="C1333">
        <v>821.60723438428113</v>
      </c>
      <c r="D1333" s="77">
        <v>136.93453906404685</v>
      </c>
      <c r="E1333" s="77">
        <v>136.93453906404685</v>
      </c>
      <c r="F1333" s="77">
        <v>136.93453906404685</v>
      </c>
      <c r="G1333" s="77">
        <v>136.93453906404685</v>
      </c>
      <c r="H1333" s="77">
        <v>136.93453906404685</v>
      </c>
      <c r="I1333" s="77">
        <v>136.93453906404685</v>
      </c>
    </row>
    <row r="1334" spans="2:9">
      <c r="B1334" s="76">
        <v>2023.2884457994144</v>
      </c>
      <c r="C1334">
        <v>984.13241891084795</v>
      </c>
      <c r="D1334" s="77">
        <v>164.02206981847465</v>
      </c>
      <c r="E1334" s="77">
        <v>164.02206981847465</v>
      </c>
      <c r="F1334" s="77">
        <v>164.02206981847465</v>
      </c>
      <c r="G1334" s="77">
        <v>164.02206981847465</v>
      </c>
      <c r="H1334" s="77">
        <v>164.02206981847465</v>
      </c>
      <c r="I1334" s="77">
        <v>164.02206981847465</v>
      </c>
    </row>
    <row r="1335" spans="2:9">
      <c r="B1335" s="76">
        <v>2023.0587738771605</v>
      </c>
      <c r="C1335">
        <v>925.45083747710544</v>
      </c>
      <c r="D1335" s="77">
        <v>154.24180624618424</v>
      </c>
      <c r="E1335" s="77">
        <v>154.24180624618424</v>
      </c>
      <c r="F1335" s="77">
        <v>154.24180624618424</v>
      </c>
      <c r="G1335" s="77">
        <v>154.24180624618424</v>
      </c>
      <c r="H1335" s="77">
        <v>154.24180624618424</v>
      </c>
      <c r="I1335" s="77">
        <v>154.24180624618424</v>
      </c>
    </row>
    <row r="1336" spans="2:9">
      <c r="B1336" s="76">
        <v>2023.1915938147399</v>
      </c>
      <c r="C1336">
        <v>937.69984343350995</v>
      </c>
      <c r="D1336" s="77">
        <v>156.28330723891833</v>
      </c>
      <c r="E1336" s="77">
        <v>156.28330723891833</v>
      </c>
      <c r="F1336" s="77">
        <v>156.28330723891833</v>
      </c>
      <c r="G1336" s="77">
        <v>156.28330723891833</v>
      </c>
      <c r="H1336" s="77">
        <v>156.28330723891833</v>
      </c>
      <c r="I1336" s="77">
        <v>156.28330723891833</v>
      </c>
    </row>
    <row r="1337" spans="2:9">
      <c r="B1337" s="76">
        <v>2023.431947625628</v>
      </c>
      <c r="C1337">
        <v>986.05016324458154</v>
      </c>
      <c r="D1337" s="77">
        <v>164.34169387409693</v>
      </c>
      <c r="E1337" s="77">
        <v>164.34169387409693</v>
      </c>
      <c r="F1337" s="77">
        <v>164.34169387409693</v>
      </c>
      <c r="G1337" s="77">
        <v>164.34169387409693</v>
      </c>
      <c r="H1337" s="77">
        <v>164.34169387409693</v>
      </c>
      <c r="I1337" s="77">
        <v>164.34169387409693</v>
      </c>
    </row>
    <row r="1338" spans="2:9">
      <c r="B1338" s="76">
        <v>2023.2284636388335</v>
      </c>
      <c r="C1338">
        <v>894.10204062372384</v>
      </c>
      <c r="D1338" s="77">
        <v>149.01700677062064</v>
      </c>
      <c r="E1338" s="77">
        <v>149.01700677062064</v>
      </c>
      <c r="F1338" s="77">
        <v>149.01700677062064</v>
      </c>
      <c r="G1338" s="77">
        <v>149.01700677062064</v>
      </c>
      <c r="H1338" s="77">
        <v>149.01700677062064</v>
      </c>
      <c r="I1338" s="77">
        <v>149.01700677062064</v>
      </c>
    </row>
    <row r="1339" spans="2:9">
      <c r="B1339" s="76">
        <v>2024.8180782505049</v>
      </c>
      <c r="C1339">
        <v>1049.8240907197526</v>
      </c>
      <c r="D1339" s="77">
        <v>174.97068178662542</v>
      </c>
      <c r="E1339" s="77">
        <v>174.97068178662542</v>
      </c>
      <c r="F1339" s="77">
        <v>174.97068178662542</v>
      </c>
      <c r="G1339" s="77">
        <v>174.97068178662542</v>
      </c>
      <c r="H1339" s="77">
        <v>174.97068178662542</v>
      </c>
      <c r="I1339" s="77">
        <v>174.97068178662542</v>
      </c>
    </row>
    <row r="1340" spans="2:9">
      <c r="B1340" s="76">
        <v>2024.9786036831415</v>
      </c>
      <c r="C1340">
        <v>1141.951942188598</v>
      </c>
      <c r="D1340" s="77">
        <v>190.32532369809965</v>
      </c>
      <c r="E1340" s="77">
        <v>190.32532369809965</v>
      </c>
      <c r="F1340" s="77">
        <v>190.32532369809965</v>
      </c>
      <c r="G1340" s="77">
        <v>190.32532369809965</v>
      </c>
      <c r="H1340" s="77">
        <v>190.32532369809965</v>
      </c>
      <c r="I1340" s="77">
        <v>190.32532369809965</v>
      </c>
    </row>
    <row r="1341" spans="2:9">
      <c r="B1341" s="76">
        <v>2023.6749382143994</v>
      </c>
      <c r="C1341">
        <v>919.04287220979222</v>
      </c>
      <c r="D1341" s="77">
        <v>153.17381203496538</v>
      </c>
      <c r="E1341" s="77">
        <v>153.17381203496538</v>
      </c>
      <c r="F1341" s="77">
        <v>153.17381203496538</v>
      </c>
      <c r="G1341" s="77">
        <v>153.17381203496538</v>
      </c>
      <c r="H1341" s="77">
        <v>153.17381203496538</v>
      </c>
      <c r="I1341" s="77">
        <v>153.17381203496538</v>
      </c>
    </row>
    <row r="1342" spans="2:9">
      <c r="B1342" s="76">
        <v>2022.9929595100207</v>
      </c>
      <c r="C1342">
        <v>955.31077586764809</v>
      </c>
      <c r="D1342" s="77">
        <v>159.21846264460802</v>
      </c>
      <c r="E1342" s="77">
        <v>159.21846264460802</v>
      </c>
      <c r="F1342" s="77">
        <v>159.21846264460802</v>
      </c>
      <c r="G1342" s="77">
        <v>159.21846264460802</v>
      </c>
      <c r="H1342" s="77">
        <v>159.21846264460802</v>
      </c>
      <c r="I1342" s="77">
        <v>159.21846264460802</v>
      </c>
    </row>
    <row r="1343" spans="2:9">
      <c r="B1343" s="76">
        <v>2025.1237753477458</v>
      </c>
      <c r="C1343">
        <v>1171.2557611647362</v>
      </c>
      <c r="D1343" s="77">
        <v>195.20929352745603</v>
      </c>
      <c r="E1343" s="77">
        <v>195.20929352745603</v>
      </c>
      <c r="F1343" s="77">
        <v>195.20929352745603</v>
      </c>
      <c r="G1343" s="77">
        <v>195.20929352745603</v>
      </c>
      <c r="H1343" s="77">
        <v>195.20929352745603</v>
      </c>
      <c r="I1343" s="77">
        <v>195.20929352745603</v>
      </c>
    </row>
    <row r="1344" spans="2:9">
      <c r="B1344" s="76">
        <v>2022.8531964185886</v>
      </c>
      <c r="C1344">
        <v>904.80102316751663</v>
      </c>
      <c r="D1344" s="77">
        <v>150.80017052791945</v>
      </c>
      <c r="E1344" s="77">
        <v>150.80017052791945</v>
      </c>
      <c r="F1344" s="77">
        <v>150.80017052791945</v>
      </c>
      <c r="G1344" s="77">
        <v>150.80017052791945</v>
      </c>
      <c r="H1344" s="77">
        <v>150.80017052791945</v>
      </c>
      <c r="I1344" s="77">
        <v>150.80017052791945</v>
      </c>
    </row>
    <row r="1345" spans="2:9">
      <c r="B1345" s="76">
        <v>2022.8537210926675</v>
      </c>
      <c r="C1345">
        <v>841.10893587091527</v>
      </c>
      <c r="D1345" s="77">
        <v>140.18482264515254</v>
      </c>
      <c r="E1345" s="77">
        <v>140.18482264515254</v>
      </c>
      <c r="F1345" s="77">
        <v>140.18482264515254</v>
      </c>
      <c r="G1345" s="77">
        <v>140.18482264515254</v>
      </c>
      <c r="H1345" s="77">
        <v>140.18482264515254</v>
      </c>
      <c r="I1345" s="77">
        <v>140.18482264515254</v>
      </c>
    </row>
    <row r="1346" spans="2:9">
      <c r="B1346" s="76">
        <v>2024.9868989710037</v>
      </c>
      <c r="C1346">
        <v>1140.597624088228</v>
      </c>
      <c r="D1346" s="77">
        <v>190.09960401470468</v>
      </c>
      <c r="E1346" s="77">
        <v>190.09960401470468</v>
      </c>
      <c r="F1346" s="77">
        <v>190.09960401470468</v>
      </c>
      <c r="G1346" s="77">
        <v>190.09960401470468</v>
      </c>
      <c r="H1346" s="77">
        <v>190.09960401470468</v>
      </c>
      <c r="I1346" s="77">
        <v>190.09960401470468</v>
      </c>
    </row>
    <row r="1347" spans="2:9">
      <c r="B1347" s="76">
        <v>2023.0401133932198</v>
      </c>
      <c r="C1347">
        <v>890.0903366121828</v>
      </c>
      <c r="D1347" s="77">
        <v>148.3483894353638</v>
      </c>
      <c r="E1347" s="77">
        <v>148.3483894353638</v>
      </c>
      <c r="F1347" s="77">
        <v>148.3483894353638</v>
      </c>
      <c r="G1347" s="77">
        <v>148.3483894353638</v>
      </c>
      <c r="H1347" s="77">
        <v>148.3483894353638</v>
      </c>
      <c r="I1347" s="77">
        <v>148.3483894353638</v>
      </c>
    </row>
    <row r="1348" spans="2:9">
      <c r="B1348" s="76">
        <v>2023.4501748431394</v>
      </c>
      <c r="C1348">
        <v>927.6272561109738</v>
      </c>
      <c r="D1348" s="77">
        <v>154.6045426851623</v>
      </c>
      <c r="E1348" s="77">
        <v>154.6045426851623</v>
      </c>
      <c r="F1348" s="77">
        <v>154.6045426851623</v>
      </c>
      <c r="G1348" s="77">
        <v>154.6045426851623</v>
      </c>
      <c r="H1348" s="77">
        <v>154.6045426851623</v>
      </c>
      <c r="I1348" s="77">
        <v>154.6045426851623</v>
      </c>
    </row>
    <row r="1349" spans="2:9">
      <c r="B1349" s="76">
        <v>2022.8418376433081</v>
      </c>
      <c r="C1349">
        <v>845.56831382409564</v>
      </c>
      <c r="D1349" s="77">
        <v>140.92805230401595</v>
      </c>
      <c r="E1349" s="77">
        <v>140.92805230401595</v>
      </c>
      <c r="F1349" s="77">
        <v>140.92805230401595</v>
      </c>
      <c r="G1349" s="77">
        <v>140.92805230401595</v>
      </c>
      <c r="H1349" s="77">
        <v>140.92805230401595</v>
      </c>
      <c r="I1349" s="77">
        <v>140.92805230401595</v>
      </c>
    </row>
    <row r="1350" spans="2:9">
      <c r="B1350" s="76">
        <v>2022.9203694250334</v>
      </c>
      <c r="C1350">
        <v>905.14411636190596</v>
      </c>
      <c r="D1350" s="77">
        <v>150.85735272698432</v>
      </c>
      <c r="E1350" s="77">
        <v>150.85735272698432</v>
      </c>
      <c r="F1350" s="77">
        <v>150.85735272698432</v>
      </c>
      <c r="G1350" s="77">
        <v>150.85735272698432</v>
      </c>
      <c r="H1350" s="77">
        <v>150.85735272698432</v>
      </c>
      <c r="I1350" s="77">
        <v>150.85735272698432</v>
      </c>
    </row>
    <row r="1351" spans="2:9">
      <c r="B1351" s="76">
        <v>2024.3878724924002</v>
      </c>
      <c r="C1351">
        <v>1081.0666615988937</v>
      </c>
      <c r="D1351" s="77">
        <v>180.17777693314895</v>
      </c>
      <c r="E1351" s="77">
        <v>180.17777693314895</v>
      </c>
      <c r="F1351" s="77">
        <v>180.17777693314895</v>
      </c>
      <c r="G1351" s="77">
        <v>180.17777693314895</v>
      </c>
      <c r="H1351" s="77">
        <v>180.17777693314895</v>
      </c>
      <c r="I1351" s="77">
        <v>180.17777693314895</v>
      </c>
    </row>
    <row r="1352" spans="2:9">
      <c r="B1352" s="76">
        <v>2023.1900419150259</v>
      </c>
      <c r="C1352">
        <v>864.18477159337715</v>
      </c>
      <c r="D1352" s="77">
        <v>144.03079526556286</v>
      </c>
      <c r="E1352" s="77">
        <v>144.03079526556286</v>
      </c>
      <c r="F1352" s="77">
        <v>144.03079526556286</v>
      </c>
      <c r="G1352" s="77">
        <v>144.03079526556286</v>
      </c>
      <c r="H1352" s="77">
        <v>144.03079526556286</v>
      </c>
      <c r="I1352" s="77">
        <v>144.03079526556286</v>
      </c>
    </row>
    <row r="1353" spans="2:9">
      <c r="B1353" s="76">
        <v>2023.6517057868675</v>
      </c>
      <c r="C1353">
        <v>917.66005991826444</v>
      </c>
      <c r="D1353" s="77">
        <v>152.94334331971075</v>
      </c>
      <c r="E1353" s="77">
        <v>152.94334331971075</v>
      </c>
      <c r="F1353" s="77">
        <v>152.94334331971075</v>
      </c>
      <c r="G1353" s="77">
        <v>152.94334331971075</v>
      </c>
      <c r="H1353" s="77">
        <v>152.94334331971075</v>
      </c>
      <c r="I1353" s="77">
        <v>152.94334331971075</v>
      </c>
    </row>
    <row r="1354" spans="2:9">
      <c r="B1354" s="76">
        <v>2022.926876341603</v>
      </c>
      <c r="C1354">
        <v>868.43572777486975</v>
      </c>
      <c r="D1354" s="77">
        <v>144.7392879624783</v>
      </c>
      <c r="E1354" s="77">
        <v>144.7392879624783</v>
      </c>
      <c r="F1354" s="77">
        <v>144.7392879624783</v>
      </c>
      <c r="G1354" s="77">
        <v>144.7392879624783</v>
      </c>
      <c r="H1354" s="77">
        <v>144.7392879624783</v>
      </c>
      <c r="I1354" s="77">
        <v>144.7392879624783</v>
      </c>
    </row>
    <row r="1355" spans="2:9">
      <c r="B1355" s="76">
        <v>2022.7802778893122</v>
      </c>
      <c r="C1355">
        <v>836.9409320837168</v>
      </c>
      <c r="D1355" s="77">
        <v>139.49015534728613</v>
      </c>
      <c r="E1355" s="77">
        <v>139.49015534728613</v>
      </c>
      <c r="F1355" s="77">
        <v>139.49015534728613</v>
      </c>
      <c r="G1355" s="77">
        <v>139.49015534728613</v>
      </c>
      <c r="H1355" s="77">
        <v>139.49015534728613</v>
      </c>
      <c r="I1355" s="77">
        <v>139.49015534728613</v>
      </c>
    </row>
    <row r="1356" spans="2:9">
      <c r="B1356" s="76">
        <v>2023.4972860345322</v>
      </c>
      <c r="C1356">
        <v>898.32165072845658</v>
      </c>
      <c r="D1356" s="77">
        <v>149.72027512140943</v>
      </c>
      <c r="E1356" s="77">
        <v>149.72027512140943</v>
      </c>
      <c r="F1356" s="77">
        <v>149.72027512140943</v>
      </c>
      <c r="G1356" s="77">
        <v>149.72027512140943</v>
      </c>
      <c r="H1356" s="77">
        <v>149.72027512140943</v>
      </c>
      <c r="I1356" s="77">
        <v>149.72027512140943</v>
      </c>
    </row>
    <row r="1357" spans="2:9">
      <c r="B1357" s="76">
        <v>2022.8403221781705</v>
      </c>
      <c r="C1357">
        <v>871.0437118537883</v>
      </c>
      <c r="D1357" s="77">
        <v>145.17395197563138</v>
      </c>
      <c r="E1357" s="77">
        <v>145.17395197563138</v>
      </c>
      <c r="F1357" s="77">
        <v>145.17395197563138</v>
      </c>
      <c r="G1357" s="77">
        <v>145.17395197563138</v>
      </c>
      <c r="H1357" s="77">
        <v>145.17395197563138</v>
      </c>
      <c r="I1357" s="77">
        <v>145.17395197563138</v>
      </c>
    </row>
    <row r="1358" spans="2:9">
      <c r="B1358" s="76">
        <v>2023.5489585460575</v>
      </c>
      <c r="C1358">
        <v>939.08755036851949</v>
      </c>
      <c r="D1358" s="77">
        <v>156.51459172808657</v>
      </c>
      <c r="E1358" s="77">
        <v>156.51459172808657</v>
      </c>
      <c r="F1358" s="77">
        <v>156.51459172808657</v>
      </c>
      <c r="G1358" s="77">
        <v>156.51459172808657</v>
      </c>
      <c r="H1358" s="77">
        <v>156.51459172808657</v>
      </c>
      <c r="I1358" s="77">
        <v>156.51459172808657</v>
      </c>
    </row>
    <row r="1359" spans="2:9">
      <c r="B1359" s="76">
        <v>2023.0171008025811</v>
      </c>
      <c r="C1359">
        <v>907.10228159664655</v>
      </c>
      <c r="D1359" s="77">
        <v>151.18371359944109</v>
      </c>
      <c r="E1359" s="77">
        <v>151.18371359944109</v>
      </c>
      <c r="F1359" s="77">
        <v>151.18371359944109</v>
      </c>
      <c r="G1359" s="77">
        <v>151.18371359944109</v>
      </c>
      <c r="H1359" s="77">
        <v>151.18371359944109</v>
      </c>
      <c r="I1359" s="77">
        <v>151.18371359944109</v>
      </c>
    </row>
    <row r="1360" spans="2:9">
      <c r="B1360" s="76">
        <v>2024.8917574178231</v>
      </c>
      <c r="C1360">
        <v>1067.3926052905454</v>
      </c>
      <c r="D1360" s="77">
        <v>177.89876754842422</v>
      </c>
      <c r="E1360" s="77">
        <v>177.89876754842422</v>
      </c>
      <c r="F1360" s="77">
        <v>177.89876754842422</v>
      </c>
      <c r="G1360" s="77">
        <v>177.89876754842422</v>
      </c>
      <c r="H1360" s="77">
        <v>177.89876754842422</v>
      </c>
      <c r="I1360" s="77">
        <v>177.89876754842422</v>
      </c>
    </row>
    <row r="1361" spans="2:9">
      <c r="B1361" s="76">
        <v>2023.0246551665216</v>
      </c>
      <c r="C1361">
        <v>933.60586256401871</v>
      </c>
      <c r="D1361" s="77">
        <v>155.60097709400313</v>
      </c>
      <c r="E1361" s="77">
        <v>155.60097709400313</v>
      </c>
      <c r="F1361" s="77">
        <v>155.60097709400313</v>
      </c>
      <c r="G1361" s="77">
        <v>155.60097709400313</v>
      </c>
      <c r="H1361" s="77">
        <v>155.60097709400313</v>
      </c>
      <c r="I1361" s="77">
        <v>155.60097709400313</v>
      </c>
    </row>
    <row r="1362" spans="2:9">
      <c r="B1362" s="76">
        <v>2023.3172550637912</v>
      </c>
      <c r="C1362">
        <v>933.71258702053683</v>
      </c>
      <c r="D1362" s="77">
        <v>155.6187645034228</v>
      </c>
      <c r="E1362" s="77">
        <v>155.6187645034228</v>
      </c>
      <c r="F1362" s="77">
        <v>155.6187645034228</v>
      </c>
      <c r="G1362" s="77">
        <v>155.6187645034228</v>
      </c>
      <c r="H1362" s="77">
        <v>155.6187645034228</v>
      </c>
      <c r="I1362" s="77">
        <v>155.6187645034228</v>
      </c>
    </row>
    <row r="1363" spans="2:9">
      <c r="B1363" s="76">
        <v>2023.5803245912741</v>
      </c>
      <c r="C1363">
        <v>999.94379996659939</v>
      </c>
      <c r="D1363" s="77">
        <v>166.65729999443323</v>
      </c>
      <c r="E1363" s="77">
        <v>166.65729999443323</v>
      </c>
      <c r="F1363" s="77">
        <v>166.65729999443323</v>
      </c>
      <c r="G1363" s="77">
        <v>166.65729999443323</v>
      </c>
      <c r="H1363" s="77">
        <v>166.65729999443323</v>
      </c>
      <c r="I1363" s="77">
        <v>166.65729999443323</v>
      </c>
    </row>
    <row r="1364" spans="2:9">
      <c r="B1364" s="76">
        <v>2022.7076732004493</v>
      </c>
      <c r="C1364">
        <v>925.07203287847653</v>
      </c>
      <c r="D1364" s="77">
        <v>154.17867214641277</v>
      </c>
      <c r="E1364" s="77">
        <v>154.17867214641277</v>
      </c>
      <c r="F1364" s="77">
        <v>154.17867214641277</v>
      </c>
      <c r="G1364" s="77">
        <v>154.17867214641277</v>
      </c>
      <c r="H1364" s="77">
        <v>154.17867214641277</v>
      </c>
      <c r="I1364" s="77">
        <v>154.17867214641277</v>
      </c>
    </row>
    <row r="1365" spans="2:9">
      <c r="B1365" s="76">
        <v>2023.4309273846911</v>
      </c>
      <c r="C1365">
        <v>933.83069588334808</v>
      </c>
      <c r="D1365" s="77">
        <v>155.63844931389136</v>
      </c>
      <c r="E1365" s="77">
        <v>155.63844931389136</v>
      </c>
      <c r="F1365" s="77">
        <v>155.63844931389136</v>
      </c>
      <c r="G1365" s="77">
        <v>155.63844931389136</v>
      </c>
      <c r="H1365" s="77">
        <v>155.63844931389136</v>
      </c>
      <c r="I1365" s="77">
        <v>155.63844931389136</v>
      </c>
    </row>
    <row r="1366" spans="2:9">
      <c r="B1366" s="76">
        <v>2023.7150282078351</v>
      </c>
      <c r="C1366">
        <v>952.27299618375991</v>
      </c>
      <c r="D1366" s="77">
        <v>158.71216603062666</v>
      </c>
      <c r="E1366" s="77">
        <v>158.71216603062666</v>
      </c>
      <c r="F1366" s="77">
        <v>158.71216603062666</v>
      </c>
      <c r="G1366" s="77">
        <v>158.71216603062666</v>
      </c>
      <c r="H1366" s="77">
        <v>158.71216603062666</v>
      </c>
      <c r="I1366" s="77">
        <v>158.71216603062666</v>
      </c>
    </row>
    <row r="1367" spans="2:9">
      <c r="B1367" s="76">
        <v>2024.9333238997622</v>
      </c>
      <c r="C1367">
        <v>1130.3045858623664</v>
      </c>
      <c r="D1367" s="77">
        <v>188.38409764372773</v>
      </c>
      <c r="E1367" s="77">
        <v>188.38409764372773</v>
      </c>
      <c r="F1367" s="77">
        <v>188.38409764372773</v>
      </c>
      <c r="G1367" s="77">
        <v>188.38409764372773</v>
      </c>
      <c r="H1367" s="77">
        <v>188.38409764372773</v>
      </c>
      <c r="I1367" s="77">
        <v>188.38409764372773</v>
      </c>
    </row>
    <row r="1368" spans="2:9">
      <c r="B1368" s="76">
        <v>2023.3761319846101</v>
      </c>
      <c r="C1368">
        <v>932.04089568490963</v>
      </c>
      <c r="D1368" s="77">
        <v>155.34014928081828</v>
      </c>
      <c r="E1368" s="77">
        <v>155.34014928081828</v>
      </c>
      <c r="F1368" s="77">
        <v>155.34014928081828</v>
      </c>
      <c r="G1368" s="77">
        <v>155.34014928081828</v>
      </c>
      <c r="H1368" s="77">
        <v>155.34014928081828</v>
      </c>
      <c r="I1368" s="77">
        <v>155.34014928081828</v>
      </c>
    </row>
    <row r="1369" spans="2:9">
      <c r="B1369" s="76">
        <v>2023.3115180468365</v>
      </c>
      <c r="C1369">
        <v>925.56192545670604</v>
      </c>
      <c r="D1369" s="77">
        <v>154.260320909451</v>
      </c>
      <c r="E1369" s="77">
        <v>154.260320909451</v>
      </c>
      <c r="F1369" s="77">
        <v>154.260320909451</v>
      </c>
      <c r="G1369" s="77">
        <v>154.260320909451</v>
      </c>
      <c r="H1369" s="77">
        <v>154.260320909451</v>
      </c>
      <c r="I1369" s="77">
        <v>154.260320909451</v>
      </c>
    </row>
    <row r="1370" spans="2:9">
      <c r="B1370" s="76">
        <v>2022.8505866329683</v>
      </c>
      <c r="C1370">
        <v>835.45416372147861</v>
      </c>
      <c r="D1370" s="77">
        <v>139.24236062024644</v>
      </c>
      <c r="E1370" s="77">
        <v>139.24236062024644</v>
      </c>
      <c r="F1370" s="77">
        <v>139.24236062024644</v>
      </c>
      <c r="G1370" s="77">
        <v>139.24236062024644</v>
      </c>
      <c r="H1370" s="77">
        <v>139.24236062024644</v>
      </c>
      <c r="I1370" s="77">
        <v>139.24236062024644</v>
      </c>
    </row>
    <row r="1371" spans="2:9">
      <c r="B1371" s="76">
        <v>2023.2925967271135</v>
      </c>
      <c r="C1371">
        <v>879.02193577410276</v>
      </c>
      <c r="D1371" s="77">
        <v>146.50365596235045</v>
      </c>
      <c r="E1371" s="77">
        <v>146.50365596235045</v>
      </c>
      <c r="F1371" s="77">
        <v>146.50365596235045</v>
      </c>
      <c r="G1371" s="77">
        <v>146.50365596235045</v>
      </c>
      <c r="H1371" s="77">
        <v>146.50365596235045</v>
      </c>
      <c r="I1371" s="77">
        <v>146.50365596235045</v>
      </c>
    </row>
    <row r="1372" spans="2:9">
      <c r="B1372" s="76">
        <v>2023.2735039576153</v>
      </c>
      <c r="C1372">
        <v>871.68887165019635</v>
      </c>
      <c r="D1372" s="77">
        <v>145.28147860836606</v>
      </c>
      <c r="E1372" s="77">
        <v>145.28147860836606</v>
      </c>
      <c r="F1372" s="77">
        <v>145.28147860836606</v>
      </c>
      <c r="G1372" s="77">
        <v>145.28147860836606</v>
      </c>
      <c r="H1372" s="77">
        <v>145.28147860836606</v>
      </c>
      <c r="I1372" s="77">
        <v>145.28147860836606</v>
      </c>
    </row>
    <row r="1373" spans="2:9">
      <c r="B1373" s="76">
        <v>2023.2943553629632</v>
      </c>
      <c r="C1373">
        <v>912.12840199981702</v>
      </c>
      <c r="D1373" s="77">
        <v>152.02140033330284</v>
      </c>
      <c r="E1373" s="77">
        <v>152.02140033330284</v>
      </c>
      <c r="F1373" s="77">
        <v>152.02140033330284</v>
      </c>
      <c r="G1373" s="77">
        <v>152.02140033330284</v>
      </c>
      <c r="H1373" s="77">
        <v>152.02140033330284</v>
      </c>
      <c r="I1373" s="77">
        <v>152.02140033330284</v>
      </c>
    </row>
    <row r="1374" spans="2:9">
      <c r="B1374" s="76">
        <v>2023.1966265535768</v>
      </c>
      <c r="C1374">
        <v>912.79145544842811</v>
      </c>
      <c r="D1374" s="77">
        <v>152.13190924140468</v>
      </c>
      <c r="E1374" s="77">
        <v>152.13190924140468</v>
      </c>
      <c r="F1374" s="77">
        <v>152.13190924140468</v>
      </c>
      <c r="G1374" s="77">
        <v>152.13190924140468</v>
      </c>
      <c r="H1374" s="77">
        <v>152.13190924140468</v>
      </c>
      <c r="I1374" s="77">
        <v>152.13190924140468</v>
      </c>
    </row>
    <row r="1375" spans="2:9">
      <c r="B1375" s="76">
        <v>2024.720592229249</v>
      </c>
      <c r="C1375">
        <v>1056.7576433460165</v>
      </c>
      <c r="D1375" s="77">
        <v>176.12627389100274</v>
      </c>
      <c r="E1375" s="77">
        <v>176.12627389100274</v>
      </c>
      <c r="F1375" s="77">
        <v>176.12627389100274</v>
      </c>
      <c r="G1375" s="77">
        <v>176.12627389100274</v>
      </c>
      <c r="H1375" s="77">
        <v>176.12627389100274</v>
      </c>
      <c r="I1375" s="77">
        <v>176.12627389100274</v>
      </c>
    </row>
    <row r="1376" spans="2:9">
      <c r="B1376" s="76">
        <v>2024.419242251166</v>
      </c>
      <c r="C1376">
        <v>1021.7579801143099</v>
      </c>
      <c r="D1376" s="77">
        <v>170.29299668571832</v>
      </c>
      <c r="E1376" s="77">
        <v>170.29299668571832</v>
      </c>
      <c r="F1376" s="77">
        <v>170.29299668571832</v>
      </c>
      <c r="G1376" s="77">
        <v>170.29299668571832</v>
      </c>
      <c r="H1376" s="77">
        <v>170.29299668571832</v>
      </c>
      <c r="I1376" s="77">
        <v>170.29299668571832</v>
      </c>
    </row>
    <row r="1377" spans="2:9">
      <c r="B1377" s="76">
        <v>2023.0795209246639</v>
      </c>
      <c r="C1377">
        <v>892.69932762528629</v>
      </c>
      <c r="D1377" s="77">
        <v>148.78322127088106</v>
      </c>
      <c r="E1377" s="77">
        <v>148.78322127088106</v>
      </c>
      <c r="F1377" s="77">
        <v>148.78322127088106</v>
      </c>
      <c r="G1377" s="77">
        <v>148.78322127088106</v>
      </c>
      <c r="H1377" s="77">
        <v>148.78322127088106</v>
      </c>
      <c r="I1377" s="77">
        <v>148.78322127088106</v>
      </c>
    </row>
    <row r="1378" spans="2:9">
      <c r="B1378" s="76">
        <v>2024.6591300590239</v>
      </c>
      <c r="C1378">
        <v>1144.5651255611549</v>
      </c>
      <c r="D1378" s="77">
        <v>190.76085426019247</v>
      </c>
      <c r="E1378" s="77">
        <v>190.76085426019247</v>
      </c>
      <c r="F1378" s="77">
        <v>190.76085426019247</v>
      </c>
      <c r="G1378" s="77">
        <v>190.76085426019247</v>
      </c>
      <c r="H1378" s="77">
        <v>190.76085426019247</v>
      </c>
      <c r="I1378" s="77">
        <v>190.76085426019247</v>
      </c>
    </row>
    <row r="1379" spans="2:9">
      <c r="B1379" s="76">
        <v>2023.0958090982806</v>
      </c>
      <c r="C1379">
        <v>955.96129139782067</v>
      </c>
      <c r="D1379" s="77">
        <v>159.32688189963679</v>
      </c>
      <c r="E1379" s="77">
        <v>159.32688189963679</v>
      </c>
      <c r="F1379" s="77">
        <v>159.32688189963679</v>
      </c>
      <c r="G1379" s="77">
        <v>159.32688189963679</v>
      </c>
      <c r="H1379" s="77">
        <v>159.32688189963679</v>
      </c>
      <c r="I1379" s="77">
        <v>159.32688189963679</v>
      </c>
    </row>
    <row r="1380" spans="2:9">
      <c r="B1380" s="76">
        <v>2022.7763569632998</v>
      </c>
      <c r="C1380">
        <v>850.02145696441482</v>
      </c>
      <c r="D1380" s="77">
        <v>141.67024282740246</v>
      </c>
      <c r="E1380" s="77">
        <v>141.67024282740246</v>
      </c>
      <c r="F1380" s="77">
        <v>141.67024282740246</v>
      </c>
      <c r="G1380" s="77">
        <v>141.67024282740246</v>
      </c>
      <c r="H1380" s="77">
        <v>141.67024282740246</v>
      </c>
      <c r="I1380" s="77">
        <v>141.67024282740246</v>
      </c>
    </row>
    <row r="1381" spans="2:9">
      <c r="B1381" s="76">
        <v>2022.6086755812578</v>
      </c>
      <c r="C1381">
        <v>811.17251267672054</v>
      </c>
      <c r="D1381" s="77">
        <v>135.19541877945343</v>
      </c>
      <c r="E1381" s="77">
        <v>135.19541877945343</v>
      </c>
      <c r="F1381" s="77">
        <v>135.19541877945343</v>
      </c>
      <c r="G1381" s="77">
        <v>135.19541877945343</v>
      </c>
      <c r="H1381" s="77">
        <v>135.19541877945343</v>
      </c>
      <c r="I1381" s="77">
        <v>135.19541877945343</v>
      </c>
    </row>
    <row r="1382" spans="2:9">
      <c r="B1382" s="76">
        <v>2023.115455594658</v>
      </c>
      <c r="C1382">
        <v>913.68482138509614</v>
      </c>
      <c r="D1382" s="77">
        <v>152.28080356418269</v>
      </c>
      <c r="E1382" s="77">
        <v>152.28080356418269</v>
      </c>
      <c r="F1382" s="77">
        <v>152.28080356418269</v>
      </c>
      <c r="G1382" s="77">
        <v>152.28080356418269</v>
      </c>
      <c r="H1382" s="77">
        <v>152.28080356418269</v>
      </c>
      <c r="I1382" s="77">
        <v>152.28080356418269</v>
      </c>
    </row>
    <row r="1383" spans="2:9">
      <c r="B1383" s="76">
        <v>2025.7297981959632</v>
      </c>
      <c r="C1383">
        <v>1274.9890750068923</v>
      </c>
      <c r="D1383" s="77">
        <v>212.49817916781538</v>
      </c>
      <c r="E1383" s="77">
        <v>212.49817916781538</v>
      </c>
      <c r="F1383" s="77">
        <v>212.49817916781538</v>
      </c>
      <c r="G1383" s="77">
        <v>212.49817916781538</v>
      </c>
      <c r="H1383" s="77">
        <v>212.49817916781538</v>
      </c>
      <c r="I1383" s="77">
        <v>212.49817916781538</v>
      </c>
    </row>
    <row r="1384" spans="2:9">
      <c r="B1384" s="76">
        <v>2023.5600813084657</v>
      </c>
      <c r="C1384">
        <v>1014.9096475461831</v>
      </c>
      <c r="D1384" s="77">
        <v>169.15160792436384</v>
      </c>
      <c r="E1384" s="77">
        <v>169.15160792436384</v>
      </c>
      <c r="F1384" s="77">
        <v>169.15160792436384</v>
      </c>
      <c r="G1384" s="77">
        <v>169.15160792436384</v>
      </c>
      <c r="H1384" s="77">
        <v>169.15160792436384</v>
      </c>
      <c r="I1384" s="77">
        <v>169.15160792436384</v>
      </c>
    </row>
    <row r="1385" spans="2:9">
      <c r="B1385" s="76">
        <v>2023.4265131250349</v>
      </c>
      <c r="C1385">
        <v>946.99139071820912</v>
      </c>
      <c r="D1385" s="77">
        <v>157.83189845303485</v>
      </c>
      <c r="E1385" s="77">
        <v>157.83189845303485</v>
      </c>
      <c r="F1385" s="77">
        <v>157.83189845303485</v>
      </c>
      <c r="G1385" s="77">
        <v>157.83189845303485</v>
      </c>
      <c r="H1385" s="77">
        <v>157.83189845303485</v>
      </c>
      <c r="I1385" s="77">
        <v>157.83189845303485</v>
      </c>
    </row>
    <row r="1386" spans="2:9">
      <c r="B1386" s="76">
        <v>2022.6028754686438</v>
      </c>
      <c r="C1386">
        <v>825.54893741758031</v>
      </c>
      <c r="D1386" s="77">
        <v>137.59148956959672</v>
      </c>
      <c r="E1386" s="77">
        <v>137.59148956959672</v>
      </c>
      <c r="F1386" s="77">
        <v>137.59148956959672</v>
      </c>
      <c r="G1386" s="77">
        <v>137.59148956959672</v>
      </c>
      <c r="H1386" s="77">
        <v>137.59148956959672</v>
      </c>
      <c r="I1386" s="77">
        <v>137.59148956959672</v>
      </c>
    </row>
    <row r="1387" spans="2:9">
      <c r="B1387" s="76">
        <v>2022.7818736907816</v>
      </c>
      <c r="C1387">
        <v>811.10165564821523</v>
      </c>
      <c r="D1387" s="77">
        <v>135.18360927470255</v>
      </c>
      <c r="E1387" s="77">
        <v>135.18360927470255</v>
      </c>
      <c r="F1387" s="77">
        <v>135.18360927470255</v>
      </c>
      <c r="G1387" s="77">
        <v>135.18360927470255</v>
      </c>
      <c r="H1387" s="77">
        <v>135.18360927470255</v>
      </c>
      <c r="I1387" s="77">
        <v>135.18360927470255</v>
      </c>
    </row>
    <row r="1388" spans="2:9">
      <c r="B1388" s="76">
        <v>2025.3300443391092</v>
      </c>
      <c r="C1388">
        <v>1105.8288425395278</v>
      </c>
      <c r="D1388" s="77">
        <v>184.3048070899213</v>
      </c>
      <c r="E1388" s="77">
        <v>184.3048070899213</v>
      </c>
      <c r="F1388" s="77">
        <v>184.3048070899213</v>
      </c>
      <c r="G1388" s="77">
        <v>184.3048070899213</v>
      </c>
      <c r="H1388" s="77">
        <v>184.3048070899213</v>
      </c>
      <c r="I1388" s="77">
        <v>184.3048070899213</v>
      </c>
    </row>
    <row r="1389" spans="2:9">
      <c r="B1389" s="76">
        <v>2024.4747829583548</v>
      </c>
      <c r="C1389">
        <v>1111.5706700667365</v>
      </c>
      <c r="D1389" s="77">
        <v>185.26177834445608</v>
      </c>
      <c r="E1389" s="77">
        <v>185.26177834445608</v>
      </c>
      <c r="F1389" s="77">
        <v>185.26177834445608</v>
      </c>
      <c r="G1389" s="77">
        <v>185.26177834445608</v>
      </c>
      <c r="H1389" s="77">
        <v>185.26177834445608</v>
      </c>
      <c r="I1389" s="77">
        <v>185.26177834445608</v>
      </c>
    </row>
    <row r="1390" spans="2:9">
      <c r="B1390" s="76">
        <v>2023.7837323741303</v>
      </c>
      <c r="C1390">
        <v>1064.885550165727</v>
      </c>
      <c r="D1390" s="77">
        <v>177.48092502762117</v>
      </c>
      <c r="E1390" s="77">
        <v>177.48092502762117</v>
      </c>
      <c r="F1390" s="77">
        <v>177.48092502762117</v>
      </c>
      <c r="G1390" s="77">
        <v>177.48092502762117</v>
      </c>
      <c r="H1390" s="77">
        <v>177.48092502762117</v>
      </c>
      <c r="I1390" s="77">
        <v>177.48092502762117</v>
      </c>
    </row>
    <row r="1391" spans="2:9">
      <c r="B1391" s="76">
        <v>2023.56579310553</v>
      </c>
      <c r="C1391">
        <v>1001.876083722616</v>
      </c>
      <c r="D1391" s="77">
        <v>166.97934728710268</v>
      </c>
      <c r="E1391" s="77">
        <v>166.97934728710268</v>
      </c>
      <c r="F1391" s="77">
        <v>166.97934728710268</v>
      </c>
      <c r="G1391" s="77">
        <v>166.97934728710268</v>
      </c>
      <c r="H1391" s="77">
        <v>166.97934728710268</v>
      </c>
      <c r="I1391" s="77">
        <v>166.97934728710268</v>
      </c>
    </row>
    <row r="1392" spans="2:9">
      <c r="B1392" s="76">
        <v>2022.9957815144949</v>
      </c>
      <c r="C1392">
        <v>869.20416310465248</v>
      </c>
      <c r="D1392" s="77">
        <v>144.86736051744208</v>
      </c>
      <c r="E1392" s="77">
        <v>144.86736051744208</v>
      </c>
      <c r="F1392" s="77">
        <v>144.86736051744208</v>
      </c>
      <c r="G1392" s="77">
        <v>144.86736051744208</v>
      </c>
      <c r="H1392" s="77">
        <v>144.86736051744208</v>
      </c>
      <c r="I1392" s="77">
        <v>144.86736051744208</v>
      </c>
    </row>
    <row r="1393" spans="2:9">
      <c r="B1393" s="76">
        <v>2023.0074613271554</v>
      </c>
      <c r="C1393">
        <v>931.33812822915354</v>
      </c>
      <c r="D1393" s="77">
        <v>155.22302137152559</v>
      </c>
      <c r="E1393" s="77">
        <v>155.22302137152559</v>
      </c>
      <c r="F1393" s="77">
        <v>155.22302137152559</v>
      </c>
      <c r="G1393" s="77">
        <v>155.22302137152559</v>
      </c>
      <c r="H1393" s="77">
        <v>155.22302137152559</v>
      </c>
      <c r="I1393" s="77">
        <v>155.22302137152559</v>
      </c>
    </row>
    <row r="1394" spans="2:9">
      <c r="B1394" s="76">
        <v>2024.8584054011424</v>
      </c>
      <c r="C1394">
        <v>1118.2098037907872</v>
      </c>
      <c r="D1394" s="77">
        <v>186.36830063179787</v>
      </c>
      <c r="E1394" s="77">
        <v>186.36830063179787</v>
      </c>
      <c r="F1394" s="77">
        <v>186.36830063179787</v>
      </c>
      <c r="G1394" s="77">
        <v>186.36830063179787</v>
      </c>
      <c r="H1394" s="77">
        <v>186.36830063179787</v>
      </c>
      <c r="I1394" s="77">
        <v>186.36830063179787</v>
      </c>
    </row>
    <row r="1395" spans="2:9">
      <c r="B1395" s="76">
        <v>2025.2711260044498</v>
      </c>
      <c r="C1395">
        <v>1070.1543381994686</v>
      </c>
      <c r="D1395" s="77">
        <v>178.3590563665781</v>
      </c>
      <c r="E1395" s="77">
        <v>178.3590563665781</v>
      </c>
      <c r="F1395" s="77">
        <v>178.3590563665781</v>
      </c>
      <c r="G1395" s="77">
        <v>178.3590563665781</v>
      </c>
      <c r="H1395" s="77">
        <v>178.3590563665781</v>
      </c>
      <c r="I1395" s="77">
        <v>178.3590563665781</v>
      </c>
    </row>
    <row r="1396" spans="2:9">
      <c r="B1396" s="76">
        <v>2024.1852423162318</v>
      </c>
      <c r="C1396">
        <v>933.28753068185904</v>
      </c>
      <c r="D1396" s="77">
        <v>155.54792178030985</v>
      </c>
      <c r="E1396" s="77">
        <v>155.54792178030985</v>
      </c>
      <c r="F1396" s="77">
        <v>155.54792178030985</v>
      </c>
      <c r="G1396" s="77">
        <v>155.54792178030985</v>
      </c>
      <c r="H1396" s="77">
        <v>155.54792178030985</v>
      </c>
      <c r="I1396" s="77">
        <v>155.54792178030985</v>
      </c>
    </row>
    <row r="1397" spans="2:9">
      <c r="B1397" s="76">
        <v>2022.9502337335323</v>
      </c>
      <c r="C1397">
        <v>917.00223673768141</v>
      </c>
      <c r="D1397" s="77">
        <v>152.83370612294689</v>
      </c>
      <c r="E1397" s="77">
        <v>152.83370612294689</v>
      </c>
      <c r="F1397" s="77">
        <v>152.83370612294689</v>
      </c>
      <c r="G1397" s="77">
        <v>152.83370612294689</v>
      </c>
      <c r="H1397" s="77">
        <v>152.83370612294689</v>
      </c>
      <c r="I1397" s="77">
        <v>152.83370612294689</v>
      </c>
    </row>
    <row r="1398" spans="2:9">
      <c r="B1398" s="76">
        <v>2022.9137391730337</v>
      </c>
      <c r="C1398">
        <v>866.61780166922313</v>
      </c>
      <c r="D1398" s="77">
        <v>144.43630027820384</v>
      </c>
      <c r="E1398" s="77">
        <v>144.43630027820384</v>
      </c>
      <c r="F1398" s="77">
        <v>144.43630027820384</v>
      </c>
      <c r="G1398" s="77">
        <v>144.43630027820384</v>
      </c>
      <c r="H1398" s="77">
        <v>144.43630027820384</v>
      </c>
      <c r="I1398" s="77">
        <v>144.43630027820384</v>
      </c>
    </row>
    <row r="1399" spans="2:9">
      <c r="B1399" s="76">
        <v>2022.9359336883945</v>
      </c>
      <c r="C1399">
        <v>924.62600414833616</v>
      </c>
      <c r="D1399" s="77">
        <v>154.1043340247227</v>
      </c>
      <c r="E1399" s="77">
        <v>154.1043340247227</v>
      </c>
      <c r="F1399" s="77">
        <v>154.1043340247227</v>
      </c>
      <c r="G1399" s="77">
        <v>154.1043340247227</v>
      </c>
      <c r="H1399" s="77">
        <v>154.1043340247227</v>
      </c>
      <c r="I1399" s="77">
        <v>154.1043340247227</v>
      </c>
    </row>
    <row r="1400" spans="2:9">
      <c r="B1400" s="76">
        <v>2023.6037174216915</v>
      </c>
      <c r="C1400">
        <v>966.21363818757538</v>
      </c>
      <c r="D1400" s="77">
        <v>161.03560636459591</v>
      </c>
      <c r="E1400" s="77">
        <v>161.03560636459591</v>
      </c>
      <c r="F1400" s="77">
        <v>161.03560636459591</v>
      </c>
      <c r="G1400" s="77">
        <v>161.03560636459591</v>
      </c>
      <c r="H1400" s="77">
        <v>161.03560636459591</v>
      </c>
      <c r="I1400" s="77">
        <v>161.03560636459591</v>
      </c>
    </row>
    <row r="1401" spans="2:9">
      <c r="B1401" s="76">
        <v>2022.9492959813126</v>
      </c>
      <c r="C1401">
        <v>925.19423796238323</v>
      </c>
      <c r="D1401" s="77">
        <v>154.1990396603972</v>
      </c>
      <c r="E1401" s="77">
        <v>154.1990396603972</v>
      </c>
      <c r="F1401" s="77">
        <v>154.1990396603972</v>
      </c>
      <c r="G1401" s="77">
        <v>154.1990396603972</v>
      </c>
      <c r="H1401" s="77">
        <v>154.1990396603972</v>
      </c>
      <c r="I1401" s="77">
        <v>154.1990396603972</v>
      </c>
    </row>
    <row r="1402" spans="2:9">
      <c r="B1402" s="76">
        <v>2024.7421846444552</v>
      </c>
      <c r="C1402">
        <v>1061.4043462869988</v>
      </c>
      <c r="D1402" s="77">
        <v>176.90072438116647</v>
      </c>
      <c r="E1402" s="77">
        <v>176.90072438116647</v>
      </c>
      <c r="F1402" s="77">
        <v>176.90072438116647</v>
      </c>
      <c r="G1402" s="77">
        <v>176.90072438116647</v>
      </c>
      <c r="H1402" s="77">
        <v>176.90072438116647</v>
      </c>
      <c r="I1402" s="77">
        <v>176.90072438116647</v>
      </c>
    </row>
    <row r="1403" spans="2:9">
      <c r="B1403" s="76">
        <v>2025.2379292384969</v>
      </c>
      <c r="C1403">
        <v>1107.5224349065281</v>
      </c>
      <c r="D1403" s="77">
        <v>184.58707248442136</v>
      </c>
      <c r="E1403" s="77">
        <v>184.58707248442136</v>
      </c>
      <c r="F1403" s="77">
        <v>184.58707248442136</v>
      </c>
      <c r="G1403" s="77">
        <v>184.58707248442136</v>
      </c>
      <c r="H1403" s="77">
        <v>184.58707248442136</v>
      </c>
      <c r="I1403" s="77">
        <v>184.58707248442136</v>
      </c>
    </row>
    <row r="1404" spans="2:9">
      <c r="B1404" s="76">
        <v>2024.8788995739696</v>
      </c>
      <c r="C1404">
        <v>1046.9935357385486</v>
      </c>
      <c r="D1404" s="77">
        <v>174.49892262309143</v>
      </c>
      <c r="E1404" s="77">
        <v>174.49892262309143</v>
      </c>
      <c r="F1404" s="77">
        <v>174.49892262309143</v>
      </c>
      <c r="G1404" s="77">
        <v>174.49892262309143</v>
      </c>
      <c r="H1404" s="77">
        <v>174.49892262309143</v>
      </c>
      <c r="I1404" s="77">
        <v>174.49892262309143</v>
      </c>
    </row>
    <row r="1405" spans="2:9">
      <c r="B1405" s="76">
        <v>2023.3805369657732</v>
      </c>
      <c r="C1405">
        <v>934.35641120421246</v>
      </c>
      <c r="D1405" s="77">
        <v>155.72606853403542</v>
      </c>
      <c r="E1405" s="77">
        <v>155.72606853403542</v>
      </c>
      <c r="F1405" s="77">
        <v>155.72606853403542</v>
      </c>
      <c r="G1405" s="77">
        <v>155.72606853403542</v>
      </c>
      <c r="H1405" s="77">
        <v>155.72606853403542</v>
      </c>
      <c r="I1405" s="77">
        <v>155.72606853403542</v>
      </c>
    </row>
    <row r="1406" spans="2:9">
      <c r="B1406" s="76">
        <v>2024.5906725172476</v>
      </c>
      <c r="C1406">
        <v>1057.3196301916844</v>
      </c>
      <c r="D1406" s="77">
        <v>176.21993836528074</v>
      </c>
      <c r="E1406" s="77">
        <v>176.21993836528074</v>
      </c>
      <c r="F1406" s="77">
        <v>176.21993836528074</v>
      </c>
      <c r="G1406" s="77">
        <v>176.21993836528074</v>
      </c>
      <c r="H1406" s="77">
        <v>176.21993836528074</v>
      </c>
      <c r="I1406" s="77">
        <v>176.21993836528074</v>
      </c>
    </row>
    <row r="1407" spans="2:9">
      <c r="B1407" s="76">
        <v>2023.174082377431</v>
      </c>
      <c r="C1407">
        <v>958.34400058996175</v>
      </c>
      <c r="D1407" s="77">
        <v>159.72400009832697</v>
      </c>
      <c r="E1407" s="77">
        <v>159.72400009832697</v>
      </c>
      <c r="F1407" s="77">
        <v>159.72400009832697</v>
      </c>
      <c r="G1407" s="77">
        <v>159.72400009832697</v>
      </c>
      <c r="H1407" s="77">
        <v>159.72400009832697</v>
      </c>
      <c r="I1407" s="77">
        <v>159.72400009832697</v>
      </c>
    </row>
    <row r="1408" spans="2:9">
      <c r="B1408" s="76">
        <v>2022.9248495922791</v>
      </c>
      <c r="C1408">
        <v>883.8103501608548</v>
      </c>
      <c r="D1408" s="77">
        <v>147.30172502680912</v>
      </c>
      <c r="E1408" s="77">
        <v>147.30172502680912</v>
      </c>
      <c r="F1408" s="77">
        <v>147.30172502680912</v>
      </c>
      <c r="G1408" s="77">
        <v>147.30172502680912</v>
      </c>
      <c r="H1408" s="77">
        <v>147.30172502680912</v>
      </c>
      <c r="I1408" s="77">
        <v>147.30172502680912</v>
      </c>
    </row>
    <row r="1409" spans="2:9">
      <c r="B1409" s="76">
        <v>2023.0733744792658</v>
      </c>
      <c r="C1409">
        <v>905.7679607739982</v>
      </c>
      <c r="D1409" s="77">
        <v>150.96132679566637</v>
      </c>
      <c r="E1409" s="77">
        <v>150.96132679566637</v>
      </c>
      <c r="F1409" s="77">
        <v>150.96132679566637</v>
      </c>
      <c r="G1409" s="77">
        <v>150.96132679566637</v>
      </c>
      <c r="H1409" s="77">
        <v>150.96132679566637</v>
      </c>
      <c r="I1409" s="77">
        <v>150.96132679566637</v>
      </c>
    </row>
    <row r="1410" spans="2:9">
      <c r="B1410" s="76">
        <v>2022.9489186858102</v>
      </c>
      <c r="C1410">
        <v>820.94999729481071</v>
      </c>
      <c r="D1410" s="77">
        <v>136.82499954913513</v>
      </c>
      <c r="E1410" s="77">
        <v>136.82499954913513</v>
      </c>
      <c r="F1410" s="77">
        <v>136.82499954913513</v>
      </c>
      <c r="G1410" s="77">
        <v>136.82499954913513</v>
      </c>
      <c r="H1410" s="77">
        <v>136.82499954913513</v>
      </c>
      <c r="I1410" s="77">
        <v>136.82499954913513</v>
      </c>
    </row>
    <row r="1411" spans="2:9">
      <c r="B1411" s="76">
        <v>2023.2409110572569</v>
      </c>
      <c r="C1411">
        <v>918.42166976611315</v>
      </c>
      <c r="D1411" s="77">
        <v>153.07027829435219</v>
      </c>
      <c r="E1411" s="77">
        <v>153.07027829435219</v>
      </c>
      <c r="F1411" s="77">
        <v>153.07027829435219</v>
      </c>
      <c r="G1411" s="77">
        <v>153.07027829435219</v>
      </c>
      <c r="H1411" s="77">
        <v>153.07027829435219</v>
      </c>
      <c r="I1411" s="77">
        <v>153.07027829435219</v>
      </c>
    </row>
    <row r="1412" spans="2:9">
      <c r="B1412" s="76">
        <v>2024.5649102264624</v>
      </c>
      <c r="C1412">
        <v>1087.5892623082293</v>
      </c>
      <c r="D1412" s="77">
        <v>181.26487705137154</v>
      </c>
      <c r="E1412" s="77">
        <v>181.26487705137154</v>
      </c>
      <c r="F1412" s="77">
        <v>181.26487705137154</v>
      </c>
      <c r="G1412" s="77">
        <v>181.26487705137154</v>
      </c>
      <c r="H1412" s="77">
        <v>181.26487705137154</v>
      </c>
      <c r="I1412" s="77">
        <v>181.26487705137154</v>
      </c>
    </row>
    <row r="1413" spans="2:9">
      <c r="B1413" s="76">
        <v>2024.5326030510826</v>
      </c>
      <c r="C1413">
        <v>1103.4391869198382</v>
      </c>
      <c r="D1413" s="77">
        <v>183.90653115330636</v>
      </c>
      <c r="E1413" s="77">
        <v>183.90653115330636</v>
      </c>
      <c r="F1413" s="77">
        <v>183.90653115330636</v>
      </c>
      <c r="G1413" s="77">
        <v>183.90653115330636</v>
      </c>
      <c r="H1413" s="77">
        <v>183.90653115330636</v>
      </c>
      <c r="I1413" s="77">
        <v>183.90653115330636</v>
      </c>
    </row>
    <row r="1414" spans="2:9">
      <c r="B1414" s="76">
        <v>2025.2338723322118</v>
      </c>
      <c r="C1414">
        <v>1242.0071903816877</v>
      </c>
      <c r="D1414" s="77">
        <v>207.00119839694796</v>
      </c>
      <c r="E1414" s="77">
        <v>207.00119839694796</v>
      </c>
      <c r="F1414" s="77">
        <v>207.00119839694796</v>
      </c>
      <c r="G1414" s="77">
        <v>207.00119839694796</v>
      </c>
      <c r="H1414" s="77">
        <v>207.00119839694796</v>
      </c>
      <c r="I1414" s="77">
        <v>207.00119839694796</v>
      </c>
    </row>
    <row r="1415" spans="2:9">
      <c r="B1415" s="76">
        <v>2022.6682594377337</v>
      </c>
      <c r="C1415">
        <v>904.59228005780039</v>
      </c>
      <c r="D1415" s="77">
        <v>150.76538000963339</v>
      </c>
      <c r="E1415" s="77">
        <v>150.76538000963339</v>
      </c>
      <c r="F1415" s="77">
        <v>150.76538000963339</v>
      </c>
      <c r="G1415" s="77">
        <v>150.76538000963339</v>
      </c>
      <c r="H1415" s="77">
        <v>150.76538000963339</v>
      </c>
      <c r="I1415" s="77">
        <v>150.76538000963339</v>
      </c>
    </row>
    <row r="1416" spans="2:9">
      <c r="B1416" s="76">
        <v>2022.8427059668179</v>
      </c>
      <c r="C1416">
        <v>861.75666386820626</v>
      </c>
      <c r="D1416" s="77">
        <v>143.62611064470104</v>
      </c>
      <c r="E1416" s="77">
        <v>143.62611064470104</v>
      </c>
      <c r="F1416" s="77">
        <v>143.62611064470104</v>
      </c>
      <c r="G1416" s="77">
        <v>143.62611064470104</v>
      </c>
      <c r="H1416" s="77">
        <v>143.62611064470104</v>
      </c>
      <c r="I1416" s="77">
        <v>143.62611064470104</v>
      </c>
    </row>
    <row r="1417" spans="2:9">
      <c r="B1417" s="76">
        <v>2023.1035538827532</v>
      </c>
      <c r="C1417">
        <v>952.30425702019511</v>
      </c>
      <c r="D1417" s="77">
        <v>158.71737617003251</v>
      </c>
      <c r="E1417" s="77">
        <v>158.71737617003251</v>
      </c>
      <c r="F1417" s="77">
        <v>158.71737617003251</v>
      </c>
      <c r="G1417" s="77">
        <v>158.71737617003251</v>
      </c>
      <c r="H1417" s="77">
        <v>158.71737617003251</v>
      </c>
      <c r="I1417" s="77">
        <v>158.71737617003251</v>
      </c>
    </row>
    <row r="1418" spans="2:9">
      <c r="B1418" s="76">
        <v>2023.1792847829524</v>
      </c>
      <c r="C1418">
        <v>959.43172683914975</v>
      </c>
      <c r="D1418" s="77">
        <v>159.90528780652497</v>
      </c>
      <c r="E1418" s="77">
        <v>159.90528780652497</v>
      </c>
      <c r="F1418" s="77">
        <v>159.90528780652497</v>
      </c>
      <c r="G1418" s="77">
        <v>159.90528780652497</v>
      </c>
      <c r="H1418" s="77">
        <v>159.90528780652497</v>
      </c>
      <c r="I1418" s="77">
        <v>159.90528780652497</v>
      </c>
    </row>
    <row r="1419" spans="2:9">
      <c r="B1419" s="76">
        <v>2022.7010265773615</v>
      </c>
      <c r="C1419">
        <v>871.79626262023396</v>
      </c>
      <c r="D1419" s="77">
        <v>145.29937710337234</v>
      </c>
      <c r="E1419" s="77">
        <v>145.29937710337234</v>
      </c>
      <c r="F1419" s="77">
        <v>145.29937710337234</v>
      </c>
      <c r="G1419" s="77">
        <v>145.29937710337234</v>
      </c>
      <c r="H1419" s="77">
        <v>145.29937710337234</v>
      </c>
      <c r="I1419" s="77">
        <v>145.29937710337234</v>
      </c>
    </row>
    <row r="1420" spans="2:9">
      <c r="B1420" s="76">
        <v>2023.2195511487823</v>
      </c>
      <c r="C1420">
        <v>965.18128405635207</v>
      </c>
      <c r="D1420" s="77">
        <v>160.86354734272535</v>
      </c>
      <c r="E1420" s="77">
        <v>160.86354734272535</v>
      </c>
      <c r="F1420" s="77">
        <v>160.86354734272535</v>
      </c>
      <c r="G1420" s="77">
        <v>160.86354734272535</v>
      </c>
      <c r="H1420" s="77">
        <v>160.86354734272535</v>
      </c>
      <c r="I1420" s="77">
        <v>160.86354734272535</v>
      </c>
    </row>
    <row r="1421" spans="2:9">
      <c r="B1421" s="76">
        <v>2023.2486796455066</v>
      </c>
      <c r="C1421">
        <v>901.329416448659</v>
      </c>
      <c r="D1421" s="77">
        <v>150.22156940810984</v>
      </c>
      <c r="E1421" s="77">
        <v>150.22156940810984</v>
      </c>
      <c r="F1421" s="77">
        <v>150.22156940810984</v>
      </c>
      <c r="G1421" s="77">
        <v>150.22156940810984</v>
      </c>
      <c r="H1421" s="77">
        <v>150.22156940810984</v>
      </c>
      <c r="I1421" s="77">
        <v>150.22156940810984</v>
      </c>
    </row>
    <row r="1422" spans="2:9">
      <c r="B1422" s="76">
        <v>2023.2944348783926</v>
      </c>
      <c r="C1422">
        <v>893.21695869915254</v>
      </c>
      <c r="D1422" s="77">
        <v>148.86949311652543</v>
      </c>
      <c r="E1422" s="77">
        <v>148.86949311652543</v>
      </c>
      <c r="F1422" s="77">
        <v>148.86949311652543</v>
      </c>
      <c r="G1422" s="77">
        <v>148.86949311652543</v>
      </c>
      <c r="H1422" s="77">
        <v>148.86949311652543</v>
      </c>
      <c r="I1422" s="77">
        <v>148.86949311652543</v>
      </c>
    </row>
    <row r="1423" spans="2:9">
      <c r="B1423" s="76">
        <v>2023.421998451211</v>
      </c>
      <c r="C1423">
        <v>928.10985202736993</v>
      </c>
      <c r="D1423" s="77">
        <v>154.684975337895</v>
      </c>
      <c r="E1423" s="77">
        <v>154.684975337895</v>
      </c>
      <c r="F1423" s="77">
        <v>154.684975337895</v>
      </c>
      <c r="G1423" s="77">
        <v>154.684975337895</v>
      </c>
      <c r="H1423" s="77">
        <v>154.684975337895</v>
      </c>
      <c r="I1423" s="77">
        <v>154.684975337895</v>
      </c>
    </row>
    <row r="1424" spans="2:9">
      <c r="B1424" s="76">
        <v>2025.2473668161022</v>
      </c>
      <c r="C1424">
        <v>1147.041245969179</v>
      </c>
      <c r="D1424" s="77">
        <v>191.17354099486317</v>
      </c>
      <c r="E1424" s="77">
        <v>191.17354099486317</v>
      </c>
      <c r="F1424" s="77">
        <v>191.17354099486317</v>
      </c>
      <c r="G1424" s="77">
        <v>191.17354099486317</v>
      </c>
      <c r="H1424" s="77">
        <v>191.17354099486317</v>
      </c>
      <c r="I1424" s="77">
        <v>191.17354099486317</v>
      </c>
    </row>
    <row r="1425" spans="2:9">
      <c r="B1425" s="76">
        <v>2023.5055264715245</v>
      </c>
      <c r="C1425">
        <v>900.54044960637907</v>
      </c>
      <c r="D1425" s="77">
        <v>150.09007493439651</v>
      </c>
      <c r="E1425" s="77">
        <v>150.09007493439651</v>
      </c>
      <c r="F1425" s="77">
        <v>150.09007493439651</v>
      </c>
      <c r="G1425" s="77">
        <v>150.09007493439651</v>
      </c>
      <c r="H1425" s="77">
        <v>150.09007493439651</v>
      </c>
      <c r="I1425" s="77">
        <v>150.09007493439651</v>
      </c>
    </row>
    <row r="1426" spans="2:9">
      <c r="B1426" s="76">
        <v>2022.7233243360979</v>
      </c>
      <c r="C1426">
        <v>819.37658371947259</v>
      </c>
      <c r="D1426" s="77">
        <v>136.56276395324542</v>
      </c>
      <c r="E1426" s="77">
        <v>136.56276395324542</v>
      </c>
      <c r="F1426" s="77">
        <v>136.56276395324542</v>
      </c>
      <c r="G1426" s="77">
        <v>136.56276395324542</v>
      </c>
      <c r="H1426" s="77">
        <v>136.56276395324542</v>
      </c>
      <c r="I1426" s="77">
        <v>136.56276395324542</v>
      </c>
    </row>
    <row r="1427" spans="2:9">
      <c r="B1427" s="76">
        <v>2022.7325873789496</v>
      </c>
      <c r="C1427">
        <v>811.14283117706839</v>
      </c>
      <c r="D1427" s="77">
        <v>135.19047186284473</v>
      </c>
      <c r="E1427" s="77">
        <v>135.19047186284473</v>
      </c>
      <c r="F1427" s="77">
        <v>135.19047186284473</v>
      </c>
      <c r="G1427" s="77">
        <v>135.19047186284473</v>
      </c>
      <c r="H1427" s="77">
        <v>135.19047186284473</v>
      </c>
      <c r="I1427" s="77">
        <v>135.19047186284473</v>
      </c>
    </row>
    <row r="1428" spans="2:9">
      <c r="B1428" s="76">
        <v>2023.3097868140724</v>
      </c>
      <c r="C1428">
        <v>898.28859905154252</v>
      </c>
      <c r="D1428" s="77">
        <v>149.71476650859043</v>
      </c>
      <c r="E1428" s="77">
        <v>149.71476650859043</v>
      </c>
      <c r="F1428" s="77">
        <v>149.71476650859043</v>
      </c>
      <c r="G1428" s="77">
        <v>149.71476650859043</v>
      </c>
      <c r="H1428" s="77">
        <v>149.71476650859043</v>
      </c>
      <c r="I1428" s="77">
        <v>149.71476650859043</v>
      </c>
    </row>
    <row r="1429" spans="2:9">
      <c r="B1429" s="76">
        <v>2022.9948936057015</v>
      </c>
      <c r="C1429">
        <v>846.52383737040327</v>
      </c>
      <c r="D1429" s="77">
        <v>141.08730622840054</v>
      </c>
      <c r="E1429" s="77">
        <v>141.08730622840054</v>
      </c>
      <c r="F1429" s="77">
        <v>141.08730622840054</v>
      </c>
      <c r="G1429" s="77">
        <v>141.08730622840054</v>
      </c>
      <c r="H1429" s="77">
        <v>141.08730622840054</v>
      </c>
      <c r="I1429" s="77">
        <v>141.08730622840054</v>
      </c>
    </row>
    <row r="1430" spans="2:9">
      <c r="B1430" s="76">
        <v>2025.3165319099314</v>
      </c>
      <c r="C1430">
        <v>1211.6603832079679</v>
      </c>
      <c r="D1430" s="77">
        <v>201.943397201328</v>
      </c>
      <c r="E1430" s="77">
        <v>201.943397201328</v>
      </c>
      <c r="F1430" s="77">
        <v>201.943397201328</v>
      </c>
      <c r="G1430" s="77">
        <v>201.943397201328</v>
      </c>
      <c r="H1430" s="77">
        <v>201.943397201328</v>
      </c>
      <c r="I1430" s="77">
        <v>201.943397201328</v>
      </c>
    </row>
    <row r="1431" spans="2:9">
      <c r="B1431" s="76">
        <v>2023.3195286198315</v>
      </c>
      <c r="C1431">
        <v>844.80053070751524</v>
      </c>
      <c r="D1431" s="77">
        <v>140.80008845125255</v>
      </c>
      <c r="E1431" s="77">
        <v>140.80008845125255</v>
      </c>
      <c r="F1431" s="77">
        <v>140.80008845125255</v>
      </c>
      <c r="G1431" s="77">
        <v>140.80008845125255</v>
      </c>
      <c r="H1431" s="77">
        <v>140.80008845125255</v>
      </c>
      <c r="I1431" s="77">
        <v>140.80008845125255</v>
      </c>
    </row>
    <row r="1432" spans="2:9">
      <c r="B1432" s="76">
        <v>2023.139484395052</v>
      </c>
      <c r="C1432">
        <v>975.83278740671983</v>
      </c>
      <c r="D1432" s="77">
        <v>162.63879790111997</v>
      </c>
      <c r="E1432" s="77">
        <v>162.63879790111997</v>
      </c>
      <c r="F1432" s="77">
        <v>162.63879790111997</v>
      </c>
      <c r="G1432" s="77">
        <v>162.63879790111997</v>
      </c>
      <c r="H1432" s="77">
        <v>162.63879790111997</v>
      </c>
      <c r="I1432" s="77">
        <v>162.63879790111997</v>
      </c>
    </row>
    <row r="1433" spans="2:9">
      <c r="B1433" s="76">
        <v>2023.2929716106107</v>
      </c>
      <c r="C1433">
        <v>913.47897492633206</v>
      </c>
      <c r="D1433" s="77">
        <v>152.24649582105533</v>
      </c>
      <c r="E1433" s="77">
        <v>152.24649582105533</v>
      </c>
      <c r="F1433" s="77">
        <v>152.24649582105533</v>
      </c>
      <c r="G1433" s="77">
        <v>152.24649582105533</v>
      </c>
      <c r="H1433" s="77">
        <v>152.24649582105533</v>
      </c>
      <c r="I1433" s="77">
        <v>152.24649582105533</v>
      </c>
    </row>
    <row r="1434" spans="2:9">
      <c r="B1434" s="76">
        <v>2024.486123501212</v>
      </c>
      <c r="C1434">
        <v>1011.9145599916014</v>
      </c>
      <c r="D1434" s="77">
        <v>168.65242666526692</v>
      </c>
      <c r="E1434" s="77">
        <v>168.65242666526692</v>
      </c>
      <c r="F1434" s="77">
        <v>168.65242666526692</v>
      </c>
      <c r="G1434" s="77">
        <v>168.65242666526692</v>
      </c>
      <c r="H1434" s="77">
        <v>168.65242666526692</v>
      </c>
      <c r="I1434" s="77">
        <v>168.65242666526692</v>
      </c>
    </row>
    <row r="1435" spans="2:9">
      <c r="B1435" s="76">
        <v>2022.7228485422702</v>
      </c>
      <c r="C1435">
        <v>860.72866900624751</v>
      </c>
      <c r="D1435" s="77">
        <v>143.45477816770793</v>
      </c>
      <c r="E1435" s="77">
        <v>143.45477816770793</v>
      </c>
      <c r="F1435" s="77">
        <v>143.45477816770793</v>
      </c>
      <c r="G1435" s="77">
        <v>143.45477816770793</v>
      </c>
      <c r="H1435" s="77">
        <v>143.45477816770793</v>
      </c>
      <c r="I1435" s="77">
        <v>143.45477816770793</v>
      </c>
    </row>
    <row r="1436" spans="2:9">
      <c r="B1436" s="76">
        <v>2023.2469097686112</v>
      </c>
      <c r="C1436">
        <v>923.44480661030877</v>
      </c>
      <c r="D1436" s="77">
        <v>153.90746776838481</v>
      </c>
      <c r="E1436" s="77">
        <v>153.90746776838481</v>
      </c>
      <c r="F1436" s="77">
        <v>153.90746776838481</v>
      </c>
      <c r="G1436" s="77">
        <v>153.90746776838481</v>
      </c>
      <c r="H1436" s="77">
        <v>153.90746776838481</v>
      </c>
      <c r="I1436" s="77">
        <v>153.90746776838481</v>
      </c>
    </row>
    <row r="1437" spans="2:9">
      <c r="B1437" s="76">
        <v>2022.9285343070112</v>
      </c>
      <c r="C1437">
        <v>857.19541726880755</v>
      </c>
      <c r="D1437" s="77">
        <v>142.86590287813459</v>
      </c>
      <c r="E1437" s="77">
        <v>142.86590287813459</v>
      </c>
      <c r="F1437" s="77">
        <v>142.86590287813459</v>
      </c>
      <c r="G1437" s="77">
        <v>142.86590287813459</v>
      </c>
      <c r="H1437" s="77">
        <v>142.86590287813459</v>
      </c>
      <c r="I1437" s="77">
        <v>142.86590287813459</v>
      </c>
    </row>
    <row r="1438" spans="2:9">
      <c r="B1438" s="76">
        <v>2024.7946349384601</v>
      </c>
      <c r="C1438">
        <v>1154.9723690678816</v>
      </c>
      <c r="D1438" s="77">
        <v>192.49539484464694</v>
      </c>
      <c r="E1438" s="77">
        <v>192.49539484464694</v>
      </c>
      <c r="F1438" s="77">
        <v>192.49539484464694</v>
      </c>
      <c r="G1438" s="77">
        <v>192.49539484464694</v>
      </c>
      <c r="H1438" s="77">
        <v>192.49539484464694</v>
      </c>
      <c r="I1438" s="77">
        <v>192.49539484464694</v>
      </c>
    </row>
    <row r="1439" spans="2:9">
      <c r="B1439" s="76">
        <v>2022.6773382757974</v>
      </c>
      <c r="C1439">
        <v>825.71734164870952</v>
      </c>
      <c r="D1439" s="77">
        <v>137.61955694145158</v>
      </c>
      <c r="E1439" s="77">
        <v>137.61955694145158</v>
      </c>
      <c r="F1439" s="77">
        <v>137.61955694145158</v>
      </c>
      <c r="G1439" s="77">
        <v>137.61955694145158</v>
      </c>
      <c r="H1439" s="77">
        <v>137.61955694145158</v>
      </c>
      <c r="I1439" s="77">
        <v>137.61955694145158</v>
      </c>
    </row>
    <row r="1440" spans="2:9">
      <c r="B1440" s="76">
        <v>2025.4141589212122</v>
      </c>
      <c r="C1440">
        <v>1166.1829779842865</v>
      </c>
      <c r="D1440" s="77">
        <v>194.36382966404776</v>
      </c>
      <c r="E1440" s="77">
        <v>194.36382966404776</v>
      </c>
      <c r="F1440" s="77">
        <v>194.36382966404776</v>
      </c>
      <c r="G1440" s="77">
        <v>194.36382966404776</v>
      </c>
      <c r="H1440" s="77">
        <v>194.36382966404776</v>
      </c>
      <c r="I1440" s="77">
        <v>194.36382966404776</v>
      </c>
    </row>
    <row r="1441" spans="2:9">
      <c r="B1441" s="76">
        <v>2023.0655707231103</v>
      </c>
      <c r="C1441">
        <v>922.87890523612884</v>
      </c>
      <c r="D1441" s="77">
        <v>153.81315087268814</v>
      </c>
      <c r="E1441" s="77">
        <v>153.81315087268814</v>
      </c>
      <c r="F1441" s="77">
        <v>153.81315087268814</v>
      </c>
      <c r="G1441" s="77">
        <v>153.81315087268814</v>
      </c>
      <c r="H1441" s="77">
        <v>153.81315087268814</v>
      </c>
      <c r="I1441" s="77">
        <v>153.81315087268814</v>
      </c>
    </row>
    <row r="1442" spans="2:9">
      <c r="B1442" s="76">
        <v>2023.0679174202173</v>
      </c>
      <c r="C1442">
        <v>920.06404413292523</v>
      </c>
      <c r="D1442" s="77">
        <v>153.34400735548755</v>
      </c>
      <c r="E1442" s="77">
        <v>153.34400735548755</v>
      </c>
      <c r="F1442" s="77">
        <v>153.34400735548755</v>
      </c>
      <c r="G1442" s="77">
        <v>153.34400735548755</v>
      </c>
      <c r="H1442" s="77">
        <v>153.34400735548755</v>
      </c>
      <c r="I1442" s="77">
        <v>153.34400735548755</v>
      </c>
    </row>
    <row r="1443" spans="2:9">
      <c r="B1443" s="76">
        <v>2023.2747483315413</v>
      </c>
      <c r="C1443">
        <v>927.80142998213671</v>
      </c>
      <c r="D1443" s="77">
        <v>154.63357166368945</v>
      </c>
      <c r="E1443" s="77">
        <v>154.63357166368945</v>
      </c>
      <c r="F1443" s="77">
        <v>154.63357166368945</v>
      </c>
      <c r="G1443" s="77">
        <v>154.63357166368945</v>
      </c>
      <c r="H1443" s="77">
        <v>154.63357166368945</v>
      </c>
      <c r="I1443" s="77">
        <v>154.63357166368945</v>
      </c>
    </row>
    <row r="1444" spans="2:9">
      <c r="B1444" s="76">
        <v>2022.6504716003874</v>
      </c>
      <c r="C1444">
        <v>870.50322033208715</v>
      </c>
      <c r="D1444" s="77">
        <v>145.08387005534786</v>
      </c>
      <c r="E1444" s="77">
        <v>145.08387005534786</v>
      </c>
      <c r="F1444" s="77">
        <v>145.08387005534786</v>
      </c>
      <c r="G1444" s="77">
        <v>145.08387005534786</v>
      </c>
      <c r="H1444" s="77">
        <v>145.08387005534786</v>
      </c>
      <c r="I1444" s="77">
        <v>145.08387005534786</v>
      </c>
    </row>
    <row r="1445" spans="2:9">
      <c r="B1445" s="76">
        <v>2023.5297305043757</v>
      </c>
      <c r="C1445">
        <v>959.77082851646685</v>
      </c>
      <c r="D1445" s="77">
        <v>159.96180475274448</v>
      </c>
      <c r="E1445" s="77">
        <v>159.96180475274448</v>
      </c>
      <c r="F1445" s="77">
        <v>159.96180475274448</v>
      </c>
      <c r="G1445" s="77">
        <v>159.96180475274448</v>
      </c>
      <c r="H1445" s="77">
        <v>159.96180475274448</v>
      </c>
      <c r="I1445" s="77">
        <v>159.96180475274448</v>
      </c>
    </row>
    <row r="1446" spans="2:9">
      <c r="B1446" s="76">
        <v>2022.934836933825</v>
      </c>
      <c r="C1446">
        <v>865.13199479479124</v>
      </c>
      <c r="D1446" s="77">
        <v>144.18866579913188</v>
      </c>
      <c r="E1446" s="77">
        <v>144.18866579913188</v>
      </c>
      <c r="F1446" s="77">
        <v>144.18866579913188</v>
      </c>
      <c r="G1446" s="77">
        <v>144.18866579913188</v>
      </c>
      <c r="H1446" s="77">
        <v>144.18866579913188</v>
      </c>
      <c r="I1446" s="77">
        <v>144.18866579913188</v>
      </c>
    </row>
    <row r="1447" spans="2:9">
      <c r="B1447" s="76">
        <v>2023.2512736684296</v>
      </c>
      <c r="C1447">
        <v>929.84921805589363</v>
      </c>
      <c r="D1447" s="77">
        <v>154.97486967598226</v>
      </c>
      <c r="E1447" s="77">
        <v>154.97486967598226</v>
      </c>
      <c r="F1447" s="77">
        <v>154.97486967598226</v>
      </c>
      <c r="G1447" s="77">
        <v>154.97486967598226</v>
      </c>
      <c r="H1447" s="77">
        <v>154.97486967598226</v>
      </c>
      <c r="I1447" s="77">
        <v>154.97486967598226</v>
      </c>
    </row>
    <row r="1448" spans="2:9">
      <c r="B1448" s="76">
        <v>2025.1729285398178</v>
      </c>
      <c r="C1448">
        <v>1133.7972275031873</v>
      </c>
      <c r="D1448" s="77">
        <v>188.96620458386454</v>
      </c>
      <c r="E1448" s="77">
        <v>188.96620458386454</v>
      </c>
      <c r="F1448" s="77">
        <v>188.96620458386454</v>
      </c>
      <c r="G1448" s="77">
        <v>188.96620458386454</v>
      </c>
      <c r="H1448" s="77">
        <v>188.96620458386454</v>
      </c>
      <c r="I1448" s="77">
        <v>188.96620458386454</v>
      </c>
    </row>
    <row r="1449" spans="2:9">
      <c r="B1449" s="76">
        <v>2024.4590257049449</v>
      </c>
      <c r="C1449">
        <v>1132.8622366677353</v>
      </c>
      <c r="D1449" s="77">
        <v>188.81037277795588</v>
      </c>
      <c r="E1449" s="77">
        <v>188.81037277795588</v>
      </c>
      <c r="F1449" s="77">
        <v>188.81037277795588</v>
      </c>
      <c r="G1449" s="77">
        <v>188.81037277795588</v>
      </c>
      <c r="H1449" s="77">
        <v>188.81037277795588</v>
      </c>
      <c r="I1449" s="77">
        <v>188.81037277795588</v>
      </c>
    </row>
    <row r="1450" spans="2:9">
      <c r="B1450" s="76">
        <v>2024.9131447668451</v>
      </c>
      <c r="C1450">
        <v>1174.8453715671501</v>
      </c>
      <c r="D1450" s="77">
        <v>195.80756192785836</v>
      </c>
      <c r="E1450" s="77">
        <v>195.80756192785836</v>
      </c>
      <c r="F1450" s="77">
        <v>195.80756192785836</v>
      </c>
      <c r="G1450" s="77">
        <v>195.80756192785836</v>
      </c>
      <c r="H1450" s="77">
        <v>195.80756192785836</v>
      </c>
      <c r="I1450" s="77">
        <v>195.80756192785836</v>
      </c>
    </row>
    <row r="1451" spans="2:9">
      <c r="B1451" s="76">
        <v>2023.5709819258698</v>
      </c>
      <c r="C1451">
        <v>918.04085000248051</v>
      </c>
      <c r="D1451" s="77">
        <v>153.00680833374676</v>
      </c>
      <c r="E1451" s="77">
        <v>153.00680833374676</v>
      </c>
      <c r="F1451" s="77">
        <v>153.00680833374676</v>
      </c>
      <c r="G1451" s="77">
        <v>153.00680833374676</v>
      </c>
      <c r="H1451" s="77">
        <v>153.00680833374676</v>
      </c>
      <c r="I1451" s="77">
        <v>153.00680833374676</v>
      </c>
    </row>
    <row r="1452" spans="2:9">
      <c r="B1452" s="76">
        <v>2022.9324368176133</v>
      </c>
      <c r="C1452">
        <v>834.42727452786278</v>
      </c>
      <c r="D1452" s="77">
        <v>139.07121242131046</v>
      </c>
      <c r="E1452" s="77">
        <v>139.07121242131046</v>
      </c>
      <c r="F1452" s="77">
        <v>139.07121242131046</v>
      </c>
      <c r="G1452" s="77">
        <v>139.07121242131046</v>
      </c>
      <c r="H1452" s="77">
        <v>139.07121242131046</v>
      </c>
      <c r="I1452" s="77">
        <v>139.07121242131046</v>
      </c>
    </row>
    <row r="1453" spans="2:9">
      <c r="B1453" s="76">
        <v>2025.1654012551776</v>
      </c>
      <c r="C1453">
        <v>1182.1926939786067</v>
      </c>
      <c r="D1453" s="77">
        <v>197.03211566310111</v>
      </c>
      <c r="E1453" s="77">
        <v>197.03211566310111</v>
      </c>
      <c r="F1453" s="77">
        <v>197.03211566310111</v>
      </c>
      <c r="G1453" s="77">
        <v>197.03211566310111</v>
      </c>
      <c r="H1453" s="77">
        <v>197.03211566310111</v>
      </c>
      <c r="I1453" s="77">
        <v>197.03211566310111</v>
      </c>
    </row>
    <row r="1454" spans="2:9">
      <c r="B1454" s="76">
        <v>2023.4530496105704</v>
      </c>
      <c r="C1454">
        <v>950.92956671961485</v>
      </c>
      <c r="D1454" s="77">
        <v>158.4882611199358</v>
      </c>
      <c r="E1454" s="77">
        <v>158.4882611199358</v>
      </c>
      <c r="F1454" s="77">
        <v>158.4882611199358</v>
      </c>
      <c r="G1454" s="77">
        <v>158.4882611199358</v>
      </c>
      <c r="H1454" s="77">
        <v>158.4882611199358</v>
      </c>
      <c r="I1454" s="77">
        <v>158.4882611199358</v>
      </c>
    </row>
    <row r="1455" spans="2:9">
      <c r="B1455" s="76">
        <v>2022.8933019491794</v>
      </c>
      <c r="C1455">
        <v>868.88341167028102</v>
      </c>
      <c r="D1455" s="77">
        <v>144.81390194504684</v>
      </c>
      <c r="E1455" s="77">
        <v>144.81390194504684</v>
      </c>
      <c r="F1455" s="77">
        <v>144.81390194504684</v>
      </c>
      <c r="G1455" s="77">
        <v>144.81390194504684</v>
      </c>
      <c r="H1455" s="77">
        <v>144.81390194504684</v>
      </c>
      <c r="I1455" s="77">
        <v>144.81390194504684</v>
      </c>
    </row>
    <row r="1456" spans="2:9">
      <c r="B1456" s="76">
        <v>2023.1225707910726</v>
      </c>
      <c r="C1456">
        <v>947.37642982848251</v>
      </c>
      <c r="D1456" s="77">
        <v>157.89607163808043</v>
      </c>
      <c r="E1456" s="77">
        <v>157.89607163808043</v>
      </c>
      <c r="F1456" s="77">
        <v>157.89607163808043</v>
      </c>
      <c r="G1456" s="77">
        <v>157.89607163808043</v>
      </c>
      <c r="H1456" s="77">
        <v>157.89607163808043</v>
      </c>
      <c r="I1456" s="77">
        <v>157.89607163808043</v>
      </c>
    </row>
    <row r="1457" spans="2:9">
      <c r="B1457" s="76">
        <v>2023.5213782794187</v>
      </c>
      <c r="C1457">
        <v>918.13606917833033</v>
      </c>
      <c r="D1457" s="77">
        <v>153.0226781963884</v>
      </c>
      <c r="E1457" s="77">
        <v>153.0226781963884</v>
      </c>
      <c r="F1457" s="77">
        <v>153.0226781963884</v>
      </c>
      <c r="G1457" s="77">
        <v>153.0226781963884</v>
      </c>
      <c r="H1457" s="77">
        <v>153.0226781963884</v>
      </c>
      <c r="I1457" s="77">
        <v>153.0226781963884</v>
      </c>
    </row>
    <row r="1458" spans="2:9">
      <c r="B1458" s="76">
        <v>2023.3181775421308</v>
      </c>
      <c r="C1458">
        <v>928.56580575982912</v>
      </c>
      <c r="D1458" s="77">
        <v>154.76096762663818</v>
      </c>
      <c r="E1458" s="77">
        <v>154.76096762663818</v>
      </c>
      <c r="F1458" s="77">
        <v>154.76096762663818</v>
      </c>
      <c r="G1458" s="77">
        <v>154.76096762663818</v>
      </c>
      <c r="H1458" s="77">
        <v>154.76096762663818</v>
      </c>
      <c r="I1458" s="77">
        <v>154.76096762663818</v>
      </c>
    </row>
    <row r="1459" spans="2:9">
      <c r="B1459" s="76">
        <v>2023.359816975619</v>
      </c>
      <c r="C1459">
        <v>913.46529154776294</v>
      </c>
      <c r="D1459" s="77">
        <v>152.24421525796049</v>
      </c>
      <c r="E1459" s="77">
        <v>152.24421525796049</v>
      </c>
      <c r="F1459" s="77">
        <v>152.24421525796049</v>
      </c>
      <c r="G1459" s="77">
        <v>152.24421525796049</v>
      </c>
      <c r="H1459" s="77">
        <v>152.24421525796049</v>
      </c>
      <c r="I1459" s="77">
        <v>152.24421525796049</v>
      </c>
    </row>
    <row r="1460" spans="2:9">
      <c r="B1460" s="76">
        <v>2023.3567589468641</v>
      </c>
      <c r="C1460">
        <v>965.21032170765409</v>
      </c>
      <c r="D1460" s="77">
        <v>160.86838695127568</v>
      </c>
      <c r="E1460" s="77">
        <v>160.86838695127568</v>
      </c>
      <c r="F1460" s="77">
        <v>160.86838695127568</v>
      </c>
      <c r="G1460" s="77">
        <v>160.86838695127568</v>
      </c>
      <c r="H1460" s="77">
        <v>160.86838695127568</v>
      </c>
      <c r="I1460" s="77">
        <v>160.86838695127568</v>
      </c>
    </row>
    <row r="1461" spans="2:9">
      <c r="B1461" s="76">
        <v>2022.9998880033202</v>
      </c>
      <c r="C1461">
        <v>942.14117271077305</v>
      </c>
      <c r="D1461" s="77">
        <v>157.02352878512883</v>
      </c>
      <c r="E1461" s="77">
        <v>157.02352878512883</v>
      </c>
      <c r="F1461" s="77">
        <v>157.02352878512883</v>
      </c>
      <c r="G1461" s="77">
        <v>157.02352878512883</v>
      </c>
      <c r="H1461" s="77">
        <v>157.02352878512883</v>
      </c>
      <c r="I1461" s="77">
        <v>157.02352878512883</v>
      </c>
    </row>
    <row r="1462" spans="2:9">
      <c r="B1462" s="76">
        <v>2023.5671237719225</v>
      </c>
      <c r="C1462">
        <v>954.03323055825786</v>
      </c>
      <c r="D1462" s="77">
        <v>159.00553842637632</v>
      </c>
      <c r="E1462" s="77">
        <v>159.00553842637632</v>
      </c>
      <c r="F1462" s="77">
        <v>159.00553842637632</v>
      </c>
      <c r="G1462" s="77">
        <v>159.00553842637632</v>
      </c>
      <c r="H1462" s="77">
        <v>159.00553842637632</v>
      </c>
      <c r="I1462" s="77">
        <v>159.00553842637632</v>
      </c>
    </row>
    <row r="1463" spans="2:9">
      <c r="B1463" s="76">
        <v>2023.1206923979385</v>
      </c>
      <c r="C1463">
        <v>853.96840146839384</v>
      </c>
      <c r="D1463" s="77">
        <v>142.32806691139896</v>
      </c>
      <c r="E1463" s="77">
        <v>142.32806691139896</v>
      </c>
      <c r="F1463" s="77">
        <v>142.32806691139896</v>
      </c>
      <c r="G1463" s="77">
        <v>142.32806691139896</v>
      </c>
      <c r="H1463" s="77">
        <v>142.32806691139896</v>
      </c>
      <c r="I1463" s="77">
        <v>142.32806691139896</v>
      </c>
    </row>
    <row r="1464" spans="2:9">
      <c r="B1464" s="76">
        <v>2023.1694408496385</v>
      </c>
      <c r="C1464">
        <v>952.77124547889707</v>
      </c>
      <c r="D1464" s="77">
        <v>158.79520757981618</v>
      </c>
      <c r="E1464" s="77">
        <v>158.79520757981618</v>
      </c>
      <c r="F1464" s="77">
        <v>158.79520757981618</v>
      </c>
      <c r="G1464" s="77">
        <v>158.79520757981618</v>
      </c>
      <c r="H1464" s="77">
        <v>158.79520757981618</v>
      </c>
      <c r="I1464" s="77">
        <v>158.79520757981618</v>
      </c>
    </row>
    <row r="1465" spans="2:9">
      <c r="B1465" s="76">
        <v>2023.4238332106383</v>
      </c>
      <c r="C1465">
        <v>978.55891144131613</v>
      </c>
      <c r="D1465" s="77">
        <v>163.09315190688602</v>
      </c>
      <c r="E1465" s="77">
        <v>163.09315190688602</v>
      </c>
      <c r="F1465" s="77">
        <v>163.09315190688602</v>
      </c>
      <c r="G1465" s="77">
        <v>163.09315190688602</v>
      </c>
      <c r="H1465" s="77">
        <v>163.09315190688602</v>
      </c>
      <c r="I1465" s="77">
        <v>163.09315190688602</v>
      </c>
    </row>
    <row r="1466" spans="2:9">
      <c r="B1466" s="76">
        <v>2025.1268786050293</v>
      </c>
      <c r="C1466">
        <v>1219.7566070625764</v>
      </c>
      <c r="D1466" s="77">
        <v>203.29276784376273</v>
      </c>
      <c r="E1466" s="77">
        <v>203.29276784376273</v>
      </c>
      <c r="F1466" s="77">
        <v>203.29276784376273</v>
      </c>
      <c r="G1466" s="77">
        <v>203.29276784376273</v>
      </c>
      <c r="H1466" s="77">
        <v>203.29276784376273</v>
      </c>
      <c r="I1466" s="77">
        <v>203.29276784376273</v>
      </c>
    </row>
    <row r="1467" spans="2:9">
      <c r="B1467" s="76">
        <v>2023.03292746946</v>
      </c>
      <c r="C1467">
        <v>917.18276018948063</v>
      </c>
      <c r="D1467" s="77">
        <v>152.86379336491345</v>
      </c>
      <c r="E1467" s="77">
        <v>152.86379336491345</v>
      </c>
      <c r="F1467" s="77">
        <v>152.86379336491345</v>
      </c>
      <c r="G1467" s="77">
        <v>152.86379336491345</v>
      </c>
      <c r="H1467" s="77">
        <v>152.86379336491345</v>
      </c>
      <c r="I1467" s="77">
        <v>152.86379336491345</v>
      </c>
    </row>
    <row r="1468" spans="2:9">
      <c r="B1468" s="76">
        <v>2024.8173553830059</v>
      </c>
      <c r="C1468">
        <v>1080.9389645591627</v>
      </c>
      <c r="D1468" s="77">
        <v>180.1564940931938</v>
      </c>
      <c r="E1468" s="77">
        <v>180.1564940931938</v>
      </c>
      <c r="F1468" s="77">
        <v>180.1564940931938</v>
      </c>
      <c r="G1468" s="77">
        <v>180.1564940931938</v>
      </c>
      <c r="H1468" s="77">
        <v>180.1564940931938</v>
      </c>
      <c r="I1468" s="77">
        <v>180.1564940931938</v>
      </c>
    </row>
    <row r="1469" spans="2:9">
      <c r="B1469" s="76">
        <v>2023.07026260165</v>
      </c>
      <c r="C1469">
        <v>894.8719287961809</v>
      </c>
      <c r="D1469" s="77">
        <v>149.14532146603014</v>
      </c>
      <c r="E1469" s="77">
        <v>149.14532146603014</v>
      </c>
      <c r="F1469" s="77">
        <v>149.14532146603014</v>
      </c>
      <c r="G1469" s="77">
        <v>149.14532146603014</v>
      </c>
      <c r="H1469" s="77">
        <v>149.14532146603014</v>
      </c>
      <c r="I1469" s="77">
        <v>149.14532146603014</v>
      </c>
    </row>
    <row r="1470" spans="2:9">
      <c r="B1470" s="76">
        <v>2024.8412878864756</v>
      </c>
      <c r="C1470">
        <v>1103.9858228431196</v>
      </c>
      <c r="D1470" s="77">
        <v>183.99763714051994</v>
      </c>
      <c r="E1470" s="77">
        <v>183.99763714051994</v>
      </c>
      <c r="F1470" s="77">
        <v>183.99763714051994</v>
      </c>
      <c r="G1470" s="77">
        <v>183.99763714051994</v>
      </c>
      <c r="H1470" s="77">
        <v>183.99763714051994</v>
      </c>
      <c r="I1470" s="77">
        <v>183.99763714051994</v>
      </c>
    </row>
    <row r="1471" spans="2:9">
      <c r="B1471" s="76">
        <v>2024.0987391414428</v>
      </c>
      <c r="C1471">
        <v>953.0217139005382</v>
      </c>
      <c r="D1471" s="77">
        <v>158.83695231675637</v>
      </c>
      <c r="E1471" s="77">
        <v>158.83695231675637</v>
      </c>
      <c r="F1471" s="77">
        <v>158.83695231675637</v>
      </c>
      <c r="G1471" s="77">
        <v>158.83695231675637</v>
      </c>
      <c r="H1471" s="77">
        <v>158.83695231675637</v>
      </c>
      <c r="I1471" s="77">
        <v>158.83695231675637</v>
      </c>
    </row>
    <row r="1472" spans="2:9">
      <c r="B1472" s="76">
        <v>2025.0263942870449</v>
      </c>
      <c r="C1472">
        <v>1131.8366082819198</v>
      </c>
      <c r="D1472" s="77">
        <v>188.63943471365329</v>
      </c>
      <c r="E1472" s="77">
        <v>188.63943471365329</v>
      </c>
      <c r="F1472" s="77">
        <v>188.63943471365329</v>
      </c>
      <c r="G1472" s="77">
        <v>188.63943471365329</v>
      </c>
      <c r="H1472" s="77">
        <v>188.63943471365329</v>
      </c>
      <c r="I1472" s="77">
        <v>188.63943471365329</v>
      </c>
    </row>
    <row r="1473" spans="2:9">
      <c r="B1473" s="76">
        <v>2023.1890647101809</v>
      </c>
      <c r="C1473">
        <v>885.12401504693707</v>
      </c>
      <c r="D1473" s="77">
        <v>147.52066917448951</v>
      </c>
      <c r="E1473" s="77">
        <v>147.52066917448951</v>
      </c>
      <c r="F1473" s="77">
        <v>147.52066917448951</v>
      </c>
      <c r="G1473" s="77">
        <v>147.52066917448951</v>
      </c>
      <c r="H1473" s="77">
        <v>147.52066917448951</v>
      </c>
      <c r="I1473" s="77">
        <v>147.52066917448951</v>
      </c>
    </row>
    <row r="1474" spans="2:9">
      <c r="B1474" s="76">
        <v>2024.5471135440794</v>
      </c>
      <c r="C1474">
        <v>1064.9063077886287</v>
      </c>
      <c r="D1474" s="77">
        <v>177.48438463143813</v>
      </c>
      <c r="E1474" s="77">
        <v>177.48438463143813</v>
      </c>
      <c r="F1474" s="77">
        <v>177.48438463143813</v>
      </c>
      <c r="G1474" s="77">
        <v>177.48438463143813</v>
      </c>
      <c r="H1474" s="77">
        <v>177.48438463143813</v>
      </c>
      <c r="I1474" s="77">
        <v>177.48438463143813</v>
      </c>
    </row>
    <row r="1475" spans="2:9">
      <c r="B1475" s="76">
        <v>2023.2377746581242</v>
      </c>
      <c r="C1475">
        <v>949.31659877748939</v>
      </c>
      <c r="D1475" s="77">
        <v>158.21943312958157</v>
      </c>
      <c r="E1475" s="77">
        <v>158.21943312958157</v>
      </c>
      <c r="F1475" s="77">
        <v>158.21943312958157</v>
      </c>
      <c r="G1475" s="77">
        <v>158.21943312958157</v>
      </c>
      <c r="H1475" s="77">
        <v>158.21943312958157</v>
      </c>
      <c r="I1475" s="77">
        <v>158.21943312958157</v>
      </c>
    </row>
    <row r="1476" spans="2:9">
      <c r="B1476" s="76">
        <v>2025.326226497315</v>
      </c>
      <c r="C1476">
        <v>1159.1018800749594</v>
      </c>
      <c r="D1476" s="77">
        <v>193.18364667915989</v>
      </c>
      <c r="E1476" s="77">
        <v>193.18364667915989</v>
      </c>
      <c r="F1476" s="77">
        <v>193.18364667915989</v>
      </c>
      <c r="G1476" s="77">
        <v>193.18364667915989</v>
      </c>
      <c r="H1476" s="77">
        <v>193.18364667915989</v>
      </c>
      <c r="I1476" s="77">
        <v>193.18364667915989</v>
      </c>
    </row>
    <row r="1477" spans="2:9">
      <c r="B1477" s="76">
        <v>2024.8966979515224</v>
      </c>
      <c r="C1477">
        <v>1128.0473214862468</v>
      </c>
      <c r="D1477" s="77">
        <v>188.00788691437447</v>
      </c>
      <c r="E1477" s="77">
        <v>188.00788691437447</v>
      </c>
      <c r="F1477" s="77">
        <v>188.00788691437447</v>
      </c>
      <c r="G1477" s="77">
        <v>188.00788691437447</v>
      </c>
      <c r="H1477" s="77">
        <v>188.00788691437447</v>
      </c>
      <c r="I1477" s="77">
        <v>188.00788691437447</v>
      </c>
    </row>
    <row r="1478" spans="2:9">
      <c r="B1478" s="76">
        <v>2023.1384308742511</v>
      </c>
      <c r="C1478">
        <v>843.55805859708482</v>
      </c>
      <c r="D1478" s="77">
        <v>140.59300976618081</v>
      </c>
      <c r="E1478" s="77">
        <v>140.59300976618081</v>
      </c>
      <c r="F1478" s="77">
        <v>140.59300976618081</v>
      </c>
      <c r="G1478" s="77">
        <v>140.59300976618081</v>
      </c>
      <c r="H1478" s="77">
        <v>140.59300976618081</v>
      </c>
      <c r="I1478" s="77">
        <v>140.59300976618081</v>
      </c>
    </row>
    <row r="1479" spans="2:9">
      <c r="B1479" s="76">
        <v>2023.1949640671146</v>
      </c>
      <c r="C1479">
        <v>945.05385575745458</v>
      </c>
      <c r="D1479" s="77">
        <v>157.50897595957576</v>
      </c>
      <c r="E1479" s="77">
        <v>157.50897595957576</v>
      </c>
      <c r="F1479" s="77">
        <v>157.50897595957576</v>
      </c>
      <c r="G1479" s="77">
        <v>157.50897595957576</v>
      </c>
      <c r="H1479" s="77">
        <v>157.50897595957576</v>
      </c>
      <c r="I1479" s="77">
        <v>157.50897595957576</v>
      </c>
    </row>
    <row r="1480" spans="2:9">
      <c r="B1480" s="76">
        <v>2024.2607463473084</v>
      </c>
      <c r="C1480">
        <v>1038.4726165898805</v>
      </c>
      <c r="D1480" s="77">
        <v>173.07876943164675</v>
      </c>
      <c r="E1480" s="77">
        <v>173.07876943164675</v>
      </c>
      <c r="F1480" s="77">
        <v>173.07876943164675</v>
      </c>
      <c r="G1480" s="77">
        <v>173.07876943164675</v>
      </c>
      <c r="H1480" s="77">
        <v>173.07876943164675</v>
      </c>
      <c r="I1480" s="77">
        <v>173.07876943164675</v>
      </c>
    </row>
    <row r="1481" spans="2:9">
      <c r="B1481" s="76">
        <v>2024.4882106638443</v>
      </c>
      <c r="C1481">
        <v>1075.1867702090594</v>
      </c>
      <c r="D1481" s="77">
        <v>179.19779503484324</v>
      </c>
      <c r="E1481" s="77">
        <v>179.19779503484324</v>
      </c>
      <c r="F1481" s="77">
        <v>179.19779503484324</v>
      </c>
      <c r="G1481" s="77">
        <v>179.19779503484324</v>
      </c>
      <c r="H1481" s="77">
        <v>179.19779503484324</v>
      </c>
      <c r="I1481" s="77">
        <v>179.19779503484324</v>
      </c>
    </row>
    <row r="1482" spans="2:9">
      <c r="B1482" s="76">
        <v>2023.5563160211145</v>
      </c>
      <c r="C1482">
        <v>920.39005366798142</v>
      </c>
      <c r="D1482" s="77">
        <v>153.3983422779969</v>
      </c>
      <c r="E1482" s="77">
        <v>153.3983422779969</v>
      </c>
      <c r="F1482" s="77">
        <v>153.3983422779969</v>
      </c>
      <c r="G1482" s="77">
        <v>153.3983422779969</v>
      </c>
      <c r="H1482" s="77">
        <v>153.3983422779969</v>
      </c>
      <c r="I1482" s="77">
        <v>153.3983422779969</v>
      </c>
    </row>
    <row r="1483" spans="2:9">
      <c r="B1483" s="76">
        <v>2023.152652889476</v>
      </c>
      <c r="C1483">
        <v>939.05007992109449</v>
      </c>
      <c r="D1483" s="77">
        <v>156.50834665351576</v>
      </c>
      <c r="E1483" s="77">
        <v>156.50834665351576</v>
      </c>
      <c r="F1483" s="77">
        <v>156.50834665351576</v>
      </c>
      <c r="G1483" s="77">
        <v>156.50834665351576</v>
      </c>
      <c r="H1483" s="77">
        <v>156.50834665351576</v>
      </c>
      <c r="I1483" s="77">
        <v>156.50834665351576</v>
      </c>
    </row>
    <row r="1484" spans="2:9">
      <c r="B1484" s="76">
        <v>2022.9160873203605</v>
      </c>
      <c r="C1484">
        <v>819.49339720723333</v>
      </c>
      <c r="D1484" s="77">
        <v>136.58223286787222</v>
      </c>
      <c r="E1484" s="77">
        <v>136.58223286787222</v>
      </c>
      <c r="F1484" s="77">
        <v>136.58223286787222</v>
      </c>
      <c r="G1484" s="77">
        <v>136.58223286787222</v>
      </c>
      <c r="H1484" s="77">
        <v>136.58223286787222</v>
      </c>
      <c r="I1484" s="77">
        <v>136.58223286787222</v>
      </c>
    </row>
    <row r="1485" spans="2:9">
      <c r="B1485" s="76">
        <v>2023.7660238677258</v>
      </c>
      <c r="C1485">
        <v>1041.6510658499092</v>
      </c>
      <c r="D1485" s="77">
        <v>173.60851097498485</v>
      </c>
      <c r="E1485" s="77">
        <v>173.60851097498485</v>
      </c>
      <c r="F1485" s="77">
        <v>173.60851097498485</v>
      </c>
      <c r="G1485" s="77">
        <v>173.60851097498485</v>
      </c>
      <c r="H1485" s="77">
        <v>173.60851097498485</v>
      </c>
      <c r="I1485" s="77">
        <v>173.60851097498485</v>
      </c>
    </row>
    <row r="1486" spans="2:9">
      <c r="B1486" s="76">
        <v>2023.4059932687815</v>
      </c>
      <c r="C1486">
        <v>877.28590766363629</v>
      </c>
      <c r="D1486" s="77">
        <v>146.21431794393939</v>
      </c>
      <c r="E1486" s="77">
        <v>146.21431794393939</v>
      </c>
      <c r="F1486" s="77">
        <v>146.21431794393939</v>
      </c>
      <c r="G1486" s="77">
        <v>146.21431794393939</v>
      </c>
      <c r="H1486" s="77">
        <v>146.21431794393939</v>
      </c>
      <c r="I1486" s="77">
        <v>146.21431794393939</v>
      </c>
    </row>
    <row r="1487" spans="2:9">
      <c r="B1487" s="76">
        <v>2025.3102137125613</v>
      </c>
      <c r="C1487">
        <v>1189.6603271511485</v>
      </c>
      <c r="D1487" s="77">
        <v>198.27672119185809</v>
      </c>
      <c r="E1487" s="77">
        <v>198.27672119185809</v>
      </c>
      <c r="F1487" s="77">
        <v>198.27672119185809</v>
      </c>
      <c r="G1487" s="77">
        <v>198.27672119185809</v>
      </c>
      <c r="H1487" s="77">
        <v>198.27672119185809</v>
      </c>
      <c r="I1487" s="77">
        <v>198.27672119185809</v>
      </c>
    </row>
    <row r="1488" spans="2:9">
      <c r="B1488" s="76">
        <v>2023.113186767891</v>
      </c>
      <c r="C1488">
        <v>884.17630594788011</v>
      </c>
      <c r="D1488" s="77">
        <v>147.36271765798003</v>
      </c>
      <c r="E1488" s="77">
        <v>147.36271765798003</v>
      </c>
      <c r="F1488" s="77">
        <v>147.36271765798003</v>
      </c>
      <c r="G1488" s="77">
        <v>147.36271765798003</v>
      </c>
      <c r="H1488" s="77">
        <v>147.36271765798003</v>
      </c>
      <c r="I1488" s="77">
        <v>147.36271765798003</v>
      </c>
    </row>
    <row r="1489" spans="2:9">
      <c r="B1489" s="76">
        <v>2025.2380165258737</v>
      </c>
      <c r="C1489">
        <v>1204.1415703514517</v>
      </c>
      <c r="D1489" s="77">
        <v>200.69026172524195</v>
      </c>
      <c r="E1489" s="77">
        <v>200.69026172524195</v>
      </c>
      <c r="F1489" s="77">
        <v>200.69026172524195</v>
      </c>
      <c r="G1489" s="77">
        <v>200.69026172524195</v>
      </c>
      <c r="H1489" s="77">
        <v>200.69026172524195</v>
      </c>
      <c r="I1489" s="77">
        <v>200.69026172524195</v>
      </c>
    </row>
    <row r="1490" spans="2:9">
      <c r="B1490" s="76">
        <v>2022.9659848342853</v>
      </c>
      <c r="C1490">
        <v>827.99254330561189</v>
      </c>
      <c r="D1490" s="77">
        <v>137.99875721760199</v>
      </c>
      <c r="E1490" s="77">
        <v>137.99875721760199</v>
      </c>
      <c r="F1490" s="77">
        <v>137.99875721760199</v>
      </c>
      <c r="G1490" s="77">
        <v>137.99875721760199</v>
      </c>
      <c r="H1490" s="77">
        <v>137.99875721760199</v>
      </c>
      <c r="I1490" s="77">
        <v>137.99875721760199</v>
      </c>
    </row>
    <row r="1491" spans="2:9">
      <c r="B1491" s="76">
        <v>2024.6566420614615</v>
      </c>
      <c r="C1491">
        <v>1086.7329889387827</v>
      </c>
      <c r="D1491" s="77">
        <v>181.12216482313045</v>
      </c>
      <c r="E1491" s="77">
        <v>181.12216482313045</v>
      </c>
      <c r="F1491" s="77">
        <v>181.12216482313045</v>
      </c>
      <c r="G1491" s="77">
        <v>181.12216482313045</v>
      </c>
      <c r="H1491" s="77">
        <v>181.12216482313045</v>
      </c>
      <c r="I1491" s="77">
        <v>181.12216482313045</v>
      </c>
    </row>
    <row r="1492" spans="2:9">
      <c r="B1492" s="76">
        <v>2023.9876032307247</v>
      </c>
      <c r="C1492">
        <v>946.88807529536041</v>
      </c>
      <c r="D1492" s="77">
        <v>157.81467921589339</v>
      </c>
      <c r="E1492" s="77">
        <v>157.81467921589339</v>
      </c>
      <c r="F1492" s="77">
        <v>157.81467921589339</v>
      </c>
      <c r="G1492" s="77">
        <v>157.81467921589339</v>
      </c>
      <c r="H1492" s="77">
        <v>157.81467921589339</v>
      </c>
      <c r="I1492" s="77">
        <v>157.81467921589339</v>
      </c>
    </row>
    <row r="1493" spans="2:9">
      <c r="B1493" s="76">
        <v>2024.7584514761836</v>
      </c>
      <c r="C1493">
        <v>1025.9353137803021</v>
      </c>
      <c r="D1493" s="77">
        <v>170.98921896338368</v>
      </c>
      <c r="E1493" s="77">
        <v>170.98921896338368</v>
      </c>
      <c r="F1493" s="77">
        <v>170.98921896338368</v>
      </c>
      <c r="G1493" s="77">
        <v>170.98921896338368</v>
      </c>
      <c r="H1493" s="77">
        <v>170.98921896338368</v>
      </c>
      <c r="I1493" s="77">
        <v>170.98921896338368</v>
      </c>
    </row>
    <row r="1494" spans="2:9">
      <c r="B1494" s="76">
        <v>2022.8976855601511</v>
      </c>
      <c r="C1494">
        <v>909.0941538807416</v>
      </c>
      <c r="D1494" s="77">
        <v>151.51569231345692</v>
      </c>
      <c r="E1494" s="77">
        <v>151.51569231345692</v>
      </c>
      <c r="F1494" s="77">
        <v>151.51569231345692</v>
      </c>
      <c r="G1494" s="77">
        <v>151.51569231345692</v>
      </c>
      <c r="H1494" s="77">
        <v>151.51569231345692</v>
      </c>
      <c r="I1494" s="77">
        <v>151.51569231345692</v>
      </c>
    </row>
    <row r="1495" spans="2:9">
      <c r="B1495" s="76">
        <v>2023.2068466229121</v>
      </c>
      <c r="C1495">
        <v>991.69145126958813</v>
      </c>
      <c r="D1495" s="77">
        <v>165.28190854493135</v>
      </c>
      <c r="E1495" s="77">
        <v>165.28190854493135</v>
      </c>
      <c r="F1495" s="77">
        <v>165.28190854493135</v>
      </c>
      <c r="G1495" s="77">
        <v>165.28190854493135</v>
      </c>
      <c r="H1495" s="77">
        <v>165.28190854493135</v>
      </c>
      <c r="I1495" s="77">
        <v>165.28190854493135</v>
      </c>
    </row>
    <row r="1496" spans="2:9">
      <c r="B1496" s="76">
        <v>2023.4135217340868</v>
      </c>
      <c r="C1496">
        <v>934.63375502737836</v>
      </c>
      <c r="D1496" s="77">
        <v>155.77229250456307</v>
      </c>
      <c r="E1496" s="77">
        <v>155.77229250456307</v>
      </c>
      <c r="F1496" s="77">
        <v>155.77229250456307</v>
      </c>
      <c r="G1496" s="77">
        <v>155.77229250456307</v>
      </c>
      <c r="H1496" s="77">
        <v>155.77229250456307</v>
      </c>
      <c r="I1496" s="77">
        <v>155.77229250456307</v>
      </c>
    </row>
    <row r="1497" spans="2:9">
      <c r="B1497" s="76">
        <v>2023.7960635222491</v>
      </c>
      <c r="C1497">
        <v>1004.0726628943856</v>
      </c>
      <c r="D1497" s="77">
        <v>167.34544381573093</v>
      </c>
      <c r="E1497" s="77">
        <v>167.34544381573093</v>
      </c>
      <c r="F1497" s="77">
        <v>167.34544381573093</v>
      </c>
      <c r="G1497" s="77">
        <v>167.34544381573093</v>
      </c>
      <c r="H1497" s="77">
        <v>167.34544381573093</v>
      </c>
      <c r="I1497" s="77">
        <v>167.34544381573093</v>
      </c>
    </row>
    <row r="1498" spans="2:9">
      <c r="B1498" s="76">
        <v>2025.2409107225246</v>
      </c>
      <c r="C1498">
        <v>1188.9721872822176</v>
      </c>
      <c r="D1498" s="77">
        <v>198.16203121370293</v>
      </c>
      <c r="E1498" s="77">
        <v>198.16203121370293</v>
      </c>
      <c r="F1498" s="77">
        <v>198.16203121370293</v>
      </c>
      <c r="G1498" s="77">
        <v>198.16203121370293</v>
      </c>
      <c r="H1498" s="77">
        <v>198.16203121370293</v>
      </c>
      <c r="I1498" s="77">
        <v>198.16203121370293</v>
      </c>
    </row>
    <row r="1499" spans="2:9">
      <c r="B1499" s="76">
        <v>2024.6168484876484</v>
      </c>
      <c r="C1499">
        <v>1110.4207545365994</v>
      </c>
      <c r="D1499" s="77">
        <v>185.07012575609988</v>
      </c>
      <c r="E1499" s="77">
        <v>185.07012575609988</v>
      </c>
      <c r="F1499" s="77">
        <v>185.07012575609988</v>
      </c>
      <c r="G1499" s="77">
        <v>185.07012575609988</v>
      </c>
      <c r="H1499" s="77">
        <v>185.07012575609988</v>
      </c>
      <c r="I1499" s="77">
        <v>185.07012575609988</v>
      </c>
    </row>
    <row r="1500" spans="2:9">
      <c r="B1500" s="76">
        <v>2022.9365991197569</v>
      </c>
      <c r="C1500">
        <v>872.07893605887227</v>
      </c>
      <c r="D1500" s="77">
        <v>145.34648934314538</v>
      </c>
      <c r="E1500" s="77">
        <v>145.34648934314538</v>
      </c>
      <c r="F1500" s="77">
        <v>145.34648934314538</v>
      </c>
      <c r="G1500" s="77">
        <v>145.34648934314538</v>
      </c>
      <c r="H1500" s="77">
        <v>145.34648934314538</v>
      </c>
      <c r="I1500" s="77">
        <v>145.34648934314538</v>
      </c>
    </row>
    <row r="1501" spans="2:9">
      <c r="B1501" s="76">
        <v>2023.7733836421478</v>
      </c>
      <c r="C1501">
        <v>955.77507798356771</v>
      </c>
      <c r="D1501" s="77">
        <v>159.29584633059463</v>
      </c>
      <c r="E1501" s="77">
        <v>159.29584633059463</v>
      </c>
      <c r="F1501" s="77">
        <v>159.29584633059463</v>
      </c>
      <c r="G1501" s="77">
        <v>159.29584633059463</v>
      </c>
      <c r="H1501" s="77">
        <v>159.29584633059463</v>
      </c>
      <c r="I1501" s="77">
        <v>159.29584633059463</v>
      </c>
    </row>
    <row r="1502" spans="2:9">
      <c r="B1502" s="76">
        <v>2024.7505481299916</v>
      </c>
      <c r="C1502">
        <v>1095.8465372857315</v>
      </c>
      <c r="D1502" s="77">
        <v>182.64108954762193</v>
      </c>
      <c r="E1502" s="77">
        <v>182.64108954762193</v>
      </c>
      <c r="F1502" s="77">
        <v>182.64108954762193</v>
      </c>
      <c r="G1502" s="77">
        <v>182.64108954762193</v>
      </c>
      <c r="H1502" s="77">
        <v>182.64108954762193</v>
      </c>
      <c r="I1502" s="77">
        <v>182.64108954762193</v>
      </c>
    </row>
    <row r="1503" spans="2:9">
      <c r="B1503" s="76">
        <v>2025.1750739861297</v>
      </c>
      <c r="C1503">
        <v>1155.8238949140507</v>
      </c>
      <c r="D1503" s="77">
        <v>192.63731581900845</v>
      </c>
      <c r="E1503" s="77">
        <v>192.63731581900845</v>
      </c>
      <c r="F1503" s="77">
        <v>192.63731581900845</v>
      </c>
      <c r="G1503" s="77">
        <v>192.63731581900845</v>
      </c>
      <c r="H1503" s="77">
        <v>192.63731581900845</v>
      </c>
      <c r="I1503" s="77">
        <v>192.63731581900845</v>
      </c>
    </row>
    <row r="1504" spans="2:9">
      <c r="B1504" s="76">
        <v>2023.3042665305993</v>
      </c>
      <c r="C1504">
        <v>917.79105429006358</v>
      </c>
      <c r="D1504" s="77">
        <v>152.96517571501059</v>
      </c>
      <c r="E1504" s="77">
        <v>152.96517571501059</v>
      </c>
      <c r="F1504" s="77">
        <v>152.96517571501059</v>
      </c>
      <c r="G1504" s="77">
        <v>152.96517571501059</v>
      </c>
      <c r="H1504" s="77">
        <v>152.96517571501059</v>
      </c>
      <c r="I1504" s="77">
        <v>152.96517571501059</v>
      </c>
    </row>
    <row r="1505" spans="2:9">
      <c r="B1505" s="76">
        <v>2023.3364395330502</v>
      </c>
      <c r="C1505">
        <v>980.84865994543452</v>
      </c>
      <c r="D1505" s="77">
        <v>163.47477665757242</v>
      </c>
      <c r="E1505" s="77">
        <v>163.47477665757242</v>
      </c>
      <c r="F1505" s="77">
        <v>163.47477665757242</v>
      </c>
      <c r="G1505" s="77">
        <v>163.47477665757242</v>
      </c>
      <c r="H1505" s="77">
        <v>163.47477665757242</v>
      </c>
      <c r="I1505" s="77">
        <v>163.47477665757242</v>
      </c>
    </row>
    <row r="1506" spans="2:9">
      <c r="B1506" s="76">
        <v>2023.3493851980948</v>
      </c>
      <c r="C1506">
        <v>959.22522890803509</v>
      </c>
      <c r="D1506" s="77">
        <v>159.87087148467251</v>
      </c>
      <c r="E1506" s="77">
        <v>159.87087148467251</v>
      </c>
      <c r="F1506" s="77">
        <v>159.87087148467251</v>
      </c>
      <c r="G1506" s="77">
        <v>159.87087148467251</v>
      </c>
      <c r="H1506" s="77">
        <v>159.87087148467251</v>
      </c>
      <c r="I1506" s="77">
        <v>159.87087148467251</v>
      </c>
    </row>
    <row r="1507" spans="2:9">
      <c r="B1507" s="76">
        <v>2024.8784009294279</v>
      </c>
      <c r="C1507">
        <v>1094.5810636238443</v>
      </c>
      <c r="D1507" s="77">
        <v>182.43017727064071</v>
      </c>
      <c r="E1507" s="77">
        <v>182.43017727064071</v>
      </c>
      <c r="F1507" s="77">
        <v>182.43017727064071</v>
      </c>
      <c r="G1507" s="77">
        <v>182.43017727064071</v>
      </c>
      <c r="H1507" s="77">
        <v>182.43017727064071</v>
      </c>
      <c r="I1507" s="77">
        <v>182.43017727064071</v>
      </c>
    </row>
    <row r="1508" spans="2:9">
      <c r="B1508" s="76">
        <v>2022.9863885730126</v>
      </c>
      <c r="C1508">
        <v>899.76872816390505</v>
      </c>
      <c r="D1508" s="77">
        <v>149.96145469398417</v>
      </c>
      <c r="E1508" s="77">
        <v>149.96145469398417</v>
      </c>
      <c r="F1508" s="77">
        <v>149.96145469398417</v>
      </c>
      <c r="G1508" s="77">
        <v>149.96145469398417</v>
      </c>
      <c r="H1508" s="77">
        <v>149.96145469398417</v>
      </c>
      <c r="I1508" s="77">
        <v>149.96145469398417</v>
      </c>
    </row>
    <row r="1509" spans="2:9">
      <c r="B1509" s="76">
        <v>2025.4100617404711</v>
      </c>
      <c r="C1509">
        <v>1142.6347343087873</v>
      </c>
      <c r="D1509" s="77">
        <v>190.43912238479788</v>
      </c>
      <c r="E1509" s="77">
        <v>190.43912238479788</v>
      </c>
      <c r="F1509" s="77">
        <v>190.43912238479788</v>
      </c>
      <c r="G1509" s="77">
        <v>190.43912238479788</v>
      </c>
      <c r="H1509" s="77">
        <v>190.43912238479788</v>
      </c>
      <c r="I1509" s="77">
        <v>190.43912238479788</v>
      </c>
    </row>
    <row r="1510" spans="2:9">
      <c r="B1510" s="76">
        <v>2022.893801797396</v>
      </c>
      <c r="C1510">
        <v>886.19735366302336</v>
      </c>
      <c r="D1510" s="77">
        <v>147.69955894383722</v>
      </c>
      <c r="E1510" s="77">
        <v>147.69955894383722</v>
      </c>
      <c r="F1510" s="77">
        <v>147.69955894383722</v>
      </c>
      <c r="G1510" s="77">
        <v>147.69955894383722</v>
      </c>
      <c r="H1510" s="77">
        <v>147.69955894383722</v>
      </c>
      <c r="I1510" s="77">
        <v>147.69955894383722</v>
      </c>
    </row>
    <row r="1511" spans="2:9">
      <c r="B1511" s="76">
        <v>2023.6272684464623</v>
      </c>
      <c r="C1511">
        <v>950.04407845759749</v>
      </c>
      <c r="D1511" s="77">
        <v>158.34067974293291</v>
      </c>
      <c r="E1511" s="77">
        <v>158.34067974293291</v>
      </c>
      <c r="F1511" s="77">
        <v>158.34067974293291</v>
      </c>
      <c r="G1511" s="77">
        <v>158.34067974293291</v>
      </c>
      <c r="H1511" s="77">
        <v>158.34067974293291</v>
      </c>
      <c r="I1511" s="77">
        <v>158.34067974293291</v>
      </c>
    </row>
    <row r="1512" spans="2:9">
      <c r="B1512" s="76">
        <v>2025.501514909656</v>
      </c>
      <c r="C1512">
        <v>1161.869540417508</v>
      </c>
      <c r="D1512" s="77">
        <v>193.64492340291801</v>
      </c>
      <c r="E1512" s="77">
        <v>193.64492340291801</v>
      </c>
      <c r="F1512" s="77">
        <v>193.64492340291801</v>
      </c>
      <c r="G1512" s="77">
        <v>193.64492340291801</v>
      </c>
      <c r="H1512" s="77">
        <v>193.64492340291801</v>
      </c>
      <c r="I1512" s="77">
        <v>193.64492340291801</v>
      </c>
    </row>
    <row r="1513" spans="2:9">
      <c r="B1513" s="76">
        <v>2025.4061508512909</v>
      </c>
      <c r="C1513">
        <v>1189.9200388990594</v>
      </c>
      <c r="D1513" s="77">
        <v>198.32000648317657</v>
      </c>
      <c r="E1513" s="77">
        <v>198.32000648317657</v>
      </c>
      <c r="F1513" s="77">
        <v>198.32000648317657</v>
      </c>
      <c r="G1513" s="77">
        <v>198.32000648317657</v>
      </c>
      <c r="H1513" s="77">
        <v>198.32000648317657</v>
      </c>
      <c r="I1513" s="77">
        <v>198.32000648317657</v>
      </c>
    </row>
    <row r="1514" spans="2:9">
      <c r="B1514" s="76">
        <v>2022.6361896293588</v>
      </c>
      <c r="C1514">
        <v>796.46501658303771</v>
      </c>
      <c r="D1514" s="77">
        <v>132.74416943050628</v>
      </c>
      <c r="E1514" s="77">
        <v>132.74416943050628</v>
      </c>
      <c r="F1514" s="77">
        <v>132.74416943050628</v>
      </c>
      <c r="G1514" s="77">
        <v>132.74416943050628</v>
      </c>
      <c r="H1514" s="77">
        <v>132.74416943050628</v>
      </c>
      <c r="I1514" s="77">
        <v>132.74416943050628</v>
      </c>
    </row>
    <row r="1515" spans="2:9">
      <c r="B1515" s="76">
        <v>2023.0517350420293</v>
      </c>
      <c r="C1515">
        <v>927.96632643593694</v>
      </c>
      <c r="D1515" s="77">
        <v>154.66105440598949</v>
      </c>
      <c r="E1515" s="77">
        <v>154.66105440598949</v>
      </c>
      <c r="F1515" s="77">
        <v>154.66105440598949</v>
      </c>
      <c r="G1515" s="77">
        <v>154.66105440598949</v>
      </c>
      <c r="H1515" s="77">
        <v>154.66105440598949</v>
      </c>
      <c r="I1515" s="77">
        <v>154.66105440598949</v>
      </c>
    </row>
    <row r="1516" spans="2:9">
      <c r="B1516" s="76">
        <v>2023.6831211775402</v>
      </c>
      <c r="C1516">
        <v>1076.0774638841121</v>
      </c>
      <c r="D1516" s="77">
        <v>179.34624398068536</v>
      </c>
      <c r="E1516" s="77">
        <v>179.34624398068536</v>
      </c>
      <c r="F1516" s="77">
        <v>179.34624398068536</v>
      </c>
      <c r="G1516" s="77">
        <v>179.34624398068536</v>
      </c>
      <c r="H1516" s="77">
        <v>179.34624398068536</v>
      </c>
      <c r="I1516" s="77">
        <v>179.34624398068536</v>
      </c>
    </row>
    <row r="1517" spans="2:9">
      <c r="B1517" s="76">
        <v>2023.4912597284999</v>
      </c>
      <c r="C1517">
        <v>937.98529185144298</v>
      </c>
      <c r="D1517" s="77">
        <v>156.33088197524049</v>
      </c>
      <c r="E1517" s="77">
        <v>156.33088197524049</v>
      </c>
      <c r="F1517" s="77">
        <v>156.33088197524049</v>
      </c>
      <c r="G1517" s="77">
        <v>156.33088197524049</v>
      </c>
      <c r="H1517" s="77">
        <v>156.33088197524049</v>
      </c>
      <c r="I1517" s="77">
        <v>156.33088197524049</v>
      </c>
    </row>
    <row r="1518" spans="2:9">
      <c r="B1518" s="76">
        <v>2023.4957188833168</v>
      </c>
      <c r="C1518">
        <v>898.33134593477007</v>
      </c>
      <c r="D1518" s="77">
        <v>149.72189098912835</v>
      </c>
      <c r="E1518" s="77">
        <v>149.72189098912835</v>
      </c>
      <c r="F1518" s="77">
        <v>149.72189098912835</v>
      </c>
      <c r="G1518" s="77">
        <v>149.72189098912835</v>
      </c>
      <c r="H1518" s="77">
        <v>149.72189098912835</v>
      </c>
      <c r="I1518" s="77">
        <v>149.72189098912835</v>
      </c>
    </row>
    <row r="1519" spans="2:9">
      <c r="B1519" s="76">
        <v>2023.0814864562296</v>
      </c>
      <c r="C1519">
        <v>990.16559277335853</v>
      </c>
      <c r="D1519" s="77">
        <v>165.02759879555975</v>
      </c>
      <c r="E1519" s="77">
        <v>165.02759879555975</v>
      </c>
      <c r="F1519" s="77">
        <v>165.02759879555975</v>
      </c>
      <c r="G1519" s="77">
        <v>165.02759879555975</v>
      </c>
      <c r="H1519" s="77">
        <v>165.02759879555975</v>
      </c>
      <c r="I1519" s="77">
        <v>165.02759879555975</v>
      </c>
    </row>
    <row r="1520" spans="2:9">
      <c r="B1520" s="76">
        <v>2023.0997144563132</v>
      </c>
      <c r="C1520">
        <v>877.54312333843723</v>
      </c>
      <c r="D1520" s="77">
        <v>146.25718722307286</v>
      </c>
      <c r="E1520" s="77">
        <v>146.25718722307286</v>
      </c>
      <c r="F1520" s="77">
        <v>146.25718722307286</v>
      </c>
      <c r="G1520" s="77">
        <v>146.25718722307286</v>
      </c>
      <c r="H1520" s="77">
        <v>146.25718722307286</v>
      </c>
      <c r="I1520" s="77">
        <v>146.25718722307286</v>
      </c>
    </row>
    <row r="1521" spans="2:9">
      <c r="B1521" s="76">
        <v>2023.2141164615648</v>
      </c>
      <c r="C1521">
        <v>888.38858335055818</v>
      </c>
      <c r="D1521" s="77">
        <v>148.0647638917597</v>
      </c>
      <c r="E1521" s="77">
        <v>148.0647638917597</v>
      </c>
      <c r="F1521" s="77">
        <v>148.0647638917597</v>
      </c>
      <c r="G1521" s="77">
        <v>148.0647638917597</v>
      </c>
      <c r="H1521" s="77">
        <v>148.0647638917597</v>
      </c>
      <c r="I1521" s="77">
        <v>148.0647638917597</v>
      </c>
    </row>
    <row r="1522" spans="2:9">
      <c r="B1522" s="76">
        <v>2023.6747627458594</v>
      </c>
      <c r="C1522">
        <v>989.593884037718</v>
      </c>
      <c r="D1522" s="77">
        <v>164.93231400628633</v>
      </c>
      <c r="E1522" s="77">
        <v>164.93231400628633</v>
      </c>
      <c r="F1522" s="77">
        <v>164.93231400628633</v>
      </c>
      <c r="G1522" s="77">
        <v>164.93231400628633</v>
      </c>
      <c r="H1522" s="77">
        <v>164.93231400628633</v>
      </c>
      <c r="I1522" s="77">
        <v>164.93231400628633</v>
      </c>
    </row>
    <row r="1523" spans="2:9">
      <c r="B1523" s="76">
        <v>2025.4606926144186</v>
      </c>
      <c r="C1523">
        <v>1161.7040743046609</v>
      </c>
      <c r="D1523" s="77">
        <v>193.6173457174435</v>
      </c>
      <c r="E1523" s="77">
        <v>193.6173457174435</v>
      </c>
      <c r="F1523" s="77">
        <v>193.6173457174435</v>
      </c>
      <c r="G1523" s="77">
        <v>193.6173457174435</v>
      </c>
      <c r="H1523" s="77">
        <v>193.6173457174435</v>
      </c>
      <c r="I1523" s="77">
        <v>193.6173457174435</v>
      </c>
    </row>
    <row r="1524" spans="2:9">
      <c r="B1524" s="76">
        <v>2023.3647134610649</v>
      </c>
      <c r="C1524">
        <v>988.46964926626583</v>
      </c>
      <c r="D1524" s="77">
        <v>164.74494154437764</v>
      </c>
      <c r="E1524" s="77">
        <v>164.74494154437764</v>
      </c>
      <c r="F1524" s="77">
        <v>164.74494154437764</v>
      </c>
      <c r="G1524" s="77">
        <v>164.74494154437764</v>
      </c>
      <c r="H1524" s="77">
        <v>164.74494154437764</v>
      </c>
      <c r="I1524" s="77">
        <v>164.74494154437764</v>
      </c>
    </row>
    <row r="1525" spans="2:9">
      <c r="B1525" s="76">
        <v>2023.5609672750322</v>
      </c>
      <c r="C1525">
        <v>937.71484707641469</v>
      </c>
      <c r="D1525" s="77">
        <v>156.2858078460691</v>
      </c>
      <c r="E1525" s="77">
        <v>156.2858078460691</v>
      </c>
      <c r="F1525" s="77">
        <v>156.2858078460691</v>
      </c>
      <c r="G1525" s="77">
        <v>156.2858078460691</v>
      </c>
      <c r="H1525" s="77">
        <v>156.2858078460691</v>
      </c>
      <c r="I1525" s="77">
        <v>156.2858078460691</v>
      </c>
    </row>
    <row r="1526" spans="2:9">
      <c r="B1526" s="76">
        <v>2024.7727867357416</v>
      </c>
      <c r="C1526">
        <v>1048.4480540991201</v>
      </c>
      <c r="D1526" s="77">
        <v>174.74134234985334</v>
      </c>
      <c r="E1526" s="77">
        <v>174.74134234985334</v>
      </c>
      <c r="F1526" s="77">
        <v>174.74134234985334</v>
      </c>
      <c r="G1526" s="77">
        <v>174.74134234985334</v>
      </c>
      <c r="H1526" s="77">
        <v>174.74134234985334</v>
      </c>
      <c r="I1526" s="77">
        <v>174.74134234985334</v>
      </c>
    </row>
    <row r="1527" spans="2:9">
      <c r="B1527" s="76">
        <v>2023.5295889339823</v>
      </c>
      <c r="C1527">
        <v>964.40156023496274</v>
      </c>
      <c r="D1527" s="77">
        <v>160.7335933724938</v>
      </c>
      <c r="E1527" s="77">
        <v>160.7335933724938</v>
      </c>
      <c r="F1527" s="77">
        <v>160.7335933724938</v>
      </c>
      <c r="G1527" s="77">
        <v>160.7335933724938</v>
      </c>
      <c r="H1527" s="77">
        <v>160.7335933724938</v>
      </c>
      <c r="I1527" s="77">
        <v>160.7335933724938</v>
      </c>
    </row>
    <row r="1528" spans="2:9">
      <c r="B1528" s="76">
        <v>2022.9720644850599</v>
      </c>
      <c r="C1528">
        <v>883.97373194917168</v>
      </c>
      <c r="D1528" s="77">
        <v>147.32895532486194</v>
      </c>
      <c r="E1528" s="77">
        <v>147.32895532486194</v>
      </c>
      <c r="F1528" s="77">
        <v>147.32895532486194</v>
      </c>
      <c r="G1528" s="77">
        <v>147.32895532486194</v>
      </c>
      <c r="H1528" s="77">
        <v>147.32895532486194</v>
      </c>
      <c r="I1528" s="77">
        <v>147.32895532486194</v>
      </c>
    </row>
    <row r="1529" spans="2:9">
      <c r="B1529" s="76">
        <v>2023.4924969164315</v>
      </c>
      <c r="C1529">
        <v>950.51119737769704</v>
      </c>
      <c r="D1529" s="77">
        <v>158.41853289628284</v>
      </c>
      <c r="E1529" s="77">
        <v>158.41853289628284</v>
      </c>
      <c r="F1529" s="77">
        <v>158.41853289628284</v>
      </c>
      <c r="G1529" s="77">
        <v>158.41853289628284</v>
      </c>
      <c r="H1529" s="77">
        <v>158.41853289628284</v>
      </c>
      <c r="I1529" s="77">
        <v>158.41853289628284</v>
      </c>
    </row>
    <row r="1530" spans="2:9">
      <c r="B1530" s="76">
        <v>2024.8207177351715</v>
      </c>
      <c r="C1530">
        <v>1153.3463530468944</v>
      </c>
      <c r="D1530" s="77">
        <v>192.2243921744824</v>
      </c>
      <c r="E1530" s="77">
        <v>192.2243921744824</v>
      </c>
      <c r="F1530" s="77">
        <v>192.2243921744824</v>
      </c>
      <c r="G1530" s="77">
        <v>192.2243921744824</v>
      </c>
      <c r="H1530" s="77">
        <v>192.2243921744824</v>
      </c>
      <c r="I1530" s="77">
        <v>192.2243921744824</v>
      </c>
    </row>
    <row r="1531" spans="2:9">
      <c r="B1531" s="76">
        <v>2023.3401118134282</v>
      </c>
      <c r="C1531">
        <v>858.93401077208421</v>
      </c>
      <c r="D1531" s="77">
        <v>143.15566846201403</v>
      </c>
      <c r="E1531" s="77">
        <v>143.15566846201403</v>
      </c>
      <c r="F1531" s="77">
        <v>143.15566846201403</v>
      </c>
      <c r="G1531" s="77">
        <v>143.15566846201403</v>
      </c>
      <c r="H1531" s="77">
        <v>143.15566846201403</v>
      </c>
      <c r="I1531" s="77">
        <v>143.15566846201403</v>
      </c>
    </row>
    <row r="1532" spans="2:9">
      <c r="B1532" s="76">
        <v>2023.8728991654496</v>
      </c>
      <c r="C1532">
        <v>965.0140158226676</v>
      </c>
      <c r="D1532" s="77">
        <v>160.83566930377793</v>
      </c>
      <c r="E1532" s="77">
        <v>160.83566930377793</v>
      </c>
      <c r="F1532" s="77">
        <v>160.83566930377793</v>
      </c>
      <c r="G1532" s="77">
        <v>160.83566930377793</v>
      </c>
      <c r="H1532" s="77">
        <v>160.83566930377793</v>
      </c>
      <c r="I1532" s="77">
        <v>160.83566930377793</v>
      </c>
    </row>
    <row r="1533" spans="2:9">
      <c r="B1533" s="76">
        <v>2024.1627463064176</v>
      </c>
      <c r="C1533">
        <v>1064.2799093494914</v>
      </c>
      <c r="D1533" s="77">
        <v>177.3799848915819</v>
      </c>
      <c r="E1533" s="77">
        <v>177.3799848915819</v>
      </c>
      <c r="F1533" s="77">
        <v>177.3799848915819</v>
      </c>
      <c r="G1533" s="77">
        <v>177.3799848915819</v>
      </c>
      <c r="H1533" s="77">
        <v>177.3799848915819</v>
      </c>
      <c r="I1533" s="77">
        <v>177.3799848915819</v>
      </c>
    </row>
    <row r="1534" spans="2:9">
      <c r="B1534" s="76">
        <v>2022.9118056270643</v>
      </c>
      <c r="C1534">
        <v>876.66125766426092</v>
      </c>
      <c r="D1534" s="77">
        <v>146.11020961071014</v>
      </c>
      <c r="E1534" s="77">
        <v>146.11020961071014</v>
      </c>
      <c r="F1534" s="77">
        <v>146.11020961071014</v>
      </c>
      <c r="G1534" s="77">
        <v>146.11020961071014</v>
      </c>
      <c r="H1534" s="77">
        <v>146.11020961071014</v>
      </c>
      <c r="I1534" s="77">
        <v>146.11020961071014</v>
      </c>
    </row>
    <row r="1535" spans="2:9">
      <c r="B1535" s="76">
        <v>2023.1467127228448</v>
      </c>
      <c r="C1535">
        <v>894.16641112705406</v>
      </c>
      <c r="D1535" s="77">
        <v>149.02773518784235</v>
      </c>
      <c r="E1535" s="77">
        <v>149.02773518784235</v>
      </c>
      <c r="F1535" s="77">
        <v>149.02773518784235</v>
      </c>
      <c r="G1535" s="77">
        <v>149.02773518784235</v>
      </c>
      <c r="H1535" s="77">
        <v>149.02773518784235</v>
      </c>
      <c r="I1535" s="77">
        <v>149.02773518784235</v>
      </c>
    </row>
    <row r="1536" spans="2:9">
      <c r="B1536" s="76">
        <v>2023.7298452979292</v>
      </c>
      <c r="C1536">
        <v>949.82426304003548</v>
      </c>
      <c r="D1536" s="77">
        <v>158.3040438400059</v>
      </c>
      <c r="E1536" s="77">
        <v>158.3040438400059</v>
      </c>
      <c r="F1536" s="77">
        <v>158.3040438400059</v>
      </c>
      <c r="G1536" s="77">
        <v>158.3040438400059</v>
      </c>
      <c r="H1536" s="77">
        <v>158.3040438400059</v>
      </c>
      <c r="I1536" s="77">
        <v>158.3040438400059</v>
      </c>
    </row>
    <row r="1537" spans="2:9">
      <c r="B1537" s="76">
        <v>2022.8140842842777</v>
      </c>
      <c r="C1537">
        <v>877.85080576576468</v>
      </c>
      <c r="D1537" s="77">
        <v>146.30846762762744</v>
      </c>
      <c r="E1537" s="77">
        <v>146.30846762762744</v>
      </c>
      <c r="F1537" s="77">
        <v>146.30846762762744</v>
      </c>
      <c r="G1537" s="77">
        <v>146.30846762762744</v>
      </c>
      <c r="H1537" s="77">
        <v>146.30846762762744</v>
      </c>
      <c r="I1537" s="77">
        <v>146.30846762762744</v>
      </c>
    </row>
    <row r="1538" spans="2:9">
      <c r="B1538" s="76">
        <v>2024.9794331346036</v>
      </c>
      <c r="C1538">
        <v>1155.9686478357542</v>
      </c>
      <c r="D1538" s="77">
        <v>192.66144130595902</v>
      </c>
      <c r="E1538" s="77">
        <v>192.66144130595902</v>
      </c>
      <c r="F1538" s="77">
        <v>192.66144130595902</v>
      </c>
      <c r="G1538" s="77">
        <v>192.66144130595902</v>
      </c>
      <c r="H1538" s="77">
        <v>192.66144130595902</v>
      </c>
      <c r="I1538" s="77">
        <v>192.66144130595902</v>
      </c>
    </row>
    <row r="1539" spans="2:9">
      <c r="B1539" s="76">
        <v>2023.5918715257885</v>
      </c>
      <c r="C1539">
        <v>919.93602132572198</v>
      </c>
      <c r="D1539" s="77">
        <v>153.32267022095365</v>
      </c>
      <c r="E1539" s="77">
        <v>153.32267022095365</v>
      </c>
      <c r="F1539" s="77">
        <v>153.32267022095365</v>
      </c>
      <c r="G1539" s="77">
        <v>153.32267022095365</v>
      </c>
      <c r="H1539" s="77">
        <v>153.32267022095365</v>
      </c>
      <c r="I1539" s="77">
        <v>153.32267022095365</v>
      </c>
    </row>
    <row r="1540" spans="2:9">
      <c r="B1540" s="76">
        <v>2022.7187975705692</v>
      </c>
      <c r="C1540">
        <v>914.47043512415746</v>
      </c>
      <c r="D1540" s="77">
        <v>152.41173918735959</v>
      </c>
      <c r="E1540" s="77">
        <v>152.41173918735959</v>
      </c>
      <c r="F1540" s="77">
        <v>152.41173918735959</v>
      </c>
      <c r="G1540" s="77">
        <v>152.41173918735959</v>
      </c>
      <c r="H1540" s="77">
        <v>152.41173918735959</v>
      </c>
      <c r="I1540" s="77">
        <v>152.41173918735959</v>
      </c>
    </row>
    <row r="1541" spans="2:9">
      <c r="B1541" s="76">
        <v>2025.0706506151532</v>
      </c>
      <c r="C1541">
        <v>1161.712457810879</v>
      </c>
      <c r="D1541" s="77">
        <v>193.61874296847984</v>
      </c>
      <c r="E1541" s="77">
        <v>193.61874296847984</v>
      </c>
      <c r="F1541" s="77">
        <v>193.61874296847984</v>
      </c>
      <c r="G1541" s="77">
        <v>193.61874296847984</v>
      </c>
      <c r="H1541" s="77">
        <v>193.61874296847984</v>
      </c>
      <c r="I1541" s="77">
        <v>193.61874296847984</v>
      </c>
    </row>
    <row r="1542" spans="2:9">
      <c r="B1542" s="76">
        <v>2024.1295955397954</v>
      </c>
      <c r="C1542">
        <v>1002.7971106423535</v>
      </c>
      <c r="D1542" s="77">
        <v>167.13285177372558</v>
      </c>
      <c r="E1542" s="77">
        <v>167.13285177372558</v>
      </c>
      <c r="F1542" s="77">
        <v>167.13285177372558</v>
      </c>
      <c r="G1542" s="77">
        <v>167.13285177372558</v>
      </c>
      <c r="H1542" s="77">
        <v>167.13285177372558</v>
      </c>
      <c r="I1542" s="77">
        <v>167.13285177372558</v>
      </c>
    </row>
    <row r="1543" spans="2:9">
      <c r="B1543" s="76">
        <v>2023.1912067767114</v>
      </c>
      <c r="C1543">
        <v>894.95134760652797</v>
      </c>
      <c r="D1543" s="77">
        <v>149.15855793442134</v>
      </c>
      <c r="E1543" s="77">
        <v>149.15855793442134</v>
      </c>
      <c r="F1543" s="77">
        <v>149.15855793442134</v>
      </c>
      <c r="G1543" s="77">
        <v>149.15855793442134</v>
      </c>
      <c r="H1543" s="77">
        <v>149.15855793442134</v>
      </c>
      <c r="I1543" s="77">
        <v>149.15855793442134</v>
      </c>
    </row>
    <row r="1544" spans="2:9">
      <c r="B1544" s="76">
        <v>2023.540950571414</v>
      </c>
      <c r="C1544">
        <v>960.16662102405826</v>
      </c>
      <c r="D1544" s="77">
        <v>160.02777017067638</v>
      </c>
      <c r="E1544" s="77">
        <v>160.02777017067638</v>
      </c>
      <c r="F1544" s="77">
        <v>160.02777017067638</v>
      </c>
      <c r="G1544" s="77">
        <v>160.02777017067638</v>
      </c>
      <c r="H1544" s="77">
        <v>160.02777017067638</v>
      </c>
      <c r="I1544" s="77">
        <v>160.02777017067638</v>
      </c>
    </row>
    <row r="1545" spans="2:9">
      <c r="B1545" s="76">
        <v>2024.1451596987677</v>
      </c>
      <c r="C1545">
        <v>995.78952145217659</v>
      </c>
      <c r="D1545" s="77">
        <v>165.96492024202942</v>
      </c>
      <c r="E1545" s="77">
        <v>165.96492024202942</v>
      </c>
      <c r="F1545" s="77">
        <v>165.96492024202942</v>
      </c>
      <c r="G1545" s="77">
        <v>165.96492024202942</v>
      </c>
      <c r="H1545" s="77">
        <v>165.96492024202942</v>
      </c>
      <c r="I1545" s="77">
        <v>165.96492024202942</v>
      </c>
    </row>
    <row r="1546" spans="2:9">
      <c r="B1546" s="76">
        <v>2023.3602054795417</v>
      </c>
      <c r="C1546">
        <v>925.46249660451235</v>
      </c>
      <c r="D1546" s="77">
        <v>154.2437494340854</v>
      </c>
      <c r="E1546" s="77">
        <v>154.2437494340854</v>
      </c>
      <c r="F1546" s="77">
        <v>154.2437494340854</v>
      </c>
      <c r="G1546" s="77">
        <v>154.2437494340854</v>
      </c>
      <c r="H1546" s="77">
        <v>154.2437494340854</v>
      </c>
      <c r="I1546" s="77">
        <v>154.2437494340854</v>
      </c>
    </row>
    <row r="1547" spans="2:9">
      <c r="B1547" s="76">
        <v>2024.5323199183997</v>
      </c>
      <c r="C1547">
        <v>1090.0004631932959</v>
      </c>
      <c r="D1547" s="77">
        <v>181.66674386554931</v>
      </c>
      <c r="E1547" s="77">
        <v>181.66674386554931</v>
      </c>
      <c r="F1547" s="77">
        <v>181.66674386554931</v>
      </c>
      <c r="G1547" s="77">
        <v>181.66674386554931</v>
      </c>
      <c r="H1547" s="77">
        <v>181.66674386554931</v>
      </c>
      <c r="I1547" s="77">
        <v>181.66674386554931</v>
      </c>
    </row>
    <row r="1548" spans="2:9">
      <c r="B1548" s="76">
        <v>2022.8243493674379</v>
      </c>
      <c r="C1548">
        <v>901.02358226663432</v>
      </c>
      <c r="D1548" s="77">
        <v>150.17059704443906</v>
      </c>
      <c r="E1548" s="77">
        <v>150.17059704443906</v>
      </c>
      <c r="F1548" s="77">
        <v>150.17059704443906</v>
      </c>
      <c r="G1548" s="77">
        <v>150.17059704443906</v>
      </c>
      <c r="H1548" s="77">
        <v>150.17059704443906</v>
      </c>
      <c r="I1548" s="77">
        <v>150.17059704443906</v>
      </c>
    </row>
    <row r="1549" spans="2:9">
      <c r="B1549" s="76">
        <v>2023.3652989488785</v>
      </c>
      <c r="C1549">
        <v>975.32891543378901</v>
      </c>
      <c r="D1549" s="77">
        <v>162.55481923896482</v>
      </c>
      <c r="E1549" s="77">
        <v>162.55481923896482</v>
      </c>
      <c r="F1549" s="77">
        <v>162.55481923896482</v>
      </c>
      <c r="G1549" s="77">
        <v>162.55481923896482</v>
      </c>
      <c r="H1549" s="77">
        <v>162.55481923896482</v>
      </c>
      <c r="I1549" s="77">
        <v>162.55481923896482</v>
      </c>
    </row>
    <row r="1550" spans="2:9">
      <c r="B1550" s="76">
        <v>2023.1112592240856</v>
      </c>
      <c r="C1550">
        <v>961.24537209243431</v>
      </c>
      <c r="D1550" s="77">
        <v>160.20756201540573</v>
      </c>
      <c r="E1550" s="77">
        <v>160.20756201540573</v>
      </c>
      <c r="F1550" s="77">
        <v>160.20756201540573</v>
      </c>
      <c r="G1550" s="77">
        <v>160.20756201540573</v>
      </c>
      <c r="H1550" s="77">
        <v>160.20756201540573</v>
      </c>
      <c r="I1550" s="77">
        <v>160.20756201540573</v>
      </c>
    </row>
    <row r="1551" spans="2:9">
      <c r="B1551" s="76">
        <v>2022.7633192446156</v>
      </c>
      <c r="C1551">
        <v>884.09956539698442</v>
      </c>
      <c r="D1551" s="77">
        <v>147.34992756616407</v>
      </c>
      <c r="E1551" s="77">
        <v>147.34992756616407</v>
      </c>
      <c r="F1551" s="77">
        <v>147.34992756616407</v>
      </c>
      <c r="G1551" s="77">
        <v>147.34992756616407</v>
      </c>
      <c r="H1551" s="77">
        <v>147.34992756616407</v>
      </c>
      <c r="I1551" s="77">
        <v>147.34992756616407</v>
      </c>
    </row>
    <row r="1552" spans="2:9">
      <c r="B1552" s="76">
        <v>2023.3655373591725</v>
      </c>
      <c r="C1552">
        <v>883.28001466741739</v>
      </c>
      <c r="D1552" s="77">
        <v>147.2133357779029</v>
      </c>
      <c r="E1552" s="77">
        <v>147.2133357779029</v>
      </c>
      <c r="F1552" s="77">
        <v>147.2133357779029</v>
      </c>
      <c r="G1552" s="77">
        <v>147.2133357779029</v>
      </c>
      <c r="H1552" s="77">
        <v>147.2133357779029</v>
      </c>
      <c r="I1552" s="77">
        <v>147.2133357779029</v>
      </c>
    </row>
    <row r="1553" spans="2:9">
      <c r="B1553" s="76">
        <v>2023.5351469554193</v>
      </c>
      <c r="C1553">
        <v>1000.8128222967316</v>
      </c>
      <c r="D1553" s="77">
        <v>166.80213704945527</v>
      </c>
      <c r="E1553" s="77">
        <v>166.80213704945527</v>
      </c>
      <c r="F1553" s="77">
        <v>166.80213704945527</v>
      </c>
      <c r="G1553" s="77">
        <v>166.80213704945527</v>
      </c>
      <c r="H1553" s="77">
        <v>166.80213704945527</v>
      </c>
      <c r="I1553" s="77">
        <v>166.80213704945527</v>
      </c>
    </row>
    <row r="1554" spans="2:9">
      <c r="B1554" s="76">
        <v>2023.6255385540196</v>
      </c>
      <c r="C1554">
        <v>942.67840802417254</v>
      </c>
      <c r="D1554" s="77">
        <v>157.11306800402875</v>
      </c>
      <c r="E1554" s="77">
        <v>157.11306800402875</v>
      </c>
      <c r="F1554" s="77">
        <v>157.11306800402875</v>
      </c>
      <c r="G1554" s="77">
        <v>157.11306800402875</v>
      </c>
      <c r="H1554" s="77">
        <v>157.11306800402875</v>
      </c>
      <c r="I1554" s="77">
        <v>157.11306800402875</v>
      </c>
    </row>
    <row r="1555" spans="2:9">
      <c r="B1555" s="76">
        <v>2023.5494314396365</v>
      </c>
      <c r="C1555">
        <v>994.95740530204841</v>
      </c>
      <c r="D1555" s="77">
        <v>165.82623421700808</v>
      </c>
      <c r="E1555" s="77">
        <v>165.82623421700808</v>
      </c>
      <c r="F1555" s="77">
        <v>165.82623421700808</v>
      </c>
      <c r="G1555" s="77">
        <v>165.82623421700808</v>
      </c>
      <c r="H1555" s="77">
        <v>165.82623421700808</v>
      </c>
      <c r="I1555" s="77">
        <v>165.82623421700808</v>
      </c>
    </row>
    <row r="1556" spans="2:9">
      <c r="B1556" s="76">
        <v>2025.3373174781034</v>
      </c>
      <c r="C1556">
        <v>1188.3889672808782</v>
      </c>
      <c r="D1556" s="77">
        <v>198.06482788014637</v>
      </c>
      <c r="E1556" s="77">
        <v>198.06482788014637</v>
      </c>
      <c r="F1556" s="77">
        <v>198.06482788014637</v>
      </c>
      <c r="G1556" s="77">
        <v>198.06482788014637</v>
      </c>
      <c r="H1556" s="77">
        <v>198.06482788014637</v>
      </c>
      <c r="I1556" s="77">
        <v>198.06482788014637</v>
      </c>
    </row>
    <row r="1557" spans="2:9">
      <c r="B1557" s="76">
        <v>2023.2247550497016</v>
      </c>
      <c r="C1557">
        <v>951.90287376991762</v>
      </c>
      <c r="D1557" s="77">
        <v>158.65047896165294</v>
      </c>
      <c r="E1557" s="77">
        <v>158.65047896165294</v>
      </c>
      <c r="F1557" s="77">
        <v>158.65047896165294</v>
      </c>
      <c r="G1557" s="77">
        <v>158.65047896165294</v>
      </c>
      <c r="H1557" s="77">
        <v>158.65047896165294</v>
      </c>
      <c r="I1557" s="77">
        <v>158.65047896165294</v>
      </c>
    </row>
    <row r="1558" spans="2:9">
      <c r="B1558" s="76">
        <v>2023.1386867106057</v>
      </c>
      <c r="C1558">
        <v>836.11058087828667</v>
      </c>
      <c r="D1558" s="77">
        <v>139.35176347971444</v>
      </c>
      <c r="E1558" s="77">
        <v>139.35176347971444</v>
      </c>
      <c r="F1558" s="77">
        <v>139.35176347971444</v>
      </c>
      <c r="G1558" s="77">
        <v>139.35176347971444</v>
      </c>
      <c r="H1558" s="77">
        <v>139.35176347971444</v>
      </c>
      <c r="I1558" s="77">
        <v>139.35176347971444</v>
      </c>
    </row>
    <row r="1559" spans="2:9">
      <c r="B1559" s="76">
        <v>2023.3932883541663</v>
      </c>
      <c r="C1559">
        <v>913.52768515537025</v>
      </c>
      <c r="D1559" s="77">
        <v>152.25461419256172</v>
      </c>
      <c r="E1559" s="77">
        <v>152.25461419256172</v>
      </c>
      <c r="F1559" s="77">
        <v>152.25461419256172</v>
      </c>
      <c r="G1559" s="77">
        <v>152.25461419256172</v>
      </c>
      <c r="H1559" s="77">
        <v>152.25461419256172</v>
      </c>
      <c r="I1559" s="77">
        <v>152.25461419256172</v>
      </c>
    </row>
    <row r="1560" spans="2:9">
      <c r="B1560" s="76">
        <v>2023.8021693628323</v>
      </c>
      <c r="C1560">
        <v>972.62548030000744</v>
      </c>
      <c r="D1560" s="77">
        <v>162.10424671666792</v>
      </c>
      <c r="E1560" s="77">
        <v>162.10424671666792</v>
      </c>
      <c r="F1560" s="77">
        <v>162.10424671666792</v>
      </c>
      <c r="G1560" s="77">
        <v>162.10424671666792</v>
      </c>
      <c r="H1560" s="77">
        <v>162.10424671666792</v>
      </c>
      <c r="I1560" s="77">
        <v>162.10424671666792</v>
      </c>
    </row>
    <row r="1561" spans="2:9">
      <c r="B1561" s="76">
        <v>2023.2270154166106</v>
      </c>
      <c r="C1561">
        <v>944.72046031009006</v>
      </c>
      <c r="D1561" s="77">
        <v>157.45341005168169</v>
      </c>
      <c r="E1561" s="77">
        <v>157.45341005168169</v>
      </c>
      <c r="F1561" s="77">
        <v>157.45341005168169</v>
      </c>
      <c r="G1561" s="77">
        <v>157.45341005168169</v>
      </c>
      <c r="H1561" s="77">
        <v>157.45341005168169</v>
      </c>
      <c r="I1561" s="77">
        <v>157.45341005168169</v>
      </c>
    </row>
    <row r="1562" spans="2:9">
      <c r="B1562" s="76">
        <v>2023.2001547694474</v>
      </c>
      <c r="C1562">
        <v>903.89121882182587</v>
      </c>
      <c r="D1562" s="77">
        <v>150.64853647030432</v>
      </c>
      <c r="E1562" s="77">
        <v>150.64853647030432</v>
      </c>
      <c r="F1562" s="77">
        <v>150.64853647030432</v>
      </c>
      <c r="G1562" s="77">
        <v>150.64853647030432</v>
      </c>
      <c r="H1562" s="77">
        <v>150.64853647030432</v>
      </c>
      <c r="I1562" s="77">
        <v>150.64853647030432</v>
      </c>
    </row>
    <row r="1563" spans="2:9">
      <c r="B1563" s="76">
        <v>2022.6439859778231</v>
      </c>
      <c r="C1563">
        <v>834.03137123350962</v>
      </c>
      <c r="D1563" s="77">
        <v>139.00522853891826</v>
      </c>
      <c r="E1563" s="77">
        <v>139.00522853891826</v>
      </c>
      <c r="F1563" s="77">
        <v>139.00522853891826</v>
      </c>
      <c r="G1563" s="77">
        <v>139.00522853891826</v>
      </c>
      <c r="H1563" s="77">
        <v>139.00522853891826</v>
      </c>
      <c r="I1563" s="77">
        <v>139.00522853891826</v>
      </c>
    </row>
    <row r="1564" spans="2:9">
      <c r="B1564" s="76">
        <v>2023.4506580340073</v>
      </c>
      <c r="C1564">
        <v>919.9580598919182</v>
      </c>
      <c r="D1564" s="77">
        <v>153.32634331531969</v>
      </c>
      <c r="E1564" s="77">
        <v>153.32634331531969</v>
      </c>
      <c r="F1564" s="77">
        <v>153.32634331531969</v>
      </c>
      <c r="G1564" s="77">
        <v>153.32634331531969</v>
      </c>
      <c r="H1564" s="77">
        <v>153.32634331531969</v>
      </c>
      <c r="I1564" s="77">
        <v>153.32634331531969</v>
      </c>
    </row>
    <row r="1565" spans="2:9">
      <c r="B1565" s="76">
        <v>2023.4325275579195</v>
      </c>
      <c r="C1565">
        <v>930.58014276095389</v>
      </c>
      <c r="D1565" s="77">
        <v>155.09669046015898</v>
      </c>
      <c r="E1565" s="77">
        <v>155.09669046015898</v>
      </c>
      <c r="F1565" s="77">
        <v>155.09669046015898</v>
      </c>
      <c r="G1565" s="77">
        <v>155.09669046015898</v>
      </c>
      <c r="H1565" s="77">
        <v>155.09669046015898</v>
      </c>
      <c r="I1565" s="77">
        <v>155.09669046015898</v>
      </c>
    </row>
    <row r="1566" spans="2:9">
      <c r="B1566" s="76">
        <v>2023.1268612559504</v>
      </c>
      <c r="C1566">
        <v>875.99133581557521</v>
      </c>
      <c r="D1566" s="77">
        <v>145.99855596926253</v>
      </c>
      <c r="E1566" s="77">
        <v>145.99855596926253</v>
      </c>
      <c r="F1566" s="77">
        <v>145.99855596926253</v>
      </c>
      <c r="G1566" s="77">
        <v>145.99855596926253</v>
      </c>
      <c r="H1566" s="77">
        <v>145.99855596926253</v>
      </c>
      <c r="I1566" s="77">
        <v>145.99855596926253</v>
      </c>
    </row>
    <row r="1567" spans="2:9">
      <c r="B1567" s="76">
        <v>2024.9589966186345</v>
      </c>
      <c r="C1567">
        <v>1182.4435428242891</v>
      </c>
      <c r="D1567" s="77">
        <v>197.07392380404818</v>
      </c>
      <c r="E1567" s="77">
        <v>197.07392380404818</v>
      </c>
      <c r="F1567" s="77">
        <v>197.07392380404818</v>
      </c>
      <c r="G1567" s="77">
        <v>197.07392380404818</v>
      </c>
      <c r="H1567" s="77">
        <v>197.07392380404818</v>
      </c>
      <c r="I1567" s="77">
        <v>197.07392380404818</v>
      </c>
    </row>
    <row r="1568" spans="2:9">
      <c r="B1568" s="76">
        <v>2023.7645655318304</v>
      </c>
      <c r="C1568">
        <v>977.74758828769393</v>
      </c>
      <c r="D1568" s="77">
        <v>162.95793138128232</v>
      </c>
      <c r="E1568" s="77">
        <v>162.95793138128232</v>
      </c>
      <c r="F1568" s="77">
        <v>162.95793138128232</v>
      </c>
      <c r="G1568" s="77">
        <v>162.95793138128232</v>
      </c>
      <c r="H1568" s="77">
        <v>162.95793138128232</v>
      </c>
      <c r="I1568" s="77">
        <v>162.95793138128232</v>
      </c>
    </row>
    <row r="1569" spans="2:9">
      <c r="B1569" s="76">
        <v>2024.4323707398764</v>
      </c>
      <c r="C1569">
        <v>1027.0431750704629</v>
      </c>
      <c r="D1569" s="77">
        <v>171.17386251174381</v>
      </c>
      <c r="E1569" s="77">
        <v>171.17386251174381</v>
      </c>
      <c r="F1569" s="77">
        <v>171.17386251174381</v>
      </c>
      <c r="G1569" s="77">
        <v>171.17386251174381</v>
      </c>
      <c r="H1569" s="77">
        <v>171.17386251174381</v>
      </c>
      <c r="I1569" s="77">
        <v>171.17386251174381</v>
      </c>
    </row>
    <row r="1570" spans="2:9">
      <c r="B1570" s="76">
        <v>2022.6956423588731</v>
      </c>
      <c r="C1570">
        <v>844.67733837284027</v>
      </c>
      <c r="D1570" s="77">
        <v>140.77955639547338</v>
      </c>
      <c r="E1570" s="77">
        <v>140.77955639547338</v>
      </c>
      <c r="F1570" s="77">
        <v>140.77955639547338</v>
      </c>
      <c r="G1570" s="77">
        <v>140.77955639547338</v>
      </c>
      <c r="H1570" s="77">
        <v>140.77955639547338</v>
      </c>
      <c r="I1570" s="77">
        <v>140.77955639547338</v>
      </c>
    </row>
    <row r="1571" spans="2:9">
      <c r="B1571" s="76">
        <v>2022.8239887735899</v>
      </c>
      <c r="C1571">
        <v>908.62722885493758</v>
      </c>
      <c r="D1571" s="77">
        <v>151.43787147582293</v>
      </c>
      <c r="E1571" s="77">
        <v>151.43787147582293</v>
      </c>
      <c r="F1571" s="77">
        <v>151.43787147582293</v>
      </c>
      <c r="G1571" s="77">
        <v>151.43787147582293</v>
      </c>
      <c r="H1571" s="77">
        <v>151.43787147582293</v>
      </c>
      <c r="I1571" s="77">
        <v>151.43787147582293</v>
      </c>
    </row>
    <row r="1572" spans="2:9">
      <c r="B1572" s="76">
        <v>2022.9224388381967</v>
      </c>
      <c r="C1572">
        <v>939.24535360177993</v>
      </c>
      <c r="D1572" s="77">
        <v>156.54089226696331</v>
      </c>
      <c r="E1572" s="77">
        <v>156.54089226696331</v>
      </c>
      <c r="F1572" s="77">
        <v>156.54089226696331</v>
      </c>
      <c r="G1572" s="77">
        <v>156.54089226696331</v>
      </c>
      <c r="H1572" s="77">
        <v>156.54089226696331</v>
      </c>
      <c r="I1572" s="77">
        <v>156.54089226696331</v>
      </c>
    </row>
    <row r="1573" spans="2:9">
      <c r="B1573" s="76">
        <v>2023.0108067101967</v>
      </c>
      <c r="C1573">
        <v>907.02332343709315</v>
      </c>
      <c r="D1573" s="77">
        <v>151.17055390618219</v>
      </c>
      <c r="E1573" s="77">
        <v>151.17055390618219</v>
      </c>
      <c r="F1573" s="77">
        <v>151.17055390618219</v>
      </c>
      <c r="G1573" s="77">
        <v>151.17055390618219</v>
      </c>
      <c r="H1573" s="77">
        <v>151.17055390618219</v>
      </c>
      <c r="I1573" s="77">
        <v>151.17055390618219</v>
      </c>
    </row>
    <row r="1574" spans="2:9">
      <c r="B1574" s="76">
        <v>2023.1615034349313</v>
      </c>
      <c r="C1574">
        <v>893.9364530007889</v>
      </c>
      <c r="D1574" s="77">
        <v>148.98940883346481</v>
      </c>
      <c r="E1574" s="77">
        <v>148.98940883346481</v>
      </c>
      <c r="F1574" s="77">
        <v>148.98940883346481</v>
      </c>
      <c r="G1574" s="77">
        <v>148.98940883346481</v>
      </c>
      <c r="H1574" s="77">
        <v>148.98940883346481</v>
      </c>
      <c r="I1574" s="77">
        <v>148.98940883346481</v>
      </c>
    </row>
    <row r="1575" spans="2:9">
      <c r="B1575" s="76">
        <v>2023.5064392344254</v>
      </c>
      <c r="C1575">
        <v>977.60884048956768</v>
      </c>
      <c r="D1575" s="77">
        <v>162.93480674826128</v>
      </c>
      <c r="E1575" s="77">
        <v>162.93480674826128</v>
      </c>
      <c r="F1575" s="77">
        <v>162.93480674826128</v>
      </c>
      <c r="G1575" s="77">
        <v>162.93480674826128</v>
      </c>
      <c r="H1575" s="77">
        <v>162.93480674826128</v>
      </c>
      <c r="I1575" s="77">
        <v>162.93480674826128</v>
      </c>
    </row>
    <row r="1576" spans="2:9">
      <c r="B1576" s="76">
        <v>2023.6495179739043</v>
      </c>
      <c r="C1576">
        <v>967.79213667925546</v>
      </c>
      <c r="D1576" s="77">
        <v>161.29868944654257</v>
      </c>
      <c r="E1576" s="77">
        <v>161.29868944654257</v>
      </c>
      <c r="F1576" s="77">
        <v>161.29868944654257</v>
      </c>
      <c r="G1576" s="77">
        <v>161.29868944654257</v>
      </c>
      <c r="H1576" s="77">
        <v>161.29868944654257</v>
      </c>
      <c r="I1576" s="77">
        <v>161.29868944654257</v>
      </c>
    </row>
    <row r="1577" spans="2:9">
      <c r="B1577" s="76">
        <v>2023.6091883489655</v>
      </c>
      <c r="C1577">
        <v>1022.3310170326184</v>
      </c>
      <c r="D1577" s="77">
        <v>170.38850283876974</v>
      </c>
      <c r="E1577" s="77">
        <v>170.38850283876974</v>
      </c>
      <c r="F1577" s="77">
        <v>170.38850283876974</v>
      </c>
      <c r="G1577" s="77">
        <v>170.38850283876974</v>
      </c>
      <c r="H1577" s="77">
        <v>170.38850283876974</v>
      </c>
      <c r="I1577" s="77">
        <v>170.38850283876974</v>
      </c>
    </row>
    <row r="1578" spans="2:9">
      <c r="B1578" s="76">
        <v>2023.4177168622737</v>
      </c>
      <c r="C1578">
        <v>972.57021857699101</v>
      </c>
      <c r="D1578" s="77">
        <v>162.09503642949849</v>
      </c>
      <c r="E1578" s="77">
        <v>162.09503642949849</v>
      </c>
      <c r="F1578" s="77">
        <v>162.09503642949849</v>
      </c>
      <c r="G1578" s="77">
        <v>162.09503642949849</v>
      </c>
      <c r="H1578" s="77">
        <v>162.09503642949849</v>
      </c>
      <c r="I1578" s="77">
        <v>162.09503642949849</v>
      </c>
    </row>
    <row r="1579" spans="2:9">
      <c r="B1579" s="76">
        <v>2025.0457358403032</v>
      </c>
      <c r="C1579">
        <v>1105.0945524876799</v>
      </c>
      <c r="D1579" s="77">
        <v>184.18242541461333</v>
      </c>
      <c r="E1579" s="77">
        <v>184.18242541461333</v>
      </c>
      <c r="F1579" s="77">
        <v>184.18242541461333</v>
      </c>
      <c r="G1579" s="77">
        <v>184.18242541461333</v>
      </c>
      <c r="H1579" s="77">
        <v>184.18242541461333</v>
      </c>
      <c r="I1579" s="77">
        <v>184.18242541461333</v>
      </c>
    </row>
    <row r="1580" spans="2:9">
      <c r="B1580" s="76">
        <v>2022.8716380569604</v>
      </c>
      <c r="C1580">
        <v>830.35206424958744</v>
      </c>
      <c r="D1580" s="77">
        <v>138.39201070826456</v>
      </c>
      <c r="E1580" s="77">
        <v>138.39201070826456</v>
      </c>
      <c r="F1580" s="77">
        <v>138.39201070826456</v>
      </c>
      <c r="G1580" s="77">
        <v>138.39201070826456</v>
      </c>
      <c r="H1580" s="77">
        <v>138.39201070826456</v>
      </c>
      <c r="I1580" s="77">
        <v>138.39201070826456</v>
      </c>
    </row>
    <row r="1581" spans="2:9">
      <c r="B1581" s="76">
        <v>2023.4275330179657</v>
      </c>
      <c r="C1581">
        <v>949.35810438300928</v>
      </c>
      <c r="D1581" s="77">
        <v>158.22635073050154</v>
      </c>
      <c r="E1581" s="77">
        <v>158.22635073050154</v>
      </c>
      <c r="F1581" s="77">
        <v>158.22635073050154</v>
      </c>
      <c r="G1581" s="77">
        <v>158.22635073050154</v>
      </c>
      <c r="H1581" s="77">
        <v>158.22635073050154</v>
      </c>
      <c r="I1581" s="77">
        <v>158.22635073050154</v>
      </c>
    </row>
    <row r="1582" spans="2:9">
      <c r="B1582" s="76">
        <v>2023.7293496954787</v>
      </c>
      <c r="C1582">
        <v>973.35655856596077</v>
      </c>
      <c r="D1582" s="77">
        <v>162.22609309432679</v>
      </c>
      <c r="E1582" s="77">
        <v>162.22609309432679</v>
      </c>
      <c r="F1582" s="77">
        <v>162.22609309432679</v>
      </c>
      <c r="G1582" s="77">
        <v>162.22609309432679</v>
      </c>
      <c r="H1582" s="77">
        <v>162.22609309432679</v>
      </c>
      <c r="I1582" s="77">
        <v>162.22609309432679</v>
      </c>
    </row>
    <row r="1583" spans="2:9">
      <c r="B1583" s="76">
        <v>2022.9789041350325</v>
      </c>
      <c r="C1583">
        <v>895.04315978015165</v>
      </c>
      <c r="D1583" s="77">
        <v>149.17385996335861</v>
      </c>
      <c r="E1583" s="77">
        <v>149.17385996335861</v>
      </c>
      <c r="F1583" s="77">
        <v>149.17385996335861</v>
      </c>
      <c r="G1583" s="77">
        <v>149.17385996335861</v>
      </c>
      <c r="H1583" s="77">
        <v>149.17385996335861</v>
      </c>
      <c r="I1583" s="77">
        <v>149.17385996335861</v>
      </c>
    </row>
    <row r="1584" spans="2:9">
      <c r="B1584" s="76">
        <v>2023.3814680504656</v>
      </c>
      <c r="C1584">
        <v>975.49806653727069</v>
      </c>
      <c r="D1584" s="77">
        <v>162.58301108954512</v>
      </c>
      <c r="E1584" s="77">
        <v>162.58301108954512</v>
      </c>
      <c r="F1584" s="77">
        <v>162.58301108954512</v>
      </c>
      <c r="G1584" s="77">
        <v>162.58301108954512</v>
      </c>
      <c r="H1584" s="77">
        <v>162.58301108954512</v>
      </c>
      <c r="I1584" s="77">
        <v>162.58301108954512</v>
      </c>
    </row>
    <row r="1585" spans="2:9">
      <c r="B1585" s="76">
        <v>2023.3250735614026</v>
      </c>
      <c r="C1585">
        <v>891.2448055772536</v>
      </c>
      <c r="D1585" s="77">
        <v>148.54080092954226</v>
      </c>
      <c r="E1585" s="77">
        <v>148.54080092954226</v>
      </c>
      <c r="F1585" s="77">
        <v>148.54080092954226</v>
      </c>
      <c r="G1585" s="77">
        <v>148.54080092954226</v>
      </c>
      <c r="H1585" s="77">
        <v>148.54080092954226</v>
      </c>
      <c r="I1585" s="77">
        <v>148.54080092954226</v>
      </c>
    </row>
    <row r="1586" spans="2:9">
      <c r="B1586" s="76">
        <v>2022.8838747258828</v>
      </c>
      <c r="C1586">
        <v>898.41369145486976</v>
      </c>
      <c r="D1586" s="77">
        <v>149.7356152424783</v>
      </c>
      <c r="E1586" s="77">
        <v>149.7356152424783</v>
      </c>
      <c r="F1586" s="77">
        <v>149.7356152424783</v>
      </c>
      <c r="G1586" s="77">
        <v>149.7356152424783</v>
      </c>
      <c r="H1586" s="77">
        <v>149.7356152424783</v>
      </c>
      <c r="I1586" s="77">
        <v>149.7356152424783</v>
      </c>
    </row>
    <row r="1587" spans="2:9">
      <c r="B1587" s="76">
        <v>2022.740586455797</v>
      </c>
      <c r="C1587">
        <v>857.09531336400516</v>
      </c>
      <c r="D1587" s="77">
        <v>142.84921889400087</v>
      </c>
      <c r="E1587" s="77">
        <v>142.84921889400087</v>
      </c>
      <c r="F1587" s="77">
        <v>142.84921889400087</v>
      </c>
      <c r="G1587" s="77">
        <v>142.84921889400087</v>
      </c>
      <c r="H1587" s="77">
        <v>142.84921889400087</v>
      </c>
      <c r="I1587" s="77">
        <v>142.84921889400087</v>
      </c>
    </row>
    <row r="1588" spans="2:9">
      <c r="B1588" s="76">
        <v>2024.8347061146162</v>
      </c>
      <c r="C1588">
        <v>1163.3102664214973</v>
      </c>
      <c r="D1588" s="77">
        <v>193.8850444035829</v>
      </c>
      <c r="E1588" s="77">
        <v>193.8850444035829</v>
      </c>
      <c r="F1588" s="77">
        <v>193.8850444035829</v>
      </c>
      <c r="G1588" s="77">
        <v>193.8850444035829</v>
      </c>
      <c r="H1588" s="77">
        <v>193.8850444035829</v>
      </c>
      <c r="I1588" s="77">
        <v>193.8850444035829</v>
      </c>
    </row>
    <row r="1589" spans="2:9">
      <c r="B1589" s="76">
        <v>2024.4542897687463</v>
      </c>
      <c r="C1589">
        <v>1022.3236636767131</v>
      </c>
      <c r="D1589" s="77">
        <v>170.38727727945218</v>
      </c>
      <c r="E1589" s="77">
        <v>170.38727727945218</v>
      </c>
      <c r="F1589" s="77">
        <v>170.38727727945218</v>
      </c>
      <c r="G1589" s="77">
        <v>170.38727727945218</v>
      </c>
      <c r="H1589" s="77">
        <v>170.38727727945218</v>
      </c>
      <c r="I1589" s="77">
        <v>170.38727727945218</v>
      </c>
    </row>
    <row r="1590" spans="2:9">
      <c r="B1590" s="76">
        <v>2023.2262029017847</v>
      </c>
      <c r="C1590">
        <v>913.7982409888433</v>
      </c>
      <c r="D1590" s="77">
        <v>152.29970683147388</v>
      </c>
      <c r="E1590" s="77">
        <v>152.29970683147388</v>
      </c>
      <c r="F1590" s="77">
        <v>152.29970683147388</v>
      </c>
      <c r="G1590" s="77">
        <v>152.29970683147388</v>
      </c>
      <c r="H1590" s="77">
        <v>152.29970683147388</v>
      </c>
      <c r="I1590" s="77">
        <v>152.29970683147388</v>
      </c>
    </row>
    <row r="1591" spans="2:9">
      <c r="B1591" s="76">
        <v>2025.3901736423243</v>
      </c>
      <c r="C1591">
        <v>1231.7705180944058</v>
      </c>
      <c r="D1591" s="77">
        <v>205.29508634906765</v>
      </c>
      <c r="E1591" s="77">
        <v>205.29508634906765</v>
      </c>
      <c r="F1591" s="77">
        <v>205.29508634906765</v>
      </c>
      <c r="G1591" s="77">
        <v>205.29508634906765</v>
      </c>
      <c r="H1591" s="77">
        <v>205.29508634906765</v>
      </c>
      <c r="I1591" s="77">
        <v>205.29508634906765</v>
      </c>
    </row>
    <row r="1592" spans="2:9">
      <c r="B1592" s="76">
        <v>2023.0140657256859</v>
      </c>
      <c r="C1592">
        <v>862.57604363174016</v>
      </c>
      <c r="D1592" s="77">
        <v>143.76267393862335</v>
      </c>
      <c r="E1592" s="77">
        <v>143.76267393862335</v>
      </c>
      <c r="F1592" s="77">
        <v>143.76267393862335</v>
      </c>
      <c r="G1592" s="77">
        <v>143.76267393862335</v>
      </c>
      <c r="H1592" s="77">
        <v>143.76267393862335</v>
      </c>
      <c r="I1592" s="77">
        <v>143.76267393862335</v>
      </c>
    </row>
    <row r="1593" spans="2:9">
      <c r="B1593" s="76">
        <v>2022.7689714439557</v>
      </c>
      <c r="C1593">
        <v>819.58328662930728</v>
      </c>
      <c r="D1593" s="77">
        <v>136.59721443821789</v>
      </c>
      <c r="E1593" s="77">
        <v>136.59721443821789</v>
      </c>
      <c r="F1593" s="77">
        <v>136.59721443821789</v>
      </c>
      <c r="G1593" s="77">
        <v>136.59721443821789</v>
      </c>
      <c r="H1593" s="77">
        <v>136.59721443821789</v>
      </c>
      <c r="I1593" s="77">
        <v>136.59721443821789</v>
      </c>
    </row>
    <row r="1594" spans="2:9">
      <c r="B1594" s="76">
        <v>2023.0087103378999</v>
      </c>
      <c r="C1594">
        <v>895.81541323931924</v>
      </c>
      <c r="D1594" s="77">
        <v>149.30256887321988</v>
      </c>
      <c r="E1594" s="77">
        <v>149.30256887321988</v>
      </c>
      <c r="F1594" s="77">
        <v>149.30256887321988</v>
      </c>
      <c r="G1594" s="77">
        <v>149.30256887321988</v>
      </c>
      <c r="H1594" s="77">
        <v>149.30256887321988</v>
      </c>
      <c r="I1594" s="77">
        <v>149.30256887321988</v>
      </c>
    </row>
    <row r="1595" spans="2:9">
      <c r="B1595" s="76">
        <v>2023.0610017978252</v>
      </c>
      <c r="C1595">
        <v>906.42426762464993</v>
      </c>
      <c r="D1595" s="77">
        <v>151.07071127077498</v>
      </c>
      <c r="E1595" s="77">
        <v>151.07071127077498</v>
      </c>
      <c r="F1595" s="77">
        <v>151.07071127077498</v>
      </c>
      <c r="G1595" s="77">
        <v>151.07071127077498</v>
      </c>
      <c r="H1595" s="77">
        <v>151.07071127077498</v>
      </c>
      <c r="I1595" s="77">
        <v>151.07071127077498</v>
      </c>
    </row>
    <row r="1596" spans="2:9">
      <c r="B1596" s="76">
        <v>2022.9825692593583</v>
      </c>
      <c r="C1596">
        <v>883.49749303148212</v>
      </c>
      <c r="D1596" s="77">
        <v>147.24958217191369</v>
      </c>
      <c r="E1596" s="77">
        <v>147.24958217191369</v>
      </c>
      <c r="F1596" s="77">
        <v>147.24958217191369</v>
      </c>
      <c r="G1596" s="77">
        <v>147.24958217191369</v>
      </c>
      <c r="H1596" s="77">
        <v>147.24958217191369</v>
      </c>
      <c r="I1596" s="77">
        <v>147.24958217191369</v>
      </c>
    </row>
    <row r="1597" spans="2:9">
      <c r="B1597" s="76">
        <v>2022.7265965451572</v>
      </c>
      <c r="C1597">
        <v>895.3134553585212</v>
      </c>
      <c r="D1597" s="77">
        <v>149.21890922642021</v>
      </c>
      <c r="E1597" s="77">
        <v>149.21890922642021</v>
      </c>
      <c r="F1597" s="77">
        <v>149.21890922642021</v>
      </c>
      <c r="G1597" s="77">
        <v>149.21890922642021</v>
      </c>
      <c r="H1597" s="77">
        <v>149.21890922642021</v>
      </c>
      <c r="I1597" s="77">
        <v>149.21890922642021</v>
      </c>
    </row>
    <row r="1598" spans="2:9">
      <c r="B1598" s="76">
        <v>2023.1495038697849</v>
      </c>
      <c r="C1598">
        <v>944.20509842792217</v>
      </c>
      <c r="D1598" s="77">
        <v>157.36751640465368</v>
      </c>
      <c r="E1598" s="77">
        <v>157.36751640465368</v>
      </c>
      <c r="F1598" s="77">
        <v>157.36751640465368</v>
      </c>
      <c r="G1598" s="77">
        <v>157.36751640465368</v>
      </c>
      <c r="H1598" s="77">
        <v>157.36751640465368</v>
      </c>
      <c r="I1598" s="77">
        <v>157.36751640465368</v>
      </c>
    </row>
    <row r="1599" spans="2:9">
      <c r="B1599" s="76">
        <v>2024.0351523691584</v>
      </c>
      <c r="C1599">
        <v>1059.7287569229993</v>
      </c>
      <c r="D1599" s="77">
        <v>176.62145948716656</v>
      </c>
      <c r="E1599" s="77">
        <v>176.62145948716656</v>
      </c>
      <c r="F1599" s="77">
        <v>176.62145948716656</v>
      </c>
      <c r="G1599" s="77">
        <v>176.62145948716656</v>
      </c>
      <c r="H1599" s="77">
        <v>176.62145948716656</v>
      </c>
      <c r="I1599" s="77">
        <v>176.62145948716656</v>
      </c>
    </row>
    <row r="1600" spans="2:9">
      <c r="B1600" s="76">
        <v>2023.3432695269848</v>
      </c>
      <c r="C1600">
        <v>911.06157913300717</v>
      </c>
      <c r="D1600" s="77">
        <v>151.84359652216787</v>
      </c>
      <c r="E1600" s="77">
        <v>151.84359652216787</v>
      </c>
      <c r="F1600" s="77">
        <v>151.84359652216787</v>
      </c>
      <c r="G1600" s="77">
        <v>151.84359652216787</v>
      </c>
      <c r="H1600" s="77">
        <v>151.84359652216787</v>
      </c>
      <c r="I1600" s="77">
        <v>151.84359652216787</v>
      </c>
    </row>
    <row r="1601" spans="2:9">
      <c r="B1601" s="76">
        <v>2022.8105042580951</v>
      </c>
      <c r="C1601">
        <v>866.01323189091499</v>
      </c>
      <c r="D1601" s="77">
        <v>144.33553864848582</v>
      </c>
      <c r="E1601" s="77">
        <v>144.33553864848582</v>
      </c>
      <c r="F1601" s="77">
        <v>144.33553864848582</v>
      </c>
      <c r="G1601" s="77">
        <v>144.33553864848582</v>
      </c>
      <c r="H1601" s="77">
        <v>144.33553864848582</v>
      </c>
      <c r="I1601" s="77">
        <v>144.33553864848582</v>
      </c>
    </row>
    <row r="1602" spans="2:9">
      <c r="B1602" s="76">
        <v>2023.1353669597593</v>
      </c>
      <c r="C1602">
        <v>856.99485597980004</v>
      </c>
      <c r="D1602" s="77">
        <v>142.83247599663335</v>
      </c>
      <c r="E1602" s="77">
        <v>142.83247599663335</v>
      </c>
      <c r="F1602" s="77">
        <v>142.83247599663335</v>
      </c>
      <c r="G1602" s="77">
        <v>142.83247599663335</v>
      </c>
      <c r="H1602" s="77">
        <v>142.83247599663335</v>
      </c>
      <c r="I1602" s="77">
        <v>142.83247599663335</v>
      </c>
    </row>
    <row r="1603" spans="2:9">
      <c r="B1603" s="76">
        <v>2023.2537356173473</v>
      </c>
      <c r="C1603">
        <v>874.70994636260275</v>
      </c>
      <c r="D1603" s="77">
        <v>145.78499106043378</v>
      </c>
      <c r="E1603" s="77">
        <v>145.78499106043378</v>
      </c>
      <c r="F1603" s="77">
        <v>145.78499106043378</v>
      </c>
      <c r="G1603" s="77">
        <v>145.78499106043378</v>
      </c>
      <c r="H1603" s="77">
        <v>145.78499106043378</v>
      </c>
      <c r="I1603" s="77">
        <v>145.78499106043378</v>
      </c>
    </row>
    <row r="1604" spans="2:9">
      <c r="B1604" s="76">
        <v>2023.1580463096557</v>
      </c>
      <c r="C1604">
        <v>965.36923150574432</v>
      </c>
      <c r="D1604" s="77">
        <v>160.89487191762404</v>
      </c>
      <c r="E1604" s="77">
        <v>160.89487191762404</v>
      </c>
      <c r="F1604" s="77">
        <v>160.89487191762404</v>
      </c>
      <c r="G1604" s="77">
        <v>160.89487191762404</v>
      </c>
      <c r="H1604" s="77">
        <v>160.89487191762404</v>
      </c>
      <c r="I1604" s="77">
        <v>160.89487191762404</v>
      </c>
    </row>
    <row r="1605" spans="2:9">
      <c r="B1605" s="76">
        <v>2022.9834864691425</v>
      </c>
      <c r="C1605">
        <v>839.25906123816924</v>
      </c>
      <c r="D1605" s="77">
        <v>139.87651020636153</v>
      </c>
      <c r="E1605" s="77">
        <v>139.87651020636153</v>
      </c>
      <c r="F1605" s="77">
        <v>139.87651020636153</v>
      </c>
      <c r="G1605" s="77">
        <v>139.87651020636153</v>
      </c>
      <c r="H1605" s="77">
        <v>139.87651020636153</v>
      </c>
      <c r="I1605" s="77">
        <v>139.87651020636153</v>
      </c>
    </row>
    <row r="1606" spans="2:9">
      <c r="B1606" s="76">
        <v>2022.653605141446</v>
      </c>
      <c r="C1606">
        <v>812.13242595842496</v>
      </c>
      <c r="D1606" s="77">
        <v>135.35540432640417</v>
      </c>
      <c r="E1606" s="77">
        <v>135.35540432640417</v>
      </c>
      <c r="F1606" s="77">
        <v>135.35540432640417</v>
      </c>
      <c r="G1606" s="77">
        <v>135.35540432640417</v>
      </c>
      <c r="H1606" s="77">
        <v>135.35540432640417</v>
      </c>
      <c r="I1606" s="77">
        <v>135.35540432640417</v>
      </c>
    </row>
    <row r="1607" spans="2:9">
      <c r="B1607" s="76">
        <v>2023.3946748823814</v>
      </c>
      <c r="C1607">
        <v>892.51178098798198</v>
      </c>
      <c r="D1607" s="77">
        <v>148.751963497997</v>
      </c>
      <c r="E1607" s="77">
        <v>148.751963497997</v>
      </c>
      <c r="F1607" s="77">
        <v>148.751963497997</v>
      </c>
      <c r="G1607" s="77">
        <v>148.751963497997</v>
      </c>
      <c r="H1607" s="77">
        <v>148.751963497997</v>
      </c>
      <c r="I1607" s="77">
        <v>148.751963497997</v>
      </c>
    </row>
    <row r="1608" spans="2:9">
      <c r="B1608" s="76">
        <v>2022.9990344385883</v>
      </c>
      <c r="C1608">
        <v>880.53191830363608</v>
      </c>
      <c r="D1608" s="77">
        <v>146.75531971727267</v>
      </c>
      <c r="E1608" s="77">
        <v>146.75531971727267</v>
      </c>
      <c r="F1608" s="77">
        <v>146.75531971727267</v>
      </c>
      <c r="G1608" s="77">
        <v>146.75531971727267</v>
      </c>
      <c r="H1608" s="77">
        <v>146.75531971727267</v>
      </c>
      <c r="I1608" s="77">
        <v>146.75531971727267</v>
      </c>
    </row>
    <row r="1609" spans="2:9">
      <c r="B1609" s="76">
        <v>2025.1170033353972</v>
      </c>
      <c r="C1609">
        <v>1122.3141842969019</v>
      </c>
      <c r="D1609" s="77">
        <v>187.05236404948366</v>
      </c>
      <c r="E1609" s="77">
        <v>187.05236404948366</v>
      </c>
      <c r="F1609" s="77">
        <v>187.05236404948366</v>
      </c>
      <c r="G1609" s="77">
        <v>187.05236404948366</v>
      </c>
      <c r="H1609" s="77">
        <v>187.05236404948366</v>
      </c>
      <c r="I1609" s="77">
        <v>187.05236404948366</v>
      </c>
    </row>
    <row r="1610" spans="2:9">
      <c r="B1610" s="76">
        <v>2023.1630513808866</v>
      </c>
      <c r="C1610">
        <v>967.46884212460986</v>
      </c>
      <c r="D1610" s="77">
        <v>161.24480702076832</v>
      </c>
      <c r="E1610" s="77">
        <v>161.24480702076832</v>
      </c>
      <c r="F1610" s="77">
        <v>161.24480702076832</v>
      </c>
      <c r="G1610" s="77">
        <v>161.24480702076832</v>
      </c>
      <c r="H1610" s="77">
        <v>161.24480702076832</v>
      </c>
      <c r="I1610" s="77">
        <v>161.24480702076832</v>
      </c>
    </row>
    <row r="1611" spans="2:9">
      <c r="B1611" s="76">
        <v>2024.5044458892191</v>
      </c>
      <c r="C1611">
        <v>1093.4061159261569</v>
      </c>
      <c r="D1611" s="77">
        <v>182.23435265435947</v>
      </c>
      <c r="E1611" s="77">
        <v>182.23435265435947</v>
      </c>
      <c r="F1611" s="77">
        <v>182.23435265435947</v>
      </c>
      <c r="G1611" s="77">
        <v>182.23435265435947</v>
      </c>
      <c r="H1611" s="77">
        <v>182.23435265435947</v>
      </c>
      <c r="I1611" s="77">
        <v>182.23435265435947</v>
      </c>
    </row>
    <row r="1612" spans="2:9">
      <c r="B1612" s="76">
        <v>2022.7289382467036</v>
      </c>
      <c r="C1612">
        <v>820.96396220196959</v>
      </c>
      <c r="D1612" s="77">
        <v>136.82732703366159</v>
      </c>
      <c r="E1612" s="77">
        <v>136.82732703366159</v>
      </c>
      <c r="F1612" s="77">
        <v>136.82732703366159</v>
      </c>
      <c r="G1612" s="77">
        <v>136.82732703366159</v>
      </c>
      <c r="H1612" s="77">
        <v>136.82732703366159</v>
      </c>
      <c r="I1612" s="77">
        <v>136.82732703366159</v>
      </c>
    </row>
    <row r="1613" spans="2:9">
      <c r="B1613" s="76">
        <v>2024.4106791892732</v>
      </c>
      <c r="C1613">
        <v>1040.1074619447081</v>
      </c>
      <c r="D1613" s="77">
        <v>173.35124365745136</v>
      </c>
      <c r="E1613" s="77">
        <v>173.35124365745136</v>
      </c>
      <c r="F1613" s="77">
        <v>173.35124365745136</v>
      </c>
      <c r="G1613" s="77">
        <v>173.35124365745136</v>
      </c>
      <c r="H1613" s="77">
        <v>173.35124365745136</v>
      </c>
      <c r="I1613" s="77">
        <v>173.35124365745136</v>
      </c>
    </row>
    <row r="1614" spans="2:9">
      <c r="B1614" s="76">
        <v>2022.8196349087179</v>
      </c>
      <c r="C1614">
        <v>887.13970473662687</v>
      </c>
      <c r="D1614" s="77">
        <v>147.85661745610449</v>
      </c>
      <c r="E1614" s="77">
        <v>147.85661745610449</v>
      </c>
      <c r="F1614" s="77">
        <v>147.85661745610449</v>
      </c>
      <c r="G1614" s="77">
        <v>147.85661745610449</v>
      </c>
      <c r="H1614" s="77">
        <v>147.85661745610449</v>
      </c>
      <c r="I1614" s="77">
        <v>147.85661745610449</v>
      </c>
    </row>
    <row r="1615" spans="2:9">
      <c r="B1615" s="76">
        <v>2023.5023038876961</v>
      </c>
      <c r="C1615">
        <v>909.31157273950646</v>
      </c>
      <c r="D1615" s="77">
        <v>151.55192878991775</v>
      </c>
      <c r="E1615" s="77">
        <v>151.55192878991775</v>
      </c>
      <c r="F1615" s="77">
        <v>151.55192878991775</v>
      </c>
      <c r="G1615" s="77">
        <v>151.55192878991775</v>
      </c>
      <c r="H1615" s="77">
        <v>151.55192878991775</v>
      </c>
      <c r="I1615" s="77">
        <v>151.55192878991775</v>
      </c>
    </row>
    <row r="1616" spans="2:9">
      <c r="B1616" s="76">
        <v>2023.6497812220696</v>
      </c>
      <c r="C1616">
        <v>942.24149044992862</v>
      </c>
      <c r="D1616" s="77">
        <v>157.04024840832145</v>
      </c>
      <c r="E1616" s="77">
        <v>157.04024840832145</v>
      </c>
      <c r="F1616" s="77">
        <v>157.04024840832145</v>
      </c>
      <c r="G1616" s="77">
        <v>157.04024840832145</v>
      </c>
      <c r="H1616" s="77">
        <v>157.04024840832145</v>
      </c>
      <c r="I1616" s="77">
        <v>157.04024840832145</v>
      </c>
    </row>
    <row r="1617" spans="2:9">
      <c r="B1617" s="76">
        <v>2024.9828243688037</v>
      </c>
      <c r="C1617">
        <v>1119.5191971458537</v>
      </c>
      <c r="D1617" s="77">
        <v>186.58653285764228</v>
      </c>
      <c r="E1617" s="77">
        <v>186.58653285764228</v>
      </c>
      <c r="F1617" s="77">
        <v>186.58653285764228</v>
      </c>
      <c r="G1617" s="77">
        <v>186.58653285764228</v>
      </c>
      <c r="H1617" s="77">
        <v>186.58653285764228</v>
      </c>
      <c r="I1617" s="77">
        <v>186.58653285764228</v>
      </c>
    </row>
    <row r="1618" spans="2:9">
      <c r="B1618" s="76">
        <v>2022.9224395172557</v>
      </c>
      <c r="C1618">
        <v>885.26194775755641</v>
      </c>
      <c r="D1618" s="77">
        <v>147.54365795959274</v>
      </c>
      <c r="E1618" s="77">
        <v>147.54365795959274</v>
      </c>
      <c r="F1618" s="77">
        <v>147.54365795959274</v>
      </c>
      <c r="G1618" s="77">
        <v>147.54365795959274</v>
      </c>
      <c r="H1618" s="77">
        <v>147.54365795959274</v>
      </c>
      <c r="I1618" s="77">
        <v>147.54365795959274</v>
      </c>
    </row>
    <row r="1619" spans="2:9">
      <c r="B1619" s="76">
        <v>2023.0099862560119</v>
      </c>
      <c r="C1619">
        <v>904.17975012964985</v>
      </c>
      <c r="D1619" s="77">
        <v>150.6966250216083</v>
      </c>
      <c r="E1619" s="77">
        <v>150.6966250216083</v>
      </c>
      <c r="F1619" s="77">
        <v>150.6966250216083</v>
      </c>
      <c r="G1619" s="77">
        <v>150.6966250216083</v>
      </c>
      <c r="H1619" s="77">
        <v>150.6966250216083</v>
      </c>
      <c r="I1619" s="77">
        <v>150.6966250216083</v>
      </c>
    </row>
    <row r="1620" spans="2:9">
      <c r="B1620" s="76">
        <v>2022.9079267126506</v>
      </c>
      <c r="C1620">
        <v>878.70134897383662</v>
      </c>
      <c r="D1620" s="77">
        <v>146.45022482897278</v>
      </c>
      <c r="E1620" s="77">
        <v>146.45022482897278</v>
      </c>
      <c r="F1620" s="77">
        <v>146.45022482897278</v>
      </c>
      <c r="G1620" s="77">
        <v>146.45022482897278</v>
      </c>
      <c r="H1620" s="77">
        <v>146.45022482897278</v>
      </c>
      <c r="I1620" s="77">
        <v>146.45022482897278</v>
      </c>
    </row>
    <row r="1621" spans="2:9">
      <c r="B1621" s="76">
        <v>2022.7020236484873</v>
      </c>
      <c r="C1621">
        <v>863.63109670639369</v>
      </c>
      <c r="D1621" s="77">
        <v>143.93851611773229</v>
      </c>
      <c r="E1621" s="77">
        <v>143.93851611773229</v>
      </c>
      <c r="F1621" s="77">
        <v>143.93851611773229</v>
      </c>
      <c r="G1621" s="77">
        <v>143.93851611773229</v>
      </c>
      <c r="H1621" s="77">
        <v>143.93851611773229</v>
      </c>
      <c r="I1621" s="77">
        <v>143.93851611773229</v>
      </c>
    </row>
    <row r="1622" spans="2:9">
      <c r="B1622" s="76">
        <v>2023.1302002395832</v>
      </c>
      <c r="C1622">
        <v>872.79580175811748</v>
      </c>
      <c r="D1622" s="77">
        <v>145.46596695968626</v>
      </c>
      <c r="E1622" s="77">
        <v>145.46596695968626</v>
      </c>
      <c r="F1622" s="77">
        <v>145.46596695968626</v>
      </c>
      <c r="G1622" s="77">
        <v>145.46596695968626</v>
      </c>
      <c r="H1622" s="77">
        <v>145.46596695968626</v>
      </c>
      <c r="I1622" s="77">
        <v>145.46596695968626</v>
      </c>
    </row>
    <row r="1623" spans="2:9">
      <c r="B1623" s="76">
        <v>2025.2020030383862</v>
      </c>
      <c r="C1623">
        <v>1221.9957468634548</v>
      </c>
      <c r="D1623" s="77">
        <v>203.6659578105758</v>
      </c>
      <c r="E1623" s="77">
        <v>203.6659578105758</v>
      </c>
      <c r="F1623" s="77">
        <v>203.6659578105758</v>
      </c>
      <c r="G1623" s="77">
        <v>203.6659578105758</v>
      </c>
      <c r="H1623" s="77">
        <v>203.6659578105758</v>
      </c>
      <c r="I1623" s="77">
        <v>203.6659578105758</v>
      </c>
    </row>
    <row r="1624" spans="2:9">
      <c r="B1624" s="76">
        <v>2023.0537557535511</v>
      </c>
      <c r="C1624">
        <v>885.81102797717108</v>
      </c>
      <c r="D1624" s="77">
        <v>147.6351713295285</v>
      </c>
      <c r="E1624" s="77">
        <v>147.6351713295285</v>
      </c>
      <c r="F1624" s="77">
        <v>147.6351713295285</v>
      </c>
      <c r="G1624" s="77">
        <v>147.6351713295285</v>
      </c>
      <c r="H1624" s="77">
        <v>147.6351713295285</v>
      </c>
      <c r="I1624" s="77">
        <v>147.6351713295285</v>
      </c>
    </row>
    <row r="1625" spans="2:9">
      <c r="B1625" s="76">
        <v>2023.3004434624233</v>
      </c>
      <c r="C1625">
        <v>978.97317712943652</v>
      </c>
      <c r="D1625" s="77">
        <v>163.16219618823942</v>
      </c>
      <c r="E1625" s="77">
        <v>163.16219618823942</v>
      </c>
      <c r="F1625" s="77">
        <v>163.16219618823942</v>
      </c>
      <c r="G1625" s="77">
        <v>163.16219618823942</v>
      </c>
      <c r="H1625" s="77">
        <v>163.16219618823942</v>
      </c>
      <c r="I1625" s="77">
        <v>163.16219618823942</v>
      </c>
    </row>
    <row r="1626" spans="2:9">
      <c r="B1626" s="76">
        <v>2023.0703321443116</v>
      </c>
      <c r="C1626">
        <v>883.89051346673057</v>
      </c>
      <c r="D1626" s="77">
        <v>147.31508557778844</v>
      </c>
      <c r="E1626" s="77">
        <v>147.31508557778844</v>
      </c>
      <c r="F1626" s="77">
        <v>147.31508557778844</v>
      </c>
      <c r="G1626" s="77">
        <v>147.31508557778844</v>
      </c>
      <c r="H1626" s="77">
        <v>147.31508557778844</v>
      </c>
      <c r="I1626" s="77">
        <v>147.31508557778844</v>
      </c>
    </row>
    <row r="1627" spans="2:9">
      <c r="B1627" s="76">
        <v>2023.3105796206833</v>
      </c>
      <c r="C1627">
        <v>876.53654708099941</v>
      </c>
      <c r="D1627" s="77">
        <v>146.08942451349989</v>
      </c>
      <c r="E1627" s="77">
        <v>146.08942451349989</v>
      </c>
      <c r="F1627" s="77">
        <v>146.08942451349989</v>
      </c>
      <c r="G1627" s="77">
        <v>146.08942451349989</v>
      </c>
      <c r="H1627" s="77">
        <v>146.08942451349989</v>
      </c>
      <c r="I1627" s="77">
        <v>146.08942451349989</v>
      </c>
    </row>
    <row r="1628" spans="2:9">
      <c r="B1628" s="76">
        <v>2022.9276241843274</v>
      </c>
      <c r="C1628">
        <v>872.4317520882887</v>
      </c>
      <c r="D1628" s="77">
        <v>145.40529201471477</v>
      </c>
      <c r="E1628" s="77">
        <v>145.40529201471477</v>
      </c>
      <c r="F1628" s="77">
        <v>145.40529201471477</v>
      </c>
      <c r="G1628" s="77">
        <v>145.40529201471477</v>
      </c>
      <c r="H1628" s="77">
        <v>145.40529201471477</v>
      </c>
      <c r="I1628" s="77">
        <v>145.40529201471477</v>
      </c>
    </row>
    <row r="1629" spans="2:9">
      <c r="B1629" s="76">
        <v>2025.8613305109207</v>
      </c>
      <c r="C1629">
        <v>1249.428728489336</v>
      </c>
      <c r="D1629" s="77">
        <v>208.23812141488932</v>
      </c>
      <c r="E1629" s="77">
        <v>208.23812141488932</v>
      </c>
      <c r="F1629" s="77">
        <v>208.23812141488932</v>
      </c>
      <c r="G1629" s="77">
        <v>208.23812141488932</v>
      </c>
      <c r="H1629" s="77">
        <v>208.23812141488932</v>
      </c>
      <c r="I1629" s="77">
        <v>208.23812141488932</v>
      </c>
    </row>
    <row r="1630" spans="2:9">
      <c r="B1630" s="76">
        <v>2022.991051590195</v>
      </c>
      <c r="C1630">
        <v>904.48955698725786</v>
      </c>
      <c r="D1630" s="77">
        <v>150.74825949787632</v>
      </c>
      <c r="E1630" s="77">
        <v>150.74825949787632</v>
      </c>
      <c r="F1630" s="77">
        <v>150.74825949787632</v>
      </c>
      <c r="G1630" s="77">
        <v>150.74825949787632</v>
      </c>
      <c r="H1630" s="77">
        <v>150.74825949787632</v>
      </c>
      <c r="I1630" s="77">
        <v>150.74825949787632</v>
      </c>
    </row>
    <row r="1631" spans="2:9">
      <c r="B1631" s="76">
        <v>2023.4070897145959</v>
      </c>
      <c r="C1631">
        <v>902.52121818906596</v>
      </c>
      <c r="D1631" s="77">
        <v>150.42020303151099</v>
      </c>
      <c r="E1631" s="77">
        <v>150.42020303151099</v>
      </c>
      <c r="F1631" s="77">
        <v>150.42020303151099</v>
      </c>
      <c r="G1631" s="77">
        <v>150.42020303151099</v>
      </c>
      <c r="H1631" s="77">
        <v>150.42020303151099</v>
      </c>
      <c r="I1631" s="77">
        <v>150.42020303151099</v>
      </c>
    </row>
    <row r="1632" spans="2:9">
      <c r="B1632" s="76">
        <v>2023.1608583419065</v>
      </c>
      <c r="C1632">
        <v>967.98748775978981</v>
      </c>
      <c r="D1632" s="77">
        <v>161.33124795996497</v>
      </c>
      <c r="E1632" s="77">
        <v>161.33124795996497</v>
      </c>
      <c r="F1632" s="77">
        <v>161.33124795996497</v>
      </c>
      <c r="G1632" s="77">
        <v>161.33124795996497</v>
      </c>
      <c r="H1632" s="77">
        <v>161.33124795996497</v>
      </c>
      <c r="I1632" s="77">
        <v>161.33124795996497</v>
      </c>
    </row>
    <row r="1633" spans="2:9">
      <c r="B1633" s="76">
        <v>2023.3250316185488</v>
      </c>
      <c r="C1633">
        <v>945.87604647260514</v>
      </c>
      <c r="D1633" s="77">
        <v>157.64600774543419</v>
      </c>
      <c r="E1633" s="77">
        <v>157.64600774543419</v>
      </c>
      <c r="F1633" s="77">
        <v>157.64600774543419</v>
      </c>
      <c r="G1633" s="77">
        <v>157.64600774543419</v>
      </c>
      <c r="H1633" s="77">
        <v>157.64600774543419</v>
      </c>
      <c r="I1633" s="77">
        <v>157.64600774543419</v>
      </c>
    </row>
    <row r="1634" spans="2:9">
      <c r="B1634" s="76">
        <v>2023.2274756037493</v>
      </c>
      <c r="C1634">
        <v>915.23327248171665</v>
      </c>
      <c r="D1634" s="77">
        <v>152.53887874695278</v>
      </c>
      <c r="E1634" s="77">
        <v>152.53887874695278</v>
      </c>
      <c r="F1634" s="77">
        <v>152.53887874695278</v>
      </c>
      <c r="G1634" s="77">
        <v>152.53887874695278</v>
      </c>
      <c r="H1634" s="77">
        <v>152.53887874695278</v>
      </c>
      <c r="I1634" s="77">
        <v>152.53887874695278</v>
      </c>
    </row>
    <row r="1635" spans="2:9">
      <c r="B1635" s="76">
        <v>2025.0601595041526</v>
      </c>
      <c r="C1635">
        <v>1145.7571743288356</v>
      </c>
      <c r="D1635" s="77">
        <v>190.95952905480593</v>
      </c>
      <c r="E1635" s="77">
        <v>190.95952905480593</v>
      </c>
      <c r="F1635" s="77">
        <v>190.95952905480593</v>
      </c>
      <c r="G1635" s="77">
        <v>190.95952905480593</v>
      </c>
      <c r="H1635" s="77">
        <v>190.95952905480593</v>
      </c>
      <c r="I1635" s="77">
        <v>190.95952905480593</v>
      </c>
    </row>
    <row r="1636" spans="2:9">
      <c r="B1636" s="76">
        <v>2023.5922175349847</v>
      </c>
      <c r="C1636">
        <v>915.86337966128303</v>
      </c>
      <c r="D1636" s="77">
        <v>152.64389661021383</v>
      </c>
      <c r="E1636" s="77">
        <v>152.64389661021383</v>
      </c>
      <c r="F1636" s="77">
        <v>152.64389661021383</v>
      </c>
      <c r="G1636" s="77">
        <v>152.64389661021383</v>
      </c>
      <c r="H1636" s="77">
        <v>152.64389661021383</v>
      </c>
      <c r="I1636" s="77">
        <v>152.64389661021383</v>
      </c>
    </row>
    <row r="1637" spans="2:9">
      <c r="B1637" s="76">
        <v>2024.0962322698995</v>
      </c>
      <c r="C1637">
        <v>1019.9890074949838</v>
      </c>
      <c r="D1637" s="77">
        <v>169.99816791583063</v>
      </c>
      <c r="E1637" s="77">
        <v>169.99816791583063</v>
      </c>
      <c r="F1637" s="77">
        <v>169.99816791583063</v>
      </c>
      <c r="G1637" s="77">
        <v>169.99816791583063</v>
      </c>
      <c r="H1637" s="77">
        <v>169.99816791583063</v>
      </c>
      <c r="I1637" s="77">
        <v>169.99816791583063</v>
      </c>
    </row>
    <row r="1638" spans="2:9">
      <c r="B1638" s="76">
        <v>2024.9596904733708</v>
      </c>
      <c r="C1638">
        <v>1073.0189903862431</v>
      </c>
      <c r="D1638" s="77">
        <v>178.83649839770717</v>
      </c>
      <c r="E1638" s="77">
        <v>178.83649839770717</v>
      </c>
      <c r="F1638" s="77">
        <v>178.83649839770717</v>
      </c>
      <c r="G1638" s="77">
        <v>178.83649839770717</v>
      </c>
      <c r="H1638" s="77">
        <v>178.83649839770717</v>
      </c>
      <c r="I1638" s="77">
        <v>178.83649839770717</v>
      </c>
    </row>
    <row r="1639" spans="2:9">
      <c r="B1639" s="76">
        <v>2024.537347429389</v>
      </c>
      <c r="C1639">
        <v>1104.5854077071745</v>
      </c>
      <c r="D1639" s="77">
        <v>184.09756795119574</v>
      </c>
      <c r="E1639" s="77">
        <v>184.09756795119574</v>
      </c>
      <c r="F1639" s="77">
        <v>184.09756795119574</v>
      </c>
      <c r="G1639" s="77">
        <v>184.09756795119574</v>
      </c>
      <c r="H1639" s="77">
        <v>184.09756795119574</v>
      </c>
      <c r="I1639" s="77">
        <v>184.09756795119574</v>
      </c>
    </row>
    <row r="1640" spans="2:9">
      <c r="B1640" s="76">
        <v>2023.8310104893496</v>
      </c>
      <c r="C1640">
        <v>1043.7373763229159</v>
      </c>
      <c r="D1640" s="77">
        <v>173.95622938715266</v>
      </c>
      <c r="E1640" s="77">
        <v>173.95622938715266</v>
      </c>
      <c r="F1640" s="77">
        <v>173.95622938715266</v>
      </c>
      <c r="G1640" s="77">
        <v>173.95622938715266</v>
      </c>
      <c r="H1640" s="77">
        <v>173.95622938715266</v>
      </c>
      <c r="I1640" s="77">
        <v>173.95622938715266</v>
      </c>
    </row>
    <row r="1641" spans="2:9">
      <c r="B1641" s="76">
        <v>2023.2773219123103</v>
      </c>
      <c r="C1641">
        <v>878.11343409177778</v>
      </c>
      <c r="D1641" s="77">
        <v>146.35223901529631</v>
      </c>
      <c r="E1641" s="77">
        <v>146.35223901529631</v>
      </c>
      <c r="F1641" s="77">
        <v>146.35223901529631</v>
      </c>
      <c r="G1641" s="77">
        <v>146.35223901529631</v>
      </c>
      <c r="H1641" s="77">
        <v>146.35223901529631</v>
      </c>
      <c r="I1641" s="77">
        <v>146.35223901529631</v>
      </c>
    </row>
    <row r="1642" spans="2:9">
      <c r="B1642" s="76">
        <v>2022.9203029484822</v>
      </c>
      <c r="C1642">
        <v>872.41201309345979</v>
      </c>
      <c r="D1642" s="77">
        <v>145.40200218224331</v>
      </c>
      <c r="E1642" s="77">
        <v>145.40200218224331</v>
      </c>
      <c r="F1642" s="77">
        <v>145.40200218224331</v>
      </c>
      <c r="G1642" s="77">
        <v>145.40200218224331</v>
      </c>
      <c r="H1642" s="77">
        <v>145.40200218224331</v>
      </c>
      <c r="I1642" s="77">
        <v>145.40200218224331</v>
      </c>
    </row>
    <row r="1643" spans="2:9">
      <c r="B1643" s="76">
        <v>2023.4691974502286</v>
      </c>
      <c r="C1643">
        <v>899.0331075530695</v>
      </c>
      <c r="D1643" s="77">
        <v>149.83885125884493</v>
      </c>
      <c r="E1643" s="77">
        <v>149.83885125884493</v>
      </c>
      <c r="F1643" s="77">
        <v>149.83885125884493</v>
      </c>
      <c r="G1643" s="77">
        <v>149.83885125884493</v>
      </c>
      <c r="H1643" s="77">
        <v>149.83885125884493</v>
      </c>
      <c r="I1643" s="77">
        <v>149.83885125884493</v>
      </c>
    </row>
    <row r="1644" spans="2:9">
      <c r="B1644" s="76">
        <v>2023.2191941344295</v>
      </c>
      <c r="C1644">
        <v>893.72640057229796</v>
      </c>
      <c r="D1644" s="77">
        <v>148.95440009538299</v>
      </c>
      <c r="E1644" s="77">
        <v>148.95440009538299</v>
      </c>
      <c r="F1644" s="77">
        <v>148.95440009538299</v>
      </c>
      <c r="G1644" s="77">
        <v>148.95440009538299</v>
      </c>
      <c r="H1644" s="77">
        <v>148.95440009538299</v>
      </c>
      <c r="I1644" s="77">
        <v>148.95440009538299</v>
      </c>
    </row>
    <row r="1645" spans="2:9">
      <c r="B1645" s="76">
        <v>2023.4289110859931</v>
      </c>
      <c r="C1645">
        <v>960.89792744864314</v>
      </c>
      <c r="D1645" s="77">
        <v>160.14965457477385</v>
      </c>
      <c r="E1645" s="77">
        <v>160.14965457477385</v>
      </c>
      <c r="F1645" s="77">
        <v>160.14965457477385</v>
      </c>
      <c r="G1645" s="77">
        <v>160.14965457477385</v>
      </c>
      <c r="H1645" s="77">
        <v>160.14965457477385</v>
      </c>
      <c r="I1645" s="77">
        <v>160.14965457477385</v>
      </c>
    </row>
    <row r="1646" spans="2:9">
      <c r="B1646" s="76">
        <v>2023.3734547323727</v>
      </c>
      <c r="C1646">
        <v>996.86643323352973</v>
      </c>
      <c r="D1646" s="77">
        <v>166.14440553892163</v>
      </c>
      <c r="E1646" s="77">
        <v>166.14440553892163</v>
      </c>
      <c r="F1646" s="77">
        <v>166.14440553892163</v>
      </c>
      <c r="G1646" s="77">
        <v>166.14440553892163</v>
      </c>
      <c r="H1646" s="77">
        <v>166.14440553892163</v>
      </c>
      <c r="I1646" s="77">
        <v>166.14440553892163</v>
      </c>
    </row>
    <row r="1647" spans="2:9">
      <c r="B1647" s="76">
        <v>2023.5032922775069</v>
      </c>
      <c r="C1647">
        <v>954.13320685454823</v>
      </c>
      <c r="D1647" s="77">
        <v>159.02220114242471</v>
      </c>
      <c r="E1647" s="77">
        <v>159.02220114242471</v>
      </c>
      <c r="F1647" s="77">
        <v>159.02220114242471</v>
      </c>
      <c r="G1647" s="77">
        <v>159.02220114242471</v>
      </c>
      <c r="H1647" s="77">
        <v>159.02220114242471</v>
      </c>
      <c r="I1647" s="77">
        <v>159.02220114242471</v>
      </c>
    </row>
    <row r="1648" spans="2:9">
      <c r="B1648" s="76">
        <v>2024.6095133512968</v>
      </c>
      <c r="C1648">
        <v>1146.3439720883737</v>
      </c>
      <c r="D1648" s="77">
        <v>191.0573286813956</v>
      </c>
      <c r="E1648" s="77">
        <v>191.0573286813956</v>
      </c>
      <c r="F1648" s="77">
        <v>191.0573286813956</v>
      </c>
      <c r="G1648" s="77">
        <v>191.0573286813956</v>
      </c>
      <c r="H1648" s="77">
        <v>191.0573286813956</v>
      </c>
      <c r="I1648" s="77">
        <v>191.0573286813956</v>
      </c>
    </row>
    <row r="1649" spans="2:9">
      <c r="B1649" s="76">
        <v>2024.9758150480866</v>
      </c>
      <c r="C1649">
        <v>1103.3473580452053</v>
      </c>
      <c r="D1649" s="77">
        <v>183.89122634086755</v>
      </c>
      <c r="E1649" s="77">
        <v>183.89122634086755</v>
      </c>
      <c r="F1649" s="77">
        <v>183.89122634086755</v>
      </c>
      <c r="G1649" s="77">
        <v>183.89122634086755</v>
      </c>
      <c r="H1649" s="77">
        <v>183.89122634086755</v>
      </c>
      <c r="I1649" s="77">
        <v>183.89122634086755</v>
      </c>
    </row>
    <row r="1650" spans="2:9">
      <c r="B1650" s="76">
        <v>2023.5030351693181</v>
      </c>
      <c r="C1650">
        <v>883.19463012027836</v>
      </c>
      <c r="D1650" s="77">
        <v>147.1991050200464</v>
      </c>
      <c r="E1650" s="77">
        <v>147.1991050200464</v>
      </c>
      <c r="F1650" s="77">
        <v>147.1991050200464</v>
      </c>
      <c r="G1650" s="77">
        <v>147.1991050200464</v>
      </c>
      <c r="H1650" s="77">
        <v>147.1991050200464</v>
      </c>
      <c r="I1650" s="77">
        <v>147.1991050200464</v>
      </c>
    </row>
    <row r="1651" spans="2:9">
      <c r="B1651" s="76">
        <v>2023.2316193945151</v>
      </c>
      <c r="C1651">
        <v>907.08603595333068</v>
      </c>
      <c r="D1651" s="77">
        <v>151.18100599222177</v>
      </c>
      <c r="E1651" s="77">
        <v>151.18100599222177</v>
      </c>
      <c r="F1651" s="77">
        <v>151.18100599222177</v>
      </c>
      <c r="G1651" s="77">
        <v>151.18100599222177</v>
      </c>
      <c r="H1651" s="77">
        <v>151.18100599222177</v>
      </c>
      <c r="I1651" s="77">
        <v>151.18100599222177</v>
      </c>
    </row>
    <row r="1652" spans="2:9">
      <c r="B1652" s="76">
        <v>2023.2333703124427</v>
      </c>
      <c r="C1652">
        <v>850.24144985120063</v>
      </c>
      <c r="D1652" s="77">
        <v>141.70690830853343</v>
      </c>
      <c r="E1652" s="77">
        <v>141.70690830853343</v>
      </c>
      <c r="F1652" s="77">
        <v>141.70690830853343</v>
      </c>
      <c r="G1652" s="77">
        <v>141.70690830853343</v>
      </c>
      <c r="H1652" s="77">
        <v>141.70690830853343</v>
      </c>
      <c r="I1652" s="77">
        <v>141.70690830853343</v>
      </c>
    </row>
    <row r="1653" spans="2:9">
      <c r="B1653" s="76">
        <v>2023.2168655331784</v>
      </c>
      <c r="C1653">
        <v>905.83977787944059</v>
      </c>
      <c r="D1653" s="77">
        <v>150.9732963132401</v>
      </c>
      <c r="E1653" s="77">
        <v>150.9732963132401</v>
      </c>
      <c r="F1653" s="77">
        <v>150.9732963132401</v>
      </c>
      <c r="G1653" s="77">
        <v>150.9732963132401</v>
      </c>
      <c r="H1653" s="77">
        <v>150.9732963132401</v>
      </c>
      <c r="I1653" s="77">
        <v>150.9732963132401</v>
      </c>
    </row>
    <row r="1654" spans="2:9">
      <c r="B1654" s="76">
        <v>2023.0079346356092</v>
      </c>
      <c r="C1654">
        <v>890.12539538611077</v>
      </c>
      <c r="D1654" s="77">
        <v>148.3542325643518</v>
      </c>
      <c r="E1654" s="77">
        <v>148.3542325643518</v>
      </c>
      <c r="F1654" s="77">
        <v>148.3542325643518</v>
      </c>
      <c r="G1654" s="77">
        <v>148.3542325643518</v>
      </c>
      <c r="H1654" s="77">
        <v>148.3542325643518</v>
      </c>
      <c r="I1654" s="77">
        <v>148.3542325643518</v>
      </c>
    </row>
    <row r="1655" spans="2:9">
      <c r="B1655" s="76">
        <v>2023.4543028631006</v>
      </c>
      <c r="C1655">
        <v>966.64417674852211</v>
      </c>
      <c r="D1655" s="77">
        <v>161.10736279142034</v>
      </c>
      <c r="E1655" s="77">
        <v>161.10736279142034</v>
      </c>
      <c r="F1655" s="77">
        <v>161.10736279142034</v>
      </c>
      <c r="G1655" s="77">
        <v>161.10736279142034</v>
      </c>
      <c r="H1655" s="77">
        <v>161.10736279142034</v>
      </c>
      <c r="I1655" s="77">
        <v>161.10736279142034</v>
      </c>
    </row>
    <row r="1656" spans="2:9">
      <c r="B1656" s="76">
        <v>2023.009522919765</v>
      </c>
      <c r="C1656">
        <v>870.24725986039834</v>
      </c>
      <c r="D1656" s="77">
        <v>145.04120997673306</v>
      </c>
      <c r="E1656" s="77">
        <v>145.04120997673306</v>
      </c>
      <c r="F1656" s="77">
        <v>145.04120997673306</v>
      </c>
      <c r="G1656" s="77">
        <v>145.04120997673306</v>
      </c>
      <c r="H1656" s="77">
        <v>145.04120997673306</v>
      </c>
      <c r="I1656" s="77">
        <v>145.04120997673306</v>
      </c>
    </row>
    <row r="1657" spans="2:9">
      <c r="B1657" s="76">
        <v>2024.5734801544138</v>
      </c>
      <c r="C1657">
        <v>1143.9997930248383</v>
      </c>
      <c r="D1657" s="77">
        <v>190.66663217080637</v>
      </c>
      <c r="E1657" s="77">
        <v>190.66663217080637</v>
      </c>
      <c r="F1657" s="77">
        <v>190.66663217080637</v>
      </c>
      <c r="G1657" s="77">
        <v>190.66663217080637</v>
      </c>
      <c r="H1657" s="77">
        <v>190.66663217080637</v>
      </c>
      <c r="I1657" s="77">
        <v>190.66663217080637</v>
      </c>
    </row>
    <row r="1658" spans="2:9">
      <c r="B1658" s="76">
        <v>2023.4954507820999</v>
      </c>
      <c r="C1658">
        <v>946.06083194113774</v>
      </c>
      <c r="D1658" s="77">
        <v>157.67680532352296</v>
      </c>
      <c r="E1658" s="77">
        <v>157.67680532352296</v>
      </c>
      <c r="F1658" s="77">
        <v>157.67680532352296</v>
      </c>
      <c r="G1658" s="77">
        <v>157.67680532352296</v>
      </c>
      <c r="H1658" s="77">
        <v>157.67680532352296</v>
      </c>
      <c r="I1658" s="77">
        <v>157.67680532352296</v>
      </c>
    </row>
    <row r="1659" spans="2:9">
      <c r="B1659" s="76">
        <v>2023.0255906504601</v>
      </c>
      <c r="C1659">
        <v>909.36274365584916</v>
      </c>
      <c r="D1659" s="77">
        <v>151.56045727597487</v>
      </c>
      <c r="E1659" s="77">
        <v>151.56045727597487</v>
      </c>
      <c r="F1659" s="77">
        <v>151.56045727597487</v>
      </c>
      <c r="G1659" s="77">
        <v>151.56045727597487</v>
      </c>
      <c r="H1659" s="77">
        <v>151.56045727597487</v>
      </c>
      <c r="I1659" s="77">
        <v>151.56045727597487</v>
      </c>
    </row>
    <row r="1660" spans="2:9">
      <c r="B1660" s="76">
        <v>2023.3767000829755</v>
      </c>
      <c r="C1660">
        <v>952.44607219964155</v>
      </c>
      <c r="D1660" s="77">
        <v>158.74101203327359</v>
      </c>
      <c r="E1660" s="77">
        <v>158.74101203327359</v>
      </c>
      <c r="F1660" s="77">
        <v>158.74101203327359</v>
      </c>
      <c r="G1660" s="77">
        <v>158.74101203327359</v>
      </c>
      <c r="H1660" s="77">
        <v>158.74101203327359</v>
      </c>
      <c r="I1660" s="77">
        <v>158.74101203327359</v>
      </c>
    </row>
    <row r="1661" spans="2:9">
      <c r="B1661" s="76">
        <v>2022.7179290342865</v>
      </c>
      <c r="C1661">
        <v>804.01999213235376</v>
      </c>
      <c r="D1661" s="77">
        <v>134.00333202205897</v>
      </c>
      <c r="E1661" s="77">
        <v>134.00333202205897</v>
      </c>
      <c r="F1661" s="77">
        <v>134.00333202205897</v>
      </c>
      <c r="G1661" s="77">
        <v>134.00333202205897</v>
      </c>
      <c r="H1661" s="77">
        <v>134.00333202205897</v>
      </c>
      <c r="I1661" s="77">
        <v>134.00333202205897</v>
      </c>
    </row>
    <row r="1662" spans="2:9">
      <c r="B1662" s="76">
        <v>2023.3455767172395</v>
      </c>
      <c r="C1662">
        <v>1005.3511138868057</v>
      </c>
      <c r="D1662" s="77">
        <v>167.55851898113428</v>
      </c>
      <c r="E1662" s="77">
        <v>167.55851898113428</v>
      </c>
      <c r="F1662" s="77">
        <v>167.55851898113428</v>
      </c>
      <c r="G1662" s="77">
        <v>167.55851898113428</v>
      </c>
      <c r="H1662" s="77">
        <v>167.55851898113428</v>
      </c>
      <c r="I1662" s="77">
        <v>167.55851898113428</v>
      </c>
    </row>
    <row r="1663" spans="2:9">
      <c r="B1663" s="76">
        <v>2022.5852049896293</v>
      </c>
      <c r="C1663">
        <v>793.95047484875056</v>
      </c>
      <c r="D1663" s="77">
        <v>132.32507914145842</v>
      </c>
      <c r="E1663" s="77">
        <v>132.32507914145842</v>
      </c>
      <c r="F1663" s="77">
        <v>132.32507914145842</v>
      </c>
      <c r="G1663" s="77">
        <v>132.32507914145842</v>
      </c>
      <c r="H1663" s="77">
        <v>132.32507914145842</v>
      </c>
      <c r="I1663" s="77">
        <v>132.32507914145842</v>
      </c>
    </row>
    <row r="1664" spans="2:9">
      <c r="B1664" s="76">
        <v>2022.7950323244982</v>
      </c>
      <c r="C1664">
        <v>873.65638833277046</v>
      </c>
      <c r="D1664" s="77">
        <v>145.60939805546175</v>
      </c>
      <c r="E1664" s="77">
        <v>145.60939805546175</v>
      </c>
      <c r="F1664" s="77">
        <v>145.60939805546175</v>
      </c>
      <c r="G1664" s="77">
        <v>145.60939805546175</v>
      </c>
      <c r="H1664" s="77">
        <v>145.60939805546175</v>
      </c>
      <c r="I1664" s="77">
        <v>145.60939805546175</v>
      </c>
    </row>
    <row r="1665" spans="2:9">
      <c r="B1665" s="76">
        <v>2022.8450199150086</v>
      </c>
      <c r="C1665">
        <v>829.82813507847175</v>
      </c>
      <c r="D1665" s="77">
        <v>138.30468917974528</v>
      </c>
      <c r="E1665" s="77">
        <v>138.30468917974528</v>
      </c>
      <c r="F1665" s="77">
        <v>138.30468917974528</v>
      </c>
      <c r="G1665" s="77">
        <v>138.30468917974528</v>
      </c>
      <c r="H1665" s="77">
        <v>138.30468917974528</v>
      </c>
      <c r="I1665" s="77">
        <v>138.30468917974528</v>
      </c>
    </row>
    <row r="1666" spans="2:9">
      <c r="B1666" s="76">
        <v>2024.2967057647481</v>
      </c>
      <c r="C1666">
        <v>1056.81662980532</v>
      </c>
      <c r="D1666" s="77">
        <v>176.13610496755334</v>
      </c>
      <c r="E1666" s="77">
        <v>176.13610496755334</v>
      </c>
      <c r="F1666" s="77">
        <v>176.13610496755334</v>
      </c>
      <c r="G1666" s="77">
        <v>176.13610496755334</v>
      </c>
      <c r="H1666" s="77">
        <v>176.13610496755334</v>
      </c>
      <c r="I1666" s="77">
        <v>176.13610496755334</v>
      </c>
    </row>
    <row r="1667" spans="2:9">
      <c r="B1667" s="76">
        <v>2023.55066971102</v>
      </c>
      <c r="C1667">
        <v>953.15356756884523</v>
      </c>
      <c r="D1667" s="77">
        <v>158.85892792814087</v>
      </c>
      <c r="E1667" s="77">
        <v>158.85892792814087</v>
      </c>
      <c r="F1667" s="77">
        <v>158.85892792814087</v>
      </c>
      <c r="G1667" s="77">
        <v>158.85892792814087</v>
      </c>
      <c r="H1667" s="77">
        <v>158.85892792814087</v>
      </c>
      <c r="I1667" s="77">
        <v>158.85892792814087</v>
      </c>
    </row>
    <row r="1668" spans="2:9">
      <c r="B1668" s="76">
        <v>2023.3815784413782</v>
      </c>
      <c r="C1668">
        <v>901.98210061101213</v>
      </c>
      <c r="D1668" s="77">
        <v>150.33035010183536</v>
      </c>
      <c r="E1668" s="77">
        <v>150.33035010183536</v>
      </c>
      <c r="F1668" s="77">
        <v>150.33035010183536</v>
      </c>
      <c r="G1668" s="77">
        <v>150.33035010183536</v>
      </c>
      <c r="H1668" s="77">
        <v>150.33035010183536</v>
      </c>
      <c r="I1668" s="77">
        <v>150.33035010183536</v>
      </c>
    </row>
    <row r="1669" spans="2:9">
      <c r="B1669" s="76">
        <v>2024.8152196508572</v>
      </c>
      <c r="C1669">
        <v>1193.8405126043394</v>
      </c>
      <c r="D1669" s="77">
        <v>198.97341876738992</v>
      </c>
      <c r="E1669" s="77">
        <v>198.97341876738992</v>
      </c>
      <c r="F1669" s="77">
        <v>198.97341876738992</v>
      </c>
      <c r="G1669" s="77">
        <v>198.97341876738992</v>
      </c>
      <c r="H1669" s="77">
        <v>198.97341876738992</v>
      </c>
      <c r="I1669" s="77">
        <v>198.97341876738992</v>
      </c>
    </row>
    <row r="1670" spans="2:9">
      <c r="B1670" s="76">
        <v>2022.9945117846619</v>
      </c>
      <c r="C1670">
        <v>917.59308408124923</v>
      </c>
      <c r="D1670" s="77">
        <v>152.93218068020821</v>
      </c>
      <c r="E1670" s="77">
        <v>152.93218068020821</v>
      </c>
      <c r="F1670" s="77">
        <v>152.93218068020821</v>
      </c>
      <c r="G1670" s="77">
        <v>152.93218068020821</v>
      </c>
      <c r="H1670" s="77">
        <v>152.93218068020821</v>
      </c>
      <c r="I1670" s="77">
        <v>152.93218068020821</v>
      </c>
    </row>
    <row r="1671" spans="2:9">
      <c r="B1671" s="76">
        <v>2022.6808587225673</v>
      </c>
      <c r="C1671">
        <v>860.00448717688585</v>
      </c>
      <c r="D1671" s="77">
        <v>143.33408119614765</v>
      </c>
      <c r="E1671" s="77">
        <v>143.33408119614765</v>
      </c>
      <c r="F1671" s="77">
        <v>143.33408119614765</v>
      </c>
      <c r="G1671" s="77">
        <v>143.33408119614765</v>
      </c>
      <c r="H1671" s="77">
        <v>143.33408119614765</v>
      </c>
      <c r="I1671" s="77">
        <v>143.33408119614765</v>
      </c>
    </row>
    <row r="1672" spans="2:9">
      <c r="B1672" s="76">
        <v>2025.7859874606556</v>
      </c>
      <c r="C1672">
        <v>1317.234893101655</v>
      </c>
      <c r="D1672" s="77">
        <v>219.53914885027584</v>
      </c>
      <c r="E1672" s="77">
        <v>219.53914885027584</v>
      </c>
      <c r="F1672" s="77">
        <v>219.53914885027584</v>
      </c>
      <c r="G1672" s="77">
        <v>219.53914885027584</v>
      </c>
      <c r="H1672" s="77">
        <v>219.53914885027584</v>
      </c>
      <c r="I1672" s="77">
        <v>219.53914885027584</v>
      </c>
    </row>
    <row r="1673" spans="2:9">
      <c r="B1673" s="76">
        <v>2022.9994942467486</v>
      </c>
      <c r="C1673">
        <v>849.97794833160765</v>
      </c>
      <c r="D1673" s="77">
        <v>141.66299138860128</v>
      </c>
      <c r="E1673" s="77">
        <v>141.66299138860128</v>
      </c>
      <c r="F1673" s="77">
        <v>141.66299138860128</v>
      </c>
      <c r="G1673" s="77">
        <v>141.66299138860128</v>
      </c>
      <c r="H1673" s="77">
        <v>141.66299138860128</v>
      </c>
      <c r="I1673" s="77">
        <v>141.66299138860128</v>
      </c>
    </row>
    <row r="1674" spans="2:9">
      <c r="B1674" s="76">
        <v>2023.2926852391577</v>
      </c>
      <c r="C1674">
        <v>926.74627594734488</v>
      </c>
      <c r="D1674" s="77">
        <v>154.45771265789082</v>
      </c>
      <c r="E1674" s="77">
        <v>154.45771265789082</v>
      </c>
      <c r="F1674" s="77">
        <v>154.45771265789082</v>
      </c>
      <c r="G1674" s="77">
        <v>154.45771265789082</v>
      </c>
      <c r="H1674" s="77">
        <v>154.45771265789082</v>
      </c>
      <c r="I1674" s="77">
        <v>154.45771265789082</v>
      </c>
    </row>
    <row r="1675" spans="2:9">
      <c r="B1675" s="76">
        <v>2024.781795365579</v>
      </c>
      <c r="C1675">
        <v>1090.6818851505627</v>
      </c>
      <c r="D1675" s="77">
        <v>181.78031419176045</v>
      </c>
      <c r="E1675" s="77">
        <v>181.78031419176045</v>
      </c>
      <c r="F1675" s="77">
        <v>181.78031419176045</v>
      </c>
      <c r="G1675" s="77">
        <v>181.78031419176045</v>
      </c>
      <c r="H1675" s="77">
        <v>181.78031419176045</v>
      </c>
      <c r="I1675" s="77">
        <v>181.78031419176045</v>
      </c>
    </row>
    <row r="1676" spans="2:9">
      <c r="B1676" s="76">
        <v>2023.649811248998</v>
      </c>
      <c r="C1676">
        <v>936.25328375150116</v>
      </c>
      <c r="D1676" s="77">
        <v>156.04221395858352</v>
      </c>
      <c r="E1676" s="77">
        <v>156.04221395858352</v>
      </c>
      <c r="F1676" s="77">
        <v>156.04221395858352</v>
      </c>
      <c r="G1676" s="77">
        <v>156.04221395858352</v>
      </c>
      <c r="H1676" s="77">
        <v>156.04221395858352</v>
      </c>
      <c r="I1676" s="77">
        <v>156.04221395858352</v>
      </c>
    </row>
    <row r="1677" spans="2:9">
      <c r="B1677" s="76">
        <v>2023.6696168949352</v>
      </c>
      <c r="C1677">
        <v>977.64272295204478</v>
      </c>
      <c r="D1677" s="77">
        <v>162.9404538253408</v>
      </c>
      <c r="E1677" s="77">
        <v>162.9404538253408</v>
      </c>
      <c r="F1677" s="77">
        <v>162.9404538253408</v>
      </c>
      <c r="G1677" s="77">
        <v>162.9404538253408</v>
      </c>
      <c r="H1677" s="77">
        <v>162.9404538253408</v>
      </c>
      <c r="I1677" s="77">
        <v>162.9404538253408</v>
      </c>
    </row>
    <row r="1678" spans="2:9">
      <c r="B1678" s="76">
        <v>2023.3170906074881</v>
      </c>
      <c r="C1678">
        <v>878.4667247620539</v>
      </c>
      <c r="D1678" s="77">
        <v>146.41112079367565</v>
      </c>
      <c r="E1678" s="77">
        <v>146.41112079367565</v>
      </c>
      <c r="F1678" s="77">
        <v>146.41112079367565</v>
      </c>
      <c r="G1678" s="77">
        <v>146.41112079367565</v>
      </c>
      <c r="H1678" s="77">
        <v>146.41112079367565</v>
      </c>
      <c r="I1678" s="77">
        <v>146.41112079367565</v>
      </c>
    </row>
    <row r="1679" spans="2:9">
      <c r="B1679" s="76">
        <v>2022.9566391609435</v>
      </c>
      <c r="C1679">
        <v>908.21139559501466</v>
      </c>
      <c r="D1679" s="77">
        <v>151.36856593250243</v>
      </c>
      <c r="E1679" s="77">
        <v>151.36856593250243</v>
      </c>
      <c r="F1679" s="77">
        <v>151.36856593250243</v>
      </c>
      <c r="G1679" s="77">
        <v>151.36856593250243</v>
      </c>
      <c r="H1679" s="77">
        <v>151.36856593250243</v>
      </c>
      <c r="I1679" s="77">
        <v>151.36856593250243</v>
      </c>
    </row>
    <row r="1680" spans="2:9">
      <c r="B1680" s="76">
        <v>2023.2557941513821</v>
      </c>
      <c r="C1680">
        <v>901.95686491950153</v>
      </c>
      <c r="D1680" s="77">
        <v>150.32614415325025</v>
      </c>
      <c r="E1680" s="77">
        <v>150.32614415325025</v>
      </c>
      <c r="F1680" s="77">
        <v>150.32614415325025</v>
      </c>
      <c r="G1680" s="77">
        <v>150.32614415325025</v>
      </c>
      <c r="H1680" s="77">
        <v>150.32614415325025</v>
      </c>
      <c r="I1680" s="77">
        <v>150.32614415325025</v>
      </c>
    </row>
    <row r="1681" spans="2:9">
      <c r="B1681" s="76">
        <v>2024.6112094645223</v>
      </c>
      <c r="C1681">
        <v>1041.8534534822415</v>
      </c>
      <c r="D1681" s="77">
        <v>173.64224224704026</v>
      </c>
      <c r="E1681" s="77">
        <v>173.64224224704026</v>
      </c>
      <c r="F1681" s="77">
        <v>173.64224224704026</v>
      </c>
      <c r="G1681" s="77">
        <v>173.64224224704026</v>
      </c>
      <c r="H1681" s="77">
        <v>173.64224224704026</v>
      </c>
      <c r="I1681" s="77">
        <v>173.64224224704026</v>
      </c>
    </row>
    <row r="1682" spans="2:9">
      <c r="B1682" s="76">
        <v>2023.3815338835525</v>
      </c>
      <c r="C1682">
        <v>953.59484820370528</v>
      </c>
      <c r="D1682" s="77">
        <v>158.93247470061755</v>
      </c>
      <c r="E1682" s="77">
        <v>158.93247470061755</v>
      </c>
      <c r="F1682" s="77">
        <v>158.93247470061755</v>
      </c>
      <c r="G1682" s="77">
        <v>158.93247470061755</v>
      </c>
      <c r="H1682" s="77">
        <v>158.93247470061755</v>
      </c>
      <c r="I1682" s="77">
        <v>158.93247470061755</v>
      </c>
    </row>
    <row r="1683" spans="2:9">
      <c r="B1683" s="76">
        <v>2023.4800264782461</v>
      </c>
      <c r="C1683">
        <v>904.01753987360212</v>
      </c>
      <c r="D1683" s="77">
        <v>150.66958997893369</v>
      </c>
      <c r="E1683" s="77">
        <v>150.66958997893369</v>
      </c>
      <c r="F1683" s="77">
        <v>150.66958997893369</v>
      </c>
      <c r="G1683" s="77">
        <v>150.66958997893369</v>
      </c>
      <c r="H1683" s="77">
        <v>150.66958997893369</v>
      </c>
      <c r="I1683" s="77">
        <v>150.66958997893369</v>
      </c>
    </row>
    <row r="1684" spans="2:9">
      <c r="B1684" s="76">
        <v>2023.0968905879708</v>
      </c>
      <c r="C1684">
        <v>899.49213531722114</v>
      </c>
      <c r="D1684" s="77">
        <v>149.91535588620351</v>
      </c>
      <c r="E1684" s="77">
        <v>149.91535588620351</v>
      </c>
      <c r="F1684" s="77">
        <v>149.91535588620351</v>
      </c>
      <c r="G1684" s="77">
        <v>149.91535588620351</v>
      </c>
      <c r="H1684" s="77">
        <v>149.91535588620351</v>
      </c>
      <c r="I1684" s="77">
        <v>149.91535588620351</v>
      </c>
    </row>
    <row r="1685" spans="2:9">
      <c r="B1685" s="76">
        <v>2022.7849214263874</v>
      </c>
      <c r="C1685">
        <v>870.13956227835479</v>
      </c>
      <c r="D1685" s="77">
        <v>145.0232603797258</v>
      </c>
      <c r="E1685" s="77">
        <v>145.0232603797258</v>
      </c>
      <c r="F1685" s="77">
        <v>145.0232603797258</v>
      </c>
      <c r="G1685" s="77">
        <v>145.0232603797258</v>
      </c>
      <c r="H1685" s="77">
        <v>145.0232603797258</v>
      </c>
      <c r="I1685" s="77">
        <v>145.0232603797258</v>
      </c>
    </row>
    <row r="1686" spans="2:9">
      <c r="B1686" s="76">
        <v>2022.8527505425066</v>
      </c>
      <c r="C1686">
        <v>896.34589650055489</v>
      </c>
      <c r="D1686" s="77">
        <v>149.39098275009249</v>
      </c>
      <c r="E1686" s="77">
        <v>149.39098275009249</v>
      </c>
      <c r="F1686" s="77">
        <v>149.39098275009249</v>
      </c>
      <c r="G1686" s="77">
        <v>149.39098275009249</v>
      </c>
      <c r="H1686" s="77">
        <v>149.39098275009249</v>
      </c>
      <c r="I1686" s="77">
        <v>149.39098275009249</v>
      </c>
    </row>
    <row r="1687" spans="2:9">
      <c r="B1687" s="76">
        <v>2023.0666518141568</v>
      </c>
      <c r="C1687">
        <v>845.08492941118504</v>
      </c>
      <c r="D1687" s="77">
        <v>140.84748823519752</v>
      </c>
      <c r="E1687" s="77">
        <v>140.84748823519752</v>
      </c>
      <c r="F1687" s="77">
        <v>140.84748823519752</v>
      </c>
      <c r="G1687" s="77">
        <v>140.84748823519752</v>
      </c>
      <c r="H1687" s="77">
        <v>140.84748823519752</v>
      </c>
      <c r="I1687" s="77">
        <v>140.84748823519752</v>
      </c>
    </row>
    <row r="1688" spans="2:9">
      <c r="B1688" s="76">
        <v>2023.0724228588042</v>
      </c>
      <c r="C1688">
        <v>823.65574190554105</v>
      </c>
      <c r="D1688" s="77">
        <v>137.27595698425685</v>
      </c>
      <c r="E1688" s="77">
        <v>137.27595698425685</v>
      </c>
      <c r="F1688" s="77">
        <v>137.27595698425685</v>
      </c>
      <c r="G1688" s="77">
        <v>137.27595698425685</v>
      </c>
      <c r="H1688" s="77">
        <v>137.27595698425685</v>
      </c>
      <c r="I1688" s="77">
        <v>137.27595698425685</v>
      </c>
    </row>
    <row r="1689" spans="2:9">
      <c r="B1689" s="76">
        <v>2022.421147119175</v>
      </c>
      <c r="C1689">
        <v>814.60892549202754</v>
      </c>
      <c r="D1689" s="77">
        <v>135.76815424867127</v>
      </c>
      <c r="E1689" s="77">
        <v>135.76815424867127</v>
      </c>
      <c r="F1689" s="77">
        <v>135.76815424867127</v>
      </c>
      <c r="G1689" s="77">
        <v>135.76815424867127</v>
      </c>
      <c r="H1689" s="77">
        <v>135.76815424867127</v>
      </c>
      <c r="I1689" s="77">
        <v>135.76815424867127</v>
      </c>
    </row>
    <row r="1690" spans="2:9">
      <c r="B1690" s="76">
        <v>2023.3088702731302</v>
      </c>
      <c r="C1690">
        <v>919.1808873730597</v>
      </c>
      <c r="D1690" s="77">
        <v>153.19681456217663</v>
      </c>
      <c r="E1690" s="77">
        <v>153.19681456217663</v>
      </c>
      <c r="F1690" s="77">
        <v>153.19681456217663</v>
      </c>
      <c r="G1690" s="77">
        <v>153.19681456217663</v>
      </c>
      <c r="H1690" s="77">
        <v>153.19681456217663</v>
      </c>
      <c r="I1690" s="77">
        <v>153.19681456217663</v>
      </c>
    </row>
    <row r="1691" spans="2:9">
      <c r="B1691" s="76">
        <v>2025.0515386054371</v>
      </c>
      <c r="C1691">
        <v>1185.9709844174715</v>
      </c>
      <c r="D1691" s="77">
        <v>197.66183073624526</v>
      </c>
      <c r="E1691" s="77">
        <v>197.66183073624526</v>
      </c>
      <c r="F1691" s="77">
        <v>197.66183073624526</v>
      </c>
      <c r="G1691" s="77">
        <v>197.66183073624526</v>
      </c>
      <c r="H1691" s="77">
        <v>197.66183073624526</v>
      </c>
      <c r="I1691" s="77">
        <v>197.66183073624526</v>
      </c>
    </row>
    <row r="1692" spans="2:9">
      <c r="B1692" s="76">
        <v>2022.8824845507331</v>
      </c>
      <c r="C1692">
        <v>820.27176237532808</v>
      </c>
      <c r="D1692" s="77">
        <v>136.71196039588801</v>
      </c>
      <c r="E1692" s="77">
        <v>136.71196039588801</v>
      </c>
      <c r="F1692" s="77">
        <v>136.71196039588801</v>
      </c>
      <c r="G1692" s="77">
        <v>136.71196039588801</v>
      </c>
      <c r="H1692" s="77">
        <v>136.71196039588801</v>
      </c>
      <c r="I1692" s="77">
        <v>136.71196039588801</v>
      </c>
    </row>
    <row r="1693" spans="2:9">
      <c r="B1693" s="76">
        <v>2024.8962187096906</v>
      </c>
      <c r="C1693">
        <v>1052.6142293491171</v>
      </c>
      <c r="D1693" s="77">
        <v>175.43570489151952</v>
      </c>
      <c r="E1693" s="77">
        <v>175.43570489151952</v>
      </c>
      <c r="F1693" s="77">
        <v>175.43570489151952</v>
      </c>
      <c r="G1693" s="77">
        <v>175.43570489151952</v>
      </c>
      <c r="H1693" s="77">
        <v>175.43570489151952</v>
      </c>
      <c r="I1693" s="77">
        <v>175.43570489151952</v>
      </c>
    </row>
    <row r="1694" spans="2:9">
      <c r="B1694" s="76">
        <v>2022.8424084202447</v>
      </c>
      <c r="C1694">
        <v>889.22388123841745</v>
      </c>
      <c r="D1694" s="77">
        <v>148.20398020640292</v>
      </c>
      <c r="E1694" s="77">
        <v>148.20398020640292</v>
      </c>
      <c r="F1694" s="77">
        <v>148.20398020640292</v>
      </c>
      <c r="G1694" s="77">
        <v>148.20398020640292</v>
      </c>
      <c r="H1694" s="77">
        <v>148.20398020640292</v>
      </c>
      <c r="I1694" s="77">
        <v>148.20398020640292</v>
      </c>
    </row>
    <row r="1695" spans="2:9">
      <c r="B1695" s="76">
        <v>2023.4750554644465</v>
      </c>
      <c r="C1695">
        <v>903.88394409256887</v>
      </c>
      <c r="D1695" s="77">
        <v>150.64732401542815</v>
      </c>
      <c r="E1695" s="77">
        <v>150.64732401542815</v>
      </c>
      <c r="F1695" s="77">
        <v>150.64732401542815</v>
      </c>
      <c r="G1695" s="77">
        <v>150.64732401542815</v>
      </c>
      <c r="H1695" s="77">
        <v>150.64732401542815</v>
      </c>
      <c r="I1695" s="77">
        <v>150.64732401542815</v>
      </c>
    </row>
    <row r="1696" spans="2:9">
      <c r="B1696" s="76">
        <v>2023.2162010158067</v>
      </c>
      <c r="C1696">
        <v>953.21502057238854</v>
      </c>
      <c r="D1696" s="77">
        <v>158.86917009539809</v>
      </c>
      <c r="E1696" s="77">
        <v>158.86917009539809</v>
      </c>
      <c r="F1696" s="77">
        <v>158.86917009539809</v>
      </c>
      <c r="G1696" s="77">
        <v>158.86917009539809</v>
      </c>
      <c r="H1696" s="77">
        <v>158.86917009539809</v>
      </c>
      <c r="I1696" s="77">
        <v>158.86917009539809</v>
      </c>
    </row>
    <row r="1697" spans="2:9">
      <c r="B1697" s="76">
        <v>2023.255427670628</v>
      </c>
      <c r="C1697">
        <v>847.65010526457752</v>
      </c>
      <c r="D1697" s="77">
        <v>141.27501754409624</v>
      </c>
      <c r="E1697" s="77">
        <v>141.27501754409624</v>
      </c>
      <c r="F1697" s="77">
        <v>141.27501754409624</v>
      </c>
      <c r="G1697" s="77">
        <v>141.27501754409624</v>
      </c>
      <c r="H1697" s="77">
        <v>141.27501754409624</v>
      </c>
      <c r="I1697" s="77">
        <v>141.27501754409624</v>
      </c>
    </row>
    <row r="1698" spans="2:9">
      <c r="B1698" s="76">
        <v>2022.8017558224287</v>
      </c>
      <c r="C1698">
        <v>834.87096324616618</v>
      </c>
      <c r="D1698" s="77">
        <v>139.14516054102771</v>
      </c>
      <c r="E1698" s="77">
        <v>139.14516054102771</v>
      </c>
      <c r="F1698" s="77">
        <v>139.14516054102771</v>
      </c>
      <c r="G1698" s="77">
        <v>139.14516054102771</v>
      </c>
      <c r="H1698" s="77">
        <v>139.14516054102771</v>
      </c>
      <c r="I1698" s="77">
        <v>139.14516054102771</v>
      </c>
    </row>
    <row r="1699" spans="2:9">
      <c r="B1699" s="76">
        <v>2022.874936656076</v>
      </c>
      <c r="C1699">
        <v>831.52406630879352</v>
      </c>
      <c r="D1699" s="77">
        <v>138.58734438479891</v>
      </c>
      <c r="E1699" s="77">
        <v>138.58734438479891</v>
      </c>
      <c r="F1699" s="77">
        <v>138.58734438479891</v>
      </c>
      <c r="G1699" s="77">
        <v>138.58734438479891</v>
      </c>
      <c r="H1699" s="77">
        <v>138.58734438479891</v>
      </c>
      <c r="I1699" s="77">
        <v>138.58734438479891</v>
      </c>
    </row>
    <row r="1700" spans="2:9">
      <c r="B1700" s="76">
        <v>2023.3542129531654</v>
      </c>
      <c r="C1700">
        <v>897.58896613361037</v>
      </c>
      <c r="D1700" s="77">
        <v>149.59816102226839</v>
      </c>
      <c r="E1700" s="77">
        <v>149.59816102226839</v>
      </c>
      <c r="F1700" s="77">
        <v>149.59816102226839</v>
      </c>
      <c r="G1700" s="77">
        <v>149.59816102226839</v>
      </c>
      <c r="H1700" s="77">
        <v>149.59816102226839</v>
      </c>
      <c r="I1700" s="77">
        <v>149.59816102226839</v>
      </c>
    </row>
    <row r="1701" spans="2:9">
      <c r="B1701" s="76">
        <v>2023.4417360911066</v>
      </c>
      <c r="C1701">
        <v>977.96898599828853</v>
      </c>
      <c r="D1701" s="77">
        <v>162.99483099971476</v>
      </c>
      <c r="E1701" s="77">
        <v>162.99483099971476</v>
      </c>
      <c r="F1701" s="77">
        <v>162.99483099971476</v>
      </c>
      <c r="G1701" s="77">
        <v>162.99483099971476</v>
      </c>
      <c r="H1701" s="77">
        <v>162.99483099971476</v>
      </c>
      <c r="I1701" s="77">
        <v>162.99483099971476</v>
      </c>
    </row>
    <row r="1702" spans="2:9">
      <c r="B1702" s="76">
        <v>2025.2144205630495</v>
      </c>
      <c r="C1702">
        <v>1199.8294847683201</v>
      </c>
      <c r="D1702" s="77">
        <v>199.97158079472001</v>
      </c>
      <c r="E1702" s="77">
        <v>199.97158079472001</v>
      </c>
      <c r="F1702" s="77">
        <v>199.97158079472001</v>
      </c>
      <c r="G1702" s="77">
        <v>199.97158079472001</v>
      </c>
      <c r="H1702" s="77">
        <v>199.97158079472001</v>
      </c>
      <c r="I1702" s="77">
        <v>199.97158079472001</v>
      </c>
    </row>
    <row r="1703" spans="2:9">
      <c r="B1703" s="76">
        <v>2022.793623701255</v>
      </c>
      <c r="C1703">
        <v>893.5671996351515</v>
      </c>
      <c r="D1703" s="77">
        <v>148.92786660585858</v>
      </c>
      <c r="E1703" s="77">
        <v>148.92786660585858</v>
      </c>
      <c r="F1703" s="77">
        <v>148.92786660585858</v>
      </c>
      <c r="G1703" s="77">
        <v>148.92786660585858</v>
      </c>
      <c r="H1703" s="77">
        <v>148.92786660585858</v>
      </c>
      <c r="I1703" s="77">
        <v>148.92786660585858</v>
      </c>
    </row>
    <row r="1704" spans="2:9">
      <c r="B1704" s="76">
        <v>2022.8340652915267</v>
      </c>
      <c r="C1704">
        <v>845.3906049166593</v>
      </c>
      <c r="D1704" s="77">
        <v>140.89843415277656</v>
      </c>
      <c r="E1704" s="77">
        <v>140.89843415277656</v>
      </c>
      <c r="F1704" s="77">
        <v>140.89843415277656</v>
      </c>
      <c r="G1704" s="77">
        <v>140.89843415277656</v>
      </c>
      <c r="H1704" s="77">
        <v>140.89843415277656</v>
      </c>
      <c r="I1704" s="77">
        <v>140.89843415277656</v>
      </c>
    </row>
    <row r="1705" spans="2:9">
      <c r="B1705" s="76">
        <v>2024.4964471890376</v>
      </c>
      <c r="C1705">
        <v>1107.2302885621039</v>
      </c>
      <c r="D1705" s="77">
        <v>184.5383814270173</v>
      </c>
      <c r="E1705" s="77">
        <v>184.5383814270173</v>
      </c>
      <c r="F1705" s="77">
        <v>184.5383814270173</v>
      </c>
      <c r="G1705" s="77">
        <v>184.5383814270173</v>
      </c>
      <c r="H1705" s="77">
        <v>184.5383814270173</v>
      </c>
      <c r="I1705" s="77">
        <v>184.5383814270173</v>
      </c>
    </row>
    <row r="1706" spans="2:9">
      <c r="B1706" s="76">
        <v>2023.2167328131541</v>
      </c>
      <c r="C1706">
        <v>860.25588548478231</v>
      </c>
      <c r="D1706" s="77">
        <v>143.37598091413039</v>
      </c>
      <c r="E1706" s="77">
        <v>143.37598091413039</v>
      </c>
      <c r="F1706" s="77">
        <v>143.37598091413039</v>
      </c>
      <c r="G1706" s="77">
        <v>143.37598091413039</v>
      </c>
      <c r="H1706" s="77">
        <v>143.37598091413039</v>
      </c>
      <c r="I1706" s="77">
        <v>143.37598091413039</v>
      </c>
    </row>
    <row r="1707" spans="2:9">
      <c r="B1707" s="76">
        <v>2023.1047392147068</v>
      </c>
      <c r="C1707">
        <v>936.50194813424037</v>
      </c>
      <c r="D1707" s="77">
        <v>156.08365802237338</v>
      </c>
      <c r="E1707" s="77">
        <v>156.08365802237338</v>
      </c>
      <c r="F1707" s="77">
        <v>156.08365802237338</v>
      </c>
      <c r="G1707" s="77">
        <v>156.08365802237338</v>
      </c>
      <c r="H1707" s="77">
        <v>156.08365802237338</v>
      </c>
      <c r="I1707" s="77">
        <v>156.08365802237338</v>
      </c>
    </row>
    <row r="1708" spans="2:9">
      <c r="B1708" s="76">
        <v>2022.9677378293829</v>
      </c>
      <c r="C1708">
        <v>874.81802025954994</v>
      </c>
      <c r="D1708" s="77">
        <v>145.80300337659165</v>
      </c>
      <c r="E1708" s="77">
        <v>145.80300337659165</v>
      </c>
      <c r="F1708" s="77">
        <v>145.80300337659165</v>
      </c>
      <c r="G1708" s="77">
        <v>145.80300337659165</v>
      </c>
      <c r="H1708" s="77">
        <v>145.80300337659165</v>
      </c>
      <c r="I1708" s="77">
        <v>145.80300337659165</v>
      </c>
    </row>
    <row r="1709" spans="2:9">
      <c r="B1709" s="76">
        <v>2025.2844561310887</v>
      </c>
      <c r="C1709">
        <v>1187.3277701323811</v>
      </c>
      <c r="D1709" s="77">
        <v>197.8879616887302</v>
      </c>
      <c r="E1709" s="77">
        <v>197.8879616887302</v>
      </c>
      <c r="F1709" s="77">
        <v>197.8879616887302</v>
      </c>
      <c r="G1709" s="77">
        <v>197.8879616887302</v>
      </c>
      <c r="H1709" s="77">
        <v>197.8879616887302</v>
      </c>
      <c r="I1709" s="77">
        <v>197.8879616887302</v>
      </c>
    </row>
    <row r="1710" spans="2:9">
      <c r="B1710" s="76">
        <v>2022.8734928204037</v>
      </c>
      <c r="C1710">
        <v>839.36589428366665</v>
      </c>
      <c r="D1710" s="77">
        <v>139.89431571394445</v>
      </c>
      <c r="E1710" s="77">
        <v>139.89431571394445</v>
      </c>
      <c r="F1710" s="77">
        <v>139.89431571394445</v>
      </c>
      <c r="G1710" s="77">
        <v>139.89431571394445</v>
      </c>
      <c r="H1710" s="77">
        <v>139.89431571394445</v>
      </c>
      <c r="I1710" s="77">
        <v>139.89431571394445</v>
      </c>
    </row>
    <row r="1711" spans="2:9">
      <c r="B1711" s="76">
        <v>2024.4995957256115</v>
      </c>
      <c r="C1711">
        <v>1063.0985702004104</v>
      </c>
      <c r="D1711" s="77">
        <v>177.18309503340174</v>
      </c>
      <c r="E1711" s="77">
        <v>177.18309503340174</v>
      </c>
      <c r="F1711" s="77">
        <v>177.18309503340174</v>
      </c>
      <c r="G1711" s="77">
        <v>177.18309503340174</v>
      </c>
      <c r="H1711" s="77">
        <v>177.18309503340174</v>
      </c>
      <c r="I1711" s="77">
        <v>177.18309503340174</v>
      </c>
    </row>
    <row r="1712" spans="2:9">
      <c r="B1712" s="76">
        <v>2023.3461701923068</v>
      </c>
      <c r="C1712">
        <v>981.94651712601308</v>
      </c>
      <c r="D1712" s="77">
        <v>163.65775285433551</v>
      </c>
      <c r="E1712" s="77">
        <v>163.65775285433551</v>
      </c>
      <c r="F1712" s="77">
        <v>163.65775285433551</v>
      </c>
      <c r="G1712" s="77">
        <v>163.65775285433551</v>
      </c>
      <c r="H1712" s="77">
        <v>163.65775285433551</v>
      </c>
      <c r="I1712" s="77">
        <v>163.65775285433551</v>
      </c>
    </row>
    <row r="1713" spans="2:9">
      <c r="B1713" s="76">
        <v>2022.8484130568988</v>
      </c>
      <c r="C1713">
        <v>862.41552713630472</v>
      </c>
      <c r="D1713" s="77">
        <v>143.73592118938413</v>
      </c>
      <c r="E1713" s="77">
        <v>143.73592118938413</v>
      </c>
      <c r="F1713" s="77">
        <v>143.73592118938413</v>
      </c>
      <c r="G1713" s="77">
        <v>143.73592118938413</v>
      </c>
      <c r="H1713" s="77">
        <v>143.73592118938413</v>
      </c>
      <c r="I1713" s="77">
        <v>143.73592118938413</v>
      </c>
    </row>
    <row r="1714" spans="2:9">
      <c r="B1714" s="76">
        <v>2023.2017125999635</v>
      </c>
      <c r="C1714">
        <v>927.90053259953402</v>
      </c>
      <c r="D1714" s="77">
        <v>154.65008876658899</v>
      </c>
      <c r="E1714" s="77">
        <v>154.65008876658899</v>
      </c>
      <c r="F1714" s="77">
        <v>154.65008876658899</v>
      </c>
      <c r="G1714" s="77">
        <v>154.65008876658899</v>
      </c>
      <c r="H1714" s="77">
        <v>154.65008876658899</v>
      </c>
      <c r="I1714" s="77">
        <v>154.65008876658899</v>
      </c>
    </row>
    <row r="1715" spans="2:9">
      <c r="B1715" s="76">
        <v>2025.5942772388353</v>
      </c>
      <c r="C1715">
        <v>1204.7228210830281</v>
      </c>
      <c r="D1715" s="77">
        <v>200.78713684717135</v>
      </c>
      <c r="E1715" s="77">
        <v>200.78713684717135</v>
      </c>
      <c r="F1715" s="77">
        <v>200.78713684717135</v>
      </c>
      <c r="G1715" s="77">
        <v>200.78713684717135</v>
      </c>
      <c r="H1715" s="77">
        <v>200.78713684717135</v>
      </c>
      <c r="I1715" s="77">
        <v>200.78713684717135</v>
      </c>
    </row>
    <row r="1716" spans="2:9">
      <c r="B1716" s="76">
        <v>2023.147021230636</v>
      </c>
      <c r="C1716">
        <v>942.40353940381522</v>
      </c>
      <c r="D1716" s="77">
        <v>157.06725656730254</v>
      </c>
      <c r="E1716" s="77">
        <v>157.06725656730254</v>
      </c>
      <c r="F1716" s="77">
        <v>157.06725656730254</v>
      </c>
      <c r="G1716" s="77">
        <v>157.06725656730254</v>
      </c>
      <c r="H1716" s="77">
        <v>157.06725656730254</v>
      </c>
      <c r="I1716" s="77">
        <v>157.06725656730254</v>
      </c>
    </row>
    <row r="1717" spans="2:9">
      <c r="B1717" s="76">
        <v>2023.1643785389019</v>
      </c>
      <c r="C1717">
        <v>904.71897285614034</v>
      </c>
      <c r="D1717" s="77">
        <v>150.78649547602339</v>
      </c>
      <c r="E1717" s="77">
        <v>150.78649547602339</v>
      </c>
      <c r="F1717" s="77">
        <v>150.78649547602339</v>
      </c>
      <c r="G1717" s="77">
        <v>150.78649547602339</v>
      </c>
      <c r="H1717" s="77">
        <v>150.78649547602339</v>
      </c>
      <c r="I1717" s="77">
        <v>150.78649547602339</v>
      </c>
    </row>
    <row r="1718" spans="2:9">
      <c r="B1718" s="76">
        <v>2022.9527597249878</v>
      </c>
      <c r="C1718">
        <v>890.62020225124843</v>
      </c>
      <c r="D1718" s="77">
        <v>148.43670037520806</v>
      </c>
      <c r="E1718" s="77">
        <v>148.43670037520806</v>
      </c>
      <c r="F1718" s="77">
        <v>148.43670037520806</v>
      </c>
      <c r="G1718" s="77">
        <v>148.43670037520806</v>
      </c>
      <c r="H1718" s="77">
        <v>148.43670037520806</v>
      </c>
      <c r="I1718" s="77">
        <v>148.43670037520806</v>
      </c>
    </row>
    <row r="1719" spans="2:9">
      <c r="B1719" s="76">
        <v>2023.1277553323057</v>
      </c>
      <c r="C1719">
        <v>892.29205677421828</v>
      </c>
      <c r="D1719" s="77">
        <v>148.71534279570304</v>
      </c>
      <c r="E1719" s="77">
        <v>148.71534279570304</v>
      </c>
      <c r="F1719" s="77">
        <v>148.71534279570304</v>
      </c>
      <c r="G1719" s="77">
        <v>148.71534279570304</v>
      </c>
      <c r="H1719" s="77">
        <v>148.71534279570304</v>
      </c>
      <c r="I1719" s="77">
        <v>148.71534279570304</v>
      </c>
    </row>
    <row r="1720" spans="2:9">
      <c r="B1720" s="76">
        <v>2023.4446817407163</v>
      </c>
      <c r="C1720">
        <v>896.38063863223033</v>
      </c>
      <c r="D1720" s="77">
        <v>149.39677310537172</v>
      </c>
      <c r="E1720" s="77">
        <v>149.39677310537172</v>
      </c>
      <c r="F1720" s="77">
        <v>149.39677310537172</v>
      </c>
      <c r="G1720" s="77">
        <v>149.39677310537172</v>
      </c>
      <c r="H1720" s="77">
        <v>149.39677310537172</v>
      </c>
      <c r="I1720" s="77">
        <v>149.39677310537172</v>
      </c>
    </row>
    <row r="1721" spans="2:9">
      <c r="B1721" s="76">
        <v>2023.5388140388125</v>
      </c>
      <c r="C1721">
        <v>918.5391613588597</v>
      </c>
      <c r="D1721" s="77">
        <v>153.08986022647662</v>
      </c>
      <c r="E1721" s="77">
        <v>153.08986022647662</v>
      </c>
      <c r="F1721" s="77">
        <v>153.08986022647662</v>
      </c>
      <c r="G1721" s="77">
        <v>153.08986022647662</v>
      </c>
      <c r="H1721" s="77">
        <v>153.08986022647662</v>
      </c>
      <c r="I1721" s="77">
        <v>153.08986022647662</v>
      </c>
    </row>
    <row r="1722" spans="2:9">
      <c r="B1722" s="76">
        <v>2023.6699878008758</v>
      </c>
      <c r="C1722">
        <v>951.6246759868344</v>
      </c>
      <c r="D1722" s="77">
        <v>158.60411266447241</v>
      </c>
      <c r="E1722" s="77">
        <v>158.60411266447241</v>
      </c>
      <c r="F1722" s="77">
        <v>158.60411266447241</v>
      </c>
      <c r="G1722" s="77">
        <v>158.60411266447241</v>
      </c>
      <c r="H1722" s="77">
        <v>158.60411266447241</v>
      </c>
      <c r="I1722" s="77">
        <v>158.60411266447241</v>
      </c>
    </row>
    <row r="1723" spans="2:9">
      <c r="B1723" s="76">
        <v>2023.009472414936</v>
      </c>
      <c r="C1723">
        <v>926.79944682027156</v>
      </c>
      <c r="D1723" s="77">
        <v>154.46657447004526</v>
      </c>
      <c r="E1723" s="77">
        <v>154.46657447004526</v>
      </c>
      <c r="F1723" s="77">
        <v>154.46657447004526</v>
      </c>
      <c r="G1723" s="77">
        <v>154.46657447004526</v>
      </c>
      <c r="H1723" s="77">
        <v>154.46657447004526</v>
      </c>
      <c r="I1723" s="77">
        <v>154.46657447004526</v>
      </c>
    </row>
    <row r="1724" spans="2:9">
      <c r="B1724" s="76">
        <v>2023.2386329019384</v>
      </c>
      <c r="C1724">
        <v>920.39537965769784</v>
      </c>
      <c r="D1724" s="77">
        <v>153.39922994294963</v>
      </c>
      <c r="E1724" s="77">
        <v>153.39922994294963</v>
      </c>
      <c r="F1724" s="77">
        <v>153.39922994294963</v>
      </c>
      <c r="G1724" s="77">
        <v>153.39922994294963</v>
      </c>
      <c r="H1724" s="77">
        <v>153.39922994294963</v>
      </c>
      <c r="I1724" s="77">
        <v>153.39922994294963</v>
      </c>
    </row>
    <row r="1725" spans="2:9">
      <c r="B1725" s="76">
        <v>2023.1151707927477</v>
      </c>
      <c r="C1725">
        <v>927.07751233967213</v>
      </c>
      <c r="D1725" s="77">
        <v>154.51291872327869</v>
      </c>
      <c r="E1725" s="77">
        <v>154.51291872327869</v>
      </c>
      <c r="F1725" s="77">
        <v>154.51291872327869</v>
      </c>
      <c r="G1725" s="77">
        <v>154.51291872327869</v>
      </c>
      <c r="H1725" s="77">
        <v>154.51291872327869</v>
      </c>
      <c r="I1725" s="77">
        <v>154.51291872327869</v>
      </c>
    </row>
    <row r="1726" spans="2:9">
      <c r="B1726" s="76">
        <v>2025.00788056181</v>
      </c>
      <c r="C1726">
        <v>1195.3217731016766</v>
      </c>
      <c r="D1726" s="77">
        <v>199.22029551694609</v>
      </c>
      <c r="E1726" s="77">
        <v>199.22029551694609</v>
      </c>
      <c r="F1726" s="77">
        <v>199.22029551694609</v>
      </c>
      <c r="G1726" s="77">
        <v>199.22029551694609</v>
      </c>
      <c r="H1726" s="77">
        <v>199.22029551694609</v>
      </c>
      <c r="I1726" s="77">
        <v>199.22029551694609</v>
      </c>
    </row>
    <row r="1727" spans="2:9">
      <c r="B1727" s="76">
        <v>2024.9524789505651</v>
      </c>
      <c r="C1727">
        <v>1122.8423436810056</v>
      </c>
      <c r="D1727" s="77">
        <v>187.14039061350093</v>
      </c>
      <c r="E1727" s="77">
        <v>187.14039061350093</v>
      </c>
      <c r="F1727" s="77">
        <v>187.14039061350093</v>
      </c>
      <c r="G1727" s="77">
        <v>187.14039061350093</v>
      </c>
      <c r="H1727" s="77">
        <v>187.14039061350093</v>
      </c>
      <c r="I1727" s="77">
        <v>187.14039061350093</v>
      </c>
    </row>
    <row r="1728" spans="2:9">
      <c r="B1728" s="76">
        <v>2022.8794148061734</v>
      </c>
      <c r="C1728">
        <v>838.054362174483</v>
      </c>
      <c r="D1728" s="77">
        <v>139.67572702908049</v>
      </c>
      <c r="E1728" s="77">
        <v>139.67572702908049</v>
      </c>
      <c r="F1728" s="77">
        <v>139.67572702908049</v>
      </c>
      <c r="G1728" s="77">
        <v>139.67572702908049</v>
      </c>
      <c r="H1728" s="77">
        <v>139.67572702908049</v>
      </c>
      <c r="I1728" s="77">
        <v>139.67572702908049</v>
      </c>
    </row>
    <row r="1729" spans="2:9">
      <c r="B1729" s="76">
        <v>2024.9928000463001</v>
      </c>
      <c r="C1729">
        <v>1107.3760856450697</v>
      </c>
      <c r="D1729" s="77">
        <v>184.56268094084496</v>
      </c>
      <c r="E1729" s="77">
        <v>184.56268094084496</v>
      </c>
      <c r="F1729" s="77">
        <v>184.56268094084496</v>
      </c>
      <c r="G1729" s="77">
        <v>184.56268094084496</v>
      </c>
      <c r="H1729" s="77">
        <v>184.56268094084496</v>
      </c>
      <c r="I1729" s="77">
        <v>184.56268094084496</v>
      </c>
    </row>
    <row r="1730" spans="2:9">
      <c r="B1730" s="76">
        <v>2023.3791044973732</v>
      </c>
      <c r="C1730">
        <v>923.70535108599609</v>
      </c>
      <c r="D1730" s="77">
        <v>153.95089184766601</v>
      </c>
      <c r="E1730" s="77">
        <v>153.95089184766601</v>
      </c>
      <c r="F1730" s="77">
        <v>153.95089184766601</v>
      </c>
      <c r="G1730" s="77">
        <v>153.95089184766601</v>
      </c>
      <c r="H1730" s="77">
        <v>153.95089184766601</v>
      </c>
      <c r="I1730" s="77">
        <v>153.95089184766601</v>
      </c>
    </row>
    <row r="1731" spans="2:9">
      <c r="B1731" s="76">
        <v>2025.6460130178179</v>
      </c>
      <c r="C1731">
        <v>1256.6041866897294</v>
      </c>
      <c r="D1731" s="77">
        <v>209.43403111495491</v>
      </c>
      <c r="E1731" s="77">
        <v>209.43403111495491</v>
      </c>
      <c r="F1731" s="77">
        <v>209.43403111495491</v>
      </c>
      <c r="G1731" s="77">
        <v>209.43403111495491</v>
      </c>
      <c r="H1731" s="77">
        <v>209.43403111495491</v>
      </c>
      <c r="I1731" s="77">
        <v>209.43403111495491</v>
      </c>
    </row>
    <row r="1732" spans="2:9">
      <c r="B1732" s="76">
        <v>2023.3461404620705</v>
      </c>
      <c r="C1732">
        <v>942.87509827557301</v>
      </c>
      <c r="D1732" s="77">
        <v>157.14584971259549</v>
      </c>
      <c r="E1732" s="77">
        <v>157.14584971259549</v>
      </c>
      <c r="F1732" s="77">
        <v>157.14584971259549</v>
      </c>
      <c r="G1732" s="77">
        <v>157.14584971259549</v>
      </c>
      <c r="H1732" s="77">
        <v>157.14584971259549</v>
      </c>
      <c r="I1732" s="77">
        <v>157.14584971259549</v>
      </c>
    </row>
    <row r="1733" spans="2:9">
      <c r="B1733" s="76">
        <v>2022.8858475143263</v>
      </c>
      <c r="C1733">
        <v>889.07499552840773</v>
      </c>
      <c r="D1733" s="77">
        <v>148.17916592140128</v>
      </c>
      <c r="E1733" s="77">
        <v>148.17916592140128</v>
      </c>
      <c r="F1733" s="77">
        <v>148.17916592140128</v>
      </c>
      <c r="G1733" s="77">
        <v>148.17916592140128</v>
      </c>
      <c r="H1733" s="77">
        <v>148.17916592140128</v>
      </c>
      <c r="I1733" s="77">
        <v>148.17916592140128</v>
      </c>
    </row>
    <row r="1734" spans="2:9">
      <c r="B1734" s="76">
        <v>2025.1979897779627</v>
      </c>
      <c r="C1734">
        <v>1210.8450303087232</v>
      </c>
      <c r="D1734" s="77">
        <v>201.80750505145386</v>
      </c>
      <c r="E1734" s="77">
        <v>201.80750505145386</v>
      </c>
      <c r="F1734" s="77">
        <v>201.80750505145386</v>
      </c>
      <c r="G1734" s="77">
        <v>201.80750505145386</v>
      </c>
      <c r="H1734" s="77">
        <v>201.80750505145386</v>
      </c>
      <c r="I1734" s="77">
        <v>201.80750505145386</v>
      </c>
    </row>
    <row r="1735" spans="2:9">
      <c r="B1735" s="76">
        <v>2024.8232818618096</v>
      </c>
      <c r="C1735">
        <v>1099.0949936632512</v>
      </c>
      <c r="D1735" s="77">
        <v>183.1824989438752</v>
      </c>
      <c r="E1735" s="77">
        <v>183.1824989438752</v>
      </c>
      <c r="F1735" s="77">
        <v>183.1824989438752</v>
      </c>
      <c r="G1735" s="77">
        <v>183.1824989438752</v>
      </c>
      <c r="H1735" s="77">
        <v>183.1824989438752</v>
      </c>
      <c r="I1735" s="77">
        <v>183.1824989438752</v>
      </c>
    </row>
    <row r="1736" spans="2:9">
      <c r="B1736" s="76">
        <v>2023.8534932850209</v>
      </c>
      <c r="C1736">
        <v>1015.8234486620107</v>
      </c>
      <c r="D1736" s="77">
        <v>169.30390811033513</v>
      </c>
      <c r="E1736" s="77">
        <v>169.30390811033513</v>
      </c>
      <c r="F1736" s="77">
        <v>169.30390811033513</v>
      </c>
      <c r="G1736" s="77">
        <v>169.30390811033513</v>
      </c>
      <c r="H1736" s="77">
        <v>169.30390811033513</v>
      </c>
      <c r="I1736" s="77">
        <v>169.30390811033513</v>
      </c>
    </row>
    <row r="1737" spans="2:9">
      <c r="B1737" s="76">
        <v>2022.8749319078445</v>
      </c>
      <c r="C1737">
        <v>853.88471571054959</v>
      </c>
      <c r="D1737" s="77">
        <v>142.31411928509161</v>
      </c>
      <c r="E1737" s="77">
        <v>142.31411928509161</v>
      </c>
      <c r="F1737" s="77">
        <v>142.31411928509161</v>
      </c>
      <c r="G1737" s="77">
        <v>142.31411928509161</v>
      </c>
      <c r="H1737" s="77">
        <v>142.31411928509161</v>
      </c>
      <c r="I1737" s="77">
        <v>142.31411928509161</v>
      </c>
    </row>
    <row r="1738" spans="2:9">
      <c r="B1738" s="76">
        <v>2023.3839140372195</v>
      </c>
      <c r="C1738">
        <v>889.69134789342104</v>
      </c>
      <c r="D1738" s="77">
        <v>148.28189131557016</v>
      </c>
      <c r="E1738" s="77">
        <v>148.28189131557016</v>
      </c>
      <c r="F1738" s="77">
        <v>148.28189131557016</v>
      </c>
      <c r="G1738" s="77">
        <v>148.28189131557016</v>
      </c>
      <c r="H1738" s="77">
        <v>148.28189131557016</v>
      </c>
      <c r="I1738" s="77">
        <v>148.28189131557016</v>
      </c>
    </row>
    <row r="1739" spans="2:9">
      <c r="B1739" s="76">
        <v>2022.8949759365969</v>
      </c>
      <c r="C1739">
        <v>859.78553008102676</v>
      </c>
      <c r="D1739" s="77">
        <v>143.29758834683778</v>
      </c>
      <c r="E1739" s="77">
        <v>143.29758834683778</v>
      </c>
      <c r="F1739" s="77">
        <v>143.29758834683778</v>
      </c>
      <c r="G1739" s="77">
        <v>143.29758834683778</v>
      </c>
      <c r="H1739" s="77">
        <v>143.29758834683778</v>
      </c>
      <c r="I1739" s="77">
        <v>143.29758834683778</v>
      </c>
    </row>
    <row r="1740" spans="2:9">
      <c r="B1740" s="76">
        <v>2023.5494626566872</v>
      </c>
      <c r="C1740">
        <v>928.91565656257717</v>
      </c>
      <c r="D1740" s="77">
        <v>154.81927609376285</v>
      </c>
      <c r="E1740" s="77">
        <v>154.81927609376285</v>
      </c>
      <c r="F1740" s="77">
        <v>154.81927609376285</v>
      </c>
      <c r="G1740" s="77">
        <v>154.81927609376285</v>
      </c>
      <c r="H1740" s="77">
        <v>154.81927609376285</v>
      </c>
      <c r="I1740" s="77">
        <v>154.81927609376285</v>
      </c>
    </row>
    <row r="1741" spans="2:9">
      <c r="B1741" s="76">
        <v>2022.9723211525516</v>
      </c>
      <c r="C1741">
        <v>872.3976925740684</v>
      </c>
      <c r="D1741" s="77">
        <v>145.39961542901139</v>
      </c>
      <c r="E1741" s="77">
        <v>145.39961542901139</v>
      </c>
      <c r="F1741" s="77">
        <v>145.39961542901139</v>
      </c>
      <c r="G1741" s="77">
        <v>145.39961542901139</v>
      </c>
      <c r="H1741" s="77">
        <v>145.39961542901139</v>
      </c>
      <c r="I1741" s="77">
        <v>145.39961542901139</v>
      </c>
    </row>
    <row r="1742" spans="2:9">
      <c r="B1742" s="76">
        <v>2023.0983544960875</v>
      </c>
      <c r="C1742">
        <v>901.99422741382421</v>
      </c>
      <c r="D1742" s="77">
        <v>150.33237123563737</v>
      </c>
      <c r="E1742" s="77">
        <v>150.33237123563737</v>
      </c>
      <c r="F1742" s="77">
        <v>150.33237123563737</v>
      </c>
      <c r="G1742" s="77">
        <v>150.33237123563737</v>
      </c>
      <c r="H1742" s="77">
        <v>150.33237123563737</v>
      </c>
      <c r="I1742" s="77">
        <v>150.33237123563737</v>
      </c>
    </row>
    <row r="1743" spans="2:9">
      <c r="B1743" s="76">
        <v>2023.2847423822968</v>
      </c>
      <c r="C1743">
        <v>962.29463740122605</v>
      </c>
      <c r="D1743" s="77">
        <v>160.382439566871</v>
      </c>
      <c r="E1743" s="77">
        <v>160.382439566871</v>
      </c>
      <c r="F1743" s="77">
        <v>160.382439566871</v>
      </c>
      <c r="G1743" s="77">
        <v>160.382439566871</v>
      </c>
      <c r="H1743" s="77">
        <v>160.382439566871</v>
      </c>
      <c r="I1743" s="77">
        <v>160.382439566871</v>
      </c>
    </row>
    <row r="1744" spans="2:9">
      <c r="B1744" s="76">
        <v>2023.2169971304772</v>
      </c>
      <c r="C1744">
        <v>878.08836860436918</v>
      </c>
      <c r="D1744" s="77">
        <v>146.34806143406152</v>
      </c>
      <c r="E1744" s="77">
        <v>146.34806143406152</v>
      </c>
      <c r="F1744" s="77">
        <v>146.34806143406152</v>
      </c>
      <c r="G1744" s="77">
        <v>146.34806143406152</v>
      </c>
      <c r="H1744" s="77">
        <v>146.34806143406152</v>
      </c>
      <c r="I1744" s="77">
        <v>146.34806143406152</v>
      </c>
    </row>
    <row r="1745" spans="2:9">
      <c r="B1745" s="76">
        <v>2022.9569582435911</v>
      </c>
      <c r="C1745">
        <v>899.54477775983139</v>
      </c>
      <c r="D1745" s="77">
        <v>149.92412962663857</v>
      </c>
      <c r="E1745" s="77">
        <v>149.92412962663857</v>
      </c>
      <c r="F1745" s="77">
        <v>149.92412962663857</v>
      </c>
      <c r="G1745" s="77">
        <v>149.92412962663857</v>
      </c>
      <c r="H1745" s="77">
        <v>149.92412962663857</v>
      </c>
      <c r="I1745" s="77">
        <v>149.92412962663857</v>
      </c>
    </row>
    <row r="1746" spans="2:9">
      <c r="B1746" s="76">
        <v>2024.274331982022</v>
      </c>
      <c r="C1746">
        <v>1007.0441472382309</v>
      </c>
      <c r="D1746" s="77">
        <v>167.84069120637182</v>
      </c>
      <c r="E1746" s="77">
        <v>167.84069120637182</v>
      </c>
      <c r="F1746" s="77">
        <v>167.84069120637182</v>
      </c>
      <c r="G1746" s="77">
        <v>167.84069120637182</v>
      </c>
      <c r="H1746" s="77">
        <v>167.84069120637182</v>
      </c>
      <c r="I1746" s="77">
        <v>167.84069120637182</v>
      </c>
    </row>
    <row r="1747" spans="2:9">
      <c r="B1747" s="76">
        <v>2022.9947628956431</v>
      </c>
      <c r="C1747">
        <v>867.79951828761875</v>
      </c>
      <c r="D1747" s="77">
        <v>144.63325304793645</v>
      </c>
      <c r="E1747" s="77">
        <v>144.63325304793645</v>
      </c>
      <c r="F1747" s="77">
        <v>144.63325304793645</v>
      </c>
      <c r="G1747" s="77">
        <v>144.63325304793645</v>
      </c>
      <c r="H1747" s="77">
        <v>144.63325304793645</v>
      </c>
      <c r="I1747" s="77">
        <v>144.63325304793645</v>
      </c>
    </row>
    <row r="1748" spans="2:9">
      <c r="B1748" s="76">
        <v>2023.2851340203811</v>
      </c>
      <c r="C1748">
        <v>902.57501651664143</v>
      </c>
      <c r="D1748" s="77">
        <v>150.42916941944023</v>
      </c>
      <c r="E1748" s="77">
        <v>150.42916941944023</v>
      </c>
      <c r="F1748" s="77">
        <v>150.42916941944023</v>
      </c>
      <c r="G1748" s="77">
        <v>150.42916941944023</v>
      </c>
      <c r="H1748" s="77">
        <v>150.42916941944023</v>
      </c>
      <c r="I1748" s="77">
        <v>150.42916941944023</v>
      </c>
    </row>
    <row r="1749" spans="2:9">
      <c r="B1749" s="76">
        <v>2022.8489425479293</v>
      </c>
      <c r="C1749">
        <v>887.09305819913368</v>
      </c>
      <c r="D1749" s="77">
        <v>147.84884303318896</v>
      </c>
      <c r="E1749" s="77">
        <v>147.84884303318896</v>
      </c>
      <c r="F1749" s="77">
        <v>147.84884303318896</v>
      </c>
      <c r="G1749" s="77">
        <v>147.84884303318896</v>
      </c>
      <c r="H1749" s="77">
        <v>147.84884303318896</v>
      </c>
      <c r="I1749" s="77">
        <v>147.84884303318896</v>
      </c>
    </row>
    <row r="1750" spans="2:9">
      <c r="B1750" s="76">
        <v>2023.513522198692</v>
      </c>
      <c r="C1750">
        <v>1004.8896413129971</v>
      </c>
      <c r="D1750" s="77">
        <v>167.48160688549953</v>
      </c>
      <c r="E1750" s="77">
        <v>167.48160688549953</v>
      </c>
      <c r="F1750" s="77">
        <v>167.48160688549953</v>
      </c>
      <c r="G1750" s="77">
        <v>167.48160688549953</v>
      </c>
      <c r="H1750" s="77">
        <v>167.48160688549953</v>
      </c>
      <c r="I1750" s="77">
        <v>167.48160688549953</v>
      </c>
    </row>
    <row r="1751" spans="2:9">
      <c r="B1751" s="76">
        <v>2023.9672074385421</v>
      </c>
      <c r="C1751">
        <v>982.40045268174003</v>
      </c>
      <c r="D1751" s="77">
        <v>163.73340878029001</v>
      </c>
      <c r="E1751" s="77">
        <v>163.73340878029001</v>
      </c>
      <c r="F1751" s="77">
        <v>163.73340878029001</v>
      </c>
      <c r="G1751" s="77">
        <v>163.73340878029001</v>
      </c>
      <c r="H1751" s="77">
        <v>163.73340878029001</v>
      </c>
      <c r="I1751" s="77">
        <v>163.73340878029001</v>
      </c>
    </row>
    <row r="1752" spans="2:9">
      <c r="B1752" s="76">
        <v>2023.2692332494103</v>
      </c>
      <c r="C1752">
        <v>912.36869798020837</v>
      </c>
      <c r="D1752" s="77">
        <v>152.06144966336805</v>
      </c>
      <c r="E1752" s="77">
        <v>152.06144966336805</v>
      </c>
      <c r="F1752" s="77">
        <v>152.06144966336805</v>
      </c>
      <c r="G1752" s="77">
        <v>152.06144966336805</v>
      </c>
      <c r="H1752" s="77">
        <v>152.06144966336805</v>
      </c>
      <c r="I1752" s="77">
        <v>152.06144966336805</v>
      </c>
    </row>
    <row r="1753" spans="2:9">
      <c r="B1753" s="76">
        <v>2023.1799921347902</v>
      </c>
      <c r="C1753">
        <v>890.40151230086212</v>
      </c>
      <c r="D1753" s="77">
        <v>148.40025205014368</v>
      </c>
      <c r="E1753" s="77">
        <v>148.40025205014368</v>
      </c>
      <c r="F1753" s="77">
        <v>148.40025205014368</v>
      </c>
      <c r="G1753" s="77">
        <v>148.40025205014368</v>
      </c>
      <c r="H1753" s="77">
        <v>148.40025205014368</v>
      </c>
      <c r="I1753" s="77">
        <v>148.40025205014368</v>
      </c>
    </row>
    <row r="1754" spans="2:9">
      <c r="B1754" s="76">
        <v>2022.931419951271</v>
      </c>
      <c r="C1754">
        <v>921.4581319839117</v>
      </c>
      <c r="D1754" s="77">
        <v>153.57635533065195</v>
      </c>
      <c r="E1754" s="77">
        <v>153.57635533065195</v>
      </c>
      <c r="F1754" s="77">
        <v>153.57635533065195</v>
      </c>
      <c r="G1754" s="77">
        <v>153.57635533065195</v>
      </c>
      <c r="H1754" s="77">
        <v>153.57635533065195</v>
      </c>
      <c r="I1754" s="77">
        <v>153.57635533065195</v>
      </c>
    </row>
    <row r="1755" spans="2:9">
      <c r="B1755" s="76">
        <v>2022.7799530920438</v>
      </c>
      <c r="C1755">
        <v>812.37180870528402</v>
      </c>
      <c r="D1755" s="77">
        <v>135.39530145088068</v>
      </c>
      <c r="E1755" s="77">
        <v>135.39530145088068</v>
      </c>
      <c r="F1755" s="77">
        <v>135.39530145088068</v>
      </c>
      <c r="G1755" s="77">
        <v>135.39530145088068</v>
      </c>
      <c r="H1755" s="77">
        <v>135.39530145088068</v>
      </c>
      <c r="I1755" s="77">
        <v>135.39530145088068</v>
      </c>
    </row>
    <row r="1756" spans="2:9">
      <c r="B1756" s="76">
        <v>2024.2620418030035</v>
      </c>
      <c r="C1756">
        <v>1000.0621220516857</v>
      </c>
      <c r="D1756" s="77">
        <v>166.67702034194761</v>
      </c>
      <c r="E1756" s="77">
        <v>166.67702034194761</v>
      </c>
      <c r="F1756" s="77">
        <v>166.67702034194761</v>
      </c>
      <c r="G1756" s="77">
        <v>166.67702034194761</v>
      </c>
      <c r="H1756" s="77">
        <v>166.67702034194761</v>
      </c>
      <c r="I1756" s="77">
        <v>166.67702034194761</v>
      </c>
    </row>
    <row r="1757" spans="2:9">
      <c r="B1757" s="76">
        <v>2024.927883255305</v>
      </c>
      <c r="C1757">
        <v>1096.578166626274</v>
      </c>
      <c r="D1757" s="77">
        <v>182.76302777104567</v>
      </c>
      <c r="E1757" s="77">
        <v>182.76302777104567</v>
      </c>
      <c r="F1757" s="77">
        <v>182.76302777104567</v>
      </c>
      <c r="G1757" s="77">
        <v>182.76302777104567</v>
      </c>
      <c r="H1757" s="77">
        <v>182.76302777104567</v>
      </c>
      <c r="I1757" s="77">
        <v>182.76302777104567</v>
      </c>
    </row>
    <row r="1758" spans="2:9">
      <c r="B1758" s="76">
        <v>2023.2298769872079</v>
      </c>
      <c r="C1758">
        <v>986.26876742493255</v>
      </c>
      <c r="D1758" s="77">
        <v>164.37812790415543</v>
      </c>
      <c r="E1758" s="77">
        <v>164.37812790415543</v>
      </c>
      <c r="F1758" s="77">
        <v>164.37812790415543</v>
      </c>
      <c r="G1758" s="77">
        <v>164.37812790415543</v>
      </c>
      <c r="H1758" s="77">
        <v>164.37812790415543</v>
      </c>
      <c r="I1758" s="77">
        <v>164.37812790415543</v>
      </c>
    </row>
    <row r="1759" spans="2:9">
      <c r="B1759" s="76">
        <v>2023.0050622051342</v>
      </c>
      <c r="C1759">
        <v>871.59998412306572</v>
      </c>
      <c r="D1759" s="77">
        <v>145.26666402051094</v>
      </c>
      <c r="E1759" s="77">
        <v>145.26666402051094</v>
      </c>
      <c r="F1759" s="77">
        <v>145.26666402051094</v>
      </c>
      <c r="G1759" s="77">
        <v>145.26666402051094</v>
      </c>
      <c r="H1759" s="77">
        <v>145.26666402051094</v>
      </c>
      <c r="I1759" s="77">
        <v>145.26666402051094</v>
      </c>
    </row>
    <row r="1760" spans="2:9">
      <c r="B1760" s="76">
        <v>2024.5115630710534</v>
      </c>
      <c r="C1760">
        <v>1085.2523065797727</v>
      </c>
      <c r="D1760" s="77">
        <v>180.87538442996211</v>
      </c>
      <c r="E1760" s="77">
        <v>180.87538442996211</v>
      </c>
      <c r="F1760" s="77">
        <v>180.87538442996211</v>
      </c>
      <c r="G1760" s="77">
        <v>180.87538442996211</v>
      </c>
      <c r="H1760" s="77">
        <v>180.87538442996211</v>
      </c>
      <c r="I1760" s="77">
        <v>180.87538442996211</v>
      </c>
    </row>
    <row r="1761" spans="2:9">
      <c r="B1761" s="76">
        <v>2023.1012284027058</v>
      </c>
      <c r="C1761">
        <v>889.85773632389487</v>
      </c>
      <c r="D1761" s="77">
        <v>148.30962272064914</v>
      </c>
      <c r="E1761" s="77">
        <v>148.30962272064914</v>
      </c>
      <c r="F1761" s="77">
        <v>148.30962272064914</v>
      </c>
      <c r="G1761" s="77">
        <v>148.30962272064914</v>
      </c>
      <c r="H1761" s="77">
        <v>148.30962272064914</v>
      </c>
      <c r="I1761" s="77">
        <v>148.30962272064914</v>
      </c>
    </row>
    <row r="1762" spans="2:9">
      <c r="B1762" s="76">
        <v>2022.8680785347497</v>
      </c>
      <c r="C1762">
        <v>830.01776914379082</v>
      </c>
      <c r="D1762" s="77">
        <v>138.33629485729847</v>
      </c>
      <c r="E1762" s="77">
        <v>138.33629485729847</v>
      </c>
      <c r="F1762" s="77">
        <v>138.33629485729847</v>
      </c>
      <c r="G1762" s="77">
        <v>138.33629485729847</v>
      </c>
      <c r="H1762" s="77">
        <v>138.33629485729847</v>
      </c>
      <c r="I1762" s="77">
        <v>138.33629485729847</v>
      </c>
    </row>
    <row r="1763" spans="2:9">
      <c r="B1763" s="76">
        <v>2022.8636603595698</v>
      </c>
      <c r="C1763">
        <v>971.78261264750142</v>
      </c>
      <c r="D1763" s="77">
        <v>161.96376877458357</v>
      </c>
      <c r="E1763" s="77">
        <v>161.96376877458357</v>
      </c>
      <c r="F1763" s="77">
        <v>161.96376877458357</v>
      </c>
      <c r="G1763" s="77">
        <v>161.96376877458357</v>
      </c>
      <c r="H1763" s="77">
        <v>161.96376877458357</v>
      </c>
      <c r="I1763" s="77">
        <v>161.96376877458357</v>
      </c>
    </row>
    <row r="1764" spans="2:9">
      <c r="B1764" s="76">
        <v>2024.4571009975634</v>
      </c>
      <c r="C1764">
        <v>1071.1388672016226</v>
      </c>
      <c r="D1764" s="77">
        <v>178.52314453360376</v>
      </c>
      <c r="E1764" s="77">
        <v>178.52314453360376</v>
      </c>
      <c r="F1764" s="77">
        <v>178.52314453360376</v>
      </c>
      <c r="G1764" s="77">
        <v>178.52314453360376</v>
      </c>
      <c r="H1764" s="77">
        <v>178.52314453360376</v>
      </c>
      <c r="I1764" s="77">
        <v>178.52314453360376</v>
      </c>
    </row>
    <row r="1765" spans="2:9">
      <c r="B1765" s="76">
        <v>2022.7537557549306</v>
      </c>
      <c r="C1765">
        <v>847.7002287644292</v>
      </c>
      <c r="D1765" s="77">
        <v>141.28337146073821</v>
      </c>
      <c r="E1765" s="77">
        <v>141.28337146073821</v>
      </c>
      <c r="F1765" s="77">
        <v>141.28337146073821</v>
      </c>
      <c r="G1765" s="77">
        <v>141.28337146073821</v>
      </c>
      <c r="H1765" s="77">
        <v>141.28337146073821</v>
      </c>
      <c r="I1765" s="77">
        <v>141.28337146073821</v>
      </c>
    </row>
    <row r="1766" spans="2:9">
      <c r="B1766" s="76">
        <v>2024.4168232659677</v>
      </c>
      <c r="C1766">
        <v>1017.8544655335231</v>
      </c>
      <c r="D1766" s="77">
        <v>169.64241092225384</v>
      </c>
      <c r="E1766" s="77">
        <v>169.64241092225384</v>
      </c>
      <c r="F1766" s="77">
        <v>169.64241092225384</v>
      </c>
      <c r="G1766" s="77">
        <v>169.64241092225384</v>
      </c>
      <c r="H1766" s="77">
        <v>169.64241092225384</v>
      </c>
      <c r="I1766" s="77">
        <v>169.64241092225384</v>
      </c>
    </row>
    <row r="1767" spans="2:9">
      <c r="B1767" s="76">
        <v>2023.3570173809483</v>
      </c>
      <c r="C1767">
        <v>883.54170626976031</v>
      </c>
      <c r="D1767" s="77">
        <v>147.25695104496006</v>
      </c>
      <c r="E1767" s="77">
        <v>147.25695104496006</v>
      </c>
      <c r="F1767" s="77">
        <v>147.25695104496006</v>
      </c>
      <c r="G1767" s="77">
        <v>147.25695104496006</v>
      </c>
      <c r="H1767" s="77">
        <v>147.25695104496006</v>
      </c>
      <c r="I1767" s="77">
        <v>147.25695104496006</v>
      </c>
    </row>
    <row r="1768" spans="2:9">
      <c r="B1768" s="76">
        <v>2022.6235272760562</v>
      </c>
      <c r="C1768">
        <v>820.20108651539476</v>
      </c>
      <c r="D1768" s="77">
        <v>136.70018108589912</v>
      </c>
      <c r="E1768" s="77">
        <v>136.70018108589912</v>
      </c>
      <c r="F1768" s="77">
        <v>136.70018108589912</v>
      </c>
      <c r="G1768" s="77">
        <v>136.70018108589912</v>
      </c>
      <c r="H1768" s="77">
        <v>136.70018108589912</v>
      </c>
      <c r="I1768" s="77">
        <v>136.70018108589912</v>
      </c>
    </row>
    <row r="1769" spans="2:9">
      <c r="B1769" s="76">
        <v>2022.9549116437722</v>
      </c>
      <c r="C1769">
        <v>818.52362372586754</v>
      </c>
      <c r="D1769" s="77">
        <v>136.42060395431125</v>
      </c>
      <c r="E1769" s="77">
        <v>136.42060395431125</v>
      </c>
      <c r="F1769" s="77">
        <v>136.42060395431125</v>
      </c>
      <c r="G1769" s="77">
        <v>136.42060395431125</v>
      </c>
      <c r="H1769" s="77">
        <v>136.42060395431125</v>
      </c>
      <c r="I1769" s="77">
        <v>136.42060395431125</v>
      </c>
    </row>
    <row r="1770" spans="2:9">
      <c r="B1770" s="76">
        <v>2022.9248612657873</v>
      </c>
      <c r="C1770">
        <v>889.92171876271561</v>
      </c>
      <c r="D1770" s="77">
        <v>148.32028646045259</v>
      </c>
      <c r="E1770" s="77">
        <v>148.32028646045259</v>
      </c>
      <c r="F1770" s="77">
        <v>148.32028646045259</v>
      </c>
      <c r="G1770" s="77">
        <v>148.32028646045259</v>
      </c>
      <c r="H1770" s="77">
        <v>148.32028646045259</v>
      </c>
      <c r="I1770" s="77">
        <v>148.32028646045259</v>
      </c>
    </row>
    <row r="1771" spans="2:9">
      <c r="B1771" s="76">
        <v>2023.2966835135869</v>
      </c>
      <c r="C1771">
        <v>881.06981224425385</v>
      </c>
      <c r="D1771" s="77">
        <v>146.84496870737564</v>
      </c>
      <c r="E1771" s="77">
        <v>146.84496870737564</v>
      </c>
      <c r="F1771" s="77">
        <v>146.84496870737564</v>
      </c>
      <c r="G1771" s="77">
        <v>146.84496870737564</v>
      </c>
      <c r="H1771" s="77">
        <v>146.84496870737564</v>
      </c>
      <c r="I1771" s="77">
        <v>146.84496870737564</v>
      </c>
    </row>
    <row r="1772" spans="2:9">
      <c r="B1772" s="76">
        <v>2023.5793071520361</v>
      </c>
      <c r="C1772">
        <v>916.93284316841107</v>
      </c>
      <c r="D1772" s="77">
        <v>152.8221405280685</v>
      </c>
      <c r="E1772" s="77">
        <v>152.8221405280685</v>
      </c>
      <c r="F1772" s="77">
        <v>152.8221405280685</v>
      </c>
      <c r="G1772" s="77">
        <v>152.8221405280685</v>
      </c>
      <c r="H1772" s="77">
        <v>152.8221405280685</v>
      </c>
      <c r="I1772" s="77">
        <v>152.8221405280685</v>
      </c>
    </row>
    <row r="1773" spans="2:9">
      <c r="B1773" s="76">
        <v>2023.0269796091202</v>
      </c>
      <c r="C1773">
        <v>809.47435064424644</v>
      </c>
      <c r="D1773" s="77">
        <v>134.91239177404108</v>
      </c>
      <c r="E1773" s="77">
        <v>134.91239177404108</v>
      </c>
      <c r="F1773" s="77">
        <v>134.91239177404108</v>
      </c>
      <c r="G1773" s="77">
        <v>134.91239177404108</v>
      </c>
      <c r="H1773" s="77">
        <v>134.91239177404108</v>
      </c>
      <c r="I1773" s="77">
        <v>134.91239177404108</v>
      </c>
    </row>
    <row r="1774" spans="2:9">
      <c r="B1774" s="76">
        <v>2022.7435147869642</v>
      </c>
      <c r="C1774">
        <v>862.95535958761286</v>
      </c>
      <c r="D1774" s="77">
        <v>143.82589326460214</v>
      </c>
      <c r="E1774" s="77">
        <v>143.82589326460214</v>
      </c>
      <c r="F1774" s="77">
        <v>143.82589326460214</v>
      </c>
      <c r="G1774" s="77">
        <v>143.82589326460214</v>
      </c>
      <c r="H1774" s="77">
        <v>143.82589326460214</v>
      </c>
      <c r="I1774" s="77">
        <v>143.82589326460214</v>
      </c>
    </row>
    <row r="1775" spans="2:9">
      <c r="B1775" s="76">
        <v>2023.1676794808675</v>
      </c>
      <c r="C1775">
        <v>884.11408784058756</v>
      </c>
      <c r="D1775" s="77">
        <v>147.35234797343125</v>
      </c>
      <c r="E1775" s="77">
        <v>147.35234797343125</v>
      </c>
      <c r="F1775" s="77">
        <v>147.35234797343125</v>
      </c>
      <c r="G1775" s="77">
        <v>147.35234797343125</v>
      </c>
      <c r="H1775" s="77">
        <v>147.35234797343125</v>
      </c>
      <c r="I1775" s="77">
        <v>147.35234797343125</v>
      </c>
    </row>
    <row r="1776" spans="2:9">
      <c r="B1776" s="76">
        <v>2025.1918504509665</v>
      </c>
      <c r="C1776">
        <v>1195.6975758052756</v>
      </c>
      <c r="D1776" s="77">
        <v>199.28292930087926</v>
      </c>
      <c r="E1776" s="77">
        <v>199.28292930087926</v>
      </c>
      <c r="F1776" s="77">
        <v>199.28292930087926</v>
      </c>
      <c r="G1776" s="77">
        <v>199.28292930087926</v>
      </c>
      <c r="H1776" s="77">
        <v>199.28292930087926</v>
      </c>
      <c r="I1776" s="77">
        <v>199.28292930087926</v>
      </c>
    </row>
    <row r="1777" spans="2:9">
      <c r="B1777" s="76">
        <v>2023.202233245928</v>
      </c>
      <c r="C1777">
        <v>926.35400890456754</v>
      </c>
      <c r="D1777" s="77">
        <v>154.39233481742792</v>
      </c>
      <c r="E1777" s="77">
        <v>154.39233481742792</v>
      </c>
      <c r="F1777" s="77">
        <v>154.39233481742792</v>
      </c>
      <c r="G1777" s="77">
        <v>154.39233481742792</v>
      </c>
      <c r="H1777" s="77">
        <v>154.39233481742792</v>
      </c>
      <c r="I1777" s="77">
        <v>154.39233481742792</v>
      </c>
    </row>
    <row r="1778" spans="2:9">
      <c r="B1778" s="76">
        <v>2023.9362809346578</v>
      </c>
      <c r="C1778">
        <v>1000.6145325429786</v>
      </c>
      <c r="D1778" s="77">
        <v>166.7690887571631</v>
      </c>
      <c r="E1778" s="77">
        <v>166.7690887571631</v>
      </c>
      <c r="F1778" s="77">
        <v>166.7690887571631</v>
      </c>
      <c r="G1778" s="77">
        <v>166.7690887571631</v>
      </c>
      <c r="H1778" s="77">
        <v>166.7690887571631</v>
      </c>
      <c r="I1778" s="77">
        <v>166.7690887571631</v>
      </c>
    </row>
    <row r="1779" spans="2:9">
      <c r="B1779" s="76">
        <v>2023.0143330325911</v>
      </c>
      <c r="C1779">
        <v>904.60989004496935</v>
      </c>
      <c r="D1779" s="77">
        <v>150.76831500749489</v>
      </c>
      <c r="E1779" s="77">
        <v>150.76831500749489</v>
      </c>
      <c r="F1779" s="77">
        <v>150.76831500749489</v>
      </c>
      <c r="G1779" s="77">
        <v>150.76831500749489</v>
      </c>
      <c r="H1779" s="77">
        <v>150.76831500749489</v>
      </c>
      <c r="I1779" s="77">
        <v>150.76831500749489</v>
      </c>
    </row>
    <row r="1780" spans="2:9">
      <c r="B1780" s="76">
        <v>2025.5376476720128</v>
      </c>
      <c r="C1780">
        <v>1188.755561395601</v>
      </c>
      <c r="D1780" s="77">
        <v>198.12592689926683</v>
      </c>
      <c r="E1780" s="77">
        <v>198.12592689926683</v>
      </c>
      <c r="F1780" s="77">
        <v>198.12592689926683</v>
      </c>
      <c r="G1780" s="77">
        <v>198.12592689926683</v>
      </c>
      <c r="H1780" s="77">
        <v>198.12592689926683</v>
      </c>
      <c r="I1780" s="77">
        <v>198.12592689926683</v>
      </c>
    </row>
    <row r="1781" spans="2:9">
      <c r="B1781" s="76">
        <v>2024.0986055267549</v>
      </c>
      <c r="C1781">
        <v>976.19688329342262</v>
      </c>
      <c r="D1781" s="77">
        <v>162.69948054890378</v>
      </c>
      <c r="E1781" s="77">
        <v>162.69948054890378</v>
      </c>
      <c r="F1781" s="77">
        <v>162.69948054890378</v>
      </c>
      <c r="G1781" s="77">
        <v>162.69948054890378</v>
      </c>
      <c r="H1781" s="77">
        <v>162.69948054890378</v>
      </c>
      <c r="I1781" s="77">
        <v>162.69948054890378</v>
      </c>
    </row>
    <row r="1782" spans="2:9">
      <c r="B1782" s="76">
        <v>2023.1483299218801</v>
      </c>
      <c r="C1782">
        <v>916.23767675803924</v>
      </c>
      <c r="D1782" s="77">
        <v>152.7062794596732</v>
      </c>
      <c r="E1782" s="77">
        <v>152.7062794596732</v>
      </c>
      <c r="F1782" s="77">
        <v>152.7062794596732</v>
      </c>
      <c r="G1782" s="77">
        <v>152.7062794596732</v>
      </c>
      <c r="H1782" s="77">
        <v>152.7062794596732</v>
      </c>
      <c r="I1782" s="77">
        <v>152.7062794596732</v>
      </c>
    </row>
    <row r="1783" spans="2:9">
      <c r="B1783" s="76">
        <v>2023.0617431957016</v>
      </c>
      <c r="C1783">
        <v>899.43685039526213</v>
      </c>
      <c r="D1783" s="77">
        <v>149.90614173254369</v>
      </c>
      <c r="E1783" s="77">
        <v>149.90614173254369</v>
      </c>
      <c r="F1783" s="77">
        <v>149.90614173254369</v>
      </c>
      <c r="G1783" s="77">
        <v>149.90614173254369</v>
      </c>
      <c r="H1783" s="77">
        <v>149.90614173254369</v>
      </c>
      <c r="I1783" s="77">
        <v>149.90614173254369</v>
      </c>
    </row>
    <row r="1784" spans="2:9">
      <c r="B1784" s="76">
        <v>2023.4121227375588</v>
      </c>
      <c r="C1784">
        <v>981.70334681712427</v>
      </c>
      <c r="D1784" s="77">
        <v>163.61722446952072</v>
      </c>
      <c r="E1784" s="77">
        <v>163.61722446952072</v>
      </c>
      <c r="F1784" s="77">
        <v>163.61722446952072</v>
      </c>
      <c r="G1784" s="77">
        <v>163.61722446952072</v>
      </c>
      <c r="H1784" s="77">
        <v>163.61722446952072</v>
      </c>
      <c r="I1784" s="77">
        <v>163.61722446952072</v>
      </c>
    </row>
    <row r="1785" spans="2:9">
      <c r="B1785" s="76">
        <v>2022.6639937861767</v>
      </c>
      <c r="C1785">
        <v>809.19395768994457</v>
      </c>
      <c r="D1785" s="77">
        <v>134.86565961499076</v>
      </c>
      <c r="E1785" s="77">
        <v>134.86565961499076</v>
      </c>
      <c r="F1785" s="77">
        <v>134.86565961499076</v>
      </c>
      <c r="G1785" s="77">
        <v>134.86565961499076</v>
      </c>
      <c r="H1785" s="77">
        <v>134.86565961499076</v>
      </c>
      <c r="I1785" s="77">
        <v>134.86565961499076</v>
      </c>
    </row>
    <row r="1786" spans="2:9">
      <c r="B1786" s="76">
        <v>2022.6144819459053</v>
      </c>
      <c r="C1786">
        <v>882.37757028971271</v>
      </c>
      <c r="D1786" s="77">
        <v>147.06292838161878</v>
      </c>
      <c r="E1786" s="77">
        <v>147.06292838161878</v>
      </c>
      <c r="F1786" s="77">
        <v>147.06292838161878</v>
      </c>
      <c r="G1786" s="77">
        <v>147.06292838161878</v>
      </c>
      <c r="H1786" s="77">
        <v>147.06292838161878</v>
      </c>
      <c r="I1786" s="77">
        <v>147.06292838161878</v>
      </c>
    </row>
    <row r="1787" spans="2:9">
      <c r="B1787" s="76">
        <v>2023.2065063485643</v>
      </c>
      <c r="C1787">
        <v>892.02061585167212</v>
      </c>
      <c r="D1787" s="77">
        <v>148.67010264194536</v>
      </c>
      <c r="E1787" s="77">
        <v>148.67010264194536</v>
      </c>
      <c r="F1787" s="77">
        <v>148.67010264194536</v>
      </c>
      <c r="G1787" s="77">
        <v>148.67010264194536</v>
      </c>
      <c r="H1787" s="77">
        <v>148.67010264194536</v>
      </c>
      <c r="I1787" s="77">
        <v>148.67010264194536</v>
      </c>
    </row>
    <row r="1788" spans="2:9">
      <c r="B1788" s="76">
        <v>2023.0420790607152</v>
      </c>
      <c r="C1788">
        <v>868.89075540203532</v>
      </c>
      <c r="D1788" s="77">
        <v>144.81512590033921</v>
      </c>
      <c r="E1788" s="77">
        <v>144.81512590033921</v>
      </c>
      <c r="F1788" s="77">
        <v>144.81512590033921</v>
      </c>
      <c r="G1788" s="77">
        <v>144.81512590033921</v>
      </c>
      <c r="H1788" s="77">
        <v>144.81512590033921</v>
      </c>
      <c r="I1788" s="77">
        <v>144.81512590033921</v>
      </c>
    </row>
    <row r="1789" spans="2:9">
      <c r="B1789" s="76">
        <v>2025.5769801483343</v>
      </c>
      <c r="C1789">
        <v>1244.5272462240152</v>
      </c>
      <c r="D1789" s="77">
        <v>207.42120770400254</v>
      </c>
      <c r="E1789" s="77">
        <v>207.42120770400254</v>
      </c>
      <c r="F1789" s="77">
        <v>207.42120770400254</v>
      </c>
      <c r="G1789" s="77">
        <v>207.42120770400254</v>
      </c>
      <c r="H1789" s="77">
        <v>207.42120770400254</v>
      </c>
      <c r="I1789" s="77">
        <v>207.42120770400254</v>
      </c>
    </row>
    <row r="1790" spans="2:9">
      <c r="B1790" s="76">
        <v>2022.912510362291</v>
      </c>
      <c r="C1790">
        <v>878.59322563067167</v>
      </c>
      <c r="D1790" s="77">
        <v>146.4322042717786</v>
      </c>
      <c r="E1790" s="77">
        <v>146.4322042717786</v>
      </c>
      <c r="F1790" s="77">
        <v>146.4322042717786</v>
      </c>
      <c r="G1790" s="77">
        <v>146.4322042717786</v>
      </c>
      <c r="H1790" s="77">
        <v>146.4322042717786</v>
      </c>
      <c r="I1790" s="77">
        <v>146.4322042717786</v>
      </c>
    </row>
    <row r="1791" spans="2:9">
      <c r="B1791" s="76">
        <v>2023.2985492174669</v>
      </c>
      <c r="C1791">
        <v>927.11617451840834</v>
      </c>
      <c r="D1791" s="77">
        <v>154.51936241973473</v>
      </c>
      <c r="E1791" s="77">
        <v>154.51936241973473</v>
      </c>
      <c r="F1791" s="77">
        <v>154.51936241973473</v>
      </c>
      <c r="G1791" s="77">
        <v>154.51936241973473</v>
      </c>
      <c r="H1791" s="77">
        <v>154.51936241973473</v>
      </c>
      <c r="I1791" s="77">
        <v>154.51936241973473</v>
      </c>
    </row>
    <row r="1792" spans="2:9">
      <c r="B1792" s="76">
        <v>2023.3914686357102</v>
      </c>
      <c r="C1792">
        <v>903.71306862829397</v>
      </c>
      <c r="D1792" s="77">
        <v>150.61884477138233</v>
      </c>
      <c r="E1792" s="77">
        <v>150.61884477138233</v>
      </c>
      <c r="F1792" s="77">
        <v>150.61884477138233</v>
      </c>
      <c r="G1792" s="77">
        <v>150.61884477138233</v>
      </c>
      <c r="H1792" s="77">
        <v>150.61884477138233</v>
      </c>
      <c r="I1792" s="77">
        <v>150.61884477138233</v>
      </c>
    </row>
    <row r="1793" spans="2:9">
      <c r="B1793" s="76">
        <v>2023.0980216746184</v>
      </c>
      <c r="C1793">
        <v>915.25608975431737</v>
      </c>
      <c r="D1793" s="77">
        <v>152.54268162571955</v>
      </c>
      <c r="E1793" s="77">
        <v>152.54268162571955</v>
      </c>
      <c r="F1793" s="77">
        <v>152.54268162571955</v>
      </c>
      <c r="G1793" s="77">
        <v>152.54268162571955</v>
      </c>
      <c r="H1793" s="77">
        <v>152.54268162571955</v>
      </c>
      <c r="I1793" s="77">
        <v>152.54268162571955</v>
      </c>
    </row>
    <row r="1794" spans="2:9">
      <c r="B1794" s="76">
        <v>2023.0394724884002</v>
      </c>
      <c r="C1794">
        <v>902.50261203502498</v>
      </c>
      <c r="D1794" s="77">
        <v>150.41710200583751</v>
      </c>
      <c r="E1794" s="77">
        <v>150.41710200583751</v>
      </c>
      <c r="F1794" s="77">
        <v>150.41710200583751</v>
      </c>
      <c r="G1794" s="77">
        <v>150.41710200583751</v>
      </c>
      <c r="H1794" s="77">
        <v>150.41710200583751</v>
      </c>
      <c r="I1794" s="77">
        <v>150.41710200583751</v>
      </c>
    </row>
    <row r="1795" spans="2:9">
      <c r="B1795" s="76">
        <v>2022.9228001237113</v>
      </c>
      <c r="C1795">
        <v>848.79113541405525</v>
      </c>
      <c r="D1795" s="77">
        <v>141.46518923567587</v>
      </c>
      <c r="E1795" s="77">
        <v>141.46518923567587</v>
      </c>
      <c r="F1795" s="77">
        <v>141.46518923567587</v>
      </c>
      <c r="G1795" s="77">
        <v>141.46518923567587</v>
      </c>
      <c r="H1795" s="77">
        <v>141.46518923567587</v>
      </c>
      <c r="I1795" s="77">
        <v>141.46518923567587</v>
      </c>
    </row>
    <row r="1796" spans="2:9">
      <c r="B1796" s="76">
        <v>2025.5556964813748</v>
      </c>
      <c r="C1796">
        <v>1257.4307218959782</v>
      </c>
      <c r="D1796" s="77">
        <v>209.57178698266304</v>
      </c>
      <c r="E1796" s="77">
        <v>209.57178698266304</v>
      </c>
      <c r="F1796" s="77">
        <v>209.57178698266304</v>
      </c>
      <c r="G1796" s="77">
        <v>209.57178698266304</v>
      </c>
      <c r="H1796" s="77">
        <v>209.57178698266304</v>
      </c>
      <c r="I1796" s="77">
        <v>209.57178698266304</v>
      </c>
    </row>
    <row r="1797" spans="2:9">
      <c r="B1797" s="76">
        <v>2022.8495745595794</v>
      </c>
      <c r="C1797">
        <v>869.78784467047501</v>
      </c>
      <c r="D1797" s="77">
        <v>144.9646407784125</v>
      </c>
      <c r="E1797" s="77">
        <v>144.9646407784125</v>
      </c>
      <c r="F1797" s="77">
        <v>144.9646407784125</v>
      </c>
      <c r="G1797" s="77">
        <v>144.9646407784125</v>
      </c>
      <c r="H1797" s="77">
        <v>144.9646407784125</v>
      </c>
      <c r="I1797" s="77">
        <v>144.9646407784125</v>
      </c>
    </row>
    <row r="1798" spans="2:9">
      <c r="B1798" s="76">
        <v>2025.0663480528281</v>
      </c>
      <c r="C1798">
        <v>1153.3229698623131</v>
      </c>
      <c r="D1798" s="77">
        <v>192.2204949770522</v>
      </c>
      <c r="E1798" s="77">
        <v>192.2204949770522</v>
      </c>
      <c r="F1798" s="77">
        <v>192.2204949770522</v>
      </c>
      <c r="G1798" s="77">
        <v>192.2204949770522</v>
      </c>
      <c r="H1798" s="77">
        <v>192.2204949770522</v>
      </c>
      <c r="I1798" s="77">
        <v>192.2204949770522</v>
      </c>
    </row>
    <row r="1799" spans="2:9">
      <c r="B1799" s="76">
        <v>2023.2244084338615</v>
      </c>
      <c r="C1799">
        <v>894.17307013551363</v>
      </c>
      <c r="D1799" s="77">
        <v>149.02884502258561</v>
      </c>
      <c r="E1799" s="77">
        <v>149.02884502258561</v>
      </c>
      <c r="F1799" s="77">
        <v>149.02884502258561</v>
      </c>
      <c r="G1799" s="77">
        <v>149.02884502258561</v>
      </c>
      <c r="H1799" s="77">
        <v>149.02884502258561</v>
      </c>
      <c r="I1799" s="77">
        <v>149.02884502258561</v>
      </c>
    </row>
    <row r="1800" spans="2:9">
      <c r="B1800" s="76">
        <v>2025.2911466364712</v>
      </c>
      <c r="C1800">
        <v>1171.9370949312452</v>
      </c>
      <c r="D1800" s="77">
        <v>195.32284915520754</v>
      </c>
      <c r="E1800" s="77">
        <v>195.32284915520754</v>
      </c>
      <c r="F1800" s="77">
        <v>195.32284915520754</v>
      </c>
      <c r="G1800" s="77">
        <v>195.32284915520754</v>
      </c>
      <c r="H1800" s="77">
        <v>195.32284915520754</v>
      </c>
      <c r="I1800" s="77">
        <v>195.32284915520754</v>
      </c>
    </row>
    <row r="1801" spans="2:9">
      <c r="B1801" s="76">
        <v>2023.8426383268463</v>
      </c>
      <c r="C1801">
        <v>949.37346439456053</v>
      </c>
      <c r="D1801" s="77">
        <v>158.22891073242675</v>
      </c>
      <c r="E1801" s="77">
        <v>158.22891073242675</v>
      </c>
      <c r="F1801" s="77">
        <v>158.22891073242675</v>
      </c>
      <c r="G1801" s="77">
        <v>158.22891073242675</v>
      </c>
      <c r="H1801" s="77">
        <v>158.22891073242675</v>
      </c>
      <c r="I1801" s="77">
        <v>158.22891073242675</v>
      </c>
    </row>
    <row r="1802" spans="2:9">
      <c r="B1802" s="76">
        <v>2023.3306371339156</v>
      </c>
      <c r="C1802">
        <v>954.51989052779641</v>
      </c>
      <c r="D1802" s="77">
        <v>159.0866484212994</v>
      </c>
      <c r="E1802" s="77">
        <v>159.0866484212994</v>
      </c>
      <c r="F1802" s="77">
        <v>159.0866484212994</v>
      </c>
      <c r="G1802" s="77">
        <v>159.0866484212994</v>
      </c>
      <c r="H1802" s="77">
        <v>159.0866484212994</v>
      </c>
      <c r="I1802" s="77">
        <v>159.0866484212994</v>
      </c>
    </row>
    <row r="1803" spans="2:9">
      <c r="B1803" s="76">
        <v>2023.3295650807506</v>
      </c>
      <c r="C1803">
        <v>899.23790008984997</v>
      </c>
      <c r="D1803" s="77">
        <v>149.87298334830834</v>
      </c>
      <c r="E1803" s="77">
        <v>149.87298334830834</v>
      </c>
      <c r="F1803" s="77">
        <v>149.87298334830834</v>
      </c>
      <c r="G1803" s="77">
        <v>149.87298334830834</v>
      </c>
      <c r="H1803" s="77">
        <v>149.87298334830834</v>
      </c>
      <c r="I1803" s="77">
        <v>149.87298334830834</v>
      </c>
    </row>
    <row r="1804" spans="2:9">
      <c r="B1804" s="76">
        <v>2022.8075622964975</v>
      </c>
      <c r="C1804">
        <v>867.55623950471022</v>
      </c>
      <c r="D1804" s="77">
        <v>144.59270658411836</v>
      </c>
      <c r="E1804" s="77">
        <v>144.59270658411836</v>
      </c>
      <c r="F1804" s="77">
        <v>144.59270658411836</v>
      </c>
      <c r="G1804" s="77">
        <v>144.59270658411836</v>
      </c>
      <c r="H1804" s="77">
        <v>144.59270658411836</v>
      </c>
      <c r="I1804" s="77">
        <v>144.59270658411836</v>
      </c>
    </row>
    <row r="1805" spans="2:9">
      <c r="B1805" s="76">
        <v>2022.9686491517366</v>
      </c>
      <c r="C1805">
        <v>872.93006597501403</v>
      </c>
      <c r="D1805" s="77">
        <v>145.488344329169</v>
      </c>
      <c r="E1805" s="77">
        <v>145.488344329169</v>
      </c>
      <c r="F1805" s="77">
        <v>145.488344329169</v>
      </c>
      <c r="G1805" s="77">
        <v>145.488344329169</v>
      </c>
      <c r="H1805" s="77">
        <v>145.488344329169</v>
      </c>
      <c r="I1805" s="77">
        <v>145.488344329169</v>
      </c>
    </row>
    <row r="1806" spans="2:9">
      <c r="B1806" s="76">
        <v>2025.7178528565869</v>
      </c>
      <c r="C1806">
        <v>1197.7914426090249</v>
      </c>
      <c r="D1806" s="77">
        <v>199.63190710150414</v>
      </c>
      <c r="E1806" s="77">
        <v>199.63190710150414</v>
      </c>
      <c r="F1806" s="77">
        <v>199.63190710150414</v>
      </c>
      <c r="G1806" s="77">
        <v>199.63190710150414</v>
      </c>
      <c r="H1806" s="77">
        <v>199.63190710150414</v>
      </c>
      <c r="I1806" s="77">
        <v>199.63190710150414</v>
      </c>
    </row>
    <row r="1807" spans="2:9">
      <c r="B1807" s="76">
        <v>2022.7501942349277</v>
      </c>
      <c r="C1807">
        <v>901.14692293103667</v>
      </c>
      <c r="D1807" s="77">
        <v>150.19115382183944</v>
      </c>
      <c r="E1807" s="77">
        <v>150.19115382183944</v>
      </c>
      <c r="F1807" s="77">
        <v>150.19115382183944</v>
      </c>
      <c r="G1807" s="77">
        <v>150.19115382183944</v>
      </c>
      <c r="H1807" s="77">
        <v>150.19115382183944</v>
      </c>
      <c r="I1807" s="77">
        <v>150.19115382183944</v>
      </c>
    </row>
    <row r="1808" spans="2:9">
      <c r="B1808" s="76">
        <v>2023.2012856060851</v>
      </c>
      <c r="C1808">
        <v>909.60677925902621</v>
      </c>
      <c r="D1808" s="77">
        <v>151.60112987650436</v>
      </c>
      <c r="E1808" s="77">
        <v>151.60112987650436</v>
      </c>
      <c r="F1808" s="77">
        <v>151.60112987650436</v>
      </c>
      <c r="G1808" s="77">
        <v>151.60112987650436</v>
      </c>
      <c r="H1808" s="77">
        <v>151.60112987650436</v>
      </c>
      <c r="I1808" s="77">
        <v>151.60112987650436</v>
      </c>
    </row>
    <row r="1809" spans="2:9">
      <c r="B1809" s="76">
        <v>2023.0761626844887</v>
      </c>
      <c r="C1809">
        <v>901.25629745789968</v>
      </c>
      <c r="D1809" s="77">
        <v>150.20938290964995</v>
      </c>
      <c r="E1809" s="77">
        <v>150.20938290964995</v>
      </c>
      <c r="F1809" s="77">
        <v>150.20938290964995</v>
      </c>
      <c r="G1809" s="77">
        <v>150.20938290964995</v>
      </c>
      <c r="H1809" s="77">
        <v>150.20938290964995</v>
      </c>
      <c r="I1809" s="77">
        <v>150.20938290964995</v>
      </c>
    </row>
    <row r="1810" spans="2:9">
      <c r="B1810" s="76">
        <v>2022.7638722872566</v>
      </c>
      <c r="C1810">
        <v>839.86839083356176</v>
      </c>
      <c r="D1810" s="77">
        <v>139.97806513892695</v>
      </c>
      <c r="E1810" s="77">
        <v>139.97806513892695</v>
      </c>
      <c r="F1810" s="77">
        <v>139.97806513892695</v>
      </c>
      <c r="G1810" s="77">
        <v>139.97806513892695</v>
      </c>
      <c r="H1810" s="77">
        <v>139.97806513892695</v>
      </c>
      <c r="I1810" s="77">
        <v>139.97806513892695</v>
      </c>
    </row>
    <row r="1811" spans="2:9">
      <c r="B1811" s="76">
        <v>2025.8437015950749</v>
      </c>
      <c r="C1811">
        <v>1233.5770392238524</v>
      </c>
      <c r="D1811" s="77">
        <v>205.59617320397538</v>
      </c>
      <c r="E1811" s="77">
        <v>205.59617320397538</v>
      </c>
      <c r="F1811" s="77">
        <v>205.59617320397538</v>
      </c>
      <c r="G1811" s="77">
        <v>205.59617320397538</v>
      </c>
      <c r="H1811" s="77">
        <v>205.59617320397538</v>
      </c>
      <c r="I1811" s="77">
        <v>205.59617320397538</v>
      </c>
    </row>
    <row r="1812" spans="2:9">
      <c r="B1812" s="76">
        <v>2025.1030048311202</v>
      </c>
      <c r="C1812">
        <v>1120.4940999071152</v>
      </c>
      <c r="D1812" s="77">
        <v>186.74901665118588</v>
      </c>
      <c r="E1812" s="77">
        <v>186.74901665118588</v>
      </c>
      <c r="F1812" s="77">
        <v>186.74901665118588</v>
      </c>
      <c r="G1812" s="77">
        <v>186.74901665118588</v>
      </c>
      <c r="H1812" s="77">
        <v>186.74901665118588</v>
      </c>
      <c r="I1812" s="77">
        <v>186.74901665118588</v>
      </c>
    </row>
    <row r="1813" spans="2:9">
      <c r="B1813" s="76">
        <v>2025.115310741779</v>
      </c>
      <c r="C1813">
        <v>1149.4881010345571</v>
      </c>
      <c r="D1813" s="77">
        <v>191.58135017242617</v>
      </c>
      <c r="E1813" s="77">
        <v>191.58135017242617</v>
      </c>
      <c r="F1813" s="77">
        <v>191.58135017242617</v>
      </c>
      <c r="G1813" s="77">
        <v>191.58135017242617</v>
      </c>
      <c r="H1813" s="77">
        <v>191.58135017242617</v>
      </c>
      <c r="I1813" s="77">
        <v>191.58135017242617</v>
      </c>
    </row>
    <row r="1814" spans="2:9">
      <c r="B1814" s="76">
        <v>2023.8127542035411</v>
      </c>
      <c r="C1814">
        <v>972.41154613782805</v>
      </c>
      <c r="D1814" s="77">
        <v>162.06859102297133</v>
      </c>
      <c r="E1814" s="77">
        <v>162.06859102297133</v>
      </c>
      <c r="F1814" s="77">
        <v>162.06859102297133</v>
      </c>
      <c r="G1814" s="77">
        <v>162.06859102297133</v>
      </c>
      <c r="H1814" s="77">
        <v>162.06859102297133</v>
      </c>
      <c r="I1814" s="77">
        <v>162.06859102297133</v>
      </c>
    </row>
    <row r="1815" spans="2:9">
      <c r="B1815" s="76">
        <v>2024.3370456532023</v>
      </c>
      <c r="C1815">
        <v>1109.4857682631912</v>
      </c>
      <c r="D1815" s="77">
        <v>184.91429471053186</v>
      </c>
      <c r="E1815" s="77">
        <v>184.91429471053186</v>
      </c>
      <c r="F1815" s="77">
        <v>184.91429471053186</v>
      </c>
      <c r="G1815" s="77">
        <v>184.91429471053186</v>
      </c>
      <c r="H1815" s="77">
        <v>184.91429471053186</v>
      </c>
      <c r="I1815" s="77">
        <v>184.91429471053186</v>
      </c>
    </row>
    <row r="1816" spans="2:9">
      <c r="B1816" s="76">
        <v>2023.6405115486343</v>
      </c>
      <c r="C1816">
        <v>1017.3302254621005</v>
      </c>
      <c r="D1816" s="77">
        <v>169.55503757701675</v>
      </c>
      <c r="E1816" s="77">
        <v>169.55503757701675</v>
      </c>
      <c r="F1816" s="77">
        <v>169.55503757701675</v>
      </c>
      <c r="G1816" s="77">
        <v>169.55503757701675</v>
      </c>
      <c r="H1816" s="77">
        <v>169.55503757701675</v>
      </c>
      <c r="I1816" s="77">
        <v>169.55503757701675</v>
      </c>
    </row>
    <row r="1817" spans="2:9">
      <c r="B1817" s="76">
        <v>2023.0491126239576</v>
      </c>
      <c r="C1817">
        <v>914.39953986694422</v>
      </c>
      <c r="D1817" s="77">
        <v>152.39992331115738</v>
      </c>
      <c r="E1817" s="77">
        <v>152.39992331115738</v>
      </c>
      <c r="F1817" s="77">
        <v>152.39992331115738</v>
      </c>
      <c r="G1817" s="77">
        <v>152.39992331115738</v>
      </c>
      <c r="H1817" s="77">
        <v>152.39992331115738</v>
      </c>
      <c r="I1817" s="77">
        <v>152.39992331115738</v>
      </c>
    </row>
    <row r="1818" spans="2:9">
      <c r="B1818" s="76">
        <v>2023.2294323695905</v>
      </c>
      <c r="C1818">
        <v>928.71337028725929</v>
      </c>
      <c r="D1818" s="77">
        <v>154.78556171454321</v>
      </c>
      <c r="E1818" s="77">
        <v>154.78556171454321</v>
      </c>
      <c r="F1818" s="77">
        <v>154.78556171454321</v>
      </c>
      <c r="G1818" s="77">
        <v>154.78556171454321</v>
      </c>
      <c r="H1818" s="77">
        <v>154.78556171454321</v>
      </c>
      <c r="I1818" s="77">
        <v>154.78556171454321</v>
      </c>
    </row>
    <row r="1819" spans="2:9">
      <c r="B1819" s="76">
        <v>2023.752681806895</v>
      </c>
      <c r="C1819">
        <v>904.19693639479044</v>
      </c>
      <c r="D1819" s="77">
        <v>150.69948939913175</v>
      </c>
      <c r="E1819" s="77">
        <v>150.69948939913175</v>
      </c>
      <c r="F1819" s="77">
        <v>150.69948939913175</v>
      </c>
      <c r="G1819" s="77">
        <v>150.69948939913175</v>
      </c>
      <c r="H1819" s="77">
        <v>150.69948939913175</v>
      </c>
      <c r="I1819" s="77">
        <v>150.69948939913175</v>
      </c>
    </row>
    <row r="1820" spans="2:9">
      <c r="B1820" s="76">
        <v>2023.9046668047924</v>
      </c>
      <c r="C1820">
        <v>991.42202192425282</v>
      </c>
      <c r="D1820" s="77">
        <v>165.23700365404213</v>
      </c>
      <c r="E1820" s="77">
        <v>165.23700365404213</v>
      </c>
      <c r="F1820" s="77">
        <v>165.23700365404213</v>
      </c>
      <c r="G1820" s="77">
        <v>165.23700365404213</v>
      </c>
      <c r="H1820" s="77">
        <v>165.23700365404213</v>
      </c>
      <c r="I1820" s="77">
        <v>165.23700365404213</v>
      </c>
    </row>
    <row r="1821" spans="2:9">
      <c r="B1821" s="76">
        <v>2022.6930800267614</v>
      </c>
      <c r="C1821">
        <v>828.31255542025644</v>
      </c>
      <c r="D1821" s="77">
        <v>138.05209257004273</v>
      </c>
      <c r="E1821" s="77">
        <v>138.05209257004273</v>
      </c>
      <c r="F1821" s="77">
        <v>138.05209257004273</v>
      </c>
      <c r="G1821" s="77">
        <v>138.05209257004273</v>
      </c>
      <c r="H1821" s="77">
        <v>138.05209257004273</v>
      </c>
      <c r="I1821" s="77">
        <v>138.05209257004273</v>
      </c>
    </row>
    <row r="1822" spans="2:9">
      <c r="B1822" s="76">
        <v>2023.3095193582917</v>
      </c>
      <c r="C1822">
        <v>940.02767350488671</v>
      </c>
      <c r="D1822" s="77">
        <v>156.67127891748112</v>
      </c>
      <c r="E1822" s="77">
        <v>156.67127891748112</v>
      </c>
      <c r="F1822" s="77">
        <v>156.67127891748112</v>
      </c>
      <c r="G1822" s="77">
        <v>156.67127891748112</v>
      </c>
      <c r="H1822" s="77">
        <v>156.67127891748112</v>
      </c>
      <c r="I1822" s="77">
        <v>156.67127891748112</v>
      </c>
    </row>
    <row r="1823" spans="2:9">
      <c r="B1823" s="76">
        <v>2023.1425932685056</v>
      </c>
      <c r="C1823">
        <v>898.91964159619067</v>
      </c>
      <c r="D1823" s="77">
        <v>149.81994026603178</v>
      </c>
      <c r="E1823" s="77">
        <v>149.81994026603178</v>
      </c>
      <c r="F1823" s="77">
        <v>149.81994026603178</v>
      </c>
      <c r="G1823" s="77">
        <v>149.81994026603178</v>
      </c>
      <c r="H1823" s="77">
        <v>149.81994026603178</v>
      </c>
      <c r="I1823" s="77">
        <v>149.81994026603178</v>
      </c>
    </row>
    <row r="1824" spans="2:9">
      <c r="B1824" s="76">
        <v>2023.3058472047273</v>
      </c>
      <c r="C1824">
        <v>889.84879651494612</v>
      </c>
      <c r="D1824" s="77">
        <v>148.30813275249102</v>
      </c>
      <c r="E1824" s="77">
        <v>148.30813275249102</v>
      </c>
      <c r="F1824" s="77">
        <v>148.30813275249102</v>
      </c>
      <c r="G1824" s="77">
        <v>148.30813275249102</v>
      </c>
      <c r="H1824" s="77">
        <v>148.30813275249102</v>
      </c>
      <c r="I1824" s="77">
        <v>148.30813275249102</v>
      </c>
    </row>
    <row r="1825" spans="2:9">
      <c r="B1825" s="76">
        <v>2023.8151350980272</v>
      </c>
      <c r="C1825">
        <v>985.48110692746695</v>
      </c>
      <c r="D1825" s="77">
        <v>164.24685115457783</v>
      </c>
      <c r="E1825" s="77">
        <v>164.24685115457783</v>
      </c>
      <c r="F1825" s="77">
        <v>164.24685115457783</v>
      </c>
      <c r="G1825" s="77">
        <v>164.24685115457783</v>
      </c>
      <c r="H1825" s="77">
        <v>164.24685115457783</v>
      </c>
      <c r="I1825" s="77">
        <v>164.24685115457783</v>
      </c>
    </row>
    <row r="1826" spans="2:9">
      <c r="B1826" s="76">
        <v>2023.0079350509047</v>
      </c>
      <c r="C1826">
        <v>909.9973807313221</v>
      </c>
      <c r="D1826" s="77">
        <v>151.66623012188703</v>
      </c>
      <c r="E1826" s="77">
        <v>151.66623012188703</v>
      </c>
      <c r="F1826" s="77">
        <v>151.66623012188703</v>
      </c>
      <c r="G1826" s="77">
        <v>151.66623012188703</v>
      </c>
      <c r="H1826" s="77">
        <v>151.66623012188703</v>
      </c>
      <c r="I1826" s="77">
        <v>151.66623012188703</v>
      </c>
    </row>
    <row r="1827" spans="2:9">
      <c r="B1827" s="76">
        <v>2025.0430882488954</v>
      </c>
      <c r="C1827">
        <v>1164.4593200674433</v>
      </c>
      <c r="D1827" s="77">
        <v>194.07655334457388</v>
      </c>
      <c r="E1827" s="77">
        <v>194.07655334457388</v>
      </c>
      <c r="F1827" s="77">
        <v>194.07655334457388</v>
      </c>
      <c r="G1827" s="77">
        <v>194.07655334457388</v>
      </c>
      <c r="H1827" s="77">
        <v>194.07655334457388</v>
      </c>
      <c r="I1827" s="77">
        <v>194.07655334457388</v>
      </c>
    </row>
    <row r="1828" spans="2:9">
      <c r="B1828" s="76">
        <v>2023.3142741573345</v>
      </c>
      <c r="C1828">
        <v>927.56820872368985</v>
      </c>
      <c r="D1828" s="77">
        <v>154.59470145394832</v>
      </c>
      <c r="E1828" s="77">
        <v>154.59470145394832</v>
      </c>
      <c r="F1828" s="77">
        <v>154.59470145394832</v>
      </c>
      <c r="G1828" s="77">
        <v>154.59470145394832</v>
      </c>
      <c r="H1828" s="77">
        <v>154.59470145394832</v>
      </c>
      <c r="I1828" s="77">
        <v>154.59470145394832</v>
      </c>
    </row>
    <row r="1829" spans="2:9">
      <c r="B1829" s="76">
        <v>2022.981376698744</v>
      </c>
      <c r="C1829">
        <v>870.42530982390133</v>
      </c>
      <c r="D1829" s="77">
        <v>145.07088497065021</v>
      </c>
      <c r="E1829" s="77">
        <v>145.07088497065021</v>
      </c>
      <c r="F1829" s="77">
        <v>145.07088497065021</v>
      </c>
      <c r="G1829" s="77">
        <v>145.07088497065021</v>
      </c>
      <c r="H1829" s="77">
        <v>145.07088497065021</v>
      </c>
      <c r="I1829" s="77">
        <v>145.07088497065021</v>
      </c>
    </row>
    <row r="1830" spans="2:9">
      <c r="B1830" s="76">
        <v>2022.9609448626034</v>
      </c>
      <c r="C1830">
        <v>895.91050172743701</v>
      </c>
      <c r="D1830" s="77">
        <v>149.31841695457283</v>
      </c>
      <c r="E1830" s="77">
        <v>149.31841695457283</v>
      </c>
      <c r="F1830" s="77">
        <v>149.31841695457283</v>
      </c>
      <c r="G1830" s="77">
        <v>149.31841695457283</v>
      </c>
      <c r="H1830" s="77">
        <v>149.31841695457283</v>
      </c>
      <c r="I1830" s="77">
        <v>149.31841695457283</v>
      </c>
    </row>
    <row r="1831" spans="2:9">
      <c r="B1831" s="76">
        <v>2023.0239598053945</v>
      </c>
      <c r="C1831">
        <v>903.2297103058005</v>
      </c>
      <c r="D1831" s="77">
        <v>150.53828505096675</v>
      </c>
      <c r="E1831" s="77">
        <v>150.53828505096675</v>
      </c>
      <c r="F1831" s="77">
        <v>150.53828505096675</v>
      </c>
      <c r="G1831" s="77">
        <v>150.53828505096675</v>
      </c>
      <c r="H1831" s="77">
        <v>150.53828505096675</v>
      </c>
      <c r="I1831" s="77">
        <v>150.53828505096675</v>
      </c>
    </row>
    <row r="1832" spans="2:9">
      <c r="B1832" s="76">
        <v>2023.1136767750013</v>
      </c>
      <c r="C1832">
        <v>890.43272249452809</v>
      </c>
      <c r="D1832" s="77">
        <v>148.40545374908803</v>
      </c>
      <c r="E1832" s="77">
        <v>148.40545374908803</v>
      </c>
      <c r="F1832" s="77">
        <v>148.40545374908803</v>
      </c>
      <c r="G1832" s="77">
        <v>148.40545374908803</v>
      </c>
      <c r="H1832" s="77">
        <v>148.40545374908803</v>
      </c>
      <c r="I1832" s="77">
        <v>148.40545374908803</v>
      </c>
    </row>
    <row r="1833" spans="2:9">
      <c r="B1833" s="76">
        <v>2024.8688632431599</v>
      </c>
      <c r="C1833">
        <v>1100.2871060499558</v>
      </c>
      <c r="D1833" s="77">
        <v>183.38118434165929</v>
      </c>
      <c r="E1833" s="77">
        <v>183.38118434165929</v>
      </c>
      <c r="F1833" s="77">
        <v>183.38118434165929</v>
      </c>
      <c r="G1833" s="77">
        <v>183.38118434165929</v>
      </c>
      <c r="H1833" s="77">
        <v>183.38118434165929</v>
      </c>
      <c r="I1833" s="77">
        <v>183.38118434165929</v>
      </c>
    </row>
    <row r="1834" spans="2:9">
      <c r="B1834" s="76">
        <v>2024.7781632036963</v>
      </c>
      <c r="C1834">
        <v>1074.7131938404343</v>
      </c>
      <c r="D1834" s="77">
        <v>179.11886564007239</v>
      </c>
      <c r="E1834" s="77">
        <v>179.11886564007239</v>
      </c>
      <c r="F1834" s="77">
        <v>179.11886564007239</v>
      </c>
      <c r="G1834" s="77">
        <v>179.11886564007239</v>
      </c>
      <c r="H1834" s="77">
        <v>179.11886564007239</v>
      </c>
      <c r="I1834" s="77">
        <v>179.11886564007239</v>
      </c>
    </row>
    <row r="1835" spans="2:9">
      <c r="B1835" s="76">
        <v>2024.4293345862868</v>
      </c>
      <c r="C1835">
        <v>1101.5158879971063</v>
      </c>
      <c r="D1835" s="77">
        <v>183.58598133285105</v>
      </c>
      <c r="E1835" s="77">
        <v>183.58598133285105</v>
      </c>
      <c r="F1835" s="77">
        <v>183.58598133285105</v>
      </c>
      <c r="G1835" s="77">
        <v>183.58598133285105</v>
      </c>
      <c r="H1835" s="77">
        <v>183.58598133285105</v>
      </c>
      <c r="I1835" s="77">
        <v>183.58598133285105</v>
      </c>
    </row>
    <row r="1836" spans="2:9">
      <c r="B1836" s="76">
        <v>2025.7465231027941</v>
      </c>
      <c r="C1836">
        <v>1199.9495753369208</v>
      </c>
      <c r="D1836" s="77">
        <v>199.9915958894868</v>
      </c>
      <c r="E1836" s="77">
        <v>199.9915958894868</v>
      </c>
      <c r="F1836" s="77">
        <v>199.9915958894868</v>
      </c>
      <c r="G1836" s="77">
        <v>199.9915958894868</v>
      </c>
      <c r="H1836" s="77">
        <v>199.9915958894868</v>
      </c>
      <c r="I1836" s="77">
        <v>199.9915958894868</v>
      </c>
    </row>
    <row r="1837" spans="2:9">
      <c r="B1837" s="76">
        <v>2022.754149691782</v>
      </c>
      <c r="C1837">
        <v>814.03216236457047</v>
      </c>
      <c r="D1837" s="77">
        <v>135.67202706076174</v>
      </c>
      <c r="E1837" s="77">
        <v>135.67202706076174</v>
      </c>
      <c r="F1837" s="77">
        <v>135.67202706076174</v>
      </c>
      <c r="G1837" s="77">
        <v>135.67202706076174</v>
      </c>
      <c r="H1837" s="77">
        <v>135.67202706076174</v>
      </c>
      <c r="I1837" s="77">
        <v>135.67202706076174</v>
      </c>
    </row>
    <row r="1838" spans="2:9">
      <c r="B1838" s="76">
        <v>2022.6955299465656</v>
      </c>
      <c r="C1838">
        <v>888.28822287499918</v>
      </c>
      <c r="D1838" s="77">
        <v>148.04803714583321</v>
      </c>
      <c r="E1838" s="77">
        <v>148.04803714583321</v>
      </c>
      <c r="F1838" s="77">
        <v>148.04803714583321</v>
      </c>
      <c r="G1838" s="77">
        <v>148.04803714583321</v>
      </c>
      <c r="H1838" s="77">
        <v>148.04803714583321</v>
      </c>
      <c r="I1838" s="77">
        <v>148.04803714583321</v>
      </c>
    </row>
    <row r="1839" spans="2:9">
      <c r="B1839" s="76">
        <v>2023.2727139121318</v>
      </c>
      <c r="C1839">
        <v>921.6618566609385</v>
      </c>
      <c r="D1839" s="77">
        <v>153.61030944348974</v>
      </c>
      <c r="E1839" s="77">
        <v>153.61030944348974</v>
      </c>
      <c r="F1839" s="77">
        <v>153.61030944348974</v>
      </c>
      <c r="G1839" s="77">
        <v>153.61030944348974</v>
      </c>
      <c r="H1839" s="77">
        <v>153.61030944348974</v>
      </c>
      <c r="I1839" s="77">
        <v>153.61030944348974</v>
      </c>
    </row>
    <row r="1840" spans="2:9">
      <c r="B1840" s="76">
        <v>2025.5112908926531</v>
      </c>
      <c r="C1840">
        <v>1287.3283880017445</v>
      </c>
      <c r="D1840" s="77">
        <v>214.55473133362409</v>
      </c>
      <c r="E1840" s="77">
        <v>214.55473133362409</v>
      </c>
      <c r="F1840" s="77">
        <v>214.55473133362409</v>
      </c>
      <c r="G1840" s="77">
        <v>214.55473133362409</v>
      </c>
      <c r="H1840" s="77">
        <v>214.55473133362409</v>
      </c>
      <c r="I1840" s="77">
        <v>214.55473133362409</v>
      </c>
    </row>
    <row r="1841" spans="2:9">
      <c r="B1841" s="76">
        <v>2025.0670497632789</v>
      </c>
      <c r="C1841">
        <v>1205.7388867693492</v>
      </c>
      <c r="D1841" s="77">
        <v>200.95648112822485</v>
      </c>
      <c r="E1841" s="77">
        <v>200.95648112822485</v>
      </c>
      <c r="F1841" s="77">
        <v>200.95648112822485</v>
      </c>
      <c r="G1841" s="77">
        <v>200.95648112822485</v>
      </c>
      <c r="H1841" s="77">
        <v>200.95648112822485</v>
      </c>
      <c r="I1841" s="77">
        <v>200.95648112822485</v>
      </c>
    </row>
    <row r="1842" spans="2:9">
      <c r="B1842" s="76">
        <v>2023.9381464468777</v>
      </c>
      <c r="C1842">
        <v>974.73686031163504</v>
      </c>
      <c r="D1842" s="77">
        <v>162.4561433852725</v>
      </c>
      <c r="E1842" s="77">
        <v>162.4561433852725</v>
      </c>
      <c r="F1842" s="77">
        <v>162.4561433852725</v>
      </c>
      <c r="G1842" s="77">
        <v>162.4561433852725</v>
      </c>
      <c r="H1842" s="77">
        <v>162.4561433852725</v>
      </c>
      <c r="I1842" s="77">
        <v>162.4561433852725</v>
      </c>
    </row>
    <row r="1843" spans="2:9">
      <c r="B1843" s="76">
        <v>2022.9798976141569</v>
      </c>
      <c r="C1843">
        <v>857.82613014214553</v>
      </c>
      <c r="D1843" s="77">
        <v>142.97102169035759</v>
      </c>
      <c r="E1843" s="77">
        <v>142.97102169035759</v>
      </c>
      <c r="F1843" s="77">
        <v>142.97102169035759</v>
      </c>
      <c r="G1843" s="77">
        <v>142.97102169035759</v>
      </c>
      <c r="H1843" s="77">
        <v>142.97102169035759</v>
      </c>
      <c r="I1843" s="77">
        <v>142.97102169035759</v>
      </c>
    </row>
    <row r="1844" spans="2:9">
      <c r="B1844" s="76">
        <v>2023.3138556512356</v>
      </c>
      <c r="C1844">
        <v>905.5894404083316</v>
      </c>
      <c r="D1844" s="77">
        <v>150.93157340138859</v>
      </c>
      <c r="E1844" s="77">
        <v>150.93157340138859</v>
      </c>
      <c r="F1844" s="77">
        <v>150.93157340138859</v>
      </c>
      <c r="G1844" s="77">
        <v>150.93157340138859</v>
      </c>
      <c r="H1844" s="77">
        <v>150.93157340138859</v>
      </c>
      <c r="I1844" s="77">
        <v>150.93157340138859</v>
      </c>
    </row>
    <row r="1845" spans="2:9">
      <c r="B1845" s="76">
        <v>2024.9264136743025</v>
      </c>
      <c r="C1845">
        <v>1092.3248188522173</v>
      </c>
      <c r="D1845" s="77">
        <v>182.05413647536955</v>
      </c>
      <c r="E1845" s="77">
        <v>182.05413647536955</v>
      </c>
      <c r="F1845" s="77">
        <v>182.05413647536955</v>
      </c>
      <c r="G1845" s="77">
        <v>182.05413647536955</v>
      </c>
      <c r="H1845" s="77">
        <v>182.05413647536955</v>
      </c>
      <c r="I1845" s="77">
        <v>182.05413647536955</v>
      </c>
    </row>
    <row r="1846" spans="2:9">
      <c r="B1846" s="76">
        <v>2022.918665261911</v>
      </c>
      <c r="C1846">
        <v>800.08793104863514</v>
      </c>
      <c r="D1846" s="77">
        <v>133.34798850810586</v>
      </c>
      <c r="E1846" s="77">
        <v>133.34798850810586</v>
      </c>
      <c r="F1846" s="77">
        <v>133.34798850810586</v>
      </c>
      <c r="G1846" s="77">
        <v>133.34798850810586</v>
      </c>
      <c r="H1846" s="77">
        <v>133.34798850810586</v>
      </c>
      <c r="I1846" s="77">
        <v>133.34798850810586</v>
      </c>
    </row>
    <row r="1847" spans="2:9">
      <c r="B1847" s="76">
        <v>2024.8425515270399</v>
      </c>
      <c r="C1847">
        <v>1074.7484523196335</v>
      </c>
      <c r="D1847" s="77">
        <v>179.12474205327226</v>
      </c>
      <c r="E1847" s="77">
        <v>179.12474205327226</v>
      </c>
      <c r="F1847" s="77">
        <v>179.12474205327226</v>
      </c>
      <c r="G1847" s="77">
        <v>179.12474205327226</v>
      </c>
      <c r="H1847" s="77">
        <v>179.12474205327226</v>
      </c>
      <c r="I1847" s="77">
        <v>179.12474205327226</v>
      </c>
    </row>
    <row r="1848" spans="2:9">
      <c r="B1848" s="76">
        <v>2022.7189341854885</v>
      </c>
      <c r="C1848">
        <v>890.36834409397704</v>
      </c>
      <c r="D1848" s="77">
        <v>148.39472401566283</v>
      </c>
      <c r="E1848" s="77">
        <v>148.39472401566283</v>
      </c>
      <c r="F1848" s="77">
        <v>148.39472401566283</v>
      </c>
      <c r="G1848" s="77">
        <v>148.39472401566283</v>
      </c>
      <c r="H1848" s="77">
        <v>148.39472401566283</v>
      </c>
      <c r="I1848" s="77">
        <v>148.39472401566283</v>
      </c>
    </row>
    <row r="1849" spans="2:9">
      <c r="B1849" s="76">
        <v>2024.8110578890878</v>
      </c>
      <c r="C1849">
        <v>1100.7159969869801</v>
      </c>
      <c r="D1849" s="77">
        <v>183.45266616449669</v>
      </c>
      <c r="E1849" s="77">
        <v>183.45266616449669</v>
      </c>
      <c r="F1849" s="77">
        <v>183.45266616449669</v>
      </c>
      <c r="G1849" s="77">
        <v>183.45266616449669</v>
      </c>
      <c r="H1849" s="77">
        <v>183.45266616449669</v>
      </c>
      <c r="I1849" s="77">
        <v>183.45266616449669</v>
      </c>
    </row>
    <row r="1850" spans="2:9">
      <c r="B1850" s="76">
        <v>2023.3423839113204</v>
      </c>
      <c r="C1850">
        <v>907.02534377107668</v>
      </c>
      <c r="D1850" s="77">
        <v>151.17089062851278</v>
      </c>
      <c r="E1850" s="77">
        <v>151.17089062851278</v>
      </c>
      <c r="F1850" s="77">
        <v>151.17089062851278</v>
      </c>
      <c r="G1850" s="77">
        <v>151.17089062851278</v>
      </c>
      <c r="H1850" s="77">
        <v>151.17089062851278</v>
      </c>
      <c r="I1850" s="77">
        <v>151.17089062851278</v>
      </c>
    </row>
    <row r="1851" spans="2:9">
      <c r="B1851" s="76">
        <v>2024.2159959818857</v>
      </c>
      <c r="C1851">
        <v>995.33529260118667</v>
      </c>
      <c r="D1851" s="77">
        <v>165.88921543353112</v>
      </c>
      <c r="E1851" s="77">
        <v>165.88921543353112</v>
      </c>
      <c r="F1851" s="77">
        <v>165.88921543353112</v>
      </c>
      <c r="G1851" s="77">
        <v>165.88921543353112</v>
      </c>
      <c r="H1851" s="77">
        <v>165.88921543353112</v>
      </c>
      <c r="I1851" s="77">
        <v>165.88921543353112</v>
      </c>
    </row>
    <row r="1852" spans="2:9">
      <c r="B1852" s="76">
        <v>2024.8561339812807</v>
      </c>
      <c r="C1852">
        <v>1170.9521150231119</v>
      </c>
      <c r="D1852" s="77">
        <v>195.15868583718532</v>
      </c>
      <c r="E1852" s="77">
        <v>195.15868583718532</v>
      </c>
      <c r="F1852" s="77">
        <v>195.15868583718532</v>
      </c>
      <c r="G1852" s="77">
        <v>195.15868583718532</v>
      </c>
      <c r="H1852" s="77">
        <v>195.15868583718532</v>
      </c>
      <c r="I1852" s="77">
        <v>195.15868583718532</v>
      </c>
    </row>
    <row r="1853" spans="2:9">
      <c r="B1853" s="76">
        <v>2024.6918940807873</v>
      </c>
      <c r="C1853">
        <v>1076.9613138499808</v>
      </c>
      <c r="D1853" s="77">
        <v>179.49355230833012</v>
      </c>
      <c r="E1853" s="77">
        <v>179.49355230833012</v>
      </c>
      <c r="F1853" s="77">
        <v>179.49355230833012</v>
      </c>
      <c r="G1853" s="77">
        <v>179.49355230833012</v>
      </c>
      <c r="H1853" s="77">
        <v>179.49355230833012</v>
      </c>
      <c r="I1853" s="77">
        <v>179.49355230833012</v>
      </c>
    </row>
    <row r="1854" spans="2:9">
      <c r="B1854" s="76">
        <v>2023.4647905212466</v>
      </c>
      <c r="C1854">
        <v>942.41163067907416</v>
      </c>
      <c r="D1854" s="77">
        <v>157.06860511317902</v>
      </c>
      <c r="E1854" s="77">
        <v>157.06860511317902</v>
      </c>
      <c r="F1854" s="77">
        <v>157.06860511317902</v>
      </c>
      <c r="G1854" s="77">
        <v>157.06860511317902</v>
      </c>
      <c r="H1854" s="77">
        <v>157.06860511317902</v>
      </c>
      <c r="I1854" s="77">
        <v>157.06860511317902</v>
      </c>
    </row>
    <row r="1855" spans="2:9">
      <c r="B1855" s="76">
        <v>2024.369003566437</v>
      </c>
      <c r="C1855">
        <v>1041.0461977958796</v>
      </c>
      <c r="D1855" s="77">
        <v>173.50769963264659</v>
      </c>
      <c r="E1855" s="77">
        <v>173.50769963264659</v>
      </c>
      <c r="F1855" s="77">
        <v>173.50769963264659</v>
      </c>
      <c r="G1855" s="77">
        <v>173.50769963264659</v>
      </c>
      <c r="H1855" s="77">
        <v>173.50769963264659</v>
      </c>
      <c r="I1855" s="77">
        <v>173.50769963264659</v>
      </c>
    </row>
    <row r="1856" spans="2:9">
      <c r="B1856" s="76">
        <v>2023.4737197700688</v>
      </c>
      <c r="C1856">
        <v>922.42185041022719</v>
      </c>
      <c r="D1856" s="77">
        <v>153.73697506837121</v>
      </c>
      <c r="E1856" s="77">
        <v>153.73697506837121</v>
      </c>
      <c r="F1856" s="77">
        <v>153.73697506837121</v>
      </c>
      <c r="G1856" s="77">
        <v>153.73697506837121</v>
      </c>
      <c r="H1856" s="77">
        <v>153.73697506837121</v>
      </c>
      <c r="I1856" s="77">
        <v>153.73697506837121</v>
      </c>
    </row>
    <row r="1857" spans="2:9">
      <c r="B1857" s="76">
        <v>2023.2186556252213</v>
      </c>
      <c r="C1857">
        <v>900.34266298289015</v>
      </c>
      <c r="D1857" s="77">
        <v>150.05711049714836</v>
      </c>
      <c r="E1857" s="77">
        <v>150.05711049714836</v>
      </c>
      <c r="F1857" s="77">
        <v>150.05711049714836</v>
      </c>
      <c r="G1857" s="77">
        <v>150.05711049714836</v>
      </c>
      <c r="H1857" s="77">
        <v>150.05711049714836</v>
      </c>
      <c r="I1857" s="77">
        <v>150.05711049714836</v>
      </c>
    </row>
    <row r="1858" spans="2:9">
      <c r="B1858" s="76">
        <v>2022.8757560219578</v>
      </c>
      <c r="C1858">
        <v>892.46186124033591</v>
      </c>
      <c r="D1858" s="77">
        <v>148.74364354005598</v>
      </c>
      <c r="E1858" s="77">
        <v>148.74364354005598</v>
      </c>
      <c r="F1858" s="77">
        <v>148.74364354005598</v>
      </c>
      <c r="G1858" s="77">
        <v>148.74364354005598</v>
      </c>
      <c r="H1858" s="77">
        <v>148.74364354005598</v>
      </c>
      <c r="I1858" s="77">
        <v>148.74364354005598</v>
      </c>
    </row>
    <row r="1859" spans="2:9">
      <c r="B1859" s="76">
        <v>2024.8191314689923</v>
      </c>
      <c r="C1859">
        <v>1085.2178720983381</v>
      </c>
      <c r="D1859" s="77">
        <v>180.86964534972302</v>
      </c>
      <c r="E1859" s="77">
        <v>180.86964534972302</v>
      </c>
      <c r="F1859" s="77">
        <v>180.86964534972302</v>
      </c>
      <c r="G1859" s="77">
        <v>180.86964534972302</v>
      </c>
      <c r="H1859" s="77">
        <v>180.86964534972302</v>
      </c>
      <c r="I1859" s="77">
        <v>180.86964534972302</v>
      </c>
    </row>
    <row r="1860" spans="2:9">
      <c r="B1860" s="76">
        <v>2023.5140619875087</v>
      </c>
      <c r="C1860">
        <v>945.89259487563174</v>
      </c>
      <c r="D1860" s="77">
        <v>157.64876581260529</v>
      </c>
      <c r="E1860" s="77">
        <v>157.64876581260529</v>
      </c>
      <c r="F1860" s="77">
        <v>157.64876581260529</v>
      </c>
      <c r="G1860" s="77">
        <v>157.64876581260529</v>
      </c>
      <c r="H1860" s="77">
        <v>157.64876581260529</v>
      </c>
      <c r="I1860" s="77">
        <v>157.64876581260529</v>
      </c>
    </row>
    <row r="1861" spans="2:9">
      <c r="B1861" s="76">
        <v>2023.9688133818584</v>
      </c>
      <c r="C1861">
        <v>969.04345020551591</v>
      </c>
      <c r="D1861" s="77">
        <v>161.50724170091931</v>
      </c>
      <c r="E1861" s="77">
        <v>161.50724170091931</v>
      </c>
      <c r="F1861" s="77">
        <v>161.50724170091931</v>
      </c>
      <c r="G1861" s="77">
        <v>161.50724170091931</v>
      </c>
      <c r="H1861" s="77">
        <v>161.50724170091931</v>
      </c>
      <c r="I1861" s="77">
        <v>161.50724170091931</v>
      </c>
    </row>
    <row r="1862" spans="2:9">
      <c r="B1862" s="76">
        <v>2024.215751376677</v>
      </c>
      <c r="C1862">
        <v>1072.8622294899665</v>
      </c>
      <c r="D1862" s="77">
        <v>178.81037158166109</v>
      </c>
      <c r="E1862" s="77">
        <v>178.81037158166109</v>
      </c>
      <c r="F1862" s="77">
        <v>178.81037158166109</v>
      </c>
      <c r="G1862" s="77">
        <v>178.81037158166109</v>
      </c>
      <c r="H1862" s="77">
        <v>178.81037158166109</v>
      </c>
      <c r="I1862" s="77">
        <v>178.81037158166109</v>
      </c>
    </row>
    <row r="1863" spans="2:9">
      <c r="B1863" s="76">
        <v>2023.1693439635264</v>
      </c>
      <c r="C1863">
        <v>912.04238537337346</v>
      </c>
      <c r="D1863" s="77">
        <v>152.00706422889559</v>
      </c>
      <c r="E1863" s="77">
        <v>152.00706422889559</v>
      </c>
      <c r="F1863" s="77">
        <v>152.00706422889559</v>
      </c>
      <c r="G1863" s="77">
        <v>152.00706422889559</v>
      </c>
      <c r="H1863" s="77">
        <v>152.00706422889559</v>
      </c>
      <c r="I1863" s="77">
        <v>152.00706422889559</v>
      </c>
    </row>
    <row r="1864" spans="2:9">
      <c r="B1864" s="76">
        <v>2023.0619356435109</v>
      </c>
      <c r="C1864">
        <v>876.55007681985705</v>
      </c>
      <c r="D1864" s="77">
        <v>146.09167946997619</v>
      </c>
      <c r="E1864" s="77">
        <v>146.09167946997619</v>
      </c>
      <c r="F1864" s="77">
        <v>146.09167946997619</v>
      </c>
      <c r="G1864" s="77">
        <v>146.09167946997619</v>
      </c>
      <c r="H1864" s="77">
        <v>146.09167946997619</v>
      </c>
      <c r="I1864" s="77">
        <v>146.09167946997619</v>
      </c>
    </row>
    <row r="1865" spans="2:9">
      <c r="B1865" s="76">
        <v>2022.8426816402718</v>
      </c>
      <c r="C1865">
        <v>856.60994768538922</v>
      </c>
      <c r="D1865" s="77">
        <v>142.76832461423155</v>
      </c>
      <c r="E1865" s="77">
        <v>142.76832461423155</v>
      </c>
      <c r="F1865" s="77">
        <v>142.76832461423155</v>
      </c>
      <c r="G1865" s="77">
        <v>142.76832461423155</v>
      </c>
      <c r="H1865" s="77">
        <v>142.76832461423155</v>
      </c>
      <c r="I1865" s="77">
        <v>142.76832461423155</v>
      </c>
    </row>
    <row r="1866" spans="2:9">
      <c r="B1866" s="76">
        <v>2022.9783207352802</v>
      </c>
      <c r="C1866">
        <v>856.9884283650257</v>
      </c>
      <c r="D1866" s="77">
        <v>142.83140472750429</v>
      </c>
      <c r="E1866" s="77">
        <v>142.83140472750429</v>
      </c>
      <c r="F1866" s="77">
        <v>142.83140472750429</v>
      </c>
      <c r="G1866" s="77">
        <v>142.83140472750429</v>
      </c>
      <c r="H1866" s="77">
        <v>142.83140472750429</v>
      </c>
      <c r="I1866" s="77">
        <v>142.83140472750429</v>
      </c>
    </row>
    <row r="1867" spans="2:9">
      <c r="B1867" s="76">
        <v>2024.3349264615358</v>
      </c>
      <c r="C1867">
        <v>1136.5007588044402</v>
      </c>
      <c r="D1867" s="77">
        <v>189.41679313407337</v>
      </c>
      <c r="E1867" s="77">
        <v>189.41679313407337</v>
      </c>
      <c r="F1867" s="77">
        <v>189.41679313407337</v>
      </c>
      <c r="G1867" s="77">
        <v>189.41679313407337</v>
      </c>
      <c r="H1867" s="77">
        <v>189.41679313407337</v>
      </c>
      <c r="I1867" s="77">
        <v>189.41679313407337</v>
      </c>
    </row>
    <row r="1868" spans="2:9">
      <c r="B1868" s="76">
        <v>2023.7423929471804</v>
      </c>
      <c r="C1868">
        <v>1005.4053477454344</v>
      </c>
      <c r="D1868" s="77">
        <v>167.5675579575724</v>
      </c>
      <c r="E1868" s="77">
        <v>167.5675579575724</v>
      </c>
      <c r="F1868" s="77">
        <v>167.5675579575724</v>
      </c>
      <c r="G1868" s="77">
        <v>167.5675579575724</v>
      </c>
      <c r="H1868" s="77">
        <v>167.5675579575724</v>
      </c>
      <c r="I1868" s="77">
        <v>167.5675579575724</v>
      </c>
    </row>
    <row r="1869" spans="2:9">
      <c r="B1869" s="76">
        <v>2024.9801645931175</v>
      </c>
      <c r="C1869">
        <v>1069.9929172106715</v>
      </c>
      <c r="D1869" s="77">
        <v>178.33215286844526</v>
      </c>
      <c r="E1869" s="77">
        <v>178.33215286844526</v>
      </c>
      <c r="F1869" s="77">
        <v>178.33215286844526</v>
      </c>
      <c r="G1869" s="77">
        <v>178.33215286844526</v>
      </c>
      <c r="H1869" s="77">
        <v>178.33215286844526</v>
      </c>
      <c r="I1869" s="77">
        <v>178.33215286844526</v>
      </c>
    </row>
    <row r="1870" spans="2:9">
      <c r="B1870" s="76">
        <v>2023.5440565048307</v>
      </c>
      <c r="C1870">
        <v>973.31431516574685</v>
      </c>
      <c r="D1870" s="77">
        <v>162.21905252762448</v>
      </c>
      <c r="E1870" s="77">
        <v>162.21905252762448</v>
      </c>
      <c r="F1870" s="77">
        <v>162.21905252762448</v>
      </c>
      <c r="G1870" s="77">
        <v>162.21905252762448</v>
      </c>
      <c r="H1870" s="77">
        <v>162.21905252762448</v>
      </c>
      <c r="I1870" s="77">
        <v>162.21905252762448</v>
      </c>
    </row>
    <row r="1871" spans="2:9">
      <c r="B1871" s="76">
        <v>2023.6639710373461</v>
      </c>
      <c r="C1871">
        <v>941.8969903509086</v>
      </c>
      <c r="D1871" s="77">
        <v>156.98283172515144</v>
      </c>
      <c r="E1871" s="77">
        <v>156.98283172515144</v>
      </c>
      <c r="F1871" s="77">
        <v>156.98283172515144</v>
      </c>
      <c r="G1871" s="77">
        <v>156.98283172515144</v>
      </c>
      <c r="H1871" s="77">
        <v>156.98283172515144</v>
      </c>
      <c r="I1871" s="77">
        <v>156.98283172515144</v>
      </c>
    </row>
    <row r="1872" spans="2:9">
      <c r="B1872" s="76">
        <v>2023.314378255764</v>
      </c>
      <c r="C1872">
        <v>917.75205433355063</v>
      </c>
      <c r="D1872" s="77">
        <v>152.95867572225845</v>
      </c>
      <c r="E1872" s="77">
        <v>152.95867572225845</v>
      </c>
      <c r="F1872" s="77">
        <v>152.95867572225845</v>
      </c>
      <c r="G1872" s="77">
        <v>152.95867572225845</v>
      </c>
      <c r="H1872" s="77">
        <v>152.95867572225845</v>
      </c>
      <c r="I1872" s="77">
        <v>152.95867572225845</v>
      </c>
    </row>
    <row r="1873" spans="2:9">
      <c r="B1873" s="76">
        <v>2025.3693943250616</v>
      </c>
      <c r="C1873">
        <v>1247.5324282617314</v>
      </c>
      <c r="D1873" s="77">
        <v>207.92207137695524</v>
      </c>
      <c r="E1873" s="77">
        <v>207.92207137695524</v>
      </c>
      <c r="F1873" s="77">
        <v>207.92207137695524</v>
      </c>
      <c r="G1873" s="77">
        <v>207.92207137695524</v>
      </c>
      <c r="H1873" s="77">
        <v>207.92207137695524</v>
      </c>
      <c r="I1873" s="77">
        <v>207.92207137695524</v>
      </c>
    </row>
    <row r="1874" spans="2:9">
      <c r="B1874" s="76">
        <v>2024.5906458172399</v>
      </c>
      <c r="C1874">
        <v>996.67448755660814</v>
      </c>
      <c r="D1874" s="77">
        <v>166.11241459276803</v>
      </c>
      <c r="E1874" s="77">
        <v>166.11241459276803</v>
      </c>
      <c r="F1874" s="77">
        <v>166.11241459276803</v>
      </c>
      <c r="G1874" s="77">
        <v>166.11241459276803</v>
      </c>
      <c r="H1874" s="77">
        <v>166.11241459276803</v>
      </c>
      <c r="I1874" s="77">
        <v>166.11241459276803</v>
      </c>
    </row>
    <row r="1875" spans="2:9">
      <c r="B1875" s="76">
        <v>2022.8756172274655</v>
      </c>
      <c r="C1875">
        <v>864.60079560831866</v>
      </c>
      <c r="D1875" s="77">
        <v>144.10013260138643</v>
      </c>
      <c r="E1875" s="77">
        <v>144.10013260138643</v>
      </c>
      <c r="F1875" s="77">
        <v>144.10013260138643</v>
      </c>
      <c r="G1875" s="77">
        <v>144.10013260138643</v>
      </c>
      <c r="H1875" s="77">
        <v>144.10013260138643</v>
      </c>
      <c r="I1875" s="77">
        <v>144.10013260138643</v>
      </c>
    </row>
    <row r="1876" spans="2:9">
      <c r="B1876" s="76">
        <v>2024.6460871401057</v>
      </c>
      <c r="C1876">
        <v>1049.7605803847055</v>
      </c>
      <c r="D1876" s="77">
        <v>174.96009673078424</v>
      </c>
      <c r="E1876" s="77">
        <v>174.96009673078424</v>
      </c>
      <c r="F1876" s="77">
        <v>174.96009673078424</v>
      </c>
      <c r="G1876" s="77">
        <v>174.96009673078424</v>
      </c>
      <c r="H1876" s="77">
        <v>174.96009673078424</v>
      </c>
      <c r="I1876" s="77">
        <v>174.96009673078424</v>
      </c>
    </row>
    <row r="1877" spans="2:9">
      <c r="B1877" s="76">
        <v>2023.2699667274105</v>
      </c>
      <c r="C1877">
        <v>963.93911689360971</v>
      </c>
      <c r="D1877" s="77">
        <v>160.65651948226829</v>
      </c>
      <c r="E1877" s="77">
        <v>160.65651948226829</v>
      </c>
      <c r="F1877" s="77">
        <v>160.65651948226829</v>
      </c>
      <c r="G1877" s="77">
        <v>160.65651948226829</v>
      </c>
      <c r="H1877" s="77">
        <v>160.65651948226829</v>
      </c>
      <c r="I1877" s="77">
        <v>160.65651948226829</v>
      </c>
    </row>
    <row r="1878" spans="2:9">
      <c r="B1878" s="76">
        <v>2025.1251336385055</v>
      </c>
      <c r="C1878">
        <v>1122.9309706871986</v>
      </c>
      <c r="D1878" s="77">
        <v>187.15516178119978</v>
      </c>
      <c r="E1878" s="77">
        <v>187.15516178119978</v>
      </c>
      <c r="F1878" s="77">
        <v>187.15516178119978</v>
      </c>
      <c r="G1878" s="77">
        <v>187.15516178119978</v>
      </c>
      <c r="H1878" s="77">
        <v>187.15516178119978</v>
      </c>
      <c r="I1878" s="77">
        <v>187.15516178119978</v>
      </c>
    </row>
    <row r="1879" spans="2:9">
      <c r="B1879" s="76">
        <v>2023.2395706939124</v>
      </c>
      <c r="C1879">
        <v>917.06489890100465</v>
      </c>
      <c r="D1879" s="77">
        <v>152.84414981683412</v>
      </c>
      <c r="E1879" s="77">
        <v>152.84414981683412</v>
      </c>
      <c r="F1879" s="77">
        <v>152.84414981683412</v>
      </c>
      <c r="G1879" s="77">
        <v>152.84414981683412</v>
      </c>
      <c r="H1879" s="77">
        <v>152.84414981683412</v>
      </c>
      <c r="I1879" s="77">
        <v>152.84414981683412</v>
      </c>
    </row>
    <row r="1880" spans="2:9">
      <c r="B1880" s="76">
        <v>2023.2869491607173</v>
      </c>
      <c r="C1880">
        <v>887.64196841885587</v>
      </c>
      <c r="D1880" s="77">
        <v>147.94032806980931</v>
      </c>
      <c r="E1880" s="77">
        <v>147.94032806980931</v>
      </c>
      <c r="F1880" s="77">
        <v>147.94032806980931</v>
      </c>
      <c r="G1880" s="77">
        <v>147.94032806980931</v>
      </c>
      <c r="H1880" s="77">
        <v>147.94032806980931</v>
      </c>
      <c r="I1880" s="77">
        <v>147.94032806980931</v>
      </c>
    </row>
    <row r="1881" spans="2:9">
      <c r="B1881" s="76">
        <v>2023.1520018549174</v>
      </c>
      <c r="C1881">
        <v>941.85658224808049</v>
      </c>
      <c r="D1881" s="77">
        <v>156.97609704134675</v>
      </c>
      <c r="E1881" s="77">
        <v>156.97609704134675</v>
      </c>
      <c r="F1881" s="77">
        <v>156.97609704134675</v>
      </c>
      <c r="G1881" s="77">
        <v>156.97609704134675</v>
      </c>
      <c r="H1881" s="77">
        <v>156.97609704134675</v>
      </c>
      <c r="I1881" s="77">
        <v>156.97609704134675</v>
      </c>
    </row>
    <row r="1882" spans="2:9">
      <c r="B1882" s="76">
        <v>2024.660851532472</v>
      </c>
      <c r="C1882">
        <v>1144.3100012550208</v>
      </c>
      <c r="D1882" s="77">
        <v>190.71833354250347</v>
      </c>
      <c r="E1882" s="77">
        <v>190.71833354250347</v>
      </c>
      <c r="F1882" s="77">
        <v>190.71833354250347</v>
      </c>
      <c r="G1882" s="77">
        <v>190.71833354250347</v>
      </c>
      <c r="H1882" s="77">
        <v>190.71833354250347</v>
      </c>
      <c r="I1882" s="77">
        <v>190.71833354250347</v>
      </c>
    </row>
    <row r="1883" spans="2:9">
      <c r="B1883" s="76">
        <v>2023.3691216377335</v>
      </c>
      <c r="C1883">
        <v>892.54012202114882</v>
      </c>
      <c r="D1883" s="77">
        <v>148.7566870035248</v>
      </c>
      <c r="E1883" s="77">
        <v>148.7566870035248</v>
      </c>
      <c r="F1883" s="77">
        <v>148.7566870035248</v>
      </c>
      <c r="G1883" s="77">
        <v>148.7566870035248</v>
      </c>
      <c r="H1883" s="77">
        <v>148.7566870035248</v>
      </c>
      <c r="I1883" s="77">
        <v>148.7566870035248</v>
      </c>
    </row>
    <row r="1884" spans="2:9">
      <c r="B1884" s="76">
        <v>2023.0816690515258</v>
      </c>
      <c r="C1884">
        <v>862.06581966352746</v>
      </c>
      <c r="D1884" s="77">
        <v>143.67763661058791</v>
      </c>
      <c r="E1884" s="77">
        <v>143.67763661058791</v>
      </c>
      <c r="F1884" s="77">
        <v>143.67763661058791</v>
      </c>
      <c r="G1884" s="77">
        <v>143.67763661058791</v>
      </c>
      <c r="H1884" s="77">
        <v>143.67763661058791</v>
      </c>
      <c r="I1884" s="77">
        <v>143.67763661058791</v>
      </c>
    </row>
    <row r="1885" spans="2:9">
      <c r="B1885" s="76">
        <v>2023.5162260785821</v>
      </c>
      <c r="C1885">
        <v>911.13754520880548</v>
      </c>
      <c r="D1885" s="77">
        <v>151.8562575348009</v>
      </c>
      <c r="E1885" s="77">
        <v>151.8562575348009</v>
      </c>
      <c r="F1885" s="77">
        <v>151.8562575348009</v>
      </c>
      <c r="G1885" s="77">
        <v>151.8562575348009</v>
      </c>
      <c r="H1885" s="77">
        <v>151.8562575348009</v>
      </c>
      <c r="I1885" s="77">
        <v>151.8562575348009</v>
      </c>
    </row>
    <row r="1886" spans="2:9">
      <c r="B1886" s="76">
        <v>2023.0410381270244</v>
      </c>
      <c r="C1886">
        <v>877.15052161166591</v>
      </c>
      <c r="D1886" s="77">
        <v>146.19175360194433</v>
      </c>
      <c r="E1886" s="77">
        <v>146.19175360194433</v>
      </c>
      <c r="F1886" s="77">
        <v>146.19175360194433</v>
      </c>
      <c r="G1886" s="77">
        <v>146.19175360194433</v>
      </c>
      <c r="H1886" s="77">
        <v>146.19175360194433</v>
      </c>
      <c r="I1886" s="77">
        <v>146.19175360194433</v>
      </c>
    </row>
    <row r="1887" spans="2:9">
      <c r="B1887" s="76">
        <v>2023.1212763375402</v>
      </c>
      <c r="C1887">
        <v>865.68149990127347</v>
      </c>
      <c r="D1887" s="77">
        <v>144.28024998354559</v>
      </c>
      <c r="E1887" s="77">
        <v>144.28024998354559</v>
      </c>
      <c r="F1887" s="77">
        <v>144.28024998354559</v>
      </c>
      <c r="G1887" s="77">
        <v>144.28024998354559</v>
      </c>
      <c r="H1887" s="77">
        <v>144.28024998354559</v>
      </c>
      <c r="I1887" s="77">
        <v>144.28024998354559</v>
      </c>
    </row>
    <row r="1888" spans="2:9">
      <c r="B1888" s="76">
        <v>2023.0979006621624</v>
      </c>
      <c r="C1888">
        <v>928.75052383035882</v>
      </c>
      <c r="D1888" s="77">
        <v>154.79175397172648</v>
      </c>
      <c r="E1888" s="77">
        <v>154.79175397172648</v>
      </c>
      <c r="F1888" s="77">
        <v>154.79175397172648</v>
      </c>
      <c r="G1888" s="77">
        <v>154.79175397172648</v>
      </c>
      <c r="H1888" s="77">
        <v>154.79175397172648</v>
      </c>
      <c r="I1888" s="77">
        <v>154.79175397172648</v>
      </c>
    </row>
    <row r="1889" spans="2:9">
      <c r="B1889" s="76">
        <v>2023.3329671537449</v>
      </c>
      <c r="C1889">
        <v>874.73054088640754</v>
      </c>
      <c r="D1889" s="77">
        <v>145.78842348106792</v>
      </c>
      <c r="E1889" s="77">
        <v>145.78842348106792</v>
      </c>
      <c r="F1889" s="77">
        <v>145.78842348106792</v>
      </c>
      <c r="G1889" s="77">
        <v>145.78842348106792</v>
      </c>
      <c r="H1889" s="77">
        <v>145.78842348106792</v>
      </c>
      <c r="I1889" s="77">
        <v>145.78842348106792</v>
      </c>
    </row>
    <row r="1890" spans="2:9">
      <c r="B1890" s="76">
        <v>2022.8100385616563</v>
      </c>
      <c r="C1890">
        <v>875.93829675924223</v>
      </c>
      <c r="D1890" s="77">
        <v>145.98971612654037</v>
      </c>
      <c r="E1890" s="77">
        <v>145.98971612654037</v>
      </c>
      <c r="F1890" s="77">
        <v>145.98971612654037</v>
      </c>
      <c r="G1890" s="77">
        <v>145.98971612654037</v>
      </c>
      <c r="H1890" s="77">
        <v>145.98971612654037</v>
      </c>
      <c r="I1890" s="77">
        <v>145.98971612654037</v>
      </c>
    </row>
    <row r="1891" spans="2:9">
      <c r="B1891" s="76">
        <v>2023.5497483718887</v>
      </c>
      <c r="C1891">
        <v>964.65528542697041</v>
      </c>
      <c r="D1891" s="77">
        <v>160.77588090449507</v>
      </c>
      <c r="E1891" s="77">
        <v>160.77588090449507</v>
      </c>
      <c r="F1891" s="77">
        <v>160.77588090449507</v>
      </c>
      <c r="G1891" s="77">
        <v>160.77588090449507</v>
      </c>
      <c r="H1891" s="77">
        <v>160.77588090449507</v>
      </c>
      <c r="I1891" s="77">
        <v>160.77588090449507</v>
      </c>
    </row>
    <row r="1892" spans="2:9">
      <c r="B1892" s="76">
        <v>2023.5037157058273</v>
      </c>
      <c r="C1892">
        <v>908.63786612635022</v>
      </c>
      <c r="D1892" s="77">
        <v>151.4396443543917</v>
      </c>
      <c r="E1892" s="77">
        <v>151.4396443543917</v>
      </c>
      <c r="F1892" s="77">
        <v>151.4396443543917</v>
      </c>
      <c r="G1892" s="77">
        <v>151.4396443543917</v>
      </c>
      <c r="H1892" s="77">
        <v>151.4396443543917</v>
      </c>
      <c r="I1892" s="77">
        <v>151.4396443543917</v>
      </c>
    </row>
    <row r="1893" spans="2:9">
      <c r="B1893" s="76">
        <v>2024.8667188422132</v>
      </c>
      <c r="C1893">
        <v>1077.5669383520301</v>
      </c>
      <c r="D1893" s="77">
        <v>179.59448972533835</v>
      </c>
      <c r="E1893" s="77">
        <v>179.59448972533835</v>
      </c>
      <c r="F1893" s="77">
        <v>179.59448972533835</v>
      </c>
      <c r="G1893" s="77">
        <v>179.59448972533835</v>
      </c>
      <c r="H1893" s="77">
        <v>179.59448972533835</v>
      </c>
      <c r="I1893" s="77">
        <v>179.59448972533835</v>
      </c>
    </row>
    <row r="1894" spans="2:9">
      <c r="B1894" s="76">
        <v>2025.630241218191</v>
      </c>
      <c r="C1894">
        <v>1280.8265429513667</v>
      </c>
      <c r="D1894" s="77">
        <v>213.47109049189444</v>
      </c>
      <c r="E1894" s="77">
        <v>213.47109049189444</v>
      </c>
      <c r="F1894" s="77">
        <v>213.47109049189444</v>
      </c>
      <c r="G1894" s="77">
        <v>213.47109049189444</v>
      </c>
      <c r="H1894" s="77">
        <v>213.47109049189444</v>
      </c>
      <c r="I1894" s="77">
        <v>213.47109049189444</v>
      </c>
    </row>
    <row r="1895" spans="2:9">
      <c r="B1895" s="76">
        <v>2023.3879719956203</v>
      </c>
      <c r="C1895">
        <v>957.53492135501369</v>
      </c>
      <c r="D1895" s="77">
        <v>159.58915355916895</v>
      </c>
      <c r="E1895" s="77">
        <v>159.58915355916895</v>
      </c>
      <c r="F1895" s="77">
        <v>159.58915355916895</v>
      </c>
      <c r="G1895" s="77">
        <v>159.58915355916895</v>
      </c>
      <c r="H1895" s="77">
        <v>159.58915355916895</v>
      </c>
      <c r="I1895" s="77">
        <v>159.58915355916895</v>
      </c>
    </row>
    <row r="1896" spans="2:9">
      <c r="B1896" s="76">
        <v>2022.5740342870865</v>
      </c>
      <c r="C1896">
        <v>813.0956831092218</v>
      </c>
      <c r="D1896" s="77">
        <v>135.5159471848703</v>
      </c>
      <c r="E1896" s="77">
        <v>135.5159471848703</v>
      </c>
      <c r="F1896" s="77">
        <v>135.5159471848703</v>
      </c>
      <c r="G1896" s="77">
        <v>135.5159471848703</v>
      </c>
      <c r="H1896" s="77">
        <v>135.5159471848703</v>
      </c>
      <c r="I1896" s="77">
        <v>135.5159471848703</v>
      </c>
    </row>
    <row r="1897" spans="2:9">
      <c r="B1897" s="76">
        <v>2024.528202739938</v>
      </c>
      <c r="C1897">
        <v>1046.6826328597972</v>
      </c>
      <c r="D1897" s="77">
        <v>174.44710547663286</v>
      </c>
      <c r="E1897" s="77">
        <v>174.44710547663286</v>
      </c>
      <c r="F1897" s="77">
        <v>174.44710547663286</v>
      </c>
      <c r="G1897" s="77">
        <v>174.44710547663286</v>
      </c>
      <c r="H1897" s="77">
        <v>174.44710547663286</v>
      </c>
      <c r="I1897" s="77">
        <v>174.44710547663286</v>
      </c>
    </row>
    <row r="1898" spans="2:9">
      <c r="B1898" s="76">
        <v>2023.5244057666259</v>
      </c>
      <c r="C1898">
        <v>920.50954812902773</v>
      </c>
      <c r="D1898" s="77">
        <v>153.41825802150461</v>
      </c>
      <c r="E1898" s="77">
        <v>153.41825802150461</v>
      </c>
      <c r="F1898" s="77">
        <v>153.41825802150461</v>
      </c>
      <c r="G1898" s="77">
        <v>153.41825802150461</v>
      </c>
      <c r="H1898" s="77">
        <v>153.41825802150461</v>
      </c>
      <c r="I1898" s="77">
        <v>153.41825802150461</v>
      </c>
    </row>
    <row r="1899" spans="2:9">
      <c r="B1899" s="76">
        <v>2025.4387279162142</v>
      </c>
      <c r="C1899">
        <v>1172.6992686808182</v>
      </c>
      <c r="D1899" s="77">
        <v>195.44987811346971</v>
      </c>
      <c r="E1899" s="77">
        <v>195.44987811346971</v>
      </c>
      <c r="F1899" s="77">
        <v>195.44987811346971</v>
      </c>
      <c r="G1899" s="77">
        <v>195.44987811346971</v>
      </c>
      <c r="H1899" s="77">
        <v>195.44987811346971</v>
      </c>
      <c r="I1899" s="77">
        <v>195.44987811346971</v>
      </c>
    </row>
    <row r="1900" spans="2:9">
      <c r="B1900" s="76">
        <v>2022.9251393198617</v>
      </c>
      <c r="C1900">
        <v>905.05491381397644</v>
      </c>
      <c r="D1900" s="77">
        <v>150.84248563566274</v>
      </c>
      <c r="E1900" s="77">
        <v>150.84248563566274</v>
      </c>
      <c r="F1900" s="77">
        <v>150.84248563566274</v>
      </c>
      <c r="G1900" s="77">
        <v>150.84248563566274</v>
      </c>
      <c r="H1900" s="77">
        <v>150.84248563566274</v>
      </c>
      <c r="I1900" s="77">
        <v>150.84248563566274</v>
      </c>
    </row>
    <row r="1901" spans="2:9">
      <c r="B1901" s="76">
        <v>2022.8037761424239</v>
      </c>
      <c r="C1901">
        <v>919.59968600552179</v>
      </c>
      <c r="D1901" s="77">
        <v>153.26661433425363</v>
      </c>
      <c r="E1901" s="77">
        <v>153.26661433425363</v>
      </c>
      <c r="F1901" s="77">
        <v>153.26661433425363</v>
      </c>
      <c r="G1901" s="77">
        <v>153.26661433425363</v>
      </c>
      <c r="H1901" s="77">
        <v>153.26661433425363</v>
      </c>
      <c r="I1901" s="77">
        <v>153.26661433425363</v>
      </c>
    </row>
    <row r="1902" spans="2:9">
      <c r="B1902" s="76">
        <v>2023.1738960859943</v>
      </c>
      <c r="C1902">
        <v>888.33435283769757</v>
      </c>
      <c r="D1902" s="77">
        <v>148.0557254729496</v>
      </c>
      <c r="E1902" s="77">
        <v>148.0557254729496</v>
      </c>
      <c r="F1902" s="77">
        <v>148.0557254729496</v>
      </c>
      <c r="G1902" s="77">
        <v>148.0557254729496</v>
      </c>
      <c r="H1902" s="77">
        <v>148.0557254729496</v>
      </c>
      <c r="I1902" s="77">
        <v>148.0557254729496</v>
      </c>
    </row>
    <row r="1903" spans="2:9">
      <c r="B1903" s="76">
        <v>2023.7844938102205</v>
      </c>
      <c r="C1903">
        <v>1047.4357681210622</v>
      </c>
      <c r="D1903" s="77">
        <v>174.57262802017704</v>
      </c>
      <c r="E1903" s="77">
        <v>174.57262802017704</v>
      </c>
      <c r="F1903" s="77">
        <v>174.57262802017704</v>
      </c>
      <c r="G1903" s="77">
        <v>174.57262802017704</v>
      </c>
      <c r="H1903" s="77">
        <v>174.57262802017704</v>
      </c>
      <c r="I1903" s="77">
        <v>174.57262802017704</v>
      </c>
    </row>
    <row r="1904" spans="2:9">
      <c r="B1904" s="76">
        <v>2022.500249367017</v>
      </c>
      <c r="C1904">
        <v>819.86619966669468</v>
      </c>
      <c r="D1904" s="77">
        <v>136.64436661111577</v>
      </c>
      <c r="E1904" s="77">
        <v>136.64436661111577</v>
      </c>
      <c r="F1904" s="77">
        <v>136.64436661111577</v>
      </c>
      <c r="G1904" s="77">
        <v>136.64436661111577</v>
      </c>
      <c r="H1904" s="77">
        <v>136.64436661111577</v>
      </c>
      <c r="I1904" s="77">
        <v>136.64436661111577</v>
      </c>
    </row>
    <row r="1905" spans="2:9">
      <c r="B1905" s="76">
        <v>2023.0736076865749</v>
      </c>
      <c r="C1905">
        <v>884.76863214822231</v>
      </c>
      <c r="D1905" s="77">
        <v>147.46143869137038</v>
      </c>
      <c r="E1905" s="77">
        <v>147.46143869137038</v>
      </c>
      <c r="F1905" s="77">
        <v>147.46143869137038</v>
      </c>
      <c r="G1905" s="77">
        <v>147.46143869137038</v>
      </c>
      <c r="H1905" s="77">
        <v>147.46143869137038</v>
      </c>
      <c r="I1905" s="77">
        <v>147.46143869137038</v>
      </c>
    </row>
    <row r="1906" spans="2:9">
      <c r="B1906" s="76">
        <v>2023.262046723981</v>
      </c>
      <c r="C1906">
        <v>867.31791359802241</v>
      </c>
      <c r="D1906" s="77">
        <v>144.55298559967039</v>
      </c>
      <c r="E1906" s="77">
        <v>144.55298559967039</v>
      </c>
      <c r="F1906" s="77">
        <v>144.55298559967039</v>
      </c>
      <c r="G1906" s="77">
        <v>144.55298559967039</v>
      </c>
      <c r="H1906" s="77">
        <v>144.55298559967039</v>
      </c>
      <c r="I1906" s="77">
        <v>144.55298559967039</v>
      </c>
    </row>
    <row r="1907" spans="2:9">
      <c r="B1907" s="76">
        <v>2022.8609668149604</v>
      </c>
      <c r="C1907">
        <v>867.09646385784015</v>
      </c>
      <c r="D1907" s="77">
        <v>144.51607730964002</v>
      </c>
      <c r="E1907" s="77">
        <v>144.51607730964002</v>
      </c>
      <c r="F1907" s="77">
        <v>144.51607730964002</v>
      </c>
      <c r="G1907" s="77">
        <v>144.51607730964002</v>
      </c>
      <c r="H1907" s="77">
        <v>144.51607730964002</v>
      </c>
      <c r="I1907" s="77">
        <v>144.51607730964002</v>
      </c>
    </row>
    <row r="1908" spans="2:9">
      <c r="B1908" s="76">
        <v>2024.9204932207083</v>
      </c>
      <c r="C1908">
        <v>1118.8980949068359</v>
      </c>
      <c r="D1908" s="77">
        <v>186.48301581780598</v>
      </c>
      <c r="E1908" s="77">
        <v>186.48301581780598</v>
      </c>
      <c r="F1908" s="77">
        <v>186.48301581780598</v>
      </c>
      <c r="G1908" s="77">
        <v>186.48301581780598</v>
      </c>
      <c r="H1908" s="77">
        <v>186.48301581780598</v>
      </c>
      <c r="I1908" s="77">
        <v>186.48301581780598</v>
      </c>
    </row>
    <row r="1909" spans="2:9">
      <c r="B1909" s="76">
        <v>2022.9239150466431</v>
      </c>
      <c r="C1909">
        <v>875.07196863698528</v>
      </c>
      <c r="D1909" s="77">
        <v>145.8453281061642</v>
      </c>
      <c r="E1909" s="77">
        <v>145.8453281061642</v>
      </c>
      <c r="F1909" s="77">
        <v>145.8453281061642</v>
      </c>
      <c r="G1909" s="77">
        <v>145.8453281061642</v>
      </c>
      <c r="H1909" s="77">
        <v>145.8453281061642</v>
      </c>
      <c r="I1909" s="77">
        <v>145.8453281061642</v>
      </c>
    </row>
    <row r="1910" spans="2:9">
      <c r="B1910" s="76">
        <v>2022.7059320348919</v>
      </c>
      <c r="C1910">
        <v>817.65995156585848</v>
      </c>
      <c r="D1910" s="77">
        <v>136.27665859430974</v>
      </c>
      <c r="E1910" s="77">
        <v>136.27665859430974</v>
      </c>
      <c r="F1910" s="77">
        <v>136.27665859430974</v>
      </c>
      <c r="G1910" s="77">
        <v>136.27665859430974</v>
      </c>
      <c r="H1910" s="77">
        <v>136.27665859430974</v>
      </c>
      <c r="I1910" s="77">
        <v>136.27665859430974</v>
      </c>
    </row>
    <row r="1911" spans="2:9">
      <c r="B1911" s="76">
        <v>2022.9752104393024</v>
      </c>
      <c r="C1911">
        <v>951.20238158200368</v>
      </c>
      <c r="D1911" s="77">
        <v>158.53373026366728</v>
      </c>
      <c r="E1911" s="77">
        <v>158.53373026366728</v>
      </c>
      <c r="F1911" s="77">
        <v>158.53373026366728</v>
      </c>
      <c r="G1911" s="77">
        <v>158.53373026366728</v>
      </c>
      <c r="H1911" s="77">
        <v>158.53373026366728</v>
      </c>
      <c r="I1911" s="77">
        <v>158.53373026366728</v>
      </c>
    </row>
    <row r="1912" spans="2:9">
      <c r="B1912" s="76">
        <v>2023.5088535114564</v>
      </c>
      <c r="C1912">
        <v>966.69286683444307</v>
      </c>
      <c r="D1912" s="77">
        <v>161.11547780574051</v>
      </c>
      <c r="E1912" s="77">
        <v>161.11547780574051</v>
      </c>
      <c r="F1912" s="77">
        <v>161.11547780574051</v>
      </c>
      <c r="G1912" s="77">
        <v>161.11547780574051</v>
      </c>
      <c r="H1912" s="77">
        <v>161.11547780574051</v>
      </c>
      <c r="I1912" s="77">
        <v>161.11547780574051</v>
      </c>
    </row>
    <row r="1913" spans="2:9">
      <c r="B1913" s="76">
        <v>2023.3766004067045</v>
      </c>
      <c r="C1913">
        <v>961.19378373725692</v>
      </c>
      <c r="D1913" s="77">
        <v>160.1989639562095</v>
      </c>
      <c r="E1913" s="77">
        <v>160.1989639562095</v>
      </c>
      <c r="F1913" s="77">
        <v>160.1989639562095</v>
      </c>
      <c r="G1913" s="77">
        <v>160.1989639562095</v>
      </c>
      <c r="H1913" s="77">
        <v>160.1989639562095</v>
      </c>
      <c r="I1913" s="77">
        <v>160.1989639562095</v>
      </c>
    </row>
    <row r="1914" spans="2:9">
      <c r="B1914" s="76">
        <v>2025.0136971252248</v>
      </c>
      <c r="C1914">
        <v>1076.3506408641306</v>
      </c>
      <c r="D1914" s="77">
        <v>179.39177347735509</v>
      </c>
      <c r="E1914" s="77">
        <v>179.39177347735509</v>
      </c>
      <c r="F1914" s="77">
        <v>179.39177347735509</v>
      </c>
      <c r="G1914" s="77">
        <v>179.39177347735509</v>
      </c>
      <c r="H1914" s="77">
        <v>179.39177347735509</v>
      </c>
      <c r="I1914" s="77">
        <v>179.39177347735509</v>
      </c>
    </row>
    <row r="1915" spans="2:9">
      <c r="B1915" s="76">
        <v>2022.895182144212</v>
      </c>
      <c r="C1915">
        <v>887.9065766382671</v>
      </c>
      <c r="D1915" s="77">
        <v>147.98442943971119</v>
      </c>
      <c r="E1915" s="77">
        <v>147.98442943971119</v>
      </c>
      <c r="F1915" s="77">
        <v>147.98442943971119</v>
      </c>
      <c r="G1915" s="77">
        <v>147.98442943971119</v>
      </c>
      <c r="H1915" s="77">
        <v>147.98442943971119</v>
      </c>
      <c r="I1915" s="77">
        <v>147.98442943971119</v>
      </c>
    </row>
    <row r="1916" spans="2:9">
      <c r="B1916" s="76">
        <v>2023.1351449861907</v>
      </c>
      <c r="C1916">
        <v>940.5219142671798</v>
      </c>
      <c r="D1916" s="77">
        <v>156.75365237786329</v>
      </c>
      <c r="E1916" s="77">
        <v>156.75365237786329</v>
      </c>
      <c r="F1916" s="77">
        <v>156.75365237786329</v>
      </c>
      <c r="G1916" s="77">
        <v>156.75365237786329</v>
      </c>
      <c r="H1916" s="77">
        <v>156.75365237786329</v>
      </c>
      <c r="I1916" s="77">
        <v>156.75365237786329</v>
      </c>
    </row>
    <row r="1917" spans="2:9">
      <c r="B1917" s="76">
        <v>2022.637262843924</v>
      </c>
      <c r="C1917">
        <v>817.95112221143108</v>
      </c>
      <c r="D1917" s="77">
        <v>136.32518703523851</v>
      </c>
      <c r="E1917" s="77">
        <v>136.32518703523851</v>
      </c>
      <c r="F1917" s="77">
        <v>136.32518703523851</v>
      </c>
      <c r="G1917" s="77">
        <v>136.32518703523851</v>
      </c>
      <c r="H1917" s="77">
        <v>136.32518703523851</v>
      </c>
      <c r="I1917" s="77">
        <v>136.32518703523851</v>
      </c>
    </row>
    <row r="1918" spans="2:9">
      <c r="B1918" s="76">
        <v>2022.9102340663592</v>
      </c>
      <c r="C1918">
        <v>845.9768436405933</v>
      </c>
      <c r="D1918" s="77">
        <v>140.99614060676555</v>
      </c>
      <c r="E1918" s="77">
        <v>140.99614060676555</v>
      </c>
      <c r="F1918" s="77">
        <v>140.99614060676555</v>
      </c>
      <c r="G1918" s="77">
        <v>140.99614060676555</v>
      </c>
      <c r="H1918" s="77">
        <v>140.99614060676555</v>
      </c>
      <c r="I1918" s="77">
        <v>140.99614060676555</v>
      </c>
    </row>
    <row r="1919" spans="2:9">
      <c r="B1919" s="76">
        <v>2025.0243744188574</v>
      </c>
      <c r="C1919">
        <v>1132.6719636196754</v>
      </c>
      <c r="D1919" s="77">
        <v>188.77866060327923</v>
      </c>
      <c r="E1919" s="77">
        <v>188.77866060327923</v>
      </c>
      <c r="F1919" s="77">
        <v>188.77866060327923</v>
      </c>
      <c r="G1919" s="77">
        <v>188.77866060327923</v>
      </c>
      <c r="H1919" s="77">
        <v>188.77866060327923</v>
      </c>
      <c r="I1919" s="77">
        <v>188.77866060327923</v>
      </c>
    </row>
    <row r="1920" spans="2:9">
      <c r="B1920" s="76">
        <v>2025.5841354333718</v>
      </c>
      <c r="C1920">
        <v>1191.0774149653084</v>
      </c>
      <c r="D1920" s="77">
        <v>198.51290249421808</v>
      </c>
      <c r="E1920" s="77">
        <v>198.51290249421808</v>
      </c>
      <c r="F1920" s="77">
        <v>198.51290249421808</v>
      </c>
      <c r="G1920" s="77">
        <v>198.51290249421808</v>
      </c>
      <c r="H1920" s="77">
        <v>198.51290249421808</v>
      </c>
      <c r="I1920" s="77">
        <v>198.51290249421808</v>
      </c>
    </row>
    <row r="1921" spans="2:9">
      <c r="B1921" s="76">
        <v>2024.4437061282288</v>
      </c>
      <c r="C1921">
        <v>1037.0531434424151</v>
      </c>
      <c r="D1921" s="77">
        <v>172.84219057373585</v>
      </c>
      <c r="E1921" s="77">
        <v>172.84219057373585</v>
      </c>
      <c r="F1921" s="77">
        <v>172.84219057373585</v>
      </c>
      <c r="G1921" s="77">
        <v>172.84219057373585</v>
      </c>
      <c r="H1921" s="77">
        <v>172.84219057373585</v>
      </c>
      <c r="I1921" s="77">
        <v>172.84219057373585</v>
      </c>
    </row>
    <row r="1922" spans="2:9">
      <c r="B1922" s="76">
        <v>2023.2219118116902</v>
      </c>
      <c r="C1922">
        <v>916.57145226253749</v>
      </c>
      <c r="D1922" s="77">
        <v>152.76190871042292</v>
      </c>
      <c r="E1922" s="77">
        <v>152.76190871042292</v>
      </c>
      <c r="F1922" s="77">
        <v>152.76190871042292</v>
      </c>
      <c r="G1922" s="77">
        <v>152.76190871042292</v>
      </c>
      <c r="H1922" s="77">
        <v>152.76190871042292</v>
      </c>
      <c r="I1922" s="77">
        <v>152.76190871042292</v>
      </c>
    </row>
    <row r="1923" spans="2:9">
      <c r="B1923" s="76">
        <v>2023.0457234107637</v>
      </c>
      <c r="C1923">
        <v>908.82919301030415</v>
      </c>
      <c r="D1923" s="77">
        <v>151.47153216838402</v>
      </c>
      <c r="E1923" s="77">
        <v>151.47153216838402</v>
      </c>
      <c r="F1923" s="77">
        <v>151.47153216838402</v>
      </c>
      <c r="G1923" s="77">
        <v>151.47153216838402</v>
      </c>
      <c r="H1923" s="77">
        <v>151.47153216838402</v>
      </c>
      <c r="I1923" s="77">
        <v>151.47153216838402</v>
      </c>
    </row>
    <row r="1924" spans="2:9">
      <c r="B1924" s="76">
        <v>2022.5667206159728</v>
      </c>
      <c r="C1924">
        <v>822.59285143782802</v>
      </c>
      <c r="D1924" s="77">
        <v>137.09880857297134</v>
      </c>
      <c r="E1924" s="77">
        <v>137.09880857297134</v>
      </c>
      <c r="F1924" s="77">
        <v>137.09880857297134</v>
      </c>
      <c r="G1924" s="77">
        <v>137.09880857297134</v>
      </c>
      <c r="H1924" s="77">
        <v>137.09880857297134</v>
      </c>
      <c r="I1924" s="77">
        <v>137.09880857297134</v>
      </c>
    </row>
    <row r="1925" spans="2:9">
      <c r="B1925" s="76">
        <v>2023.821318888735</v>
      </c>
      <c r="C1925">
        <v>952.96580185475023</v>
      </c>
      <c r="D1925" s="77">
        <v>158.82763364245838</v>
      </c>
      <c r="E1925" s="77">
        <v>158.82763364245838</v>
      </c>
      <c r="F1925" s="77">
        <v>158.82763364245838</v>
      </c>
      <c r="G1925" s="77">
        <v>158.82763364245838</v>
      </c>
      <c r="H1925" s="77">
        <v>158.82763364245838</v>
      </c>
      <c r="I1925" s="77">
        <v>158.82763364245838</v>
      </c>
    </row>
    <row r="1926" spans="2:9">
      <c r="B1926" s="76">
        <v>2023.32333260118</v>
      </c>
      <c r="C1926">
        <v>900.67934544372417</v>
      </c>
      <c r="D1926" s="77">
        <v>150.1132242406207</v>
      </c>
      <c r="E1926" s="77">
        <v>150.1132242406207</v>
      </c>
      <c r="F1926" s="77">
        <v>150.1132242406207</v>
      </c>
      <c r="G1926" s="77">
        <v>150.1132242406207</v>
      </c>
      <c r="H1926" s="77">
        <v>150.1132242406207</v>
      </c>
      <c r="I1926" s="77">
        <v>150.1132242406207</v>
      </c>
    </row>
    <row r="1927" spans="2:9">
      <c r="B1927" s="76">
        <v>2022.9994826900981</v>
      </c>
      <c r="C1927">
        <v>910.98063820863138</v>
      </c>
      <c r="D1927" s="77">
        <v>151.83010636810522</v>
      </c>
      <c r="E1927" s="77">
        <v>151.83010636810522</v>
      </c>
      <c r="F1927" s="77">
        <v>151.83010636810522</v>
      </c>
      <c r="G1927" s="77">
        <v>151.83010636810522</v>
      </c>
      <c r="H1927" s="77">
        <v>151.83010636810522</v>
      </c>
      <c r="I1927" s="77">
        <v>151.83010636810522</v>
      </c>
    </row>
    <row r="1928" spans="2:9">
      <c r="B1928" s="76">
        <v>2022.9391859666357</v>
      </c>
      <c r="C1928">
        <v>864.26478524163656</v>
      </c>
      <c r="D1928" s="77">
        <v>144.04413087360609</v>
      </c>
      <c r="E1928" s="77">
        <v>144.04413087360609</v>
      </c>
      <c r="F1928" s="77">
        <v>144.04413087360609</v>
      </c>
      <c r="G1928" s="77">
        <v>144.04413087360609</v>
      </c>
      <c r="H1928" s="77">
        <v>144.04413087360609</v>
      </c>
      <c r="I1928" s="77">
        <v>144.04413087360609</v>
      </c>
    </row>
    <row r="1929" spans="2:9">
      <c r="B1929" s="76">
        <v>2022.9184342229707</v>
      </c>
      <c r="C1929">
        <v>861.77360663689853</v>
      </c>
      <c r="D1929" s="77">
        <v>143.62893443948309</v>
      </c>
      <c r="E1929" s="77">
        <v>143.62893443948309</v>
      </c>
      <c r="F1929" s="77">
        <v>143.62893443948309</v>
      </c>
      <c r="G1929" s="77">
        <v>143.62893443948309</v>
      </c>
      <c r="H1929" s="77">
        <v>143.62893443948309</v>
      </c>
      <c r="I1929" s="77">
        <v>143.62893443948309</v>
      </c>
    </row>
    <row r="1930" spans="2:9">
      <c r="B1930" s="76">
        <v>2023.5916441309503</v>
      </c>
      <c r="C1930">
        <v>1007.4653648582018</v>
      </c>
      <c r="D1930" s="77">
        <v>167.91089414303363</v>
      </c>
      <c r="E1930" s="77">
        <v>167.91089414303363</v>
      </c>
      <c r="F1930" s="77">
        <v>167.91089414303363</v>
      </c>
      <c r="G1930" s="77">
        <v>167.91089414303363</v>
      </c>
      <c r="H1930" s="77">
        <v>167.91089414303363</v>
      </c>
      <c r="I1930" s="77">
        <v>167.91089414303363</v>
      </c>
    </row>
    <row r="1931" spans="2:9">
      <c r="B1931" s="76">
        <v>2022.9216989162696</v>
      </c>
      <c r="C1931">
        <v>848.72191444808243</v>
      </c>
      <c r="D1931" s="77">
        <v>141.45365240801374</v>
      </c>
      <c r="E1931" s="77">
        <v>141.45365240801374</v>
      </c>
      <c r="F1931" s="77">
        <v>141.45365240801374</v>
      </c>
      <c r="G1931" s="77">
        <v>141.45365240801374</v>
      </c>
      <c r="H1931" s="77">
        <v>141.45365240801374</v>
      </c>
      <c r="I1931" s="77">
        <v>141.45365240801374</v>
      </c>
    </row>
    <row r="1932" spans="2:9">
      <c r="B1932" s="76">
        <v>2022.8464316367811</v>
      </c>
      <c r="C1932">
        <v>938.96391287373194</v>
      </c>
      <c r="D1932" s="77">
        <v>156.49398547895532</v>
      </c>
      <c r="E1932" s="77">
        <v>156.49398547895532</v>
      </c>
      <c r="F1932" s="77">
        <v>156.49398547895532</v>
      </c>
      <c r="G1932" s="77">
        <v>156.49398547895532</v>
      </c>
      <c r="H1932" s="77">
        <v>156.49398547895532</v>
      </c>
      <c r="I1932" s="77">
        <v>156.49398547895532</v>
      </c>
    </row>
    <row r="1933" spans="2:9">
      <c r="B1933" s="76">
        <v>2023.1027321469919</v>
      </c>
      <c r="C1933">
        <v>892.69776183631484</v>
      </c>
      <c r="D1933" s="77">
        <v>148.78296030605247</v>
      </c>
      <c r="E1933" s="77">
        <v>148.78296030605247</v>
      </c>
      <c r="F1933" s="77">
        <v>148.78296030605247</v>
      </c>
      <c r="G1933" s="77">
        <v>148.78296030605247</v>
      </c>
      <c r="H1933" s="77">
        <v>148.78296030605247</v>
      </c>
      <c r="I1933" s="77">
        <v>148.78296030605247</v>
      </c>
    </row>
    <row r="1934" spans="2:9">
      <c r="B1934" s="76">
        <v>2025.0371542281346</v>
      </c>
      <c r="C1934">
        <v>1182.149009808694</v>
      </c>
      <c r="D1934" s="77">
        <v>197.02483496811567</v>
      </c>
      <c r="E1934" s="77">
        <v>197.02483496811567</v>
      </c>
      <c r="F1934" s="77">
        <v>197.02483496811567</v>
      </c>
      <c r="G1934" s="77">
        <v>197.02483496811567</v>
      </c>
      <c r="H1934" s="77">
        <v>197.02483496811567</v>
      </c>
      <c r="I1934" s="77">
        <v>197.02483496811567</v>
      </c>
    </row>
    <row r="1935" spans="2:9">
      <c r="B1935" s="76">
        <v>2023.3429347459187</v>
      </c>
      <c r="C1935">
        <v>960.53735423982039</v>
      </c>
      <c r="D1935" s="77">
        <v>160.08955903997006</v>
      </c>
      <c r="E1935" s="77">
        <v>160.08955903997006</v>
      </c>
      <c r="F1935" s="77">
        <v>160.08955903997006</v>
      </c>
      <c r="G1935" s="77">
        <v>160.08955903997006</v>
      </c>
      <c r="H1935" s="77">
        <v>160.08955903997006</v>
      </c>
      <c r="I1935" s="77">
        <v>160.08955903997006</v>
      </c>
    </row>
    <row r="1936" spans="2:9">
      <c r="B1936" s="76">
        <v>2024.3889343629514</v>
      </c>
      <c r="C1936">
        <v>992.72251820666906</v>
      </c>
      <c r="D1936" s="77">
        <v>165.45375303444484</v>
      </c>
      <c r="E1936" s="77">
        <v>165.45375303444484</v>
      </c>
      <c r="F1936" s="77">
        <v>165.45375303444484</v>
      </c>
      <c r="G1936" s="77">
        <v>165.45375303444484</v>
      </c>
      <c r="H1936" s="77">
        <v>165.45375303444484</v>
      </c>
      <c r="I1936" s="77">
        <v>165.45375303444484</v>
      </c>
    </row>
    <row r="1937" spans="2:9">
      <c r="B1937" s="76">
        <v>2023.490325724179</v>
      </c>
      <c r="C1937">
        <v>929.29402387001517</v>
      </c>
      <c r="D1937" s="77">
        <v>154.8823373116692</v>
      </c>
      <c r="E1937" s="77">
        <v>154.8823373116692</v>
      </c>
      <c r="F1937" s="77">
        <v>154.8823373116692</v>
      </c>
      <c r="G1937" s="77">
        <v>154.8823373116692</v>
      </c>
      <c r="H1937" s="77">
        <v>154.8823373116692</v>
      </c>
      <c r="I1937" s="77">
        <v>154.8823373116692</v>
      </c>
    </row>
    <row r="1938" spans="2:9">
      <c r="B1938" s="76">
        <v>2022.9639293319333</v>
      </c>
      <c r="C1938">
        <v>898.86023507159121</v>
      </c>
      <c r="D1938" s="77">
        <v>149.81003917859854</v>
      </c>
      <c r="E1938" s="77">
        <v>149.81003917859854</v>
      </c>
      <c r="F1938" s="77">
        <v>149.81003917859854</v>
      </c>
      <c r="G1938" s="77">
        <v>149.81003917859854</v>
      </c>
      <c r="H1938" s="77">
        <v>149.81003917859854</v>
      </c>
      <c r="I1938" s="77">
        <v>149.81003917859854</v>
      </c>
    </row>
    <row r="1939" spans="2:9">
      <c r="B1939" s="76">
        <v>2025.0582241845366</v>
      </c>
      <c r="C1939">
        <v>1133.4574194822628</v>
      </c>
      <c r="D1939" s="77">
        <v>188.90956991371047</v>
      </c>
      <c r="E1939" s="77">
        <v>188.90956991371047</v>
      </c>
      <c r="F1939" s="77">
        <v>188.90956991371047</v>
      </c>
      <c r="G1939" s="77">
        <v>188.90956991371047</v>
      </c>
      <c r="H1939" s="77">
        <v>188.90956991371047</v>
      </c>
      <c r="I1939" s="77">
        <v>188.90956991371047</v>
      </c>
    </row>
    <row r="1940" spans="2:9">
      <c r="B1940" s="76">
        <v>2024.8718047323282</v>
      </c>
      <c r="C1940">
        <v>1112.1607801251419</v>
      </c>
      <c r="D1940" s="77">
        <v>185.36013002085699</v>
      </c>
      <c r="E1940" s="77">
        <v>185.36013002085699</v>
      </c>
      <c r="F1940" s="77">
        <v>185.36013002085699</v>
      </c>
      <c r="G1940" s="77">
        <v>185.36013002085699</v>
      </c>
      <c r="H1940" s="77">
        <v>185.36013002085699</v>
      </c>
      <c r="I1940" s="77">
        <v>185.36013002085699</v>
      </c>
    </row>
    <row r="1941" spans="2:9">
      <c r="B1941" s="76">
        <v>2024.7476775262001</v>
      </c>
      <c r="C1941">
        <v>1083.4348816336892</v>
      </c>
      <c r="D1941" s="77">
        <v>180.57248027228152</v>
      </c>
      <c r="E1941" s="77">
        <v>180.57248027228152</v>
      </c>
      <c r="F1941" s="77">
        <v>180.57248027228152</v>
      </c>
      <c r="G1941" s="77">
        <v>180.57248027228152</v>
      </c>
      <c r="H1941" s="77">
        <v>180.57248027228152</v>
      </c>
      <c r="I1941" s="77">
        <v>180.57248027228152</v>
      </c>
    </row>
    <row r="1942" spans="2:9">
      <c r="B1942" s="76">
        <v>2023.2845655496133</v>
      </c>
      <c r="C1942">
        <v>909.98191350097409</v>
      </c>
      <c r="D1942" s="77">
        <v>151.66365225016236</v>
      </c>
      <c r="E1942" s="77">
        <v>151.66365225016236</v>
      </c>
      <c r="F1942" s="77">
        <v>151.66365225016236</v>
      </c>
      <c r="G1942" s="77">
        <v>151.66365225016236</v>
      </c>
      <c r="H1942" s="77">
        <v>151.66365225016236</v>
      </c>
      <c r="I1942" s="77">
        <v>151.66365225016236</v>
      </c>
    </row>
    <row r="1943" spans="2:9">
      <c r="B1943" s="76">
        <v>2023.2152445805859</v>
      </c>
      <c r="C1943">
        <v>891.93655513273711</v>
      </c>
      <c r="D1943" s="77">
        <v>148.65609252212286</v>
      </c>
      <c r="E1943" s="77">
        <v>148.65609252212286</v>
      </c>
      <c r="F1943" s="77">
        <v>148.65609252212286</v>
      </c>
      <c r="G1943" s="77">
        <v>148.65609252212286</v>
      </c>
      <c r="H1943" s="77">
        <v>148.65609252212286</v>
      </c>
      <c r="I1943" s="77">
        <v>148.65609252212286</v>
      </c>
    </row>
    <row r="1944" spans="2:9">
      <c r="B1944" s="76">
        <v>2023.1623292200225</v>
      </c>
      <c r="C1944">
        <v>872.41824747262365</v>
      </c>
      <c r="D1944" s="77">
        <v>145.40304124543727</v>
      </c>
      <c r="E1944" s="77">
        <v>145.40304124543727</v>
      </c>
      <c r="F1944" s="77">
        <v>145.40304124543727</v>
      </c>
      <c r="G1944" s="77">
        <v>145.40304124543727</v>
      </c>
      <c r="H1944" s="77">
        <v>145.40304124543727</v>
      </c>
      <c r="I1944" s="77">
        <v>145.40304124543727</v>
      </c>
    </row>
    <row r="1945" spans="2:9">
      <c r="B1945" s="76">
        <v>2023.189468101908</v>
      </c>
      <c r="C1945">
        <v>899.74419822211246</v>
      </c>
      <c r="D1945" s="77">
        <v>149.95736637035208</v>
      </c>
      <c r="E1945" s="77">
        <v>149.95736637035208</v>
      </c>
      <c r="F1945" s="77">
        <v>149.95736637035208</v>
      </c>
      <c r="G1945" s="77">
        <v>149.95736637035208</v>
      </c>
      <c r="H1945" s="77">
        <v>149.95736637035208</v>
      </c>
      <c r="I1945" s="77">
        <v>149.95736637035208</v>
      </c>
    </row>
    <row r="1946" spans="2:9">
      <c r="B1946" s="76">
        <v>2022.6758619617417</v>
      </c>
      <c r="C1946">
        <v>820.68435947561272</v>
      </c>
      <c r="D1946" s="77">
        <v>136.78072657926879</v>
      </c>
      <c r="E1946" s="77">
        <v>136.78072657926879</v>
      </c>
      <c r="F1946" s="77">
        <v>136.78072657926879</v>
      </c>
      <c r="G1946" s="77">
        <v>136.78072657926879</v>
      </c>
      <c r="H1946" s="77">
        <v>136.78072657926879</v>
      </c>
      <c r="I1946" s="77">
        <v>136.78072657926879</v>
      </c>
    </row>
    <row r="1947" spans="2:9">
      <c r="B1947" s="76">
        <v>2023.4458272385298</v>
      </c>
      <c r="C1947">
        <v>956.4276923503495</v>
      </c>
      <c r="D1947" s="77">
        <v>159.40461539172492</v>
      </c>
      <c r="E1947" s="77">
        <v>159.40461539172492</v>
      </c>
      <c r="F1947" s="77">
        <v>159.40461539172492</v>
      </c>
      <c r="G1947" s="77">
        <v>159.40461539172492</v>
      </c>
      <c r="H1947" s="77">
        <v>159.40461539172492</v>
      </c>
      <c r="I1947" s="77">
        <v>159.40461539172492</v>
      </c>
    </row>
    <row r="1948" spans="2:9">
      <c r="B1948" s="76">
        <v>2023.4449071755621</v>
      </c>
      <c r="C1948">
        <v>998.84443203239823</v>
      </c>
      <c r="D1948" s="77">
        <v>166.47407200539971</v>
      </c>
      <c r="E1948" s="77">
        <v>166.47407200539971</v>
      </c>
      <c r="F1948" s="77">
        <v>166.47407200539971</v>
      </c>
      <c r="G1948" s="77">
        <v>166.47407200539971</v>
      </c>
      <c r="H1948" s="77">
        <v>166.47407200539971</v>
      </c>
      <c r="I1948" s="77">
        <v>166.47407200539971</v>
      </c>
    </row>
    <row r="1949" spans="2:9">
      <c r="B1949" s="76">
        <v>2023.2386079153734</v>
      </c>
      <c r="C1949">
        <v>925.58047653946869</v>
      </c>
      <c r="D1949" s="77">
        <v>154.26341275657811</v>
      </c>
      <c r="E1949" s="77">
        <v>154.26341275657811</v>
      </c>
      <c r="F1949" s="77">
        <v>154.26341275657811</v>
      </c>
      <c r="G1949" s="77">
        <v>154.26341275657811</v>
      </c>
      <c r="H1949" s="77">
        <v>154.26341275657811</v>
      </c>
      <c r="I1949" s="77">
        <v>154.26341275657811</v>
      </c>
    </row>
    <row r="1950" spans="2:9">
      <c r="B1950" s="76">
        <v>2023.0379752942993</v>
      </c>
      <c r="C1950">
        <v>937.09288131192864</v>
      </c>
      <c r="D1950" s="77">
        <v>156.18214688532143</v>
      </c>
      <c r="E1950" s="77">
        <v>156.18214688532143</v>
      </c>
      <c r="F1950" s="77">
        <v>156.18214688532143</v>
      </c>
      <c r="G1950" s="77">
        <v>156.18214688532143</v>
      </c>
      <c r="H1950" s="77">
        <v>156.18214688532143</v>
      </c>
      <c r="I1950" s="77">
        <v>156.18214688532143</v>
      </c>
    </row>
    <row r="1951" spans="2:9">
      <c r="B1951" s="76">
        <v>2023.2459865977696</v>
      </c>
      <c r="C1951">
        <v>979.16649907566216</v>
      </c>
      <c r="D1951" s="77">
        <v>163.19441651261036</v>
      </c>
      <c r="E1951" s="77">
        <v>163.19441651261036</v>
      </c>
      <c r="F1951" s="77">
        <v>163.19441651261036</v>
      </c>
      <c r="G1951" s="77">
        <v>163.19441651261036</v>
      </c>
      <c r="H1951" s="77">
        <v>163.19441651261036</v>
      </c>
      <c r="I1951" s="77">
        <v>163.19441651261036</v>
      </c>
    </row>
    <row r="1952" spans="2:9">
      <c r="B1952" s="76">
        <v>2024.5917915951775</v>
      </c>
      <c r="C1952">
        <v>1092.3272783836453</v>
      </c>
      <c r="D1952" s="77">
        <v>182.05454639727421</v>
      </c>
      <c r="E1952" s="77">
        <v>182.05454639727421</v>
      </c>
      <c r="F1952" s="77">
        <v>182.05454639727421</v>
      </c>
      <c r="G1952" s="77">
        <v>182.05454639727421</v>
      </c>
      <c r="H1952" s="77">
        <v>182.05454639727421</v>
      </c>
      <c r="I1952" s="77">
        <v>182.05454639727421</v>
      </c>
    </row>
    <row r="1953" spans="2:9">
      <c r="B1953" s="76">
        <v>2025.0984115614503</v>
      </c>
      <c r="C1953">
        <v>1147.6988957411925</v>
      </c>
      <c r="D1953" s="77">
        <v>191.28314929019874</v>
      </c>
      <c r="E1953" s="77">
        <v>191.28314929019874</v>
      </c>
      <c r="F1953" s="77">
        <v>191.28314929019874</v>
      </c>
      <c r="G1953" s="77">
        <v>191.28314929019874</v>
      </c>
      <c r="H1953" s="77">
        <v>191.28314929019874</v>
      </c>
      <c r="I1953" s="77">
        <v>191.28314929019874</v>
      </c>
    </row>
    <row r="1954" spans="2:9">
      <c r="B1954" s="76">
        <v>2023.8660238578598</v>
      </c>
      <c r="C1954">
        <v>965.19877424227025</v>
      </c>
      <c r="D1954" s="77">
        <v>160.8664623737117</v>
      </c>
      <c r="E1954" s="77">
        <v>160.8664623737117</v>
      </c>
      <c r="F1954" s="77">
        <v>160.8664623737117</v>
      </c>
      <c r="G1954" s="77">
        <v>160.8664623737117</v>
      </c>
      <c r="H1954" s="77">
        <v>160.8664623737117</v>
      </c>
      <c r="I1954" s="77">
        <v>160.8664623737117</v>
      </c>
    </row>
    <row r="1955" spans="2:9">
      <c r="B1955" s="76">
        <v>2024.1174379606778</v>
      </c>
      <c r="C1955">
        <v>1077.2216327313313</v>
      </c>
      <c r="D1955" s="77">
        <v>179.5369387885552</v>
      </c>
      <c r="E1955" s="77">
        <v>179.5369387885552</v>
      </c>
      <c r="F1955" s="77">
        <v>179.5369387885552</v>
      </c>
      <c r="G1955" s="77">
        <v>179.5369387885552</v>
      </c>
      <c r="H1955" s="77">
        <v>179.5369387885552</v>
      </c>
      <c r="I1955" s="77">
        <v>179.5369387885552</v>
      </c>
    </row>
    <row r="1956" spans="2:9">
      <c r="B1956" s="76">
        <v>2023.4964363038596</v>
      </c>
      <c r="C1956">
        <v>1009.6068109540679</v>
      </c>
      <c r="D1956" s="77">
        <v>168.26780182567799</v>
      </c>
      <c r="E1956" s="77">
        <v>168.26780182567799</v>
      </c>
      <c r="F1956" s="77">
        <v>168.26780182567799</v>
      </c>
      <c r="G1956" s="77">
        <v>168.26780182567799</v>
      </c>
      <c r="H1956" s="77">
        <v>168.26780182567799</v>
      </c>
      <c r="I1956" s="77">
        <v>168.26780182567799</v>
      </c>
    </row>
    <row r="1957" spans="2:9">
      <c r="B1957" s="76">
        <v>2023.4533059201917</v>
      </c>
      <c r="C1957">
        <v>977.84552459527981</v>
      </c>
      <c r="D1957" s="77">
        <v>162.97425409921331</v>
      </c>
      <c r="E1957" s="77">
        <v>162.97425409921331</v>
      </c>
      <c r="F1957" s="77">
        <v>162.97425409921331</v>
      </c>
      <c r="G1957" s="77">
        <v>162.97425409921331</v>
      </c>
      <c r="H1957" s="77">
        <v>162.97425409921331</v>
      </c>
      <c r="I1957" s="77">
        <v>162.97425409921331</v>
      </c>
    </row>
    <row r="1958" spans="2:9">
      <c r="B1958" s="76">
        <v>2022.8669066611465</v>
      </c>
      <c r="C1958">
        <v>843.85207119769359</v>
      </c>
      <c r="D1958" s="77">
        <v>140.64201186628227</v>
      </c>
      <c r="E1958" s="77">
        <v>140.64201186628227</v>
      </c>
      <c r="F1958" s="77">
        <v>140.64201186628227</v>
      </c>
      <c r="G1958" s="77">
        <v>140.64201186628227</v>
      </c>
      <c r="H1958" s="77">
        <v>140.64201186628227</v>
      </c>
      <c r="I1958" s="77">
        <v>140.64201186628227</v>
      </c>
    </row>
    <row r="1959" spans="2:9">
      <c r="B1959" s="76">
        <v>2023.0937147748675</v>
      </c>
      <c r="C1959">
        <v>901.93894598372492</v>
      </c>
      <c r="D1959" s="77">
        <v>150.32315766395416</v>
      </c>
      <c r="E1959" s="77">
        <v>150.32315766395416</v>
      </c>
      <c r="F1959" s="77">
        <v>150.32315766395416</v>
      </c>
      <c r="G1959" s="77">
        <v>150.32315766395416</v>
      </c>
      <c r="H1959" s="77">
        <v>150.32315766395416</v>
      </c>
      <c r="I1959" s="77">
        <v>150.32315766395416</v>
      </c>
    </row>
    <row r="1960" spans="2:9">
      <c r="B1960" s="76">
        <v>2023.3160005117256</v>
      </c>
      <c r="C1960">
        <v>889.08968990137214</v>
      </c>
      <c r="D1960" s="77">
        <v>148.18161498356201</v>
      </c>
      <c r="E1960" s="77">
        <v>148.18161498356201</v>
      </c>
      <c r="F1960" s="77">
        <v>148.18161498356201</v>
      </c>
      <c r="G1960" s="77">
        <v>148.18161498356201</v>
      </c>
      <c r="H1960" s="77">
        <v>148.18161498356201</v>
      </c>
      <c r="I1960" s="77">
        <v>148.18161498356201</v>
      </c>
    </row>
    <row r="1961" spans="2:9">
      <c r="B1961" s="76">
        <v>2022.9613476144739</v>
      </c>
      <c r="C1961">
        <v>866.37510546354429</v>
      </c>
      <c r="D1961" s="77">
        <v>144.39585091059072</v>
      </c>
      <c r="E1961" s="77">
        <v>144.39585091059072</v>
      </c>
      <c r="F1961" s="77">
        <v>144.39585091059072</v>
      </c>
      <c r="G1961" s="77">
        <v>144.39585091059072</v>
      </c>
      <c r="H1961" s="77">
        <v>144.39585091059072</v>
      </c>
      <c r="I1961" s="77">
        <v>144.39585091059072</v>
      </c>
    </row>
    <row r="1962" spans="2:9">
      <c r="B1962" s="76">
        <v>2023.7967748300757</v>
      </c>
      <c r="C1962">
        <v>1020.4926035944159</v>
      </c>
      <c r="D1962" s="77">
        <v>170.08210059906932</v>
      </c>
      <c r="E1962" s="77">
        <v>170.08210059906932</v>
      </c>
      <c r="F1962" s="77">
        <v>170.08210059906932</v>
      </c>
      <c r="G1962" s="77">
        <v>170.08210059906932</v>
      </c>
      <c r="H1962" s="77">
        <v>170.08210059906932</v>
      </c>
      <c r="I1962" s="77">
        <v>170.08210059906932</v>
      </c>
    </row>
    <row r="1963" spans="2:9">
      <c r="B1963" s="76">
        <v>2024.8651357344929</v>
      </c>
      <c r="C1963">
        <v>1118.3178664130367</v>
      </c>
      <c r="D1963" s="77">
        <v>186.38631106883943</v>
      </c>
      <c r="E1963" s="77">
        <v>186.38631106883943</v>
      </c>
      <c r="F1963" s="77">
        <v>186.38631106883943</v>
      </c>
      <c r="G1963" s="77">
        <v>186.38631106883943</v>
      </c>
      <c r="H1963" s="77">
        <v>186.38631106883943</v>
      </c>
      <c r="I1963" s="77">
        <v>186.38631106883943</v>
      </c>
    </row>
    <row r="1964" spans="2:9">
      <c r="B1964" s="76">
        <v>2022.9213388068736</v>
      </c>
      <c r="C1964">
        <v>839.01392853196478</v>
      </c>
      <c r="D1964" s="77">
        <v>139.83565475532745</v>
      </c>
      <c r="E1964" s="77">
        <v>139.83565475532745</v>
      </c>
      <c r="F1964" s="77">
        <v>139.83565475532745</v>
      </c>
      <c r="G1964" s="77">
        <v>139.83565475532745</v>
      </c>
      <c r="H1964" s="77">
        <v>139.83565475532745</v>
      </c>
      <c r="I1964" s="77">
        <v>139.83565475532745</v>
      </c>
    </row>
    <row r="1965" spans="2:9">
      <c r="B1965" s="76">
        <v>2022.8525103356637</v>
      </c>
      <c r="C1965">
        <v>814.55545711239301</v>
      </c>
      <c r="D1965" s="77">
        <v>135.75924285206551</v>
      </c>
      <c r="E1965" s="77">
        <v>135.75924285206551</v>
      </c>
      <c r="F1965" s="77">
        <v>135.75924285206551</v>
      </c>
      <c r="G1965" s="77">
        <v>135.75924285206551</v>
      </c>
      <c r="H1965" s="77">
        <v>135.75924285206551</v>
      </c>
      <c r="I1965" s="77">
        <v>135.75924285206551</v>
      </c>
    </row>
    <row r="1966" spans="2:9">
      <c r="B1966" s="76">
        <v>2024.4926247444535</v>
      </c>
      <c r="C1966">
        <v>1061.3822622560401</v>
      </c>
      <c r="D1966" s="77">
        <v>176.89704370934001</v>
      </c>
      <c r="E1966" s="77">
        <v>176.89704370934001</v>
      </c>
      <c r="F1966" s="77">
        <v>176.89704370934001</v>
      </c>
      <c r="G1966" s="77">
        <v>176.89704370934001</v>
      </c>
      <c r="H1966" s="77">
        <v>176.89704370934001</v>
      </c>
      <c r="I1966" s="77">
        <v>176.89704370934001</v>
      </c>
    </row>
    <row r="1967" spans="2:9">
      <c r="B1967" s="76">
        <v>2022.9694703930563</v>
      </c>
      <c r="C1967">
        <v>947.79273954790335</v>
      </c>
      <c r="D1967" s="77">
        <v>157.96545659131723</v>
      </c>
      <c r="E1967" s="77">
        <v>157.96545659131723</v>
      </c>
      <c r="F1967" s="77">
        <v>157.96545659131723</v>
      </c>
      <c r="G1967" s="77">
        <v>157.96545659131723</v>
      </c>
      <c r="H1967" s="77">
        <v>157.96545659131723</v>
      </c>
      <c r="I1967" s="77">
        <v>157.96545659131723</v>
      </c>
    </row>
    <row r="1968" spans="2:9">
      <c r="B1968" s="76">
        <v>2023.0901933986815</v>
      </c>
      <c r="C1968">
        <v>919.45168070211434</v>
      </c>
      <c r="D1968" s="77">
        <v>153.24194678368573</v>
      </c>
      <c r="E1968" s="77">
        <v>153.24194678368573</v>
      </c>
      <c r="F1968" s="77">
        <v>153.24194678368573</v>
      </c>
      <c r="G1968" s="77">
        <v>153.24194678368573</v>
      </c>
      <c r="H1968" s="77">
        <v>153.24194678368573</v>
      </c>
      <c r="I1968" s="77">
        <v>153.24194678368573</v>
      </c>
    </row>
    <row r="1969" spans="2:9">
      <c r="B1969" s="76">
        <v>2022.7374955233402</v>
      </c>
      <c r="C1969">
        <v>864.19391838315755</v>
      </c>
      <c r="D1969" s="77">
        <v>144.03231973052627</v>
      </c>
      <c r="E1969" s="77">
        <v>144.03231973052627</v>
      </c>
      <c r="F1969" s="77">
        <v>144.03231973052627</v>
      </c>
      <c r="G1969" s="77">
        <v>144.03231973052627</v>
      </c>
      <c r="H1969" s="77">
        <v>144.03231973052627</v>
      </c>
      <c r="I1969" s="77">
        <v>144.03231973052627</v>
      </c>
    </row>
    <row r="1970" spans="2:9">
      <c r="B1970" s="76">
        <v>2025.7799917196974</v>
      </c>
      <c r="C1970">
        <v>1309.3689419220975</v>
      </c>
      <c r="D1970" s="77">
        <v>218.22815698701626</v>
      </c>
      <c r="E1970" s="77">
        <v>218.22815698701626</v>
      </c>
      <c r="F1970" s="77">
        <v>218.22815698701626</v>
      </c>
      <c r="G1970" s="77">
        <v>218.22815698701626</v>
      </c>
      <c r="H1970" s="77">
        <v>218.22815698701626</v>
      </c>
      <c r="I1970" s="77">
        <v>218.22815698701626</v>
      </c>
    </row>
    <row r="1971" spans="2:9">
      <c r="B1971" s="76">
        <v>2022.7964436257053</v>
      </c>
      <c r="C1971">
        <v>838.76254004480609</v>
      </c>
      <c r="D1971" s="77">
        <v>139.79375667413436</v>
      </c>
      <c r="E1971" s="77">
        <v>139.79375667413436</v>
      </c>
      <c r="F1971" s="77">
        <v>139.79375667413436</v>
      </c>
      <c r="G1971" s="77">
        <v>139.79375667413436</v>
      </c>
      <c r="H1971" s="77">
        <v>139.79375667413436</v>
      </c>
      <c r="I1971" s="77">
        <v>139.79375667413436</v>
      </c>
    </row>
    <row r="1972" spans="2:9">
      <c r="B1972" s="76">
        <v>2023.1974147197593</v>
      </c>
      <c r="C1972">
        <v>931.48756275742903</v>
      </c>
      <c r="D1972" s="77">
        <v>155.24792712623818</v>
      </c>
      <c r="E1972" s="77">
        <v>155.24792712623818</v>
      </c>
      <c r="F1972" s="77">
        <v>155.24792712623818</v>
      </c>
      <c r="G1972" s="77">
        <v>155.24792712623818</v>
      </c>
      <c r="H1972" s="77">
        <v>155.24792712623818</v>
      </c>
      <c r="I1972" s="77">
        <v>155.24792712623818</v>
      </c>
    </row>
    <row r="1973" spans="2:9">
      <c r="B1973" s="76">
        <v>2025.5319548047264</v>
      </c>
      <c r="C1973">
        <v>1227.536042530422</v>
      </c>
      <c r="D1973" s="77">
        <v>204.58934042173701</v>
      </c>
      <c r="E1973" s="77">
        <v>204.58934042173701</v>
      </c>
      <c r="F1973" s="77">
        <v>204.58934042173701</v>
      </c>
      <c r="G1973" s="77">
        <v>204.58934042173701</v>
      </c>
      <c r="H1973" s="77">
        <v>204.58934042173701</v>
      </c>
      <c r="I1973" s="77">
        <v>204.58934042173701</v>
      </c>
    </row>
    <row r="1974" spans="2:9">
      <c r="B1974" s="76">
        <v>2022.7304874882723</v>
      </c>
      <c r="C1974">
        <v>856.42142127708439</v>
      </c>
      <c r="D1974" s="77">
        <v>142.73690354618074</v>
      </c>
      <c r="E1974" s="77">
        <v>142.73690354618074</v>
      </c>
      <c r="F1974" s="77">
        <v>142.73690354618074</v>
      </c>
      <c r="G1974" s="77">
        <v>142.73690354618074</v>
      </c>
      <c r="H1974" s="77">
        <v>142.73690354618074</v>
      </c>
      <c r="I1974" s="77">
        <v>142.73690354618074</v>
      </c>
    </row>
    <row r="1975" spans="2:9">
      <c r="B1975" s="76">
        <v>2024.5540703433262</v>
      </c>
      <c r="C1975">
        <v>1078.4263725897738</v>
      </c>
      <c r="D1975" s="77">
        <v>179.7377287649623</v>
      </c>
      <c r="E1975" s="77">
        <v>179.7377287649623</v>
      </c>
      <c r="F1975" s="77">
        <v>179.7377287649623</v>
      </c>
      <c r="G1975" s="77">
        <v>179.7377287649623</v>
      </c>
      <c r="H1975" s="77">
        <v>179.7377287649623</v>
      </c>
      <c r="I1975" s="77">
        <v>179.7377287649623</v>
      </c>
    </row>
    <row r="1976" spans="2:9">
      <c r="B1976" s="76">
        <v>2023.2515743788731</v>
      </c>
      <c r="C1976">
        <v>912.65112487509839</v>
      </c>
      <c r="D1976" s="77">
        <v>152.10852081251639</v>
      </c>
      <c r="E1976" s="77">
        <v>152.10852081251639</v>
      </c>
      <c r="F1976" s="77">
        <v>152.10852081251639</v>
      </c>
      <c r="G1976" s="77">
        <v>152.10852081251639</v>
      </c>
      <c r="H1976" s="77">
        <v>152.10852081251639</v>
      </c>
      <c r="I1976" s="77">
        <v>152.10852081251639</v>
      </c>
    </row>
    <row r="1977" spans="2:9">
      <c r="B1977" s="76">
        <v>2023.0986808314219</v>
      </c>
      <c r="C1977">
        <v>986.92279777353997</v>
      </c>
      <c r="D1977" s="77">
        <v>164.48713296225665</v>
      </c>
      <c r="E1977" s="77">
        <v>164.48713296225665</v>
      </c>
      <c r="F1977" s="77">
        <v>164.48713296225665</v>
      </c>
      <c r="G1977" s="77">
        <v>164.48713296225665</v>
      </c>
      <c r="H1977" s="77">
        <v>164.48713296225665</v>
      </c>
      <c r="I1977" s="77">
        <v>164.48713296225665</v>
      </c>
    </row>
    <row r="1978" spans="2:9">
      <c r="B1978" s="76">
        <v>2023.0009026304649</v>
      </c>
      <c r="C1978">
        <v>895.76770978691445</v>
      </c>
      <c r="D1978" s="77">
        <v>149.29461829781908</v>
      </c>
      <c r="E1978" s="77">
        <v>149.29461829781908</v>
      </c>
      <c r="F1978" s="77">
        <v>149.29461829781908</v>
      </c>
      <c r="G1978" s="77">
        <v>149.29461829781908</v>
      </c>
      <c r="H1978" s="77">
        <v>149.29461829781908</v>
      </c>
      <c r="I1978" s="77">
        <v>149.29461829781908</v>
      </c>
    </row>
    <row r="1979" spans="2:9">
      <c r="B1979" s="76">
        <v>2024.6414948868523</v>
      </c>
      <c r="C1979">
        <v>1078.6663390160747</v>
      </c>
      <c r="D1979" s="77">
        <v>179.77772316934579</v>
      </c>
      <c r="E1979" s="77">
        <v>179.77772316934579</v>
      </c>
      <c r="F1979" s="77">
        <v>179.77772316934579</v>
      </c>
      <c r="G1979" s="77">
        <v>179.77772316934579</v>
      </c>
      <c r="H1979" s="77">
        <v>179.77772316934579</v>
      </c>
      <c r="I1979" s="77">
        <v>179.77772316934579</v>
      </c>
    </row>
    <row r="1980" spans="2:9">
      <c r="B1980" s="76">
        <v>2023.2794491762272</v>
      </c>
      <c r="C1980">
        <v>892.85801076714142</v>
      </c>
      <c r="D1980" s="77">
        <v>148.80966846119023</v>
      </c>
      <c r="E1980" s="77">
        <v>148.80966846119023</v>
      </c>
      <c r="F1980" s="77">
        <v>148.80966846119023</v>
      </c>
      <c r="G1980" s="77">
        <v>148.80966846119023</v>
      </c>
      <c r="H1980" s="77">
        <v>148.80966846119023</v>
      </c>
      <c r="I1980" s="77">
        <v>148.80966846119023</v>
      </c>
    </row>
    <row r="1981" spans="2:9">
      <c r="B1981" s="76">
        <v>2022.9287044661312</v>
      </c>
      <c r="C1981">
        <v>914.11321253342442</v>
      </c>
      <c r="D1981" s="77">
        <v>152.35220208890408</v>
      </c>
      <c r="E1981" s="77">
        <v>152.35220208890408</v>
      </c>
      <c r="F1981" s="77">
        <v>152.35220208890408</v>
      </c>
      <c r="G1981" s="77">
        <v>152.35220208890408</v>
      </c>
      <c r="H1981" s="77">
        <v>152.35220208890408</v>
      </c>
      <c r="I1981" s="77">
        <v>152.35220208890408</v>
      </c>
    </row>
    <row r="1982" spans="2:9">
      <c r="B1982" s="76">
        <v>2024.5777026146272</v>
      </c>
      <c r="C1982">
        <v>1041.2835595538072</v>
      </c>
      <c r="D1982" s="77">
        <v>173.54725992563453</v>
      </c>
      <c r="E1982" s="77">
        <v>173.54725992563453</v>
      </c>
      <c r="F1982" s="77">
        <v>173.54725992563453</v>
      </c>
      <c r="G1982" s="77">
        <v>173.54725992563453</v>
      </c>
      <c r="H1982" s="77">
        <v>173.54725992563453</v>
      </c>
      <c r="I1982" s="77">
        <v>173.54725992563453</v>
      </c>
    </row>
    <row r="1983" spans="2:9">
      <c r="B1983" s="76">
        <v>2024.5154621780284</v>
      </c>
      <c r="C1983">
        <v>1143.931401042475</v>
      </c>
      <c r="D1983" s="77">
        <v>190.65523350707917</v>
      </c>
      <c r="E1983" s="77">
        <v>190.65523350707917</v>
      </c>
      <c r="F1983" s="77">
        <v>190.65523350707917</v>
      </c>
      <c r="G1983" s="77">
        <v>190.65523350707917</v>
      </c>
      <c r="H1983" s="77">
        <v>190.65523350707917</v>
      </c>
      <c r="I1983" s="77">
        <v>190.65523350707917</v>
      </c>
    </row>
    <row r="1984" spans="2:9">
      <c r="B1984" s="76">
        <v>2023.4393534789515</v>
      </c>
      <c r="C1984">
        <v>938.26942065113917</v>
      </c>
      <c r="D1984" s="77">
        <v>156.37823677518986</v>
      </c>
      <c r="E1984" s="77">
        <v>156.37823677518986</v>
      </c>
      <c r="F1984" s="77">
        <v>156.37823677518986</v>
      </c>
      <c r="G1984" s="77">
        <v>156.37823677518986</v>
      </c>
      <c r="H1984" s="77">
        <v>156.37823677518986</v>
      </c>
      <c r="I1984" s="77">
        <v>156.37823677518986</v>
      </c>
    </row>
    <row r="1985" spans="2:9">
      <c r="B1985" s="76">
        <v>2024.9209833504353</v>
      </c>
      <c r="C1985">
        <v>1098.6490342475897</v>
      </c>
      <c r="D1985" s="77">
        <v>183.1081723745983</v>
      </c>
      <c r="E1985" s="77">
        <v>183.1081723745983</v>
      </c>
      <c r="F1985" s="77">
        <v>183.1081723745983</v>
      </c>
      <c r="G1985" s="77">
        <v>183.1081723745983</v>
      </c>
      <c r="H1985" s="77">
        <v>183.1081723745983</v>
      </c>
      <c r="I1985" s="77">
        <v>183.1081723745983</v>
      </c>
    </row>
    <row r="1986" spans="2:9">
      <c r="B1986" s="76">
        <v>2023.8205528620542</v>
      </c>
      <c r="C1986">
        <v>988.99224436702525</v>
      </c>
      <c r="D1986" s="77">
        <v>164.83204072783755</v>
      </c>
      <c r="E1986" s="77">
        <v>164.83204072783755</v>
      </c>
      <c r="F1986" s="77">
        <v>164.83204072783755</v>
      </c>
      <c r="G1986" s="77">
        <v>164.83204072783755</v>
      </c>
      <c r="H1986" s="77">
        <v>164.83204072783755</v>
      </c>
      <c r="I1986" s="77">
        <v>164.83204072783755</v>
      </c>
    </row>
    <row r="1987" spans="2:9">
      <c r="B1987" s="76">
        <v>2023.0123704376665</v>
      </c>
      <c r="C1987">
        <v>930.56437897473836</v>
      </c>
      <c r="D1987" s="77">
        <v>155.09406316245639</v>
      </c>
      <c r="E1987" s="77">
        <v>155.09406316245639</v>
      </c>
      <c r="F1987" s="77">
        <v>155.09406316245639</v>
      </c>
      <c r="G1987" s="77">
        <v>155.09406316245639</v>
      </c>
      <c r="H1987" s="77">
        <v>155.09406316245639</v>
      </c>
      <c r="I1987" s="77">
        <v>155.09406316245639</v>
      </c>
    </row>
    <row r="1988" spans="2:9">
      <c r="B1988" s="76">
        <v>2023.4496337068929</v>
      </c>
      <c r="C1988">
        <v>905.72451161491506</v>
      </c>
      <c r="D1988" s="77">
        <v>150.9540852691525</v>
      </c>
      <c r="E1988" s="77">
        <v>150.9540852691525</v>
      </c>
      <c r="F1988" s="77">
        <v>150.9540852691525</v>
      </c>
      <c r="G1988" s="77">
        <v>150.9540852691525</v>
      </c>
      <c r="H1988" s="77">
        <v>150.9540852691525</v>
      </c>
      <c r="I1988" s="77">
        <v>150.9540852691525</v>
      </c>
    </row>
    <row r="1989" spans="2:9">
      <c r="B1989" s="76">
        <v>2023.1653906378676</v>
      </c>
      <c r="C1989">
        <v>930.74963961504079</v>
      </c>
      <c r="D1989" s="77">
        <v>155.12493993584013</v>
      </c>
      <c r="E1989" s="77">
        <v>155.12493993584013</v>
      </c>
      <c r="F1989" s="77">
        <v>155.12493993584013</v>
      </c>
      <c r="G1989" s="77">
        <v>155.12493993584013</v>
      </c>
      <c r="H1989" s="77">
        <v>155.12493993584013</v>
      </c>
      <c r="I1989" s="77">
        <v>155.12493993584013</v>
      </c>
    </row>
    <row r="1990" spans="2:9">
      <c r="B1990" s="76">
        <v>2023.1317694210884</v>
      </c>
      <c r="C1990">
        <v>967.77853844045217</v>
      </c>
      <c r="D1990" s="77">
        <v>161.2964230734087</v>
      </c>
      <c r="E1990" s="77">
        <v>161.2964230734087</v>
      </c>
      <c r="F1990" s="77">
        <v>161.2964230734087</v>
      </c>
      <c r="G1990" s="77">
        <v>161.2964230734087</v>
      </c>
      <c r="H1990" s="77">
        <v>161.2964230734087</v>
      </c>
      <c r="I1990" s="77">
        <v>161.2964230734087</v>
      </c>
    </row>
    <row r="1991" spans="2:9">
      <c r="B1991" s="76">
        <v>2023.3534662984625</v>
      </c>
      <c r="C1991">
        <v>882.99619279894159</v>
      </c>
      <c r="D1991" s="77">
        <v>147.16603213315693</v>
      </c>
      <c r="E1991" s="77">
        <v>147.16603213315693</v>
      </c>
      <c r="F1991" s="77">
        <v>147.16603213315693</v>
      </c>
      <c r="G1991" s="77">
        <v>147.16603213315693</v>
      </c>
      <c r="H1991" s="77">
        <v>147.16603213315693</v>
      </c>
      <c r="I1991" s="77">
        <v>147.16603213315693</v>
      </c>
    </row>
    <row r="1992" spans="2:9">
      <c r="B1992" s="76">
        <v>2023.454899528329</v>
      </c>
      <c r="C1992">
        <v>993.18100577877601</v>
      </c>
      <c r="D1992" s="77">
        <v>165.53016762979601</v>
      </c>
      <c r="E1992" s="77">
        <v>165.53016762979601</v>
      </c>
      <c r="F1992" s="77">
        <v>165.53016762979601</v>
      </c>
      <c r="G1992" s="77">
        <v>165.53016762979601</v>
      </c>
      <c r="H1992" s="77">
        <v>165.53016762979601</v>
      </c>
      <c r="I1992" s="77">
        <v>165.53016762979601</v>
      </c>
    </row>
    <row r="1993" spans="2:9">
      <c r="B1993" s="76">
        <v>2022.7035559985225</v>
      </c>
      <c r="C1993">
        <v>870.18631100898278</v>
      </c>
      <c r="D1993" s="77">
        <v>145.03105183483046</v>
      </c>
      <c r="E1993" s="77">
        <v>145.03105183483046</v>
      </c>
      <c r="F1993" s="77">
        <v>145.03105183483046</v>
      </c>
      <c r="G1993" s="77">
        <v>145.03105183483046</v>
      </c>
      <c r="H1993" s="77">
        <v>145.03105183483046</v>
      </c>
      <c r="I1993" s="77">
        <v>145.03105183483046</v>
      </c>
    </row>
    <row r="1994" spans="2:9">
      <c r="B1994" s="76">
        <v>2024.7622905278545</v>
      </c>
      <c r="C1994">
        <v>1028.4825871946887</v>
      </c>
      <c r="D1994" s="77">
        <v>171.41376453244811</v>
      </c>
      <c r="E1994" s="77">
        <v>171.41376453244811</v>
      </c>
      <c r="F1994" s="77">
        <v>171.41376453244811</v>
      </c>
      <c r="G1994" s="77">
        <v>171.41376453244811</v>
      </c>
      <c r="H1994" s="77">
        <v>171.41376453244811</v>
      </c>
      <c r="I1994" s="77">
        <v>171.41376453244811</v>
      </c>
    </row>
    <row r="1995" spans="2:9">
      <c r="B1995" s="76">
        <v>2023.4870803769575</v>
      </c>
      <c r="C1995">
        <v>879.62431705751885</v>
      </c>
      <c r="D1995" s="77">
        <v>146.6040528429198</v>
      </c>
      <c r="E1995" s="77">
        <v>146.6040528429198</v>
      </c>
      <c r="F1995" s="77">
        <v>146.6040528429198</v>
      </c>
      <c r="G1995" s="77">
        <v>146.6040528429198</v>
      </c>
      <c r="H1995" s="77">
        <v>146.6040528429198</v>
      </c>
      <c r="I1995" s="77">
        <v>146.6040528429198</v>
      </c>
    </row>
    <row r="1996" spans="2:9">
      <c r="B1996" s="76">
        <v>2023.1850101993002</v>
      </c>
      <c r="C1996">
        <v>968.32283998780849</v>
      </c>
      <c r="D1996" s="77">
        <v>161.38713999796809</v>
      </c>
      <c r="E1996" s="77">
        <v>161.38713999796809</v>
      </c>
      <c r="F1996" s="77">
        <v>161.38713999796809</v>
      </c>
      <c r="G1996" s="77">
        <v>161.38713999796809</v>
      </c>
      <c r="H1996" s="77">
        <v>161.38713999796809</v>
      </c>
      <c r="I1996" s="77">
        <v>161.38713999796809</v>
      </c>
    </row>
    <row r="1997" spans="2:9">
      <c r="B1997" s="76">
        <v>2023.1524786853079</v>
      </c>
      <c r="C1997">
        <v>901.34836954034449</v>
      </c>
      <c r="D1997" s="77">
        <v>150.22472825672409</v>
      </c>
      <c r="E1997" s="77">
        <v>150.22472825672409</v>
      </c>
      <c r="F1997" s="77">
        <v>150.22472825672409</v>
      </c>
      <c r="G1997" s="77">
        <v>150.22472825672409</v>
      </c>
      <c r="H1997" s="77">
        <v>150.22472825672409</v>
      </c>
      <c r="I1997" s="77">
        <v>150.22472825672409</v>
      </c>
    </row>
    <row r="1998" spans="2:9">
      <c r="B1998" s="76">
        <v>2023.2526702120272</v>
      </c>
      <c r="C1998">
        <v>881.56044020878039</v>
      </c>
      <c r="D1998" s="77">
        <v>146.92674003479672</v>
      </c>
      <c r="E1998" s="77">
        <v>146.92674003479672</v>
      </c>
      <c r="F1998" s="77">
        <v>146.92674003479672</v>
      </c>
      <c r="G1998" s="77">
        <v>146.92674003479672</v>
      </c>
      <c r="H1998" s="77">
        <v>146.92674003479672</v>
      </c>
      <c r="I1998" s="77">
        <v>146.92674003479672</v>
      </c>
    </row>
    <row r="1999" spans="2:9">
      <c r="B1999" s="76">
        <v>2024.2218704173656</v>
      </c>
      <c r="C1999">
        <v>1064.6154510189874</v>
      </c>
      <c r="D1999" s="77">
        <v>177.43590850316457</v>
      </c>
      <c r="E1999" s="77">
        <v>177.43590850316457</v>
      </c>
      <c r="F1999" s="77">
        <v>177.43590850316457</v>
      </c>
      <c r="G1999" s="77">
        <v>177.43590850316457</v>
      </c>
      <c r="H1999" s="77">
        <v>177.43590850316457</v>
      </c>
      <c r="I1999" s="77">
        <v>177.43590850316457</v>
      </c>
    </row>
    <row r="2000" spans="2:9">
      <c r="B2000" s="76">
        <v>2023.8700787607306</v>
      </c>
      <c r="C2000">
        <v>1025.9423866043101</v>
      </c>
      <c r="D2000" s="77">
        <v>170.99039776738502</v>
      </c>
      <c r="E2000" s="77">
        <v>170.99039776738502</v>
      </c>
      <c r="F2000" s="77">
        <v>170.99039776738502</v>
      </c>
      <c r="G2000" s="77">
        <v>170.99039776738502</v>
      </c>
      <c r="H2000" s="77">
        <v>170.99039776738502</v>
      </c>
      <c r="I2000" s="77">
        <v>170.99039776738502</v>
      </c>
    </row>
    <row r="2001" spans="2:9">
      <c r="B2001" s="76">
        <v>2022.94260832959</v>
      </c>
      <c r="C2001">
        <v>826.37874434499986</v>
      </c>
      <c r="D2001" s="77">
        <v>137.72979072416663</v>
      </c>
      <c r="E2001" s="77">
        <v>137.72979072416663</v>
      </c>
      <c r="F2001" s="77">
        <v>137.72979072416663</v>
      </c>
      <c r="G2001" s="77">
        <v>137.72979072416663</v>
      </c>
      <c r="H2001" s="77">
        <v>137.72979072416663</v>
      </c>
      <c r="I2001" s="77">
        <v>137.72979072416663</v>
      </c>
    </row>
    <row r="2002" spans="2:9">
      <c r="B2002" s="76">
        <v>2022.7407192958401</v>
      </c>
      <c r="C2002">
        <v>862.83325640769465</v>
      </c>
      <c r="D2002" s="77">
        <v>143.80554273461578</v>
      </c>
      <c r="E2002" s="77">
        <v>143.80554273461578</v>
      </c>
      <c r="F2002" s="77">
        <v>143.80554273461578</v>
      </c>
      <c r="G2002" s="77">
        <v>143.80554273461578</v>
      </c>
      <c r="H2002" s="77">
        <v>143.80554273461578</v>
      </c>
      <c r="I2002" s="77">
        <v>143.80554273461578</v>
      </c>
    </row>
    <row r="2003" spans="2:9">
      <c r="B2003" s="76">
        <v>2022.6005504640054</v>
      </c>
      <c r="C2003">
        <v>851.21415165993676</v>
      </c>
      <c r="D2003" s="77">
        <v>141.86902527665612</v>
      </c>
      <c r="E2003" s="77">
        <v>141.86902527665612</v>
      </c>
      <c r="F2003" s="77">
        <v>141.86902527665612</v>
      </c>
      <c r="G2003" s="77">
        <v>141.86902527665612</v>
      </c>
      <c r="H2003" s="77">
        <v>141.86902527665612</v>
      </c>
      <c r="I2003" s="77">
        <v>141.86902527665612</v>
      </c>
    </row>
    <row r="2004" spans="2:9">
      <c r="B2004" s="76">
        <v>2023.3611411522245</v>
      </c>
      <c r="C2004">
        <v>954.43878336370653</v>
      </c>
      <c r="D2004" s="77">
        <v>159.07313056061776</v>
      </c>
      <c r="E2004" s="77">
        <v>159.07313056061776</v>
      </c>
      <c r="F2004" s="77">
        <v>159.07313056061776</v>
      </c>
      <c r="G2004" s="77">
        <v>159.07313056061776</v>
      </c>
      <c r="H2004" s="77">
        <v>159.07313056061776</v>
      </c>
      <c r="I2004" s="77">
        <v>159.07313056061776</v>
      </c>
    </row>
    <row r="2005" spans="2:9">
      <c r="B2005" s="76">
        <v>2022.9001430255394</v>
      </c>
      <c r="C2005">
        <v>848.23145579923562</v>
      </c>
      <c r="D2005" s="77">
        <v>141.37190929987261</v>
      </c>
      <c r="E2005" s="77">
        <v>141.37190929987261</v>
      </c>
      <c r="F2005" s="77">
        <v>141.37190929987261</v>
      </c>
      <c r="G2005" s="77">
        <v>141.37190929987261</v>
      </c>
      <c r="H2005" s="77">
        <v>141.37190929987261</v>
      </c>
      <c r="I2005" s="77">
        <v>141.37190929987261</v>
      </c>
    </row>
    <row r="2006" spans="2:9">
      <c r="B2006" s="76">
        <v>2023.1934636146675</v>
      </c>
      <c r="C2006">
        <v>909.07618137164354</v>
      </c>
      <c r="D2006" s="77">
        <v>151.51269689527393</v>
      </c>
      <c r="E2006" s="77">
        <v>151.51269689527393</v>
      </c>
      <c r="F2006" s="77">
        <v>151.51269689527393</v>
      </c>
      <c r="G2006" s="77">
        <v>151.51269689527393</v>
      </c>
      <c r="H2006" s="77">
        <v>151.51269689527393</v>
      </c>
      <c r="I2006" s="77">
        <v>151.51269689527393</v>
      </c>
    </row>
    <row r="2007" spans="2:9">
      <c r="B2007" s="76">
        <v>2023.2457979115084</v>
      </c>
      <c r="C2007">
        <v>934.30303373896936</v>
      </c>
      <c r="D2007" s="77">
        <v>155.71717228982823</v>
      </c>
      <c r="E2007" s="77">
        <v>155.71717228982823</v>
      </c>
      <c r="F2007" s="77">
        <v>155.71717228982823</v>
      </c>
      <c r="G2007" s="77">
        <v>155.71717228982823</v>
      </c>
      <c r="H2007" s="77">
        <v>155.71717228982823</v>
      </c>
      <c r="I2007" s="77">
        <v>155.71717228982823</v>
      </c>
    </row>
    <row r="2008" spans="2:9">
      <c r="B2008" s="76">
        <v>2022.9206458455296</v>
      </c>
      <c r="C2008">
        <v>904.10705332381133</v>
      </c>
      <c r="D2008" s="77">
        <v>150.68450888730189</v>
      </c>
      <c r="E2008" s="77">
        <v>150.68450888730189</v>
      </c>
      <c r="F2008" s="77">
        <v>150.68450888730189</v>
      </c>
      <c r="G2008" s="77">
        <v>150.68450888730189</v>
      </c>
      <c r="H2008" s="77">
        <v>150.68450888730189</v>
      </c>
      <c r="I2008" s="77">
        <v>150.68450888730189</v>
      </c>
    </row>
    <row r="2009" spans="2:9">
      <c r="B2009" s="76">
        <v>2023.6095174553077</v>
      </c>
      <c r="C2009">
        <v>912.28480954877784</v>
      </c>
      <c r="D2009" s="77">
        <v>152.04746825812964</v>
      </c>
      <c r="E2009" s="77">
        <v>152.04746825812964</v>
      </c>
      <c r="F2009" s="77">
        <v>152.04746825812964</v>
      </c>
      <c r="G2009" s="77">
        <v>152.04746825812964</v>
      </c>
      <c r="H2009" s="77">
        <v>152.04746825812964</v>
      </c>
      <c r="I2009" s="77">
        <v>152.04746825812964</v>
      </c>
    </row>
    <row r="2010" spans="2:9">
      <c r="B2010" s="76">
        <v>2023.5212889179372</v>
      </c>
      <c r="C2010">
        <v>894.54841994145795</v>
      </c>
      <c r="D2010" s="77">
        <v>149.09140332357632</v>
      </c>
      <c r="E2010" s="77">
        <v>149.09140332357632</v>
      </c>
      <c r="F2010" s="77">
        <v>149.09140332357632</v>
      </c>
      <c r="G2010" s="77">
        <v>149.09140332357632</v>
      </c>
      <c r="H2010" s="77">
        <v>149.09140332357632</v>
      </c>
      <c r="I2010" s="77">
        <v>149.09140332357632</v>
      </c>
    </row>
    <row r="2011" spans="2:9">
      <c r="B2011" s="76">
        <v>2023.789347909591</v>
      </c>
      <c r="C2011">
        <v>935.75133319029908</v>
      </c>
      <c r="D2011" s="77">
        <v>155.95855553171651</v>
      </c>
      <c r="E2011" s="77">
        <v>155.95855553171651</v>
      </c>
      <c r="F2011" s="77">
        <v>155.95855553171651</v>
      </c>
      <c r="G2011" s="77">
        <v>155.95855553171651</v>
      </c>
      <c r="H2011" s="77">
        <v>155.95855553171651</v>
      </c>
      <c r="I2011" s="77">
        <v>155.95855553171651</v>
      </c>
    </row>
    <row r="2012" spans="2:9">
      <c r="B2012" s="76">
        <v>2022.6952173678662</v>
      </c>
      <c r="C2012">
        <v>896.60583279990192</v>
      </c>
      <c r="D2012" s="77">
        <v>149.43430546665033</v>
      </c>
      <c r="E2012" s="77">
        <v>149.43430546665033</v>
      </c>
      <c r="F2012" s="77">
        <v>149.43430546665033</v>
      </c>
      <c r="G2012" s="77">
        <v>149.43430546665033</v>
      </c>
      <c r="H2012" s="77">
        <v>149.43430546665033</v>
      </c>
      <c r="I2012" s="77">
        <v>149.43430546665033</v>
      </c>
    </row>
    <row r="2013" spans="2:9">
      <c r="B2013" s="76">
        <v>2023.079345220757</v>
      </c>
      <c r="C2013">
        <v>922.5805455825091</v>
      </c>
      <c r="D2013" s="77">
        <v>153.76342426375152</v>
      </c>
      <c r="E2013" s="77">
        <v>153.76342426375152</v>
      </c>
      <c r="F2013" s="77">
        <v>153.76342426375152</v>
      </c>
      <c r="G2013" s="77">
        <v>153.76342426375152</v>
      </c>
      <c r="H2013" s="77">
        <v>153.76342426375152</v>
      </c>
      <c r="I2013" s="77">
        <v>153.76342426375152</v>
      </c>
    </row>
    <row r="2014" spans="2:9">
      <c r="B2014" s="76">
        <v>2023.3735934458552</v>
      </c>
      <c r="C2014">
        <v>991.28546539196066</v>
      </c>
      <c r="D2014" s="77">
        <v>165.21424423199343</v>
      </c>
      <c r="E2014" s="77">
        <v>165.21424423199343</v>
      </c>
      <c r="F2014" s="77">
        <v>165.21424423199343</v>
      </c>
      <c r="G2014" s="77">
        <v>165.21424423199343</v>
      </c>
      <c r="H2014" s="77">
        <v>165.21424423199343</v>
      </c>
      <c r="I2014" s="77">
        <v>165.21424423199343</v>
      </c>
    </row>
    <row r="2015" spans="2:9">
      <c r="B2015" s="76">
        <v>2023.1984795105511</v>
      </c>
      <c r="C2015">
        <v>919.36481283277271</v>
      </c>
      <c r="D2015" s="77">
        <v>153.22746880546211</v>
      </c>
      <c r="E2015" s="77">
        <v>153.22746880546211</v>
      </c>
      <c r="F2015" s="77">
        <v>153.22746880546211</v>
      </c>
      <c r="G2015" s="77">
        <v>153.22746880546211</v>
      </c>
      <c r="H2015" s="77">
        <v>153.22746880546211</v>
      </c>
      <c r="I2015" s="77">
        <v>153.22746880546211</v>
      </c>
    </row>
    <row r="2016" spans="2:9">
      <c r="B2016" s="76">
        <v>2022.866145595829</v>
      </c>
      <c r="C2016">
        <v>869.94733208791433</v>
      </c>
      <c r="D2016" s="77">
        <v>144.99122201465238</v>
      </c>
      <c r="E2016" s="77">
        <v>144.99122201465238</v>
      </c>
      <c r="F2016" s="77">
        <v>144.99122201465238</v>
      </c>
      <c r="G2016" s="77">
        <v>144.99122201465238</v>
      </c>
      <c r="H2016" s="77">
        <v>144.99122201465238</v>
      </c>
      <c r="I2016" s="77">
        <v>144.99122201465238</v>
      </c>
    </row>
    <row r="2017" spans="2:9">
      <c r="B2017" s="76">
        <v>2025.1741442015489</v>
      </c>
      <c r="C2017">
        <v>1111.2393937482691</v>
      </c>
      <c r="D2017" s="77">
        <v>185.20656562471152</v>
      </c>
      <c r="E2017" s="77">
        <v>185.20656562471152</v>
      </c>
      <c r="F2017" s="77">
        <v>185.20656562471152</v>
      </c>
      <c r="G2017" s="77">
        <v>185.20656562471152</v>
      </c>
      <c r="H2017" s="77">
        <v>185.20656562471152</v>
      </c>
      <c r="I2017" s="77">
        <v>185.20656562471152</v>
      </c>
    </row>
    <row r="2018" spans="2:9">
      <c r="B2018" s="76">
        <v>2022.9923473697556</v>
      </c>
      <c r="C2018">
        <v>888.25231938067009</v>
      </c>
      <c r="D2018" s="77">
        <v>148.04205323011169</v>
      </c>
      <c r="E2018" s="77">
        <v>148.04205323011169</v>
      </c>
      <c r="F2018" s="77">
        <v>148.04205323011169</v>
      </c>
      <c r="G2018" s="77">
        <v>148.04205323011169</v>
      </c>
      <c r="H2018" s="77">
        <v>148.04205323011169</v>
      </c>
      <c r="I2018" s="77">
        <v>148.04205323011169</v>
      </c>
    </row>
    <row r="2019" spans="2:9">
      <c r="B2019" s="76">
        <v>2024.7168399001089</v>
      </c>
      <c r="C2019">
        <v>1093.1030745093724</v>
      </c>
      <c r="D2019" s="77">
        <v>182.18384575156207</v>
      </c>
      <c r="E2019" s="77">
        <v>182.18384575156207</v>
      </c>
      <c r="F2019" s="77">
        <v>182.18384575156207</v>
      </c>
      <c r="G2019" s="77">
        <v>182.18384575156207</v>
      </c>
      <c r="H2019" s="77">
        <v>182.18384575156207</v>
      </c>
      <c r="I2019" s="77">
        <v>182.18384575156207</v>
      </c>
    </row>
    <row r="2020" spans="2:9">
      <c r="B2020" s="76">
        <v>2023.2625538755608</v>
      </c>
      <c r="C2020">
        <v>899.43284869261799</v>
      </c>
      <c r="D2020" s="77">
        <v>149.905474782103</v>
      </c>
      <c r="E2020" s="77">
        <v>149.905474782103</v>
      </c>
      <c r="F2020" s="77">
        <v>149.905474782103</v>
      </c>
      <c r="G2020" s="77">
        <v>149.905474782103</v>
      </c>
      <c r="H2020" s="77">
        <v>149.905474782103</v>
      </c>
      <c r="I2020" s="77">
        <v>149.905474782103</v>
      </c>
    </row>
    <row r="2021" spans="2:9">
      <c r="B2021" s="76">
        <v>2022.5964758321059</v>
      </c>
      <c r="C2021">
        <v>834.65330520359009</v>
      </c>
      <c r="D2021" s="77">
        <v>139.10888420059834</v>
      </c>
      <c r="E2021" s="77">
        <v>139.10888420059834</v>
      </c>
      <c r="F2021" s="77">
        <v>139.10888420059834</v>
      </c>
      <c r="G2021" s="77">
        <v>139.10888420059834</v>
      </c>
      <c r="H2021" s="77">
        <v>139.10888420059834</v>
      </c>
      <c r="I2021" s="77">
        <v>139.10888420059834</v>
      </c>
    </row>
    <row r="2022" spans="2:9">
      <c r="B2022" s="76">
        <v>2023.9987785585124</v>
      </c>
      <c r="C2022">
        <v>946.88555910969603</v>
      </c>
      <c r="D2022" s="77">
        <v>157.81425985161601</v>
      </c>
      <c r="E2022" s="77">
        <v>157.81425985161601</v>
      </c>
      <c r="F2022" s="77">
        <v>157.81425985161601</v>
      </c>
      <c r="G2022" s="77">
        <v>157.81425985161601</v>
      </c>
      <c r="H2022" s="77">
        <v>157.81425985161601</v>
      </c>
      <c r="I2022" s="77">
        <v>157.81425985161601</v>
      </c>
    </row>
    <row r="2023" spans="2:9">
      <c r="B2023" s="76">
        <v>2023.0117809740921</v>
      </c>
      <c r="C2023">
        <v>868.72165331322378</v>
      </c>
      <c r="D2023" s="77">
        <v>144.78694221887062</v>
      </c>
      <c r="E2023" s="77">
        <v>144.78694221887062</v>
      </c>
      <c r="F2023" s="77">
        <v>144.78694221887062</v>
      </c>
      <c r="G2023" s="77">
        <v>144.78694221887062</v>
      </c>
      <c r="H2023" s="77">
        <v>144.78694221887062</v>
      </c>
      <c r="I2023" s="77">
        <v>144.78694221887062</v>
      </c>
    </row>
    <row r="2024" spans="2:9">
      <c r="B2024" s="76">
        <v>2025.3160388832425</v>
      </c>
      <c r="C2024">
        <v>1178.7858433018368</v>
      </c>
      <c r="D2024" s="77">
        <v>196.4643072169728</v>
      </c>
      <c r="E2024" s="77">
        <v>196.4643072169728</v>
      </c>
      <c r="F2024" s="77">
        <v>196.4643072169728</v>
      </c>
      <c r="G2024" s="77">
        <v>196.4643072169728</v>
      </c>
      <c r="H2024" s="77">
        <v>196.4643072169728</v>
      </c>
      <c r="I2024" s="77">
        <v>196.4643072169728</v>
      </c>
    </row>
    <row r="2025" spans="2:9">
      <c r="B2025" s="76">
        <v>2024.8393778879235</v>
      </c>
      <c r="C2025">
        <v>1076.5296654050424</v>
      </c>
      <c r="D2025" s="77">
        <v>179.42161090084039</v>
      </c>
      <c r="E2025" s="77">
        <v>179.42161090084039</v>
      </c>
      <c r="F2025" s="77">
        <v>179.42161090084039</v>
      </c>
      <c r="G2025" s="77">
        <v>179.42161090084039</v>
      </c>
      <c r="H2025" s="77">
        <v>179.42161090084039</v>
      </c>
      <c r="I2025" s="77">
        <v>179.42161090084039</v>
      </c>
    </row>
    <row r="2026" spans="2:9">
      <c r="B2026" s="76">
        <v>2024.7456808729257</v>
      </c>
      <c r="C2026">
        <v>1072.7236616183152</v>
      </c>
      <c r="D2026" s="77">
        <v>178.78727693638587</v>
      </c>
      <c r="E2026" s="77">
        <v>178.78727693638587</v>
      </c>
      <c r="F2026" s="77">
        <v>178.78727693638587</v>
      </c>
      <c r="G2026" s="77">
        <v>178.78727693638587</v>
      </c>
      <c r="H2026" s="77">
        <v>178.78727693638587</v>
      </c>
      <c r="I2026" s="77">
        <v>178.78727693638587</v>
      </c>
    </row>
    <row r="2027" spans="2:9">
      <c r="B2027" s="76">
        <v>2023.9967085115461</v>
      </c>
      <c r="C2027">
        <v>993.72699634999128</v>
      </c>
      <c r="D2027" s="77">
        <v>165.62116605833188</v>
      </c>
      <c r="E2027" s="77">
        <v>165.62116605833188</v>
      </c>
      <c r="F2027" s="77">
        <v>165.62116605833188</v>
      </c>
      <c r="G2027" s="77">
        <v>165.62116605833188</v>
      </c>
      <c r="H2027" s="77">
        <v>165.62116605833188</v>
      </c>
      <c r="I2027" s="77">
        <v>165.62116605833188</v>
      </c>
    </row>
    <row r="2028" spans="2:9">
      <c r="B2028" s="76">
        <v>2025.4960946861738</v>
      </c>
      <c r="C2028">
        <v>1216.6783292306779</v>
      </c>
      <c r="D2028" s="77">
        <v>202.77972153844632</v>
      </c>
      <c r="E2028" s="77">
        <v>202.77972153844632</v>
      </c>
      <c r="F2028" s="77">
        <v>202.77972153844632</v>
      </c>
      <c r="G2028" s="77">
        <v>202.77972153844632</v>
      </c>
      <c r="H2028" s="77">
        <v>202.77972153844632</v>
      </c>
      <c r="I2028" s="77">
        <v>202.77972153844632</v>
      </c>
    </row>
    <row r="2029" spans="2:9">
      <c r="B2029" s="76">
        <v>2025.4130978962753</v>
      </c>
      <c r="C2029">
        <v>1278.7215251799112</v>
      </c>
      <c r="D2029" s="77">
        <v>213.12025419665187</v>
      </c>
      <c r="E2029" s="77">
        <v>213.12025419665187</v>
      </c>
      <c r="F2029" s="77">
        <v>213.12025419665187</v>
      </c>
      <c r="G2029" s="77">
        <v>213.12025419665187</v>
      </c>
      <c r="H2029" s="77">
        <v>213.12025419665187</v>
      </c>
      <c r="I2029" s="77">
        <v>213.12025419665187</v>
      </c>
    </row>
    <row r="2030" spans="2:9">
      <c r="B2030" s="76">
        <v>2024.7980155412492</v>
      </c>
      <c r="C2030">
        <v>1041.2045859623813</v>
      </c>
      <c r="D2030" s="77">
        <v>173.5340976603969</v>
      </c>
      <c r="E2030" s="77">
        <v>173.5340976603969</v>
      </c>
      <c r="F2030" s="77">
        <v>173.5340976603969</v>
      </c>
      <c r="G2030" s="77">
        <v>173.5340976603969</v>
      </c>
      <c r="H2030" s="77">
        <v>173.5340976603969</v>
      </c>
      <c r="I2030" s="77">
        <v>173.5340976603969</v>
      </c>
    </row>
    <row r="2031" spans="2:9">
      <c r="B2031" s="76">
        <v>2022.9615122786659</v>
      </c>
      <c r="C2031">
        <v>849.36294783977883</v>
      </c>
      <c r="D2031" s="77">
        <v>141.56049130662981</v>
      </c>
      <c r="E2031" s="77">
        <v>141.56049130662981</v>
      </c>
      <c r="F2031" s="77">
        <v>141.56049130662981</v>
      </c>
      <c r="G2031" s="77">
        <v>141.56049130662981</v>
      </c>
      <c r="H2031" s="77">
        <v>141.56049130662981</v>
      </c>
      <c r="I2031" s="77">
        <v>141.56049130662981</v>
      </c>
    </row>
    <row r="2032" spans="2:9">
      <c r="B2032" s="76">
        <v>2023.4016292422418</v>
      </c>
      <c r="C2032">
        <v>961.64408629561888</v>
      </c>
      <c r="D2032" s="77">
        <v>160.27401438260316</v>
      </c>
      <c r="E2032" s="77">
        <v>160.27401438260316</v>
      </c>
      <c r="F2032" s="77">
        <v>160.27401438260316</v>
      </c>
      <c r="G2032" s="77">
        <v>160.27401438260316</v>
      </c>
      <c r="H2032" s="77">
        <v>160.27401438260316</v>
      </c>
      <c r="I2032" s="77">
        <v>160.27401438260316</v>
      </c>
    </row>
    <row r="2033" spans="2:9">
      <c r="B2033" s="76">
        <v>2022.9990875062163</v>
      </c>
      <c r="C2033">
        <v>905.83950513564378</v>
      </c>
      <c r="D2033" s="77">
        <v>150.97325085594062</v>
      </c>
      <c r="E2033" s="77">
        <v>150.97325085594062</v>
      </c>
      <c r="F2033" s="77">
        <v>150.97325085594062</v>
      </c>
      <c r="G2033" s="77">
        <v>150.97325085594062</v>
      </c>
      <c r="H2033" s="77">
        <v>150.97325085594062</v>
      </c>
      <c r="I2033" s="77">
        <v>150.97325085594062</v>
      </c>
    </row>
    <row r="2034" spans="2:9">
      <c r="B2034" s="76">
        <v>2024.9102288248755</v>
      </c>
      <c r="C2034">
        <v>1190.5337841887688</v>
      </c>
      <c r="D2034" s="77">
        <v>198.42229736479479</v>
      </c>
      <c r="E2034" s="77">
        <v>198.42229736479479</v>
      </c>
      <c r="F2034" s="77">
        <v>198.42229736479479</v>
      </c>
      <c r="G2034" s="77">
        <v>198.42229736479479</v>
      </c>
      <c r="H2034" s="77">
        <v>198.42229736479479</v>
      </c>
      <c r="I2034" s="77">
        <v>198.42229736479479</v>
      </c>
    </row>
    <row r="2035" spans="2:9">
      <c r="B2035" s="76">
        <v>2023.0785807859929</v>
      </c>
      <c r="C2035">
        <v>846.37327531201686</v>
      </c>
      <c r="D2035" s="77">
        <v>141.06221255200282</v>
      </c>
      <c r="E2035" s="77">
        <v>141.06221255200282</v>
      </c>
      <c r="F2035" s="77">
        <v>141.06221255200282</v>
      </c>
      <c r="G2035" s="77">
        <v>141.06221255200282</v>
      </c>
      <c r="H2035" s="77">
        <v>141.06221255200282</v>
      </c>
      <c r="I2035" s="77">
        <v>141.06221255200282</v>
      </c>
    </row>
    <row r="2036" spans="2:9">
      <c r="B2036" s="76">
        <v>2023.3396833250167</v>
      </c>
      <c r="C2036">
        <v>968.81249362508311</v>
      </c>
      <c r="D2036" s="77">
        <v>161.46874893751385</v>
      </c>
      <c r="E2036" s="77">
        <v>161.46874893751385</v>
      </c>
      <c r="F2036" s="77">
        <v>161.46874893751385</v>
      </c>
      <c r="G2036" s="77">
        <v>161.46874893751385</v>
      </c>
      <c r="H2036" s="77">
        <v>161.46874893751385</v>
      </c>
      <c r="I2036" s="77">
        <v>161.46874893751385</v>
      </c>
    </row>
    <row r="2037" spans="2:9">
      <c r="B2037" s="76">
        <v>2024.1631881304374</v>
      </c>
      <c r="C2037">
        <v>1014.694403930662</v>
      </c>
      <c r="D2037" s="77">
        <v>169.11573398844368</v>
      </c>
      <c r="E2037" s="77">
        <v>169.11573398844368</v>
      </c>
      <c r="F2037" s="77">
        <v>169.11573398844368</v>
      </c>
      <c r="G2037" s="77">
        <v>169.11573398844368</v>
      </c>
      <c r="H2037" s="77">
        <v>169.11573398844368</v>
      </c>
      <c r="I2037" s="77">
        <v>169.11573398844368</v>
      </c>
    </row>
    <row r="2038" spans="2:9">
      <c r="B2038" s="76">
        <v>2023.3656475305104</v>
      </c>
      <c r="C2038">
        <v>889.38455358482031</v>
      </c>
      <c r="D2038" s="77">
        <v>148.23075893080338</v>
      </c>
      <c r="E2038" s="77">
        <v>148.23075893080338</v>
      </c>
      <c r="F2038" s="77">
        <v>148.23075893080338</v>
      </c>
      <c r="G2038" s="77">
        <v>148.23075893080338</v>
      </c>
      <c r="H2038" s="77">
        <v>148.23075893080338</v>
      </c>
      <c r="I2038" s="77">
        <v>148.23075893080338</v>
      </c>
    </row>
    <row r="2039" spans="2:9">
      <c r="B2039" s="76">
        <v>2023.1691007663333</v>
      </c>
      <c r="C2039">
        <v>893.00944586758408</v>
      </c>
      <c r="D2039" s="77">
        <v>148.83490764459734</v>
      </c>
      <c r="E2039" s="77">
        <v>148.83490764459734</v>
      </c>
      <c r="F2039" s="77">
        <v>148.83490764459734</v>
      </c>
      <c r="G2039" s="77">
        <v>148.83490764459734</v>
      </c>
      <c r="H2039" s="77">
        <v>148.83490764459734</v>
      </c>
      <c r="I2039" s="77">
        <v>148.83490764459734</v>
      </c>
    </row>
    <row r="2040" spans="2:9">
      <c r="B2040" s="76">
        <v>2022.9313130159885</v>
      </c>
      <c r="C2040">
        <v>853.66124060810807</v>
      </c>
      <c r="D2040" s="77">
        <v>142.27687343468469</v>
      </c>
      <c r="E2040" s="77">
        <v>142.27687343468469</v>
      </c>
      <c r="F2040" s="77">
        <v>142.27687343468469</v>
      </c>
      <c r="G2040" s="77">
        <v>142.27687343468469</v>
      </c>
      <c r="H2040" s="77">
        <v>142.27687343468469</v>
      </c>
      <c r="I2040" s="77">
        <v>142.27687343468469</v>
      </c>
    </row>
    <row r="2041" spans="2:9">
      <c r="B2041" s="76">
        <v>2022.8546018633376</v>
      </c>
      <c r="C2041">
        <v>884.73549444660318</v>
      </c>
      <c r="D2041" s="77">
        <v>147.45591574110054</v>
      </c>
      <c r="E2041" s="77">
        <v>147.45591574110054</v>
      </c>
      <c r="F2041" s="77">
        <v>147.45591574110054</v>
      </c>
      <c r="G2041" s="77">
        <v>147.45591574110054</v>
      </c>
      <c r="H2041" s="77">
        <v>147.45591574110054</v>
      </c>
      <c r="I2041" s="77">
        <v>147.45591574110054</v>
      </c>
    </row>
    <row r="2042" spans="2:9">
      <c r="B2042" s="76">
        <v>2025.1142437058227</v>
      </c>
      <c r="C2042">
        <v>1132.4690675512675</v>
      </c>
      <c r="D2042" s="77">
        <v>188.74484459187792</v>
      </c>
      <c r="E2042" s="77">
        <v>188.74484459187792</v>
      </c>
      <c r="F2042" s="77">
        <v>188.74484459187792</v>
      </c>
      <c r="G2042" s="77">
        <v>188.74484459187792</v>
      </c>
      <c r="H2042" s="77">
        <v>188.74484459187792</v>
      </c>
      <c r="I2042" s="77">
        <v>188.74484459187792</v>
      </c>
    </row>
    <row r="2043" spans="2:9">
      <c r="B2043" s="76">
        <v>2023.3995805227664</v>
      </c>
      <c r="C2043">
        <v>854.35896336906649</v>
      </c>
      <c r="D2043" s="77">
        <v>142.39316056151108</v>
      </c>
      <c r="E2043" s="77">
        <v>142.39316056151108</v>
      </c>
      <c r="F2043" s="77">
        <v>142.39316056151108</v>
      </c>
      <c r="G2043" s="77">
        <v>142.39316056151108</v>
      </c>
      <c r="H2043" s="77">
        <v>142.39316056151108</v>
      </c>
      <c r="I2043" s="77">
        <v>142.39316056151108</v>
      </c>
    </row>
    <row r="2044" spans="2:9">
      <c r="B2044" s="76">
        <v>2023.3453301942891</v>
      </c>
      <c r="C2044">
        <v>948.06287213325948</v>
      </c>
      <c r="D2044" s="77">
        <v>158.01047868887659</v>
      </c>
      <c r="E2044" s="77">
        <v>158.01047868887659</v>
      </c>
      <c r="F2044" s="77">
        <v>158.01047868887659</v>
      </c>
      <c r="G2044" s="77">
        <v>158.01047868887659</v>
      </c>
      <c r="H2044" s="77">
        <v>158.01047868887659</v>
      </c>
      <c r="I2044" s="77">
        <v>158.01047868887659</v>
      </c>
    </row>
    <row r="2045" spans="2:9">
      <c r="B2045" s="76">
        <v>2024.9325833910868</v>
      </c>
      <c r="C2045">
        <v>1108.2536032470007</v>
      </c>
      <c r="D2045" s="77">
        <v>184.7089338745001</v>
      </c>
      <c r="E2045" s="77">
        <v>184.7089338745001</v>
      </c>
      <c r="F2045" s="77">
        <v>184.7089338745001</v>
      </c>
      <c r="G2045" s="77">
        <v>184.7089338745001</v>
      </c>
      <c r="H2045" s="77">
        <v>184.7089338745001</v>
      </c>
      <c r="I2045" s="77">
        <v>184.7089338745001</v>
      </c>
    </row>
    <row r="2046" spans="2:9">
      <c r="B2046" s="76">
        <v>2025.7582591855219</v>
      </c>
      <c r="C2046">
        <v>1217.5743085200957</v>
      </c>
      <c r="D2046" s="77">
        <v>202.92905142001595</v>
      </c>
      <c r="E2046" s="77">
        <v>202.92905142001595</v>
      </c>
      <c r="F2046" s="77">
        <v>202.92905142001595</v>
      </c>
      <c r="G2046" s="77">
        <v>202.92905142001595</v>
      </c>
      <c r="H2046" s="77">
        <v>202.92905142001595</v>
      </c>
      <c r="I2046" s="77">
        <v>202.92905142001595</v>
      </c>
    </row>
    <row r="2047" spans="2:9">
      <c r="B2047" s="76">
        <v>2022.7304476736815</v>
      </c>
      <c r="C2047">
        <v>858.3303540695922</v>
      </c>
      <c r="D2047" s="77">
        <v>143.0550590115987</v>
      </c>
      <c r="E2047" s="77">
        <v>143.0550590115987</v>
      </c>
      <c r="F2047" s="77">
        <v>143.0550590115987</v>
      </c>
      <c r="G2047" s="77">
        <v>143.0550590115987</v>
      </c>
      <c r="H2047" s="77">
        <v>143.0550590115987</v>
      </c>
      <c r="I2047" s="77">
        <v>143.0550590115987</v>
      </c>
    </row>
    <row r="2048" spans="2:9">
      <c r="B2048" s="76">
        <v>2023.2838708984814</v>
      </c>
      <c r="C2048">
        <v>945.96503432966551</v>
      </c>
      <c r="D2048" s="77">
        <v>157.66083905494426</v>
      </c>
      <c r="E2048" s="77">
        <v>157.66083905494426</v>
      </c>
      <c r="F2048" s="77">
        <v>157.66083905494426</v>
      </c>
      <c r="G2048" s="77">
        <v>157.66083905494426</v>
      </c>
      <c r="H2048" s="77">
        <v>157.66083905494426</v>
      </c>
      <c r="I2048" s="77">
        <v>157.66083905494426</v>
      </c>
    </row>
    <row r="2049" spans="2:9">
      <c r="B2049" s="76">
        <v>2022.6447204527628</v>
      </c>
      <c r="C2049">
        <v>859.09250784223832</v>
      </c>
      <c r="D2049" s="77">
        <v>143.18208464037306</v>
      </c>
      <c r="E2049" s="77">
        <v>143.18208464037306</v>
      </c>
      <c r="F2049" s="77">
        <v>143.18208464037306</v>
      </c>
      <c r="G2049" s="77">
        <v>143.18208464037306</v>
      </c>
      <c r="H2049" s="77">
        <v>143.18208464037306</v>
      </c>
      <c r="I2049" s="77">
        <v>143.18208464037306</v>
      </c>
    </row>
    <row r="2050" spans="2:9">
      <c r="B2050" s="76">
        <v>2023.3981031187773</v>
      </c>
      <c r="C2050">
        <v>928.31458142684141</v>
      </c>
      <c r="D2050" s="77">
        <v>154.71909690447356</v>
      </c>
      <c r="E2050" s="77">
        <v>154.71909690447356</v>
      </c>
      <c r="F2050" s="77">
        <v>154.71909690447356</v>
      </c>
      <c r="G2050" s="77">
        <v>154.71909690447356</v>
      </c>
      <c r="H2050" s="77">
        <v>154.71909690447356</v>
      </c>
      <c r="I2050" s="77">
        <v>154.71909690447356</v>
      </c>
    </row>
    <row r="2051" spans="2:9">
      <c r="B2051" s="76">
        <v>2023.1784028258708</v>
      </c>
      <c r="C2051">
        <v>923.99794570787435</v>
      </c>
      <c r="D2051" s="77">
        <v>153.99965761797907</v>
      </c>
      <c r="E2051" s="77">
        <v>153.99965761797907</v>
      </c>
      <c r="F2051" s="77">
        <v>153.99965761797907</v>
      </c>
      <c r="G2051" s="77">
        <v>153.99965761797907</v>
      </c>
      <c r="H2051" s="77">
        <v>153.99965761797907</v>
      </c>
      <c r="I2051" s="77">
        <v>153.99965761797907</v>
      </c>
    </row>
    <row r="2052" spans="2:9">
      <c r="B2052" s="76">
        <v>2022.832749520295</v>
      </c>
      <c r="C2052">
        <v>857.41811474983376</v>
      </c>
      <c r="D2052" s="77">
        <v>142.9030191249723</v>
      </c>
      <c r="E2052" s="77">
        <v>142.9030191249723</v>
      </c>
      <c r="F2052" s="77">
        <v>142.9030191249723</v>
      </c>
      <c r="G2052" s="77">
        <v>142.9030191249723</v>
      </c>
      <c r="H2052" s="77">
        <v>142.9030191249723</v>
      </c>
      <c r="I2052" s="77">
        <v>142.9030191249723</v>
      </c>
    </row>
    <row r="2053" spans="2:9">
      <c r="B2053" s="76">
        <v>2025.1680001346824</v>
      </c>
      <c r="C2053">
        <v>1145.1397838773682</v>
      </c>
      <c r="D2053" s="77">
        <v>190.85663064622804</v>
      </c>
      <c r="E2053" s="77">
        <v>190.85663064622804</v>
      </c>
      <c r="F2053" s="77">
        <v>190.85663064622804</v>
      </c>
      <c r="G2053" s="77">
        <v>190.85663064622804</v>
      </c>
      <c r="H2053" s="77">
        <v>190.85663064622804</v>
      </c>
      <c r="I2053" s="77">
        <v>190.85663064622804</v>
      </c>
    </row>
    <row r="2054" spans="2:9">
      <c r="B2054" s="76">
        <v>2023.1207063594738</v>
      </c>
      <c r="C2054">
        <v>894.54848088881363</v>
      </c>
      <c r="D2054" s="77">
        <v>149.09141348146895</v>
      </c>
      <c r="E2054" s="77">
        <v>149.09141348146895</v>
      </c>
      <c r="F2054" s="77">
        <v>149.09141348146895</v>
      </c>
      <c r="G2054" s="77">
        <v>149.09141348146895</v>
      </c>
      <c r="H2054" s="77">
        <v>149.09141348146895</v>
      </c>
      <c r="I2054" s="77">
        <v>149.09141348146895</v>
      </c>
    </row>
    <row r="2055" spans="2:9">
      <c r="B2055" s="76">
        <v>2022.7481505915757</v>
      </c>
      <c r="C2055">
        <v>828.73824787874662</v>
      </c>
      <c r="D2055" s="77">
        <v>138.12304131312445</v>
      </c>
      <c r="E2055" s="77">
        <v>138.12304131312445</v>
      </c>
      <c r="F2055" s="77">
        <v>138.12304131312445</v>
      </c>
      <c r="G2055" s="77">
        <v>138.12304131312445</v>
      </c>
      <c r="H2055" s="77">
        <v>138.12304131312445</v>
      </c>
      <c r="I2055" s="77">
        <v>138.12304131312445</v>
      </c>
    </row>
    <row r="2056" spans="2:9">
      <c r="B2056" s="76">
        <v>2024.2485810269704</v>
      </c>
      <c r="C2056">
        <v>998.83114522921949</v>
      </c>
      <c r="D2056" s="77">
        <v>166.47185753820324</v>
      </c>
      <c r="E2056" s="77">
        <v>166.47185753820324</v>
      </c>
      <c r="F2056" s="77">
        <v>166.47185753820324</v>
      </c>
      <c r="G2056" s="77">
        <v>166.47185753820324</v>
      </c>
      <c r="H2056" s="77">
        <v>166.47185753820324</v>
      </c>
      <c r="I2056" s="77">
        <v>166.47185753820324</v>
      </c>
    </row>
    <row r="2057" spans="2:9">
      <c r="B2057" s="76">
        <v>2025.580596494028</v>
      </c>
      <c r="C2057">
        <v>1132.445211247174</v>
      </c>
      <c r="D2057" s="77">
        <v>188.74086854119568</v>
      </c>
      <c r="E2057" s="77">
        <v>188.74086854119568</v>
      </c>
      <c r="F2057" s="77">
        <v>188.74086854119568</v>
      </c>
      <c r="G2057" s="77">
        <v>188.74086854119568</v>
      </c>
      <c r="H2057" s="77">
        <v>188.74086854119568</v>
      </c>
      <c r="I2057" s="77">
        <v>188.74086854119568</v>
      </c>
    </row>
    <row r="2058" spans="2:9">
      <c r="B2058" s="76">
        <v>2022.9981958022245</v>
      </c>
      <c r="C2058">
        <v>911.52931970225654</v>
      </c>
      <c r="D2058" s="77">
        <v>151.92155328370941</v>
      </c>
      <c r="E2058" s="77">
        <v>151.92155328370941</v>
      </c>
      <c r="F2058" s="77">
        <v>151.92155328370941</v>
      </c>
      <c r="G2058" s="77">
        <v>151.92155328370941</v>
      </c>
      <c r="H2058" s="77">
        <v>151.92155328370941</v>
      </c>
      <c r="I2058" s="77">
        <v>151.92155328370941</v>
      </c>
    </row>
    <row r="2059" spans="2:9">
      <c r="B2059" s="76">
        <v>2024.4747619993227</v>
      </c>
      <c r="C2059">
        <v>1119.9666286949614</v>
      </c>
      <c r="D2059" s="77">
        <v>186.66110478249357</v>
      </c>
      <c r="E2059" s="77">
        <v>186.66110478249357</v>
      </c>
      <c r="F2059" s="77">
        <v>186.66110478249357</v>
      </c>
      <c r="G2059" s="77">
        <v>186.66110478249357</v>
      </c>
      <c r="H2059" s="77">
        <v>186.66110478249357</v>
      </c>
      <c r="I2059" s="77">
        <v>186.66110478249357</v>
      </c>
    </row>
    <row r="2060" spans="2:9">
      <c r="B2060" s="76">
        <v>2023.4982709219335</v>
      </c>
      <c r="C2060">
        <v>943.24150605695286</v>
      </c>
      <c r="D2060" s="77">
        <v>157.20691767615881</v>
      </c>
      <c r="E2060" s="77">
        <v>157.20691767615881</v>
      </c>
      <c r="F2060" s="77">
        <v>157.20691767615881</v>
      </c>
      <c r="G2060" s="77">
        <v>157.20691767615881</v>
      </c>
      <c r="H2060" s="77">
        <v>157.20691767615881</v>
      </c>
      <c r="I2060" s="77">
        <v>157.20691767615881</v>
      </c>
    </row>
    <row r="2061" spans="2:9">
      <c r="B2061" s="76">
        <v>2023.5335499474616</v>
      </c>
      <c r="C2061">
        <v>1011.5676178778054</v>
      </c>
      <c r="D2061" s="77">
        <v>168.59460297963423</v>
      </c>
      <c r="E2061" s="77">
        <v>168.59460297963423</v>
      </c>
      <c r="F2061" s="77">
        <v>168.59460297963423</v>
      </c>
      <c r="G2061" s="77">
        <v>168.59460297963423</v>
      </c>
      <c r="H2061" s="77">
        <v>168.59460297963423</v>
      </c>
      <c r="I2061" s="77">
        <v>168.59460297963423</v>
      </c>
    </row>
    <row r="2062" spans="2:9">
      <c r="B2062" s="76">
        <v>2023.2412543451869</v>
      </c>
      <c r="C2062">
        <v>977.90959507177672</v>
      </c>
      <c r="D2062" s="77">
        <v>162.9849325119628</v>
      </c>
      <c r="E2062" s="77">
        <v>162.9849325119628</v>
      </c>
      <c r="F2062" s="77">
        <v>162.9849325119628</v>
      </c>
      <c r="G2062" s="77">
        <v>162.9849325119628</v>
      </c>
      <c r="H2062" s="77">
        <v>162.9849325119628</v>
      </c>
      <c r="I2062" s="77">
        <v>162.9849325119628</v>
      </c>
    </row>
    <row r="2063" spans="2:9">
      <c r="B2063" s="76">
        <v>2023.2652618360958</v>
      </c>
      <c r="C2063">
        <v>962.56224722289016</v>
      </c>
      <c r="D2063" s="77">
        <v>160.42704120381504</v>
      </c>
      <c r="E2063" s="77">
        <v>160.42704120381504</v>
      </c>
      <c r="F2063" s="77">
        <v>160.42704120381504</v>
      </c>
      <c r="G2063" s="77">
        <v>160.42704120381504</v>
      </c>
      <c r="H2063" s="77">
        <v>160.42704120381504</v>
      </c>
      <c r="I2063" s="77">
        <v>160.42704120381504</v>
      </c>
    </row>
    <row r="2064" spans="2:9">
      <c r="B2064" s="76">
        <v>2023.2178367786578</v>
      </c>
      <c r="C2064">
        <v>984.99361844594137</v>
      </c>
      <c r="D2064" s="77">
        <v>164.16560307432357</v>
      </c>
      <c r="E2064" s="77">
        <v>164.16560307432357</v>
      </c>
      <c r="F2064" s="77">
        <v>164.16560307432357</v>
      </c>
      <c r="G2064" s="77">
        <v>164.16560307432357</v>
      </c>
      <c r="H2064" s="77">
        <v>164.16560307432357</v>
      </c>
      <c r="I2064" s="77">
        <v>164.16560307432357</v>
      </c>
    </row>
    <row r="2065" spans="2:9">
      <c r="B2065" s="76">
        <v>2024.5331334703947</v>
      </c>
      <c r="C2065">
        <v>1009.8596509088198</v>
      </c>
      <c r="D2065" s="77">
        <v>168.30994181813665</v>
      </c>
      <c r="E2065" s="77">
        <v>168.30994181813665</v>
      </c>
      <c r="F2065" s="77">
        <v>168.30994181813665</v>
      </c>
      <c r="G2065" s="77">
        <v>168.30994181813665</v>
      </c>
      <c r="H2065" s="77">
        <v>168.30994181813665</v>
      </c>
      <c r="I2065" s="77">
        <v>168.30994181813665</v>
      </c>
    </row>
    <row r="2066" spans="2:9">
      <c r="B2066" s="76">
        <v>2022.618255740872</v>
      </c>
      <c r="C2066">
        <v>867.13932844173394</v>
      </c>
      <c r="D2066" s="77">
        <v>144.52322140695566</v>
      </c>
      <c r="E2066" s="77">
        <v>144.52322140695566</v>
      </c>
      <c r="F2066" s="77">
        <v>144.52322140695566</v>
      </c>
      <c r="G2066" s="77">
        <v>144.52322140695566</v>
      </c>
      <c r="H2066" s="77">
        <v>144.52322140695566</v>
      </c>
      <c r="I2066" s="77">
        <v>144.52322140695566</v>
      </c>
    </row>
    <row r="2067" spans="2:9">
      <c r="B2067" s="76">
        <v>2024.3856994039304</v>
      </c>
      <c r="C2067">
        <v>990.67439574235232</v>
      </c>
      <c r="D2067" s="77">
        <v>165.11239929039206</v>
      </c>
      <c r="E2067" s="77">
        <v>165.11239929039206</v>
      </c>
      <c r="F2067" s="77">
        <v>165.11239929039206</v>
      </c>
      <c r="G2067" s="77">
        <v>165.11239929039206</v>
      </c>
      <c r="H2067" s="77">
        <v>165.11239929039206</v>
      </c>
      <c r="I2067" s="77">
        <v>165.11239929039206</v>
      </c>
    </row>
    <row r="2068" spans="2:9">
      <c r="B2068" s="76">
        <v>2023.4316868444694</v>
      </c>
      <c r="C2068">
        <v>928.23377679664054</v>
      </c>
      <c r="D2068" s="77">
        <v>154.70562946610676</v>
      </c>
      <c r="E2068" s="77">
        <v>154.70562946610676</v>
      </c>
      <c r="F2068" s="77">
        <v>154.70562946610676</v>
      </c>
      <c r="G2068" s="77">
        <v>154.70562946610676</v>
      </c>
      <c r="H2068" s="77">
        <v>154.70562946610676</v>
      </c>
      <c r="I2068" s="77">
        <v>154.70562946610676</v>
      </c>
    </row>
    <row r="2069" spans="2:9">
      <c r="B2069" s="76">
        <v>2025.6434342850919</v>
      </c>
      <c r="C2069">
        <v>1266.3339200106161</v>
      </c>
      <c r="D2069" s="77">
        <v>211.05565333510268</v>
      </c>
      <c r="E2069" s="77">
        <v>211.05565333510268</v>
      </c>
      <c r="F2069" s="77">
        <v>211.05565333510268</v>
      </c>
      <c r="G2069" s="77">
        <v>211.05565333510268</v>
      </c>
      <c r="H2069" s="77">
        <v>211.05565333510268</v>
      </c>
      <c r="I2069" s="77">
        <v>211.05565333510268</v>
      </c>
    </row>
    <row r="2070" spans="2:9">
      <c r="B2070" s="76">
        <v>2023.536606832143</v>
      </c>
      <c r="C2070">
        <v>934.70631418784114</v>
      </c>
      <c r="D2070" s="77">
        <v>155.78438569797353</v>
      </c>
      <c r="E2070" s="77">
        <v>155.78438569797353</v>
      </c>
      <c r="F2070" s="77">
        <v>155.78438569797353</v>
      </c>
      <c r="G2070" s="77">
        <v>155.78438569797353</v>
      </c>
      <c r="H2070" s="77">
        <v>155.78438569797353</v>
      </c>
      <c r="I2070" s="77">
        <v>155.78438569797353</v>
      </c>
    </row>
    <row r="2071" spans="2:9">
      <c r="B2071" s="76">
        <v>2023.1601711279275</v>
      </c>
      <c r="C2071">
        <v>904.01918228938018</v>
      </c>
      <c r="D2071" s="77">
        <v>150.66986371489671</v>
      </c>
      <c r="E2071" s="77">
        <v>150.66986371489671</v>
      </c>
      <c r="F2071" s="77">
        <v>150.66986371489671</v>
      </c>
      <c r="G2071" s="77">
        <v>150.66986371489671</v>
      </c>
      <c r="H2071" s="77">
        <v>150.66986371489671</v>
      </c>
      <c r="I2071" s="77">
        <v>150.66986371489671</v>
      </c>
    </row>
    <row r="2072" spans="2:9">
      <c r="B2072" s="76">
        <v>2023.3398436840303</v>
      </c>
      <c r="C2072">
        <v>913.8103029152245</v>
      </c>
      <c r="D2072" s="77">
        <v>152.30171715253741</v>
      </c>
      <c r="E2072" s="77">
        <v>152.30171715253741</v>
      </c>
      <c r="F2072" s="77">
        <v>152.30171715253741</v>
      </c>
      <c r="G2072" s="77">
        <v>152.30171715253741</v>
      </c>
      <c r="H2072" s="77">
        <v>152.30171715253741</v>
      </c>
      <c r="I2072" s="77">
        <v>152.30171715253741</v>
      </c>
    </row>
    <row r="2073" spans="2:9">
      <c r="B2073" s="76">
        <v>2023.279430496983</v>
      </c>
      <c r="C2073">
        <v>967.71072442749858</v>
      </c>
      <c r="D2073" s="77">
        <v>161.28512073791643</v>
      </c>
      <c r="E2073" s="77">
        <v>161.28512073791643</v>
      </c>
      <c r="F2073" s="77">
        <v>161.28512073791643</v>
      </c>
      <c r="G2073" s="77">
        <v>161.28512073791643</v>
      </c>
      <c r="H2073" s="77">
        <v>161.28512073791643</v>
      </c>
      <c r="I2073" s="77">
        <v>161.28512073791643</v>
      </c>
    </row>
    <row r="2074" spans="2:9">
      <c r="B2074" s="76">
        <v>2023.3684444066214</v>
      </c>
      <c r="C2074">
        <v>902.74070121538853</v>
      </c>
      <c r="D2074" s="77">
        <v>150.4567835358981</v>
      </c>
      <c r="E2074" s="77">
        <v>150.4567835358981</v>
      </c>
      <c r="F2074" s="77">
        <v>150.4567835358981</v>
      </c>
      <c r="G2074" s="77">
        <v>150.4567835358981</v>
      </c>
      <c r="H2074" s="77">
        <v>150.4567835358981</v>
      </c>
      <c r="I2074" s="77">
        <v>150.4567835358981</v>
      </c>
    </row>
    <row r="2075" spans="2:9">
      <c r="B2075" s="76">
        <v>2024.9511629909673</v>
      </c>
      <c r="C2075">
        <v>1126.8099202752642</v>
      </c>
      <c r="D2075" s="77">
        <v>187.80165337921071</v>
      </c>
      <c r="E2075" s="77">
        <v>187.80165337921071</v>
      </c>
      <c r="F2075" s="77">
        <v>187.80165337921071</v>
      </c>
      <c r="G2075" s="77">
        <v>187.80165337921071</v>
      </c>
      <c r="H2075" s="77">
        <v>187.80165337921071</v>
      </c>
      <c r="I2075" s="77">
        <v>187.80165337921071</v>
      </c>
    </row>
    <row r="2076" spans="2:9">
      <c r="B2076" s="76">
        <v>2023.7980877737753</v>
      </c>
      <c r="C2076">
        <v>943.04498549781852</v>
      </c>
      <c r="D2076" s="77">
        <v>157.17416424963642</v>
      </c>
      <c r="E2076" s="77">
        <v>157.17416424963642</v>
      </c>
      <c r="F2076" s="77">
        <v>157.17416424963642</v>
      </c>
      <c r="G2076" s="77">
        <v>157.17416424963642</v>
      </c>
      <c r="H2076" s="77">
        <v>157.17416424963642</v>
      </c>
      <c r="I2076" s="77">
        <v>157.17416424963642</v>
      </c>
    </row>
    <row r="2077" spans="2:9">
      <c r="B2077" s="76">
        <v>2023.2540494638915</v>
      </c>
      <c r="C2077">
        <v>904.52721888600354</v>
      </c>
      <c r="D2077" s="77">
        <v>150.7545364810006</v>
      </c>
      <c r="E2077" s="77">
        <v>150.7545364810006</v>
      </c>
      <c r="F2077" s="77">
        <v>150.7545364810006</v>
      </c>
      <c r="G2077" s="77">
        <v>150.7545364810006</v>
      </c>
      <c r="H2077" s="77">
        <v>150.7545364810006</v>
      </c>
      <c r="I2077" s="77">
        <v>150.7545364810006</v>
      </c>
    </row>
    <row r="2078" spans="2:9">
      <c r="B2078" s="76">
        <v>2023.4976790084124</v>
      </c>
      <c r="C2078">
        <v>888.48693834348865</v>
      </c>
      <c r="D2078" s="77">
        <v>148.08115639058144</v>
      </c>
      <c r="E2078" s="77">
        <v>148.08115639058144</v>
      </c>
      <c r="F2078" s="77">
        <v>148.08115639058144</v>
      </c>
      <c r="G2078" s="77">
        <v>148.08115639058144</v>
      </c>
      <c r="H2078" s="77">
        <v>148.08115639058144</v>
      </c>
      <c r="I2078" s="77">
        <v>148.08115639058144</v>
      </c>
    </row>
    <row r="2079" spans="2:9">
      <c r="B2079" s="76">
        <v>2022.9740474517328</v>
      </c>
      <c r="C2079">
        <v>919.57486903804181</v>
      </c>
      <c r="D2079" s="77">
        <v>153.26247817300697</v>
      </c>
      <c r="E2079" s="77">
        <v>153.26247817300697</v>
      </c>
      <c r="F2079" s="77">
        <v>153.26247817300697</v>
      </c>
      <c r="G2079" s="77">
        <v>153.26247817300697</v>
      </c>
      <c r="H2079" s="77">
        <v>153.26247817300697</v>
      </c>
      <c r="I2079" s="77">
        <v>153.26247817300697</v>
      </c>
    </row>
    <row r="2080" spans="2:9">
      <c r="B2080" s="76">
        <v>2022.7930022534863</v>
      </c>
      <c r="C2080">
        <v>864.27973482173275</v>
      </c>
      <c r="D2080" s="77">
        <v>144.04662247028878</v>
      </c>
      <c r="E2080" s="77">
        <v>144.04662247028878</v>
      </c>
      <c r="F2080" s="77">
        <v>144.04662247028878</v>
      </c>
      <c r="G2080" s="77">
        <v>144.04662247028878</v>
      </c>
      <c r="H2080" s="77">
        <v>144.04662247028878</v>
      </c>
      <c r="I2080" s="77">
        <v>144.04662247028878</v>
      </c>
    </row>
    <row r="2081" spans="2:9">
      <c r="B2081" s="76">
        <v>2023.1589866872803</v>
      </c>
      <c r="C2081">
        <v>992.44914788955646</v>
      </c>
      <c r="D2081" s="77">
        <v>165.40819131492609</v>
      </c>
      <c r="E2081" s="77">
        <v>165.40819131492609</v>
      </c>
      <c r="F2081" s="77">
        <v>165.40819131492609</v>
      </c>
      <c r="G2081" s="77">
        <v>165.40819131492609</v>
      </c>
      <c r="H2081" s="77">
        <v>165.40819131492609</v>
      </c>
      <c r="I2081" s="77">
        <v>165.40819131492609</v>
      </c>
    </row>
    <row r="2082" spans="2:9">
      <c r="B2082" s="76">
        <v>2023.5542914883822</v>
      </c>
      <c r="C2082">
        <v>996.336860617865</v>
      </c>
      <c r="D2082" s="77">
        <v>166.05614343631083</v>
      </c>
      <c r="E2082" s="77">
        <v>166.05614343631083</v>
      </c>
      <c r="F2082" s="77">
        <v>166.05614343631083</v>
      </c>
      <c r="G2082" s="77">
        <v>166.05614343631083</v>
      </c>
      <c r="H2082" s="77">
        <v>166.05614343631083</v>
      </c>
      <c r="I2082" s="77">
        <v>166.05614343631083</v>
      </c>
    </row>
    <row r="2083" spans="2:9">
      <c r="B2083" s="76">
        <v>2023.7876196463412</v>
      </c>
      <c r="C2083">
        <v>947.91156927902205</v>
      </c>
      <c r="D2083" s="77">
        <v>157.98526154650366</v>
      </c>
      <c r="E2083" s="77">
        <v>157.98526154650366</v>
      </c>
      <c r="F2083" s="77">
        <v>157.98526154650366</v>
      </c>
      <c r="G2083" s="77">
        <v>157.98526154650366</v>
      </c>
      <c r="H2083" s="77">
        <v>157.98526154650366</v>
      </c>
      <c r="I2083" s="77">
        <v>157.98526154650366</v>
      </c>
    </row>
    <row r="2084" spans="2:9">
      <c r="B2084" s="76">
        <v>2023.5541612120271</v>
      </c>
      <c r="C2084">
        <v>961.07626142872573</v>
      </c>
      <c r="D2084" s="77">
        <v>160.17937690478763</v>
      </c>
      <c r="E2084" s="77">
        <v>160.17937690478763</v>
      </c>
      <c r="F2084" s="77">
        <v>160.17937690478763</v>
      </c>
      <c r="G2084" s="77">
        <v>160.17937690478763</v>
      </c>
      <c r="H2084" s="77">
        <v>160.17937690478763</v>
      </c>
      <c r="I2084" s="77">
        <v>160.17937690478763</v>
      </c>
    </row>
    <row r="2085" spans="2:9">
      <c r="B2085" s="76">
        <v>2024.2387083517026</v>
      </c>
      <c r="C2085">
        <v>1077.5215785975636</v>
      </c>
      <c r="D2085" s="77">
        <v>179.5869297662606</v>
      </c>
      <c r="E2085" s="77">
        <v>179.5869297662606</v>
      </c>
      <c r="F2085" s="77">
        <v>179.5869297662606</v>
      </c>
      <c r="G2085" s="77">
        <v>179.5869297662606</v>
      </c>
      <c r="H2085" s="77">
        <v>179.5869297662606</v>
      </c>
      <c r="I2085" s="77">
        <v>179.5869297662606</v>
      </c>
    </row>
    <row r="2086" spans="2:9">
      <c r="B2086" s="76">
        <v>2022.6094576206242</v>
      </c>
      <c r="C2086">
        <v>944.45456028604474</v>
      </c>
      <c r="D2086" s="77">
        <v>157.40909338100747</v>
      </c>
      <c r="E2086" s="77">
        <v>157.40909338100747</v>
      </c>
      <c r="F2086" s="77">
        <v>157.40909338100747</v>
      </c>
      <c r="G2086" s="77">
        <v>157.40909338100747</v>
      </c>
      <c r="H2086" s="77">
        <v>157.40909338100747</v>
      </c>
      <c r="I2086" s="77">
        <v>157.40909338100747</v>
      </c>
    </row>
    <row r="2087" spans="2:9">
      <c r="B2087" s="76">
        <v>2023.5361327061805</v>
      </c>
      <c r="C2087">
        <v>1017.1678701037526</v>
      </c>
      <c r="D2087" s="77">
        <v>169.52797835062543</v>
      </c>
      <c r="E2087" s="77">
        <v>169.52797835062543</v>
      </c>
      <c r="F2087" s="77">
        <v>169.52797835062543</v>
      </c>
      <c r="G2087" s="77">
        <v>169.52797835062543</v>
      </c>
      <c r="H2087" s="77">
        <v>169.52797835062543</v>
      </c>
      <c r="I2087" s="77">
        <v>169.52797835062543</v>
      </c>
    </row>
    <row r="2088" spans="2:9">
      <c r="B2088" s="76">
        <v>2022.9070800352522</v>
      </c>
      <c r="C2088">
        <v>848.4049398830166</v>
      </c>
      <c r="D2088" s="77">
        <v>141.4008233138361</v>
      </c>
      <c r="E2088" s="77">
        <v>141.4008233138361</v>
      </c>
      <c r="F2088" s="77">
        <v>141.4008233138361</v>
      </c>
      <c r="G2088" s="77">
        <v>141.4008233138361</v>
      </c>
      <c r="H2088" s="77">
        <v>141.4008233138361</v>
      </c>
      <c r="I2088" s="77">
        <v>141.4008233138361</v>
      </c>
    </row>
    <row r="2089" spans="2:9">
      <c r="B2089" s="76">
        <v>2022.92566222614</v>
      </c>
      <c r="C2089">
        <v>844.70673533457364</v>
      </c>
      <c r="D2089" s="77">
        <v>140.7844558890956</v>
      </c>
      <c r="E2089" s="77">
        <v>140.7844558890956</v>
      </c>
      <c r="F2089" s="77">
        <v>140.7844558890956</v>
      </c>
      <c r="G2089" s="77">
        <v>140.7844558890956</v>
      </c>
      <c r="H2089" s="77">
        <v>140.7844558890956</v>
      </c>
      <c r="I2089" s="77">
        <v>140.7844558890956</v>
      </c>
    </row>
    <row r="2090" spans="2:9">
      <c r="B2090" s="76">
        <v>2022.8579652817264</v>
      </c>
      <c r="C2090">
        <v>859.30482541840104</v>
      </c>
      <c r="D2090" s="77">
        <v>143.21747090306684</v>
      </c>
      <c r="E2090" s="77">
        <v>143.21747090306684</v>
      </c>
      <c r="F2090" s="77">
        <v>143.21747090306684</v>
      </c>
      <c r="G2090" s="77">
        <v>143.21747090306684</v>
      </c>
      <c r="H2090" s="77">
        <v>143.21747090306684</v>
      </c>
      <c r="I2090" s="77">
        <v>143.21747090306684</v>
      </c>
    </row>
    <row r="2091" spans="2:9">
      <c r="B2091" s="76">
        <v>2024.9401679020839</v>
      </c>
      <c r="C2091">
        <v>1114.7532991947267</v>
      </c>
      <c r="D2091" s="77">
        <v>185.79221653245443</v>
      </c>
      <c r="E2091" s="77">
        <v>185.79221653245443</v>
      </c>
      <c r="F2091" s="77">
        <v>185.79221653245443</v>
      </c>
      <c r="G2091" s="77">
        <v>185.79221653245443</v>
      </c>
      <c r="H2091" s="77">
        <v>185.79221653245443</v>
      </c>
      <c r="I2091" s="77">
        <v>185.79221653245443</v>
      </c>
    </row>
    <row r="2092" spans="2:9">
      <c r="B2092" s="76">
        <v>2023.5540813544028</v>
      </c>
      <c r="C2092">
        <v>932.0194323381138</v>
      </c>
      <c r="D2092" s="77">
        <v>155.33657205635231</v>
      </c>
      <c r="E2092" s="77">
        <v>155.33657205635231</v>
      </c>
      <c r="F2092" s="77">
        <v>155.33657205635231</v>
      </c>
      <c r="G2092" s="77">
        <v>155.33657205635231</v>
      </c>
      <c r="H2092" s="77">
        <v>155.33657205635231</v>
      </c>
      <c r="I2092" s="77">
        <v>155.33657205635231</v>
      </c>
    </row>
    <row r="2093" spans="2:9">
      <c r="B2093" s="76">
        <v>2023.3462820029529</v>
      </c>
      <c r="C2093">
        <v>919.16308216137531</v>
      </c>
      <c r="D2093" s="77">
        <v>153.1938470268959</v>
      </c>
      <c r="E2093" s="77">
        <v>153.1938470268959</v>
      </c>
      <c r="F2093" s="77">
        <v>153.1938470268959</v>
      </c>
      <c r="G2093" s="77">
        <v>153.1938470268959</v>
      </c>
      <c r="H2093" s="77">
        <v>153.1938470268959</v>
      </c>
      <c r="I2093" s="77">
        <v>153.1938470268959</v>
      </c>
    </row>
    <row r="2094" spans="2:9">
      <c r="B2094" s="76">
        <v>2023.4874503544288</v>
      </c>
      <c r="C2094">
        <v>994.21966003029695</v>
      </c>
      <c r="D2094" s="77">
        <v>165.70327667171617</v>
      </c>
      <c r="E2094" s="77">
        <v>165.70327667171617</v>
      </c>
      <c r="F2094" s="77">
        <v>165.70327667171617</v>
      </c>
      <c r="G2094" s="77">
        <v>165.70327667171617</v>
      </c>
      <c r="H2094" s="77">
        <v>165.70327667171617</v>
      </c>
      <c r="I2094" s="77">
        <v>165.70327667171617</v>
      </c>
    </row>
    <row r="2095" spans="2:9">
      <c r="B2095" s="76">
        <v>2023.7192676641873</v>
      </c>
      <c r="C2095">
        <v>987.88531688998</v>
      </c>
      <c r="D2095" s="77">
        <v>164.64755281499666</v>
      </c>
      <c r="E2095" s="77">
        <v>164.64755281499666</v>
      </c>
      <c r="F2095" s="77">
        <v>164.64755281499666</v>
      </c>
      <c r="G2095" s="77">
        <v>164.64755281499666</v>
      </c>
      <c r="H2095" s="77">
        <v>164.64755281499666</v>
      </c>
      <c r="I2095" s="77">
        <v>164.64755281499666</v>
      </c>
    </row>
    <row r="2096" spans="2:9">
      <c r="B2096" s="76">
        <v>2022.8985611687108</v>
      </c>
      <c r="C2096">
        <v>871.97255781796287</v>
      </c>
      <c r="D2096" s="77">
        <v>145.32875963632713</v>
      </c>
      <c r="E2096" s="77">
        <v>145.32875963632713</v>
      </c>
      <c r="F2096" s="77">
        <v>145.32875963632713</v>
      </c>
      <c r="G2096" s="77">
        <v>145.32875963632713</v>
      </c>
      <c r="H2096" s="77">
        <v>145.32875963632713</v>
      </c>
      <c r="I2096" s="77">
        <v>145.32875963632713</v>
      </c>
    </row>
    <row r="2097" spans="2:9">
      <c r="B2097" s="76">
        <v>2022.8935106783522</v>
      </c>
      <c r="C2097">
        <v>875.45727477942762</v>
      </c>
      <c r="D2097" s="77">
        <v>145.90954579657128</v>
      </c>
      <c r="E2097" s="77">
        <v>145.90954579657128</v>
      </c>
      <c r="F2097" s="77">
        <v>145.90954579657128</v>
      </c>
      <c r="G2097" s="77">
        <v>145.90954579657128</v>
      </c>
      <c r="H2097" s="77">
        <v>145.90954579657128</v>
      </c>
      <c r="I2097" s="77">
        <v>145.90954579657128</v>
      </c>
    </row>
    <row r="2098" spans="2:9">
      <c r="B2098" s="76">
        <v>2024.2566156126518</v>
      </c>
      <c r="C2098">
        <v>1026.2740805789026</v>
      </c>
      <c r="D2098" s="77">
        <v>171.04568009648378</v>
      </c>
      <c r="E2098" s="77">
        <v>171.04568009648378</v>
      </c>
      <c r="F2098" s="77">
        <v>171.04568009648378</v>
      </c>
      <c r="G2098" s="77">
        <v>171.04568009648378</v>
      </c>
      <c r="H2098" s="77">
        <v>171.04568009648378</v>
      </c>
      <c r="I2098" s="77">
        <v>171.04568009648378</v>
      </c>
    </row>
    <row r="2099" spans="2:9">
      <c r="B2099" s="76">
        <v>2025.0263811483528</v>
      </c>
      <c r="C2099">
        <v>1124.3166940942826</v>
      </c>
      <c r="D2099" s="77">
        <v>187.38611568238045</v>
      </c>
      <c r="E2099" s="77">
        <v>187.38611568238045</v>
      </c>
      <c r="F2099" s="77">
        <v>187.38611568238045</v>
      </c>
      <c r="G2099" s="77">
        <v>187.38611568238045</v>
      </c>
      <c r="H2099" s="77">
        <v>187.38611568238045</v>
      </c>
      <c r="I2099" s="77">
        <v>187.38611568238045</v>
      </c>
    </row>
    <row r="2100" spans="2:9">
      <c r="B2100" s="76">
        <v>2022.7911027780194</v>
      </c>
      <c r="C2100">
        <v>872.37906221275409</v>
      </c>
      <c r="D2100" s="77">
        <v>145.39651036879235</v>
      </c>
      <c r="E2100" s="77">
        <v>145.39651036879235</v>
      </c>
      <c r="F2100" s="77">
        <v>145.39651036879235</v>
      </c>
      <c r="G2100" s="77">
        <v>145.39651036879235</v>
      </c>
      <c r="H2100" s="77">
        <v>145.39651036879235</v>
      </c>
      <c r="I2100" s="77">
        <v>145.39651036879235</v>
      </c>
    </row>
    <row r="2101" spans="2:9">
      <c r="B2101" s="76">
        <v>2023.1728487797488</v>
      </c>
      <c r="C2101">
        <v>946.27476050912128</v>
      </c>
      <c r="D2101" s="77">
        <v>157.71246008485355</v>
      </c>
      <c r="E2101" s="77">
        <v>157.71246008485355</v>
      </c>
      <c r="F2101" s="77">
        <v>157.71246008485355</v>
      </c>
      <c r="G2101" s="77">
        <v>157.71246008485355</v>
      </c>
      <c r="H2101" s="77">
        <v>157.71246008485355</v>
      </c>
      <c r="I2101" s="77">
        <v>157.71246008485355</v>
      </c>
    </row>
    <row r="2102" spans="2:9">
      <c r="B2102" s="76">
        <v>2024.6358606003096</v>
      </c>
      <c r="C2102">
        <v>1023.5343232608956</v>
      </c>
      <c r="D2102" s="77">
        <v>170.58905387681594</v>
      </c>
      <c r="E2102" s="77">
        <v>170.58905387681594</v>
      </c>
      <c r="F2102" s="77">
        <v>170.58905387681594</v>
      </c>
      <c r="G2102" s="77">
        <v>170.58905387681594</v>
      </c>
      <c r="H2102" s="77">
        <v>170.58905387681594</v>
      </c>
      <c r="I2102" s="77">
        <v>170.58905387681594</v>
      </c>
    </row>
    <row r="2103" spans="2:9">
      <c r="B2103" s="76">
        <v>2022.9540359614621</v>
      </c>
      <c r="C2103">
        <v>878.00130861805997</v>
      </c>
      <c r="D2103" s="77">
        <v>146.33355143634333</v>
      </c>
      <c r="E2103" s="77">
        <v>146.33355143634333</v>
      </c>
      <c r="F2103" s="77">
        <v>146.33355143634333</v>
      </c>
      <c r="G2103" s="77">
        <v>146.33355143634333</v>
      </c>
      <c r="H2103" s="77">
        <v>146.33355143634333</v>
      </c>
      <c r="I2103" s="77">
        <v>146.33355143634333</v>
      </c>
    </row>
    <row r="2104" spans="2:9">
      <c r="B2104" s="76">
        <v>2022.9793901320177</v>
      </c>
      <c r="C2104">
        <v>891.6883715900575</v>
      </c>
      <c r="D2104" s="77">
        <v>148.61472859834291</v>
      </c>
      <c r="E2104" s="77">
        <v>148.61472859834291</v>
      </c>
      <c r="F2104" s="77">
        <v>148.61472859834291</v>
      </c>
      <c r="G2104" s="77">
        <v>148.61472859834291</v>
      </c>
      <c r="H2104" s="77">
        <v>148.61472859834291</v>
      </c>
      <c r="I2104" s="77">
        <v>148.61472859834291</v>
      </c>
    </row>
    <row r="2105" spans="2:9">
      <c r="B2105" s="76">
        <v>2023.2763035992293</v>
      </c>
      <c r="C2105">
        <v>990.4423481590062</v>
      </c>
      <c r="D2105" s="77">
        <v>165.07372469316769</v>
      </c>
      <c r="E2105" s="77">
        <v>165.07372469316769</v>
      </c>
      <c r="F2105" s="77">
        <v>165.07372469316769</v>
      </c>
      <c r="G2105" s="77">
        <v>165.07372469316769</v>
      </c>
      <c r="H2105" s="77">
        <v>165.07372469316769</v>
      </c>
      <c r="I2105" s="77">
        <v>165.07372469316769</v>
      </c>
    </row>
    <row r="2106" spans="2:9">
      <c r="B2106" s="76">
        <v>2023.2792865103979</v>
      </c>
      <c r="C2106">
        <v>947.87604855204745</v>
      </c>
      <c r="D2106" s="77">
        <v>157.97934142534123</v>
      </c>
      <c r="E2106" s="77">
        <v>157.97934142534123</v>
      </c>
      <c r="F2106" s="77">
        <v>157.97934142534123</v>
      </c>
      <c r="G2106" s="77">
        <v>157.97934142534123</v>
      </c>
      <c r="H2106" s="77">
        <v>157.97934142534123</v>
      </c>
      <c r="I2106" s="77">
        <v>157.97934142534123</v>
      </c>
    </row>
    <row r="2107" spans="2:9">
      <c r="B2107" s="76">
        <v>2023.5236895299672</v>
      </c>
      <c r="C2107">
        <v>943.25164600350433</v>
      </c>
      <c r="D2107" s="77">
        <v>157.20860766725073</v>
      </c>
      <c r="E2107" s="77">
        <v>157.20860766725073</v>
      </c>
      <c r="F2107" s="77">
        <v>157.20860766725073</v>
      </c>
      <c r="G2107" s="77">
        <v>157.20860766725073</v>
      </c>
      <c r="H2107" s="77">
        <v>157.20860766725073</v>
      </c>
      <c r="I2107" s="77">
        <v>157.20860766725073</v>
      </c>
    </row>
    <row r="2108" spans="2:9">
      <c r="B2108" s="76">
        <v>2023.2303766838713</v>
      </c>
      <c r="C2108">
        <v>1028.4883175617642</v>
      </c>
      <c r="D2108" s="77">
        <v>171.41471959362738</v>
      </c>
      <c r="E2108" s="77">
        <v>171.41471959362738</v>
      </c>
      <c r="F2108" s="77">
        <v>171.41471959362738</v>
      </c>
      <c r="G2108" s="77">
        <v>171.41471959362738</v>
      </c>
      <c r="H2108" s="77">
        <v>171.41471959362738</v>
      </c>
      <c r="I2108" s="77">
        <v>171.41471959362738</v>
      </c>
    </row>
    <row r="2109" spans="2:9">
      <c r="B2109" s="76">
        <v>2023.0217222864519</v>
      </c>
      <c r="C2109">
        <v>855.02628495747024</v>
      </c>
      <c r="D2109" s="77">
        <v>142.50438082624504</v>
      </c>
      <c r="E2109" s="77">
        <v>142.50438082624504</v>
      </c>
      <c r="F2109" s="77">
        <v>142.50438082624504</v>
      </c>
      <c r="G2109" s="77">
        <v>142.50438082624504</v>
      </c>
      <c r="H2109" s="77">
        <v>142.50438082624504</v>
      </c>
      <c r="I2109" s="77">
        <v>142.50438082624504</v>
      </c>
    </row>
    <row r="2110" spans="2:9">
      <c r="B2110" s="76">
        <v>2023.3596866088437</v>
      </c>
      <c r="C2110">
        <v>1014.5209243574873</v>
      </c>
      <c r="D2110" s="77">
        <v>169.08682072624788</v>
      </c>
      <c r="E2110" s="77">
        <v>169.08682072624788</v>
      </c>
      <c r="F2110" s="77">
        <v>169.08682072624788</v>
      </c>
      <c r="G2110" s="77">
        <v>169.08682072624788</v>
      </c>
      <c r="H2110" s="77">
        <v>169.08682072624788</v>
      </c>
      <c r="I2110" s="77">
        <v>169.08682072624788</v>
      </c>
    </row>
    <row r="2111" spans="2:9">
      <c r="B2111" s="76">
        <v>2024.7039105580859</v>
      </c>
      <c r="C2111">
        <v>1031.0968965347101</v>
      </c>
      <c r="D2111" s="77">
        <v>171.84948275578503</v>
      </c>
      <c r="E2111" s="77">
        <v>171.84948275578503</v>
      </c>
      <c r="F2111" s="77">
        <v>171.84948275578503</v>
      </c>
      <c r="G2111" s="77">
        <v>171.84948275578503</v>
      </c>
      <c r="H2111" s="77">
        <v>171.84948275578503</v>
      </c>
      <c r="I2111" s="77">
        <v>171.84948275578503</v>
      </c>
    </row>
    <row r="2112" spans="2:9">
      <c r="B2112" s="76">
        <v>2022.8689706160549</v>
      </c>
      <c r="C2112">
        <v>902.99194840993766</v>
      </c>
      <c r="D2112" s="77">
        <v>150.49865806832295</v>
      </c>
      <c r="E2112" s="77">
        <v>150.49865806832295</v>
      </c>
      <c r="F2112" s="77">
        <v>150.49865806832295</v>
      </c>
      <c r="G2112" s="77">
        <v>150.49865806832295</v>
      </c>
      <c r="H2112" s="77">
        <v>150.49865806832295</v>
      </c>
      <c r="I2112" s="77">
        <v>150.49865806832295</v>
      </c>
    </row>
    <row r="2113" spans="2:9">
      <c r="B2113" s="76">
        <v>2023.3250535596455</v>
      </c>
      <c r="C2113">
        <v>958.90568238686944</v>
      </c>
      <c r="D2113" s="77">
        <v>159.81761373114492</v>
      </c>
      <c r="E2113" s="77">
        <v>159.81761373114492</v>
      </c>
      <c r="F2113" s="77">
        <v>159.81761373114492</v>
      </c>
      <c r="G2113" s="77">
        <v>159.81761373114492</v>
      </c>
      <c r="H2113" s="77">
        <v>159.81761373114492</v>
      </c>
      <c r="I2113" s="77">
        <v>159.81761373114492</v>
      </c>
    </row>
    <row r="2114" spans="2:9">
      <c r="B2114" s="76">
        <v>2024.8795682934856</v>
      </c>
      <c r="C2114">
        <v>1143.2748719184169</v>
      </c>
      <c r="D2114" s="77">
        <v>190.54581198640281</v>
      </c>
      <c r="E2114" s="77">
        <v>190.54581198640281</v>
      </c>
      <c r="F2114" s="77">
        <v>190.54581198640281</v>
      </c>
      <c r="G2114" s="77">
        <v>190.54581198640281</v>
      </c>
      <c r="H2114" s="77">
        <v>190.54581198640281</v>
      </c>
      <c r="I2114" s="77">
        <v>190.54581198640281</v>
      </c>
    </row>
    <row r="2115" spans="2:9">
      <c r="B2115" s="76">
        <v>2023.1855614726649</v>
      </c>
      <c r="C2115">
        <v>950.04198282229129</v>
      </c>
      <c r="D2115" s="77">
        <v>158.34033047038187</v>
      </c>
      <c r="E2115" s="77">
        <v>158.34033047038187</v>
      </c>
      <c r="F2115" s="77">
        <v>158.34033047038187</v>
      </c>
      <c r="G2115" s="77">
        <v>158.34033047038187</v>
      </c>
      <c r="H2115" s="77">
        <v>158.34033047038187</v>
      </c>
      <c r="I2115" s="77">
        <v>158.34033047038187</v>
      </c>
    </row>
    <row r="2116" spans="2:9">
      <c r="B2116" s="76">
        <v>2023.2208179274651</v>
      </c>
      <c r="C2116">
        <v>909.85389116378065</v>
      </c>
      <c r="D2116" s="77">
        <v>151.64231519396344</v>
      </c>
      <c r="E2116" s="77">
        <v>151.64231519396344</v>
      </c>
      <c r="F2116" s="77">
        <v>151.64231519396344</v>
      </c>
      <c r="G2116" s="77">
        <v>151.64231519396344</v>
      </c>
      <c r="H2116" s="77">
        <v>151.64231519396344</v>
      </c>
      <c r="I2116" s="77">
        <v>151.64231519396344</v>
      </c>
    </row>
    <row r="2117" spans="2:9">
      <c r="B2117" s="76">
        <v>2023.1496531903099</v>
      </c>
      <c r="C2117">
        <v>837.21053458879874</v>
      </c>
      <c r="D2117" s="77">
        <v>139.53508909813311</v>
      </c>
      <c r="E2117" s="77">
        <v>139.53508909813311</v>
      </c>
      <c r="F2117" s="77">
        <v>139.53508909813311</v>
      </c>
      <c r="G2117" s="77">
        <v>139.53508909813311</v>
      </c>
      <c r="H2117" s="77">
        <v>139.53508909813311</v>
      </c>
      <c r="I2117" s="77">
        <v>139.53508909813311</v>
      </c>
    </row>
    <row r="2118" spans="2:9">
      <c r="B2118" s="76">
        <v>2023.0589845685222</v>
      </c>
      <c r="C2118">
        <v>881.64769416016964</v>
      </c>
      <c r="D2118" s="77">
        <v>146.94128236002828</v>
      </c>
      <c r="E2118" s="77">
        <v>146.94128236002828</v>
      </c>
      <c r="F2118" s="77">
        <v>146.94128236002828</v>
      </c>
      <c r="G2118" s="77">
        <v>146.94128236002828</v>
      </c>
      <c r="H2118" s="77">
        <v>146.94128236002828</v>
      </c>
      <c r="I2118" s="77">
        <v>146.94128236002828</v>
      </c>
    </row>
    <row r="2119" spans="2:9">
      <c r="B2119" s="76">
        <v>2025.1203011040404</v>
      </c>
      <c r="C2119">
        <v>1142.184679256887</v>
      </c>
      <c r="D2119" s="77">
        <v>190.36411320948116</v>
      </c>
      <c r="E2119" s="77">
        <v>190.36411320948116</v>
      </c>
      <c r="F2119" s="77">
        <v>190.36411320948116</v>
      </c>
      <c r="G2119" s="77">
        <v>190.36411320948116</v>
      </c>
      <c r="H2119" s="77">
        <v>190.36411320948116</v>
      </c>
      <c r="I2119" s="77">
        <v>190.36411320948116</v>
      </c>
    </row>
    <row r="2120" spans="2:9">
      <c r="B2120" s="76">
        <v>2023.3790773233732</v>
      </c>
      <c r="C2120">
        <v>995.47690881616825</v>
      </c>
      <c r="D2120" s="77">
        <v>165.91281813602805</v>
      </c>
      <c r="E2120" s="77">
        <v>165.91281813602805</v>
      </c>
      <c r="F2120" s="77">
        <v>165.91281813602805</v>
      </c>
      <c r="G2120" s="77">
        <v>165.91281813602805</v>
      </c>
      <c r="H2120" s="77">
        <v>165.91281813602805</v>
      </c>
      <c r="I2120" s="77">
        <v>165.91281813602805</v>
      </c>
    </row>
    <row r="2121" spans="2:9">
      <c r="B2121" s="76">
        <v>2023.2162096662398</v>
      </c>
      <c r="C2121">
        <v>909.33691175590081</v>
      </c>
      <c r="D2121" s="77">
        <v>151.55615195931679</v>
      </c>
      <c r="E2121" s="77">
        <v>151.55615195931679</v>
      </c>
      <c r="F2121" s="77">
        <v>151.55615195931679</v>
      </c>
      <c r="G2121" s="77">
        <v>151.55615195931679</v>
      </c>
      <c r="H2121" s="77">
        <v>151.55615195931679</v>
      </c>
      <c r="I2121" s="77">
        <v>151.55615195931679</v>
      </c>
    </row>
    <row r="2122" spans="2:9">
      <c r="B2122" s="76">
        <v>2023.9955256328701</v>
      </c>
      <c r="C2122">
        <v>1008.265272933608</v>
      </c>
      <c r="D2122" s="77">
        <v>168.04421215560134</v>
      </c>
      <c r="E2122" s="77">
        <v>168.04421215560134</v>
      </c>
      <c r="F2122" s="77">
        <v>168.04421215560134</v>
      </c>
      <c r="G2122" s="77">
        <v>168.04421215560134</v>
      </c>
      <c r="H2122" s="77">
        <v>168.04421215560134</v>
      </c>
      <c r="I2122" s="77">
        <v>168.04421215560134</v>
      </c>
    </row>
    <row r="2123" spans="2:9">
      <c r="B2123" s="76">
        <v>2022.9620994073041</v>
      </c>
      <c r="C2123">
        <v>876.42446297321669</v>
      </c>
      <c r="D2123" s="77">
        <v>146.07074382886944</v>
      </c>
      <c r="E2123" s="77">
        <v>146.07074382886944</v>
      </c>
      <c r="F2123" s="77">
        <v>146.07074382886944</v>
      </c>
      <c r="G2123" s="77">
        <v>146.07074382886944</v>
      </c>
      <c r="H2123" s="77">
        <v>146.07074382886944</v>
      </c>
      <c r="I2123" s="77">
        <v>146.07074382886944</v>
      </c>
    </row>
    <row r="2124" spans="2:9">
      <c r="B2124" s="76">
        <v>2023.1234535936073</v>
      </c>
      <c r="C2124">
        <v>855.91175274657371</v>
      </c>
      <c r="D2124" s="77">
        <v>142.65195879109561</v>
      </c>
      <c r="E2124" s="77">
        <v>142.65195879109561</v>
      </c>
      <c r="F2124" s="77">
        <v>142.65195879109561</v>
      </c>
      <c r="G2124" s="77">
        <v>142.65195879109561</v>
      </c>
      <c r="H2124" s="77">
        <v>142.65195879109561</v>
      </c>
      <c r="I2124" s="77">
        <v>142.65195879109561</v>
      </c>
    </row>
    <row r="2125" spans="2:9">
      <c r="B2125" s="76">
        <v>2022.884453917228</v>
      </c>
      <c r="C2125">
        <v>847.58266685835008</v>
      </c>
      <c r="D2125" s="77">
        <v>141.26377780972501</v>
      </c>
      <c r="E2125" s="77">
        <v>141.26377780972501</v>
      </c>
      <c r="F2125" s="77">
        <v>141.26377780972501</v>
      </c>
      <c r="G2125" s="77">
        <v>141.26377780972501</v>
      </c>
      <c r="H2125" s="77">
        <v>141.26377780972501</v>
      </c>
      <c r="I2125" s="77">
        <v>141.26377780972501</v>
      </c>
    </row>
    <row r="2126" spans="2:9">
      <c r="B2126" s="76">
        <v>2025.1082454635562</v>
      </c>
      <c r="C2126">
        <v>1123.52027928748</v>
      </c>
      <c r="D2126" s="77">
        <v>187.25337988124667</v>
      </c>
      <c r="E2126" s="77">
        <v>187.25337988124667</v>
      </c>
      <c r="F2126" s="77">
        <v>187.25337988124667</v>
      </c>
      <c r="G2126" s="77">
        <v>187.25337988124667</v>
      </c>
      <c r="H2126" s="77">
        <v>187.25337988124667</v>
      </c>
      <c r="I2126" s="77">
        <v>187.25337988124667</v>
      </c>
    </row>
    <row r="2127" spans="2:9">
      <c r="B2127" s="76">
        <v>2025.3973876371504</v>
      </c>
      <c r="C2127">
        <v>1177.1958152357429</v>
      </c>
      <c r="D2127" s="77">
        <v>196.19930253929047</v>
      </c>
      <c r="E2127" s="77">
        <v>196.19930253929047</v>
      </c>
      <c r="F2127" s="77">
        <v>196.19930253929047</v>
      </c>
      <c r="G2127" s="77">
        <v>196.19930253929047</v>
      </c>
      <c r="H2127" s="77">
        <v>196.19930253929047</v>
      </c>
      <c r="I2127" s="77">
        <v>196.19930253929047</v>
      </c>
    </row>
    <row r="2128" spans="2:9">
      <c r="B2128" s="76">
        <v>2024.835694474715</v>
      </c>
      <c r="C2128">
        <v>1109.6885540749961</v>
      </c>
      <c r="D2128" s="77">
        <v>184.94809234583269</v>
      </c>
      <c r="E2128" s="77">
        <v>184.94809234583269</v>
      </c>
      <c r="F2128" s="77">
        <v>184.94809234583269</v>
      </c>
      <c r="G2128" s="77">
        <v>184.94809234583269</v>
      </c>
      <c r="H2128" s="77">
        <v>184.94809234583269</v>
      </c>
      <c r="I2128" s="77">
        <v>184.94809234583269</v>
      </c>
    </row>
    <row r="2129" spans="2:9">
      <c r="B2129" s="76">
        <v>2023.0161385835136</v>
      </c>
      <c r="C2129">
        <v>954.32040732205098</v>
      </c>
      <c r="D2129" s="77">
        <v>159.05340122034184</v>
      </c>
      <c r="E2129" s="77">
        <v>159.05340122034184</v>
      </c>
      <c r="F2129" s="77">
        <v>159.05340122034184</v>
      </c>
      <c r="G2129" s="77">
        <v>159.05340122034184</v>
      </c>
      <c r="H2129" s="77">
        <v>159.05340122034184</v>
      </c>
      <c r="I2129" s="77">
        <v>159.05340122034184</v>
      </c>
    </row>
    <row r="2130" spans="2:9">
      <c r="B2130" s="76">
        <v>2025.6041139904271</v>
      </c>
      <c r="C2130">
        <v>1288.2589784997554</v>
      </c>
      <c r="D2130" s="77">
        <v>214.70982974995923</v>
      </c>
      <c r="E2130" s="77">
        <v>214.70982974995923</v>
      </c>
      <c r="F2130" s="77">
        <v>214.70982974995923</v>
      </c>
      <c r="G2130" s="77">
        <v>214.70982974995923</v>
      </c>
      <c r="H2130" s="77">
        <v>214.70982974995923</v>
      </c>
      <c r="I2130" s="77">
        <v>214.70982974995923</v>
      </c>
    </row>
    <row r="2131" spans="2:9">
      <c r="B2131" s="76">
        <v>2022.9859262691721</v>
      </c>
      <c r="C2131">
        <v>884.33364702123947</v>
      </c>
      <c r="D2131" s="77">
        <v>147.38894117020658</v>
      </c>
      <c r="E2131" s="77">
        <v>147.38894117020658</v>
      </c>
      <c r="F2131" s="77">
        <v>147.38894117020658</v>
      </c>
      <c r="G2131" s="77">
        <v>147.38894117020658</v>
      </c>
      <c r="H2131" s="77">
        <v>147.38894117020658</v>
      </c>
      <c r="I2131" s="77">
        <v>147.38894117020658</v>
      </c>
    </row>
    <row r="2132" spans="2:9">
      <c r="B2132" s="76">
        <v>2023.2161358719234</v>
      </c>
      <c r="C2132">
        <v>897.66560247807604</v>
      </c>
      <c r="D2132" s="77">
        <v>149.61093374634601</v>
      </c>
      <c r="E2132" s="77">
        <v>149.61093374634601</v>
      </c>
      <c r="F2132" s="77">
        <v>149.61093374634601</v>
      </c>
      <c r="G2132" s="77">
        <v>149.61093374634601</v>
      </c>
      <c r="H2132" s="77">
        <v>149.61093374634601</v>
      </c>
      <c r="I2132" s="77">
        <v>149.61093374634601</v>
      </c>
    </row>
    <row r="2133" spans="2:9">
      <c r="B2133" s="76">
        <v>2023.0580983283894</v>
      </c>
      <c r="C2133">
        <v>831.05132962879691</v>
      </c>
      <c r="D2133" s="77">
        <v>138.50855493813282</v>
      </c>
      <c r="E2133" s="77">
        <v>138.50855493813282</v>
      </c>
      <c r="F2133" s="77">
        <v>138.50855493813282</v>
      </c>
      <c r="G2133" s="77">
        <v>138.50855493813282</v>
      </c>
      <c r="H2133" s="77">
        <v>138.50855493813282</v>
      </c>
      <c r="I2133" s="77">
        <v>138.50855493813282</v>
      </c>
    </row>
    <row r="2134" spans="2:9">
      <c r="B2134" s="76">
        <v>2022.7210982465244</v>
      </c>
      <c r="C2134">
        <v>875.89484388794756</v>
      </c>
      <c r="D2134" s="77">
        <v>145.9824739813246</v>
      </c>
      <c r="E2134" s="77">
        <v>145.9824739813246</v>
      </c>
      <c r="F2134" s="77">
        <v>145.9824739813246</v>
      </c>
      <c r="G2134" s="77">
        <v>145.9824739813246</v>
      </c>
      <c r="H2134" s="77">
        <v>145.9824739813246</v>
      </c>
      <c r="I2134" s="77">
        <v>145.9824739813246</v>
      </c>
    </row>
    <row r="2135" spans="2:9">
      <c r="B2135" s="76">
        <v>2023.0355063722261</v>
      </c>
      <c r="C2135">
        <v>938.58556872984957</v>
      </c>
      <c r="D2135" s="77">
        <v>156.43092812164159</v>
      </c>
      <c r="E2135" s="77">
        <v>156.43092812164159</v>
      </c>
      <c r="F2135" s="77">
        <v>156.43092812164159</v>
      </c>
      <c r="G2135" s="77">
        <v>156.43092812164159</v>
      </c>
      <c r="H2135" s="77">
        <v>156.43092812164159</v>
      </c>
      <c r="I2135" s="77">
        <v>156.43092812164159</v>
      </c>
    </row>
    <row r="2136" spans="2:9">
      <c r="B2136" s="76">
        <v>2024.4693416204902</v>
      </c>
      <c r="C2136">
        <v>1119.533347561043</v>
      </c>
      <c r="D2136" s="77">
        <v>186.58889126017382</v>
      </c>
      <c r="E2136" s="77">
        <v>186.58889126017382</v>
      </c>
      <c r="F2136" s="77">
        <v>186.58889126017382</v>
      </c>
      <c r="G2136" s="77">
        <v>186.58889126017382</v>
      </c>
      <c r="H2136" s="77">
        <v>186.58889126017382</v>
      </c>
      <c r="I2136" s="77">
        <v>186.58889126017382</v>
      </c>
    </row>
    <row r="2137" spans="2:9">
      <c r="B2137" s="76">
        <v>2025.3173814060383</v>
      </c>
      <c r="C2137">
        <v>1183.779191087026</v>
      </c>
      <c r="D2137" s="77">
        <v>197.29653184783766</v>
      </c>
      <c r="E2137" s="77">
        <v>197.29653184783766</v>
      </c>
      <c r="F2137" s="77">
        <v>197.29653184783766</v>
      </c>
      <c r="G2137" s="77">
        <v>197.29653184783766</v>
      </c>
      <c r="H2137" s="77">
        <v>197.29653184783766</v>
      </c>
      <c r="I2137" s="77">
        <v>197.29653184783766</v>
      </c>
    </row>
    <row r="2138" spans="2:9">
      <c r="B2138" s="76">
        <v>2023.1879229333665</v>
      </c>
      <c r="C2138">
        <v>879.74628158591099</v>
      </c>
      <c r="D2138" s="77">
        <v>146.62438026431849</v>
      </c>
      <c r="E2138" s="77">
        <v>146.62438026431849</v>
      </c>
      <c r="F2138" s="77">
        <v>146.62438026431849</v>
      </c>
      <c r="G2138" s="77">
        <v>146.62438026431849</v>
      </c>
      <c r="H2138" s="77">
        <v>146.62438026431849</v>
      </c>
      <c r="I2138" s="77">
        <v>146.62438026431849</v>
      </c>
    </row>
    <row r="2139" spans="2:9">
      <c r="B2139" s="76">
        <v>2022.8406463148362</v>
      </c>
      <c r="C2139">
        <v>859.06253642204342</v>
      </c>
      <c r="D2139" s="77">
        <v>143.1770894036739</v>
      </c>
      <c r="E2139" s="77">
        <v>143.1770894036739</v>
      </c>
      <c r="F2139" s="77">
        <v>143.1770894036739</v>
      </c>
      <c r="G2139" s="77">
        <v>143.1770894036739</v>
      </c>
      <c r="H2139" s="77">
        <v>143.1770894036739</v>
      </c>
      <c r="I2139" s="77">
        <v>143.1770894036739</v>
      </c>
    </row>
    <row r="2140" spans="2:9">
      <c r="B2140" s="76">
        <v>2023.1343770251463</v>
      </c>
      <c r="C2140">
        <v>896.37002213868891</v>
      </c>
      <c r="D2140" s="77">
        <v>149.39500368978148</v>
      </c>
      <c r="E2140" s="77">
        <v>149.39500368978148</v>
      </c>
      <c r="F2140" s="77">
        <v>149.39500368978148</v>
      </c>
      <c r="G2140" s="77">
        <v>149.39500368978148</v>
      </c>
      <c r="H2140" s="77">
        <v>149.39500368978148</v>
      </c>
      <c r="I2140" s="77">
        <v>149.39500368978148</v>
      </c>
    </row>
    <row r="2141" spans="2:9">
      <c r="B2141" s="76">
        <v>2023.8139192968827</v>
      </c>
      <c r="C2141">
        <v>975.52835649454835</v>
      </c>
      <c r="D2141" s="77">
        <v>162.58805941575807</v>
      </c>
      <c r="E2141" s="77">
        <v>162.58805941575807</v>
      </c>
      <c r="F2141" s="77">
        <v>162.58805941575807</v>
      </c>
      <c r="G2141" s="77">
        <v>162.58805941575807</v>
      </c>
      <c r="H2141" s="77">
        <v>162.58805941575807</v>
      </c>
      <c r="I2141" s="77">
        <v>162.58805941575807</v>
      </c>
    </row>
    <row r="2142" spans="2:9">
      <c r="B2142" s="76">
        <v>2023.5436938046694</v>
      </c>
      <c r="C2142">
        <v>964.66378973332928</v>
      </c>
      <c r="D2142" s="77">
        <v>160.7772982888882</v>
      </c>
      <c r="E2142" s="77">
        <v>160.7772982888882</v>
      </c>
      <c r="F2142" s="77">
        <v>160.7772982888882</v>
      </c>
      <c r="G2142" s="77">
        <v>160.7772982888882</v>
      </c>
      <c r="H2142" s="77">
        <v>160.7772982888882</v>
      </c>
      <c r="I2142" s="77">
        <v>160.7772982888882</v>
      </c>
    </row>
    <row r="2143" spans="2:9">
      <c r="B2143" s="76">
        <v>2025.132322172984</v>
      </c>
      <c r="C2143">
        <v>1054.5006561250084</v>
      </c>
      <c r="D2143" s="77">
        <v>175.75010935416807</v>
      </c>
      <c r="E2143" s="77">
        <v>175.75010935416807</v>
      </c>
      <c r="F2143" s="77">
        <v>175.75010935416807</v>
      </c>
      <c r="G2143" s="77">
        <v>175.75010935416807</v>
      </c>
      <c r="H2143" s="77">
        <v>175.75010935416807</v>
      </c>
      <c r="I2143" s="77">
        <v>175.75010935416807</v>
      </c>
    </row>
    <row r="2144" spans="2:9">
      <c r="B2144" s="76">
        <v>2023.4285109727539</v>
      </c>
      <c r="C2144">
        <v>919.90614210743479</v>
      </c>
      <c r="D2144" s="77">
        <v>153.31769035123912</v>
      </c>
      <c r="E2144" s="77">
        <v>153.31769035123912</v>
      </c>
      <c r="F2144" s="77">
        <v>153.31769035123912</v>
      </c>
      <c r="G2144" s="77">
        <v>153.31769035123912</v>
      </c>
      <c r="H2144" s="77">
        <v>153.31769035123912</v>
      </c>
      <c r="I2144" s="77">
        <v>153.31769035123912</v>
      </c>
    </row>
    <row r="2145" spans="2:9">
      <c r="B2145" s="76">
        <v>2022.7805533906387</v>
      </c>
      <c r="C2145">
        <v>790.830640275002</v>
      </c>
      <c r="D2145" s="77">
        <v>131.80510671250033</v>
      </c>
      <c r="E2145" s="77">
        <v>131.80510671250033</v>
      </c>
      <c r="F2145" s="77">
        <v>131.80510671250033</v>
      </c>
      <c r="G2145" s="77">
        <v>131.80510671250033</v>
      </c>
      <c r="H2145" s="77">
        <v>131.80510671250033</v>
      </c>
      <c r="I2145" s="77">
        <v>131.80510671250033</v>
      </c>
    </row>
    <row r="2146" spans="2:9">
      <c r="B2146" s="76">
        <v>2023.5229891527138</v>
      </c>
      <c r="C2146">
        <v>928.98226114840486</v>
      </c>
      <c r="D2146" s="77">
        <v>154.83037685806747</v>
      </c>
      <c r="E2146" s="77">
        <v>154.83037685806747</v>
      </c>
      <c r="F2146" s="77">
        <v>154.83037685806747</v>
      </c>
      <c r="G2146" s="77">
        <v>154.83037685806747</v>
      </c>
      <c r="H2146" s="77">
        <v>154.83037685806747</v>
      </c>
      <c r="I2146" s="77">
        <v>154.83037685806747</v>
      </c>
    </row>
    <row r="2147" spans="2:9">
      <c r="B2147" s="76">
        <v>2022.747513893808</v>
      </c>
      <c r="C2147">
        <v>861.42583799710485</v>
      </c>
      <c r="D2147" s="77">
        <v>143.57097299951747</v>
      </c>
      <c r="E2147" s="77">
        <v>143.57097299951747</v>
      </c>
      <c r="F2147" s="77">
        <v>143.57097299951747</v>
      </c>
      <c r="G2147" s="77">
        <v>143.57097299951747</v>
      </c>
      <c r="H2147" s="77">
        <v>143.57097299951747</v>
      </c>
      <c r="I2147" s="77">
        <v>143.57097299951747</v>
      </c>
    </row>
    <row r="2148" spans="2:9">
      <c r="B2148" s="76">
        <v>2022.9600972313447</v>
      </c>
      <c r="C2148">
        <v>873.04617461785415</v>
      </c>
      <c r="D2148" s="77">
        <v>145.50769576964237</v>
      </c>
      <c r="E2148" s="77">
        <v>145.50769576964237</v>
      </c>
      <c r="F2148" s="77">
        <v>145.50769576964237</v>
      </c>
      <c r="G2148" s="77">
        <v>145.50769576964237</v>
      </c>
      <c r="H2148" s="77">
        <v>145.50769576964237</v>
      </c>
      <c r="I2148" s="77">
        <v>145.50769576964237</v>
      </c>
    </row>
    <row r="2149" spans="2:9">
      <c r="B2149" s="76">
        <v>2022.9686441707186</v>
      </c>
      <c r="C2149">
        <v>879.66961786201693</v>
      </c>
      <c r="D2149" s="77">
        <v>146.61160297700283</v>
      </c>
      <c r="E2149" s="77">
        <v>146.61160297700283</v>
      </c>
      <c r="F2149" s="77">
        <v>146.61160297700283</v>
      </c>
      <c r="G2149" s="77">
        <v>146.61160297700283</v>
      </c>
      <c r="H2149" s="77">
        <v>146.61160297700283</v>
      </c>
      <c r="I2149" s="77">
        <v>146.61160297700283</v>
      </c>
    </row>
    <row r="2150" spans="2:9">
      <c r="B2150" s="76">
        <v>2022.7610409385816</v>
      </c>
      <c r="C2150">
        <v>814.30388014668642</v>
      </c>
      <c r="D2150" s="77">
        <v>135.71731335778108</v>
      </c>
      <c r="E2150" s="77">
        <v>135.71731335778108</v>
      </c>
      <c r="F2150" s="77">
        <v>135.71731335778108</v>
      </c>
      <c r="G2150" s="77">
        <v>135.71731335778108</v>
      </c>
      <c r="H2150" s="77">
        <v>135.71731335778108</v>
      </c>
      <c r="I2150" s="77">
        <v>135.71731335778108</v>
      </c>
    </row>
    <row r="2151" spans="2:9">
      <c r="B2151" s="76">
        <v>2025.0314805987205</v>
      </c>
      <c r="C2151">
        <v>1123.3407549794936</v>
      </c>
      <c r="D2151" s="77">
        <v>187.22345916324892</v>
      </c>
      <c r="E2151" s="77">
        <v>187.22345916324892</v>
      </c>
      <c r="F2151" s="77">
        <v>187.22345916324892</v>
      </c>
      <c r="G2151" s="77">
        <v>187.22345916324892</v>
      </c>
      <c r="H2151" s="77">
        <v>187.22345916324892</v>
      </c>
      <c r="I2151" s="77">
        <v>187.22345916324892</v>
      </c>
    </row>
    <row r="2152" spans="2:9">
      <c r="B2152" s="76">
        <v>2025.1258570327504</v>
      </c>
      <c r="C2152">
        <v>1136.5677239037595</v>
      </c>
      <c r="D2152" s="77">
        <v>189.42795398395992</v>
      </c>
      <c r="E2152" s="77">
        <v>189.42795398395992</v>
      </c>
      <c r="F2152" s="77">
        <v>189.42795398395992</v>
      </c>
      <c r="G2152" s="77">
        <v>189.42795398395992</v>
      </c>
      <c r="H2152" s="77">
        <v>189.42795398395992</v>
      </c>
      <c r="I2152" s="77">
        <v>189.42795398395992</v>
      </c>
    </row>
    <row r="2153" spans="2:9">
      <c r="B2153" s="76">
        <v>2023.7224403527623</v>
      </c>
      <c r="C2153">
        <v>937.99391818096558</v>
      </c>
      <c r="D2153" s="77">
        <v>156.3323196968276</v>
      </c>
      <c r="E2153" s="77">
        <v>156.3323196968276</v>
      </c>
      <c r="F2153" s="77">
        <v>156.3323196968276</v>
      </c>
      <c r="G2153" s="77">
        <v>156.3323196968276</v>
      </c>
      <c r="H2153" s="77">
        <v>156.3323196968276</v>
      </c>
      <c r="I2153" s="77">
        <v>156.3323196968276</v>
      </c>
    </row>
    <row r="2154" spans="2:9">
      <c r="B2154" s="76">
        <v>2022.997410049825</v>
      </c>
      <c r="C2154">
        <v>875.2610003545667</v>
      </c>
      <c r="D2154" s="77">
        <v>145.87683339242778</v>
      </c>
      <c r="E2154" s="77">
        <v>145.87683339242778</v>
      </c>
      <c r="F2154" s="77">
        <v>145.87683339242778</v>
      </c>
      <c r="G2154" s="77">
        <v>145.87683339242778</v>
      </c>
      <c r="H2154" s="77">
        <v>145.87683339242778</v>
      </c>
      <c r="I2154" s="77">
        <v>145.87683339242778</v>
      </c>
    </row>
    <row r="2155" spans="2:9">
      <c r="B2155" s="76">
        <v>2023.1445627221512</v>
      </c>
      <c r="C2155">
        <v>923.82816348880215</v>
      </c>
      <c r="D2155" s="77">
        <v>153.97136058146702</v>
      </c>
      <c r="E2155" s="77">
        <v>153.97136058146702</v>
      </c>
      <c r="F2155" s="77">
        <v>153.97136058146702</v>
      </c>
      <c r="G2155" s="77">
        <v>153.97136058146702</v>
      </c>
      <c r="H2155" s="77">
        <v>153.97136058146702</v>
      </c>
      <c r="I2155" s="77">
        <v>153.97136058146702</v>
      </c>
    </row>
    <row r="2156" spans="2:9">
      <c r="B2156" s="76">
        <v>2023.5512427671119</v>
      </c>
      <c r="C2156">
        <v>965.16764647528589</v>
      </c>
      <c r="D2156" s="77">
        <v>160.86127441254766</v>
      </c>
      <c r="E2156" s="77">
        <v>160.86127441254766</v>
      </c>
      <c r="F2156" s="77">
        <v>160.86127441254766</v>
      </c>
      <c r="G2156" s="77">
        <v>160.86127441254766</v>
      </c>
      <c r="H2156" s="77">
        <v>160.86127441254766</v>
      </c>
      <c r="I2156" s="77">
        <v>160.86127441254766</v>
      </c>
    </row>
    <row r="2157" spans="2:9">
      <c r="B2157" s="76">
        <v>2023.1563744713478</v>
      </c>
      <c r="C2157">
        <v>956.24270373334707</v>
      </c>
      <c r="D2157" s="77">
        <v>159.37378395555785</v>
      </c>
      <c r="E2157" s="77">
        <v>159.37378395555785</v>
      </c>
      <c r="F2157" s="77">
        <v>159.37378395555785</v>
      </c>
      <c r="G2157" s="77">
        <v>159.37378395555785</v>
      </c>
      <c r="H2157" s="77">
        <v>159.37378395555785</v>
      </c>
      <c r="I2157" s="77">
        <v>159.37378395555785</v>
      </c>
    </row>
    <row r="2158" spans="2:9">
      <c r="B2158" s="76">
        <v>2022.8363492758428</v>
      </c>
      <c r="C2158">
        <v>830.47029798925769</v>
      </c>
      <c r="D2158" s="77">
        <v>138.41171633154295</v>
      </c>
      <c r="E2158" s="77">
        <v>138.41171633154295</v>
      </c>
      <c r="F2158" s="77">
        <v>138.41171633154295</v>
      </c>
      <c r="G2158" s="77">
        <v>138.41171633154295</v>
      </c>
      <c r="H2158" s="77">
        <v>138.41171633154295</v>
      </c>
      <c r="I2158" s="77">
        <v>138.41171633154295</v>
      </c>
    </row>
    <row r="2159" spans="2:9">
      <c r="B2159" s="76">
        <v>2024.6666429390905</v>
      </c>
      <c r="C2159">
        <v>1095.1736112466642</v>
      </c>
      <c r="D2159" s="77">
        <v>182.52893520777738</v>
      </c>
      <c r="E2159" s="77">
        <v>182.52893520777738</v>
      </c>
      <c r="F2159" s="77">
        <v>182.52893520777738</v>
      </c>
      <c r="G2159" s="77">
        <v>182.52893520777738</v>
      </c>
      <c r="H2159" s="77">
        <v>182.52893520777738</v>
      </c>
      <c r="I2159" s="77">
        <v>182.52893520777738</v>
      </c>
    </row>
    <row r="2160" spans="2:9">
      <c r="B2160" s="76">
        <v>2022.9859058153015</v>
      </c>
      <c r="C2160">
        <v>945.95837650025373</v>
      </c>
      <c r="D2160" s="77">
        <v>157.65972941670896</v>
      </c>
      <c r="E2160" s="77">
        <v>157.65972941670896</v>
      </c>
      <c r="F2160" s="77">
        <v>157.65972941670896</v>
      </c>
      <c r="G2160" s="77">
        <v>157.65972941670896</v>
      </c>
      <c r="H2160" s="77">
        <v>157.65972941670896</v>
      </c>
      <c r="I2160" s="77">
        <v>157.65972941670896</v>
      </c>
    </row>
    <row r="2161" spans="2:9">
      <c r="B2161" s="76">
        <v>2024.5055738089395</v>
      </c>
      <c r="C2161">
        <v>1061.1353368630337</v>
      </c>
      <c r="D2161" s="77">
        <v>176.85588947717227</v>
      </c>
      <c r="E2161" s="77">
        <v>176.85588947717227</v>
      </c>
      <c r="F2161" s="77">
        <v>176.85588947717227</v>
      </c>
      <c r="G2161" s="77">
        <v>176.85588947717227</v>
      </c>
      <c r="H2161" s="77">
        <v>176.85588947717227</v>
      </c>
      <c r="I2161" s="77">
        <v>176.85588947717227</v>
      </c>
    </row>
    <row r="2162" spans="2:9">
      <c r="B2162" s="76">
        <v>2025.2438969094455</v>
      </c>
      <c r="C2162">
        <v>1233.1762942122239</v>
      </c>
      <c r="D2162" s="77">
        <v>205.52938236870398</v>
      </c>
      <c r="E2162" s="77">
        <v>205.52938236870398</v>
      </c>
      <c r="F2162" s="77">
        <v>205.52938236870398</v>
      </c>
      <c r="G2162" s="77">
        <v>205.52938236870398</v>
      </c>
      <c r="H2162" s="77">
        <v>205.52938236870398</v>
      </c>
      <c r="I2162" s="77">
        <v>205.52938236870398</v>
      </c>
    </row>
    <row r="2163" spans="2:9">
      <c r="B2163" s="76">
        <v>2023.1733250364396</v>
      </c>
      <c r="C2163">
        <v>868.58262563445305</v>
      </c>
      <c r="D2163" s="77">
        <v>144.7637709390755</v>
      </c>
      <c r="E2163" s="77">
        <v>144.7637709390755</v>
      </c>
      <c r="F2163" s="77">
        <v>144.7637709390755</v>
      </c>
      <c r="G2163" s="77">
        <v>144.7637709390755</v>
      </c>
      <c r="H2163" s="77">
        <v>144.7637709390755</v>
      </c>
      <c r="I2163" s="77">
        <v>144.7637709390755</v>
      </c>
    </row>
    <row r="2164" spans="2:9">
      <c r="B2164" s="76">
        <v>2022.8477894329092</v>
      </c>
      <c r="C2164">
        <v>889.80886023535231</v>
      </c>
      <c r="D2164" s="77">
        <v>148.30147670589204</v>
      </c>
      <c r="E2164" s="77">
        <v>148.30147670589204</v>
      </c>
      <c r="F2164" s="77">
        <v>148.30147670589204</v>
      </c>
      <c r="G2164" s="77">
        <v>148.30147670589204</v>
      </c>
      <c r="H2164" s="77">
        <v>148.30147670589204</v>
      </c>
      <c r="I2164" s="77">
        <v>148.30147670589204</v>
      </c>
    </row>
    <row r="2165" spans="2:9">
      <c r="B2165" s="76">
        <v>2024.4879419288943</v>
      </c>
      <c r="C2165">
        <v>987.41793233573367</v>
      </c>
      <c r="D2165" s="77">
        <v>164.56965538928895</v>
      </c>
      <c r="E2165" s="77">
        <v>164.56965538928895</v>
      </c>
      <c r="F2165" s="77">
        <v>164.56965538928895</v>
      </c>
      <c r="G2165" s="77">
        <v>164.56965538928895</v>
      </c>
      <c r="H2165" s="77">
        <v>164.56965538928895</v>
      </c>
      <c r="I2165" s="77">
        <v>164.56965538928895</v>
      </c>
    </row>
    <row r="2166" spans="2:9">
      <c r="B2166" s="76">
        <v>2025.7730650372921</v>
      </c>
      <c r="C2166">
        <v>1207.1311933812717</v>
      </c>
      <c r="D2166" s="77">
        <v>201.18853223021196</v>
      </c>
      <c r="E2166" s="77">
        <v>201.18853223021196</v>
      </c>
      <c r="F2166" s="77">
        <v>201.18853223021196</v>
      </c>
      <c r="G2166" s="77">
        <v>201.18853223021196</v>
      </c>
      <c r="H2166" s="77">
        <v>201.18853223021196</v>
      </c>
      <c r="I2166" s="77">
        <v>201.18853223021196</v>
      </c>
    </row>
    <row r="2167" spans="2:9">
      <c r="B2167" s="76">
        <v>2024.5494580568757</v>
      </c>
      <c r="C2167">
        <v>1095.1282007261491</v>
      </c>
      <c r="D2167" s="77">
        <v>182.52136678769151</v>
      </c>
      <c r="E2167" s="77">
        <v>182.52136678769151</v>
      </c>
      <c r="F2167" s="77">
        <v>182.52136678769151</v>
      </c>
      <c r="G2167" s="77">
        <v>182.52136678769151</v>
      </c>
      <c r="H2167" s="77">
        <v>182.52136678769151</v>
      </c>
      <c r="I2167" s="77">
        <v>182.52136678769151</v>
      </c>
    </row>
    <row r="2168" spans="2:9">
      <c r="B2168" s="76">
        <v>2023.3902261094061</v>
      </c>
      <c r="C2168">
        <v>985.94697173450641</v>
      </c>
      <c r="D2168" s="77">
        <v>164.32449528908441</v>
      </c>
      <c r="E2168" s="77">
        <v>164.32449528908441</v>
      </c>
      <c r="F2168" s="77">
        <v>164.32449528908441</v>
      </c>
      <c r="G2168" s="77">
        <v>164.32449528908441</v>
      </c>
      <c r="H2168" s="77">
        <v>164.32449528908441</v>
      </c>
      <c r="I2168" s="77">
        <v>164.32449528908441</v>
      </c>
    </row>
    <row r="2169" spans="2:9">
      <c r="B2169" s="76">
        <v>2023.0175211028418</v>
      </c>
      <c r="C2169">
        <v>849.12483649574938</v>
      </c>
      <c r="D2169" s="77">
        <v>141.52080608262489</v>
      </c>
      <c r="E2169" s="77">
        <v>141.52080608262489</v>
      </c>
      <c r="F2169" s="77">
        <v>141.52080608262489</v>
      </c>
      <c r="G2169" s="77">
        <v>141.52080608262489</v>
      </c>
      <c r="H2169" s="77">
        <v>141.52080608262489</v>
      </c>
      <c r="I2169" s="77">
        <v>141.52080608262489</v>
      </c>
    </row>
    <row r="2170" spans="2:9">
      <c r="B2170" s="76">
        <v>2023.5898981360494</v>
      </c>
      <c r="C2170">
        <v>1028.2556989614143</v>
      </c>
      <c r="D2170" s="77">
        <v>171.37594982690237</v>
      </c>
      <c r="E2170" s="77">
        <v>171.37594982690237</v>
      </c>
      <c r="F2170" s="77">
        <v>171.37594982690237</v>
      </c>
      <c r="G2170" s="77">
        <v>171.37594982690237</v>
      </c>
      <c r="H2170" s="77">
        <v>171.37594982690237</v>
      </c>
      <c r="I2170" s="77">
        <v>171.37594982690237</v>
      </c>
    </row>
    <row r="2171" spans="2:9">
      <c r="B2171" s="76">
        <v>2025.1248956481056</v>
      </c>
      <c r="C2171">
        <v>1209.0441995151455</v>
      </c>
      <c r="D2171" s="77">
        <v>201.50736658585757</v>
      </c>
      <c r="E2171" s="77">
        <v>201.50736658585757</v>
      </c>
      <c r="F2171" s="77">
        <v>201.50736658585757</v>
      </c>
      <c r="G2171" s="77">
        <v>201.50736658585757</v>
      </c>
      <c r="H2171" s="77">
        <v>201.50736658585757</v>
      </c>
      <c r="I2171" s="77">
        <v>201.50736658585757</v>
      </c>
    </row>
    <row r="2172" spans="2:9">
      <c r="B2172" s="76">
        <v>2023.1172570426127</v>
      </c>
      <c r="C2172">
        <v>916.48134627191462</v>
      </c>
      <c r="D2172" s="77">
        <v>152.7468910453191</v>
      </c>
      <c r="E2172" s="77">
        <v>152.7468910453191</v>
      </c>
      <c r="F2172" s="77">
        <v>152.7468910453191</v>
      </c>
      <c r="G2172" s="77">
        <v>152.7468910453191</v>
      </c>
      <c r="H2172" s="77">
        <v>152.7468910453191</v>
      </c>
      <c r="I2172" s="77">
        <v>152.7468910453191</v>
      </c>
    </row>
    <row r="2173" spans="2:9">
      <c r="B2173" s="76">
        <v>2023.5919783503616</v>
      </c>
      <c r="C2173">
        <v>968.33387991740665</v>
      </c>
      <c r="D2173" s="77">
        <v>161.38897998623443</v>
      </c>
      <c r="E2173" s="77">
        <v>161.38897998623443</v>
      </c>
      <c r="F2173" s="77">
        <v>161.38897998623443</v>
      </c>
      <c r="G2173" s="77">
        <v>161.38897998623443</v>
      </c>
      <c r="H2173" s="77">
        <v>161.38897998623443</v>
      </c>
      <c r="I2173" s="77">
        <v>161.38897998623443</v>
      </c>
    </row>
    <row r="2174" spans="2:9">
      <c r="B2174" s="76">
        <v>2022.7898492977733</v>
      </c>
      <c r="C2174">
        <v>802.37212030687715</v>
      </c>
      <c r="D2174" s="77">
        <v>133.72868671781285</v>
      </c>
      <c r="E2174" s="77">
        <v>133.72868671781285</v>
      </c>
      <c r="F2174" s="77">
        <v>133.72868671781285</v>
      </c>
      <c r="G2174" s="77">
        <v>133.72868671781285</v>
      </c>
      <c r="H2174" s="77">
        <v>133.72868671781285</v>
      </c>
      <c r="I2174" s="77">
        <v>133.72868671781285</v>
      </c>
    </row>
    <row r="2175" spans="2:9">
      <c r="B2175" s="76">
        <v>2023.3454403596015</v>
      </c>
      <c r="C2175">
        <v>873.74514959648536</v>
      </c>
      <c r="D2175" s="77">
        <v>145.62419159941422</v>
      </c>
      <c r="E2175" s="77">
        <v>145.62419159941422</v>
      </c>
      <c r="F2175" s="77">
        <v>145.62419159941422</v>
      </c>
      <c r="G2175" s="77">
        <v>145.62419159941422</v>
      </c>
      <c r="H2175" s="77">
        <v>145.62419159941422</v>
      </c>
      <c r="I2175" s="77">
        <v>145.62419159941422</v>
      </c>
    </row>
    <row r="2176" spans="2:9">
      <c r="B2176" s="76">
        <v>2024.3887654819093</v>
      </c>
      <c r="C2176">
        <v>1114.2240619480913</v>
      </c>
      <c r="D2176" s="77">
        <v>185.70401032468189</v>
      </c>
      <c r="E2176" s="77">
        <v>185.70401032468189</v>
      </c>
      <c r="F2176" s="77">
        <v>185.70401032468189</v>
      </c>
      <c r="G2176" s="77">
        <v>185.70401032468189</v>
      </c>
      <c r="H2176" s="77">
        <v>185.70401032468189</v>
      </c>
      <c r="I2176" s="77">
        <v>185.70401032468189</v>
      </c>
    </row>
    <row r="2177" spans="2:9">
      <c r="B2177" s="76">
        <v>2022.8958583705614</v>
      </c>
      <c r="C2177">
        <v>850.77858032124004</v>
      </c>
      <c r="D2177" s="77">
        <v>141.79643005354001</v>
      </c>
      <c r="E2177" s="77">
        <v>141.79643005354001</v>
      </c>
      <c r="F2177" s="77">
        <v>141.79643005354001</v>
      </c>
      <c r="G2177" s="77">
        <v>141.79643005354001</v>
      </c>
      <c r="H2177" s="77">
        <v>141.79643005354001</v>
      </c>
      <c r="I2177" s="77">
        <v>141.79643005354001</v>
      </c>
    </row>
    <row r="2178" spans="2:9">
      <c r="B2178" s="76">
        <v>2022.9917657921073</v>
      </c>
      <c r="C2178">
        <v>908.80770728642733</v>
      </c>
      <c r="D2178" s="77">
        <v>151.46795121440456</v>
      </c>
      <c r="E2178" s="77">
        <v>151.46795121440456</v>
      </c>
      <c r="F2178" s="77">
        <v>151.46795121440456</v>
      </c>
      <c r="G2178" s="77">
        <v>151.46795121440456</v>
      </c>
      <c r="H2178" s="77">
        <v>151.46795121440456</v>
      </c>
      <c r="I2178" s="77">
        <v>151.46795121440456</v>
      </c>
    </row>
    <row r="2179" spans="2:9">
      <c r="B2179" s="76">
        <v>2023.4984259783485</v>
      </c>
      <c r="C2179">
        <v>877.31003936431978</v>
      </c>
      <c r="D2179" s="77">
        <v>146.21833989405329</v>
      </c>
      <c r="E2179" s="77">
        <v>146.21833989405329</v>
      </c>
      <c r="F2179" s="77">
        <v>146.21833989405329</v>
      </c>
      <c r="G2179" s="77">
        <v>146.21833989405329</v>
      </c>
      <c r="H2179" s="77">
        <v>146.21833989405329</v>
      </c>
      <c r="I2179" s="77">
        <v>146.21833989405329</v>
      </c>
    </row>
    <row r="2180" spans="2:9">
      <c r="B2180" s="76">
        <v>2025.712813830449</v>
      </c>
      <c r="C2180">
        <v>1270.9497160959993</v>
      </c>
      <c r="D2180" s="77">
        <v>211.82495268266655</v>
      </c>
      <c r="E2180" s="77">
        <v>211.82495268266655</v>
      </c>
      <c r="F2180" s="77">
        <v>211.82495268266655</v>
      </c>
      <c r="G2180" s="77">
        <v>211.82495268266655</v>
      </c>
      <c r="H2180" s="77">
        <v>211.82495268266655</v>
      </c>
      <c r="I2180" s="77">
        <v>211.82495268266655</v>
      </c>
    </row>
    <row r="2181" spans="2:9">
      <c r="B2181" s="76">
        <v>2023.3366525866154</v>
      </c>
      <c r="C2181">
        <v>986.359554384528</v>
      </c>
      <c r="D2181" s="77">
        <v>164.393259064088</v>
      </c>
      <c r="E2181" s="77">
        <v>164.393259064088</v>
      </c>
      <c r="F2181" s="77">
        <v>164.393259064088</v>
      </c>
      <c r="G2181" s="77">
        <v>164.393259064088</v>
      </c>
      <c r="H2181" s="77">
        <v>164.393259064088</v>
      </c>
      <c r="I2181" s="77">
        <v>164.393259064088</v>
      </c>
    </row>
    <row r="2182" spans="2:9">
      <c r="B2182" s="76">
        <v>2023.1114324373439</v>
      </c>
      <c r="C2182">
        <v>880.14362696750413</v>
      </c>
      <c r="D2182" s="77">
        <v>146.69060449458402</v>
      </c>
      <c r="E2182" s="77">
        <v>146.69060449458402</v>
      </c>
      <c r="F2182" s="77">
        <v>146.69060449458402</v>
      </c>
      <c r="G2182" s="77">
        <v>146.69060449458402</v>
      </c>
      <c r="H2182" s="77">
        <v>146.69060449458402</v>
      </c>
      <c r="I2182" s="77">
        <v>146.69060449458402</v>
      </c>
    </row>
    <row r="2183" spans="2:9">
      <c r="B2183" s="76">
        <v>2023.5576474346105</v>
      </c>
      <c r="C2183">
        <v>898.64671557649376</v>
      </c>
      <c r="D2183" s="77">
        <v>149.77445259608228</v>
      </c>
      <c r="E2183" s="77">
        <v>149.77445259608228</v>
      </c>
      <c r="F2183" s="77">
        <v>149.77445259608228</v>
      </c>
      <c r="G2183" s="77">
        <v>149.77445259608228</v>
      </c>
      <c r="H2183" s="77">
        <v>149.77445259608228</v>
      </c>
      <c r="I2183" s="77">
        <v>149.77445259608228</v>
      </c>
    </row>
    <row r="2184" spans="2:9">
      <c r="B2184" s="76">
        <v>2022.5802628053659</v>
      </c>
      <c r="C2184">
        <v>838.43873635833586</v>
      </c>
      <c r="D2184" s="77">
        <v>139.73978939305599</v>
      </c>
      <c r="E2184" s="77">
        <v>139.73978939305599</v>
      </c>
      <c r="F2184" s="77">
        <v>139.73978939305599</v>
      </c>
      <c r="G2184" s="77">
        <v>139.73978939305599</v>
      </c>
      <c r="H2184" s="77">
        <v>139.73978939305599</v>
      </c>
      <c r="I2184" s="77">
        <v>139.73978939305599</v>
      </c>
    </row>
    <row r="2185" spans="2:9">
      <c r="B2185" s="76">
        <v>2022.7539083055349</v>
      </c>
      <c r="C2185">
        <v>901.39334643164216</v>
      </c>
      <c r="D2185" s="77">
        <v>150.23222440527368</v>
      </c>
      <c r="E2185" s="77">
        <v>150.23222440527368</v>
      </c>
      <c r="F2185" s="77">
        <v>150.23222440527368</v>
      </c>
      <c r="G2185" s="77">
        <v>150.23222440527368</v>
      </c>
      <c r="H2185" s="77">
        <v>150.23222440527368</v>
      </c>
      <c r="I2185" s="77">
        <v>150.23222440527368</v>
      </c>
    </row>
    <row r="2186" spans="2:9">
      <c r="B2186" s="76">
        <v>2023.0466052924205</v>
      </c>
      <c r="C2186">
        <v>952.48504208197937</v>
      </c>
      <c r="D2186" s="77">
        <v>158.74750701366324</v>
      </c>
      <c r="E2186" s="77">
        <v>158.74750701366324</v>
      </c>
      <c r="F2186" s="77">
        <v>158.74750701366324</v>
      </c>
      <c r="G2186" s="77">
        <v>158.74750701366324</v>
      </c>
      <c r="H2186" s="77">
        <v>158.74750701366324</v>
      </c>
      <c r="I2186" s="77">
        <v>158.74750701366324</v>
      </c>
    </row>
    <row r="2187" spans="2:9">
      <c r="B2187" s="76">
        <v>2023.5313495671726</v>
      </c>
      <c r="C2187">
        <v>929.45473504407789</v>
      </c>
      <c r="D2187" s="77">
        <v>154.90912250734632</v>
      </c>
      <c r="E2187" s="77">
        <v>154.90912250734632</v>
      </c>
      <c r="F2187" s="77">
        <v>154.90912250734632</v>
      </c>
      <c r="G2187" s="77">
        <v>154.90912250734632</v>
      </c>
      <c r="H2187" s="77">
        <v>154.90912250734632</v>
      </c>
      <c r="I2187" s="77">
        <v>154.90912250734632</v>
      </c>
    </row>
    <row r="2188" spans="2:9">
      <c r="B2188" s="76">
        <v>2025.3409676312078</v>
      </c>
      <c r="C2188">
        <v>1226.8443608034595</v>
      </c>
      <c r="D2188" s="77">
        <v>204.47406013390992</v>
      </c>
      <c r="E2188" s="77">
        <v>204.47406013390992</v>
      </c>
      <c r="F2188" s="77">
        <v>204.47406013390992</v>
      </c>
      <c r="G2188" s="77">
        <v>204.47406013390992</v>
      </c>
      <c r="H2188" s="77">
        <v>204.47406013390992</v>
      </c>
      <c r="I2188" s="77">
        <v>204.47406013390992</v>
      </c>
    </row>
    <row r="2189" spans="2:9">
      <c r="B2189" s="76">
        <v>2024.9222668881612</v>
      </c>
      <c r="C2189">
        <v>1124.4750733081942</v>
      </c>
      <c r="D2189" s="77">
        <v>187.41251221803236</v>
      </c>
      <c r="E2189" s="77">
        <v>187.41251221803236</v>
      </c>
      <c r="F2189" s="77">
        <v>187.41251221803236</v>
      </c>
      <c r="G2189" s="77">
        <v>187.41251221803236</v>
      </c>
      <c r="H2189" s="77">
        <v>187.41251221803236</v>
      </c>
      <c r="I2189" s="77">
        <v>187.41251221803236</v>
      </c>
    </row>
    <row r="2190" spans="2:9">
      <c r="B2190" s="76">
        <v>2023.7063422369056</v>
      </c>
      <c r="C2190">
        <v>948.78722008690636</v>
      </c>
      <c r="D2190" s="77">
        <v>158.13120334781772</v>
      </c>
      <c r="E2190" s="77">
        <v>158.13120334781772</v>
      </c>
      <c r="F2190" s="77">
        <v>158.13120334781772</v>
      </c>
      <c r="G2190" s="77">
        <v>158.13120334781772</v>
      </c>
      <c r="H2190" s="77">
        <v>158.13120334781772</v>
      </c>
      <c r="I2190" s="77">
        <v>158.13120334781772</v>
      </c>
    </row>
    <row r="2191" spans="2:9">
      <c r="B2191" s="76">
        <v>2023.1696023985237</v>
      </c>
      <c r="C2191">
        <v>898.92977106497585</v>
      </c>
      <c r="D2191" s="77">
        <v>149.8216285108293</v>
      </c>
      <c r="E2191" s="77">
        <v>149.8216285108293</v>
      </c>
      <c r="F2191" s="77">
        <v>149.8216285108293</v>
      </c>
      <c r="G2191" s="77">
        <v>149.8216285108293</v>
      </c>
      <c r="H2191" s="77">
        <v>149.8216285108293</v>
      </c>
      <c r="I2191" s="77">
        <v>149.8216285108293</v>
      </c>
    </row>
    <row r="2192" spans="2:9">
      <c r="B2192" s="76">
        <v>2023.1461419916827</v>
      </c>
      <c r="C2192">
        <v>902.27022905664387</v>
      </c>
      <c r="D2192" s="77">
        <v>150.37837150944065</v>
      </c>
      <c r="E2192" s="77">
        <v>150.37837150944065</v>
      </c>
      <c r="F2192" s="77">
        <v>150.37837150944065</v>
      </c>
      <c r="G2192" s="77">
        <v>150.37837150944065</v>
      </c>
      <c r="H2192" s="77">
        <v>150.37837150944065</v>
      </c>
      <c r="I2192" s="77">
        <v>150.37837150944065</v>
      </c>
    </row>
    <row r="2193" spans="2:9">
      <c r="B2193" s="76">
        <v>2024.4476186024954</v>
      </c>
      <c r="C2193">
        <v>1087.6645230627907</v>
      </c>
      <c r="D2193" s="77">
        <v>181.27742051046513</v>
      </c>
      <c r="E2193" s="77">
        <v>181.27742051046513</v>
      </c>
      <c r="F2193" s="77">
        <v>181.27742051046513</v>
      </c>
      <c r="G2193" s="77">
        <v>181.27742051046513</v>
      </c>
      <c r="H2193" s="77">
        <v>181.27742051046513</v>
      </c>
      <c r="I2193" s="77">
        <v>181.27742051046513</v>
      </c>
    </row>
    <row r="2194" spans="2:9">
      <c r="B2194" s="76">
        <v>2025.3219956278515</v>
      </c>
      <c r="C2194">
        <v>1241.5756773383284</v>
      </c>
      <c r="D2194" s="77">
        <v>206.92927955638808</v>
      </c>
      <c r="E2194" s="77">
        <v>206.92927955638808</v>
      </c>
      <c r="F2194" s="77">
        <v>206.92927955638808</v>
      </c>
      <c r="G2194" s="77">
        <v>206.92927955638808</v>
      </c>
      <c r="H2194" s="77">
        <v>206.92927955638808</v>
      </c>
      <c r="I2194" s="77">
        <v>206.92927955638808</v>
      </c>
    </row>
    <row r="2195" spans="2:9">
      <c r="B2195" s="76">
        <v>2023.4210618871962</v>
      </c>
      <c r="C2195">
        <v>930.95484096942505</v>
      </c>
      <c r="D2195" s="77">
        <v>155.15914016157083</v>
      </c>
      <c r="E2195" s="77">
        <v>155.15914016157083</v>
      </c>
      <c r="F2195" s="77">
        <v>155.15914016157083</v>
      </c>
      <c r="G2195" s="77">
        <v>155.15914016157083</v>
      </c>
      <c r="H2195" s="77">
        <v>155.15914016157083</v>
      </c>
      <c r="I2195" s="77">
        <v>155.15914016157083</v>
      </c>
    </row>
    <row r="2196" spans="2:9">
      <c r="B2196" s="76">
        <v>2024.2831680713768</v>
      </c>
      <c r="C2196">
        <v>1055.3501253574977</v>
      </c>
      <c r="D2196" s="77">
        <v>175.89168755958295</v>
      </c>
      <c r="E2196" s="77">
        <v>175.89168755958295</v>
      </c>
      <c r="F2196" s="77">
        <v>175.89168755958295</v>
      </c>
      <c r="G2196" s="77">
        <v>175.89168755958295</v>
      </c>
      <c r="H2196" s="77">
        <v>175.89168755958295</v>
      </c>
      <c r="I2196" s="77">
        <v>175.89168755958295</v>
      </c>
    </row>
    <row r="2197" spans="2:9">
      <c r="B2197" s="76">
        <v>2023.7835313785415</v>
      </c>
      <c r="C2197">
        <v>946.91735051340368</v>
      </c>
      <c r="D2197" s="77">
        <v>157.81955841890061</v>
      </c>
      <c r="E2197" s="77">
        <v>157.81955841890061</v>
      </c>
      <c r="F2197" s="77">
        <v>157.81955841890061</v>
      </c>
      <c r="G2197" s="77">
        <v>157.81955841890061</v>
      </c>
      <c r="H2197" s="77">
        <v>157.81955841890061</v>
      </c>
      <c r="I2197" s="77">
        <v>157.81955841890061</v>
      </c>
    </row>
    <row r="2198" spans="2:9">
      <c r="B2198" s="76">
        <v>2023.379131477845</v>
      </c>
      <c r="C2198">
        <v>948.79359333431591</v>
      </c>
      <c r="D2198" s="77">
        <v>158.13226555571933</v>
      </c>
      <c r="E2198" s="77">
        <v>158.13226555571933</v>
      </c>
      <c r="F2198" s="77">
        <v>158.13226555571933</v>
      </c>
      <c r="G2198" s="77">
        <v>158.13226555571933</v>
      </c>
      <c r="H2198" s="77">
        <v>158.13226555571933</v>
      </c>
      <c r="I2198" s="77">
        <v>158.13226555571933</v>
      </c>
    </row>
    <row r="2199" spans="2:9">
      <c r="B2199" s="76">
        <v>2023.2590838167655</v>
      </c>
      <c r="C2199">
        <v>937.35683114805136</v>
      </c>
      <c r="D2199" s="77">
        <v>156.22613852467524</v>
      </c>
      <c r="E2199" s="77">
        <v>156.22613852467524</v>
      </c>
      <c r="F2199" s="77">
        <v>156.22613852467524</v>
      </c>
      <c r="G2199" s="77">
        <v>156.22613852467524</v>
      </c>
      <c r="H2199" s="77">
        <v>156.22613852467524</v>
      </c>
      <c r="I2199" s="77">
        <v>156.22613852467524</v>
      </c>
    </row>
    <row r="2200" spans="2:9">
      <c r="B2200" s="76">
        <v>2025.4025755573198</v>
      </c>
      <c r="C2200">
        <v>1230.7859417147158</v>
      </c>
      <c r="D2200" s="77">
        <v>205.13099028578597</v>
      </c>
      <c r="E2200" s="77">
        <v>205.13099028578597</v>
      </c>
      <c r="F2200" s="77">
        <v>205.13099028578597</v>
      </c>
      <c r="G2200" s="77">
        <v>205.13099028578597</v>
      </c>
      <c r="H2200" s="77">
        <v>205.13099028578597</v>
      </c>
      <c r="I2200" s="77">
        <v>205.13099028578597</v>
      </c>
    </row>
    <row r="2201" spans="2:9">
      <c r="B2201" s="76">
        <v>2023.136602894514</v>
      </c>
      <c r="C2201">
        <v>938.1270542081221</v>
      </c>
      <c r="D2201" s="77">
        <v>156.35450903468703</v>
      </c>
      <c r="E2201" s="77">
        <v>156.35450903468703</v>
      </c>
      <c r="F2201" s="77">
        <v>156.35450903468703</v>
      </c>
      <c r="G2201" s="77">
        <v>156.35450903468703</v>
      </c>
      <c r="H2201" s="77">
        <v>156.35450903468703</v>
      </c>
      <c r="I2201" s="77">
        <v>156.35450903468703</v>
      </c>
    </row>
    <row r="2202" spans="2:9">
      <c r="B2202" s="76">
        <v>2023.4773296801595</v>
      </c>
      <c r="C2202">
        <v>919.08696629066503</v>
      </c>
      <c r="D2202" s="77">
        <v>153.18116104844418</v>
      </c>
      <c r="E2202" s="77">
        <v>153.18116104844418</v>
      </c>
      <c r="F2202" s="77">
        <v>153.18116104844418</v>
      </c>
      <c r="G2202" s="77">
        <v>153.18116104844418</v>
      </c>
      <c r="H2202" s="77">
        <v>153.18116104844418</v>
      </c>
      <c r="I2202" s="77">
        <v>153.18116104844418</v>
      </c>
    </row>
    <row r="2203" spans="2:9">
      <c r="B2203" s="76">
        <v>2023.3493039632992</v>
      </c>
      <c r="C2203">
        <v>896.70936279177408</v>
      </c>
      <c r="D2203" s="77">
        <v>149.45156046529567</v>
      </c>
      <c r="E2203" s="77">
        <v>149.45156046529567</v>
      </c>
      <c r="F2203" s="77">
        <v>149.45156046529567</v>
      </c>
      <c r="G2203" s="77">
        <v>149.45156046529567</v>
      </c>
      <c r="H2203" s="77">
        <v>149.45156046529567</v>
      </c>
      <c r="I2203" s="77">
        <v>149.45156046529567</v>
      </c>
    </row>
    <row r="2204" spans="2:9">
      <c r="B2204" s="76">
        <v>2024.5977633445054</v>
      </c>
      <c r="C2204">
        <v>1193.333458215398</v>
      </c>
      <c r="D2204" s="77">
        <v>198.88890970256634</v>
      </c>
      <c r="E2204" s="77">
        <v>198.88890970256634</v>
      </c>
      <c r="F2204" s="77">
        <v>198.88890970256634</v>
      </c>
      <c r="G2204" s="77">
        <v>198.88890970256634</v>
      </c>
      <c r="H2204" s="77">
        <v>198.88890970256634</v>
      </c>
      <c r="I2204" s="77">
        <v>198.88890970256634</v>
      </c>
    </row>
    <row r="2205" spans="2:9">
      <c r="B2205" s="76">
        <v>2024.3621214566274</v>
      </c>
      <c r="C2205">
        <v>1070.3600523072275</v>
      </c>
      <c r="D2205" s="77">
        <v>178.3933420512046</v>
      </c>
      <c r="E2205" s="77">
        <v>178.3933420512046</v>
      </c>
      <c r="F2205" s="77">
        <v>178.3933420512046</v>
      </c>
      <c r="G2205" s="77">
        <v>178.3933420512046</v>
      </c>
      <c r="H2205" s="77">
        <v>178.3933420512046</v>
      </c>
      <c r="I2205" s="77">
        <v>178.3933420512046</v>
      </c>
    </row>
    <row r="2206" spans="2:9">
      <c r="B2206" s="76">
        <v>2023.4117340386113</v>
      </c>
      <c r="C2206">
        <v>897.49159476352986</v>
      </c>
      <c r="D2206" s="77">
        <v>149.58193246058832</v>
      </c>
      <c r="E2206" s="77">
        <v>149.58193246058832</v>
      </c>
      <c r="F2206" s="77">
        <v>149.58193246058832</v>
      </c>
      <c r="G2206" s="77">
        <v>149.58193246058832</v>
      </c>
      <c r="H2206" s="77">
        <v>149.58193246058832</v>
      </c>
      <c r="I2206" s="77">
        <v>149.58193246058832</v>
      </c>
    </row>
    <row r="2207" spans="2:9">
      <c r="B2207" s="76">
        <v>2024.6075030181632</v>
      </c>
      <c r="C2207">
        <v>1099.4765384821385</v>
      </c>
      <c r="D2207" s="77">
        <v>183.24608974702309</v>
      </c>
      <c r="E2207" s="77">
        <v>183.24608974702309</v>
      </c>
      <c r="F2207" s="77">
        <v>183.24608974702309</v>
      </c>
      <c r="G2207" s="77">
        <v>183.24608974702309</v>
      </c>
      <c r="H2207" s="77">
        <v>183.24608974702309</v>
      </c>
      <c r="I2207" s="77">
        <v>183.24608974702309</v>
      </c>
    </row>
    <row r="2208" spans="2:9">
      <c r="B2208" s="76">
        <v>2023.1129913271641</v>
      </c>
      <c r="C2208">
        <v>892.52266907585636</v>
      </c>
      <c r="D2208" s="77">
        <v>148.75377817930939</v>
      </c>
      <c r="E2208" s="77">
        <v>148.75377817930939</v>
      </c>
      <c r="F2208" s="77">
        <v>148.75377817930939</v>
      </c>
      <c r="G2208" s="77">
        <v>148.75377817930939</v>
      </c>
      <c r="H2208" s="77">
        <v>148.75377817930939</v>
      </c>
      <c r="I2208" s="77">
        <v>148.75377817930939</v>
      </c>
    </row>
    <row r="2209" spans="2:9">
      <c r="B2209" s="76">
        <v>2023.340808405276</v>
      </c>
      <c r="C2209">
        <v>922.31942244231254</v>
      </c>
      <c r="D2209" s="77">
        <v>153.71990374038543</v>
      </c>
      <c r="E2209" s="77">
        <v>153.71990374038543</v>
      </c>
      <c r="F2209" s="77">
        <v>153.71990374038543</v>
      </c>
      <c r="G2209" s="77">
        <v>153.71990374038543</v>
      </c>
      <c r="H2209" s="77">
        <v>153.71990374038543</v>
      </c>
      <c r="I2209" s="77">
        <v>153.71990374038543</v>
      </c>
    </row>
    <row r="2210" spans="2:9">
      <c r="B2210" s="76">
        <v>2023.1908504484857</v>
      </c>
      <c r="C2210">
        <v>875.54815107659419</v>
      </c>
      <c r="D2210" s="77">
        <v>145.92469184609902</v>
      </c>
      <c r="E2210" s="77">
        <v>145.92469184609902</v>
      </c>
      <c r="F2210" s="77">
        <v>145.92469184609902</v>
      </c>
      <c r="G2210" s="77">
        <v>145.92469184609902</v>
      </c>
      <c r="H2210" s="77">
        <v>145.92469184609902</v>
      </c>
      <c r="I2210" s="77">
        <v>145.92469184609902</v>
      </c>
    </row>
    <row r="2211" spans="2:9">
      <c r="B2211" s="76">
        <v>2024.3599830249818</v>
      </c>
      <c r="C2211">
        <v>1007.0667466400912</v>
      </c>
      <c r="D2211" s="77">
        <v>167.84445777334852</v>
      </c>
      <c r="E2211" s="77">
        <v>167.84445777334852</v>
      </c>
      <c r="F2211" s="77">
        <v>167.84445777334852</v>
      </c>
      <c r="G2211" s="77">
        <v>167.84445777334852</v>
      </c>
      <c r="H2211" s="77">
        <v>167.84445777334852</v>
      </c>
      <c r="I2211" s="77">
        <v>167.84445777334852</v>
      </c>
    </row>
    <row r="2212" spans="2:9">
      <c r="B2212" s="76">
        <v>2024.7857959246383</v>
      </c>
      <c r="C2212">
        <v>1087.820627007296</v>
      </c>
      <c r="D2212" s="77">
        <v>181.30343783454933</v>
      </c>
      <c r="E2212" s="77">
        <v>181.30343783454933</v>
      </c>
      <c r="F2212" s="77">
        <v>181.30343783454933</v>
      </c>
      <c r="G2212" s="77">
        <v>181.30343783454933</v>
      </c>
      <c r="H2212" s="77">
        <v>181.30343783454933</v>
      </c>
      <c r="I2212" s="77">
        <v>181.30343783454933</v>
      </c>
    </row>
    <row r="2213" spans="2:9">
      <c r="B2213" s="76">
        <v>2024.6229532486113</v>
      </c>
      <c r="C2213">
        <v>1084.249216029079</v>
      </c>
      <c r="D2213" s="77">
        <v>180.70820267151316</v>
      </c>
      <c r="E2213" s="77">
        <v>180.70820267151316</v>
      </c>
      <c r="F2213" s="77">
        <v>180.70820267151316</v>
      </c>
      <c r="G2213" s="77">
        <v>180.70820267151316</v>
      </c>
      <c r="H2213" s="77">
        <v>180.70820267151316</v>
      </c>
      <c r="I2213" s="77">
        <v>180.70820267151316</v>
      </c>
    </row>
    <row r="2214" spans="2:9">
      <c r="B2214" s="76">
        <v>2024.9622604171948</v>
      </c>
      <c r="C2214">
        <v>1149.4733672924206</v>
      </c>
      <c r="D2214" s="77">
        <v>191.57889454873677</v>
      </c>
      <c r="E2214" s="77">
        <v>191.57889454873677</v>
      </c>
      <c r="F2214" s="77">
        <v>191.57889454873677</v>
      </c>
      <c r="G2214" s="77">
        <v>191.57889454873677</v>
      </c>
      <c r="H2214" s="77">
        <v>191.57889454873677</v>
      </c>
      <c r="I2214" s="77">
        <v>191.57889454873677</v>
      </c>
    </row>
    <row r="2215" spans="2:9">
      <c r="B2215" s="76">
        <v>2023.6883921079329</v>
      </c>
      <c r="C2215">
        <v>976.21280642781539</v>
      </c>
      <c r="D2215" s="77">
        <v>162.7021344046359</v>
      </c>
      <c r="E2215" s="77">
        <v>162.7021344046359</v>
      </c>
      <c r="F2215" s="77">
        <v>162.7021344046359</v>
      </c>
      <c r="G2215" s="77">
        <v>162.7021344046359</v>
      </c>
      <c r="H2215" s="77">
        <v>162.7021344046359</v>
      </c>
      <c r="I2215" s="77">
        <v>162.7021344046359</v>
      </c>
    </row>
    <row r="2216" spans="2:9">
      <c r="B2216" s="76">
        <v>2022.8651499940927</v>
      </c>
      <c r="C2216">
        <v>817.28143676311095</v>
      </c>
      <c r="D2216" s="77">
        <v>136.21357279385182</v>
      </c>
      <c r="E2216" s="77">
        <v>136.21357279385182</v>
      </c>
      <c r="F2216" s="77">
        <v>136.21357279385182</v>
      </c>
      <c r="G2216" s="77">
        <v>136.21357279385182</v>
      </c>
      <c r="H2216" s="77">
        <v>136.21357279385182</v>
      </c>
      <c r="I2216" s="77">
        <v>136.21357279385182</v>
      </c>
    </row>
    <row r="2217" spans="2:9">
      <c r="B2217" s="76">
        <v>2023.6803267190337</v>
      </c>
      <c r="C2217">
        <v>997.58064559315721</v>
      </c>
      <c r="D2217" s="77">
        <v>166.26344093219288</v>
      </c>
      <c r="E2217" s="77">
        <v>166.26344093219288</v>
      </c>
      <c r="F2217" s="77">
        <v>166.26344093219288</v>
      </c>
      <c r="G2217" s="77">
        <v>166.26344093219288</v>
      </c>
      <c r="H2217" s="77">
        <v>166.26344093219288</v>
      </c>
      <c r="I2217" s="77">
        <v>166.26344093219288</v>
      </c>
    </row>
    <row r="2218" spans="2:9">
      <c r="B2218" s="76">
        <v>2022.8827942354044</v>
      </c>
      <c r="C2218">
        <v>855.91305443937063</v>
      </c>
      <c r="D2218" s="77">
        <v>142.65217573989511</v>
      </c>
      <c r="E2218" s="77">
        <v>142.65217573989511</v>
      </c>
      <c r="F2218" s="77">
        <v>142.65217573989511</v>
      </c>
      <c r="G2218" s="77">
        <v>142.65217573989511</v>
      </c>
      <c r="H2218" s="77">
        <v>142.65217573989511</v>
      </c>
      <c r="I2218" s="77">
        <v>142.65217573989511</v>
      </c>
    </row>
    <row r="2219" spans="2:9">
      <c r="B2219" s="76">
        <v>2023.705136780932</v>
      </c>
      <c r="C2219">
        <v>949.21166300404593</v>
      </c>
      <c r="D2219" s="77">
        <v>158.20194383400766</v>
      </c>
      <c r="E2219" s="77">
        <v>158.20194383400766</v>
      </c>
      <c r="F2219" s="77">
        <v>158.20194383400766</v>
      </c>
      <c r="G2219" s="77">
        <v>158.20194383400766</v>
      </c>
      <c r="H2219" s="77">
        <v>158.20194383400766</v>
      </c>
      <c r="I2219" s="77">
        <v>158.20194383400766</v>
      </c>
    </row>
    <row r="2220" spans="2:9">
      <c r="B2220" s="76">
        <v>2023.4122764965346</v>
      </c>
      <c r="C2220">
        <v>984.47055494272468</v>
      </c>
      <c r="D2220" s="77">
        <v>164.07842582378746</v>
      </c>
      <c r="E2220" s="77">
        <v>164.07842582378746</v>
      </c>
      <c r="F2220" s="77">
        <v>164.07842582378746</v>
      </c>
      <c r="G2220" s="77">
        <v>164.07842582378746</v>
      </c>
      <c r="H2220" s="77">
        <v>164.07842582378746</v>
      </c>
      <c r="I2220" s="77">
        <v>164.07842582378746</v>
      </c>
    </row>
    <row r="2221" spans="2:9">
      <c r="B2221" s="76">
        <v>2024.0405593525422</v>
      </c>
      <c r="C2221">
        <v>973.59438303768809</v>
      </c>
      <c r="D2221" s="77">
        <v>162.26573050628136</v>
      </c>
      <c r="E2221" s="77">
        <v>162.26573050628136</v>
      </c>
      <c r="F2221" s="77">
        <v>162.26573050628136</v>
      </c>
      <c r="G2221" s="77">
        <v>162.26573050628136</v>
      </c>
      <c r="H2221" s="77">
        <v>162.26573050628136</v>
      </c>
      <c r="I2221" s="77">
        <v>162.26573050628136</v>
      </c>
    </row>
    <row r="2222" spans="2:9">
      <c r="B2222" s="76">
        <v>2025.1444943030417</v>
      </c>
      <c r="C2222">
        <v>1161.0114453590493</v>
      </c>
      <c r="D2222" s="77">
        <v>193.50190755984156</v>
      </c>
      <c r="E2222" s="77">
        <v>193.50190755984156</v>
      </c>
      <c r="F2222" s="77">
        <v>193.50190755984156</v>
      </c>
      <c r="G2222" s="77">
        <v>193.50190755984156</v>
      </c>
      <c r="H2222" s="77">
        <v>193.50190755984156</v>
      </c>
      <c r="I2222" s="77">
        <v>193.50190755984156</v>
      </c>
    </row>
    <row r="2223" spans="2:9">
      <c r="B2223" s="76">
        <v>2022.9508124158785</v>
      </c>
      <c r="C2223">
        <v>864.5440097817567</v>
      </c>
      <c r="D2223" s="77">
        <v>144.09066829695945</v>
      </c>
      <c r="E2223" s="77">
        <v>144.09066829695945</v>
      </c>
      <c r="F2223" s="77">
        <v>144.09066829695945</v>
      </c>
      <c r="G2223" s="77">
        <v>144.09066829695945</v>
      </c>
      <c r="H2223" s="77">
        <v>144.09066829695945</v>
      </c>
      <c r="I2223" s="77">
        <v>144.09066829695945</v>
      </c>
    </row>
    <row r="2224" spans="2:9">
      <c r="B2224" s="76">
        <v>2022.7331607289154</v>
      </c>
      <c r="C2224">
        <v>886.74623488606687</v>
      </c>
      <c r="D2224" s="77">
        <v>147.79103914767782</v>
      </c>
      <c r="E2224" s="77">
        <v>147.79103914767782</v>
      </c>
      <c r="F2224" s="77">
        <v>147.79103914767782</v>
      </c>
      <c r="G2224" s="77">
        <v>147.79103914767782</v>
      </c>
      <c r="H2224" s="77">
        <v>147.79103914767782</v>
      </c>
      <c r="I2224" s="77">
        <v>147.79103914767782</v>
      </c>
    </row>
    <row r="2225" spans="2:9">
      <c r="B2225" s="76">
        <v>2025.0272313111373</v>
      </c>
      <c r="C2225">
        <v>1125.2916566165336</v>
      </c>
      <c r="D2225" s="77">
        <v>187.54860943608892</v>
      </c>
      <c r="E2225" s="77">
        <v>187.54860943608892</v>
      </c>
      <c r="F2225" s="77">
        <v>187.54860943608892</v>
      </c>
      <c r="G2225" s="77">
        <v>187.54860943608892</v>
      </c>
      <c r="H2225" s="77">
        <v>187.54860943608892</v>
      </c>
      <c r="I2225" s="77">
        <v>187.54860943608892</v>
      </c>
    </row>
    <row r="2226" spans="2:9">
      <c r="B2226" s="76">
        <v>2023.0378886934047</v>
      </c>
      <c r="C2226">
        <v>906.10667253061752</v>
      </c>
      <c r="D2226" s="77">
        <v>151.01777875510291</v>
      </c>
      <c r="E2226" s="77">
        <v>151.01777875510291</v>
      </c>
      <c r="F2226" s="77">
        <v>151.01777875510291</v>
      </c>
      <c r="G2226" s="77">
        <v>151.01777875510291</v>
      </c>
      <c r="H2226" s="77">
        <v>151.01777875510291</v>
      </c>
      <c r="I2226" s="77">
        <v>151.01777875510291</v>
      </c>
    </row>
    <row r="2227" spans="2:9">
      <c r="B2227" s="76">
        <v>2024.8293982570349</v>
      </c>
      <c r="C2227">
        <v>1129.6358165662427</v>
      </c>
      <c r="D2227" s="77">
        <v>188.27263609437378</v>
      </c>
      <c r="E2227" s="77">
        <v>188.27263609437378</v>
      </c>
      <c r="F2227" s="77">
        <v>188.27263609437378</v>
      </c>
      <c r="G2227" s="77">
        <v>188.27263609437378</v>
      </c>
      <c r="H2227" s="77">
        <v>188.27263609437378</v>
      </c>
      <c r="I2227" s="77">
        <v>188.27263609437378</v>
      </c>
    </row>
    <row r="2228" spans="2:9">
      <c r="B2228" s="76">
        <v>2025.0327148048443</v>
      </c>
      <c r="C2228">
        <v>1187.0077135063079</v>
      </c>
      <c r="D2228" s="77">
        <v>197.83461891771799</v>
      </c>
      <c r="E2228" s="77">
        <v>197.83461891771799</v>
      </c>
      <c r="F2228" s="77">
        <v>197.83461891771799</v>
      </c>
      <c r="G2228" s="77">
        <v>197.83461891771799</v>
      </c>
      <c r="H2228" s="77">
        <v>197.83461891771799</v>
      </c>
      <c r="I2228" s="77">
        <v>197.83461891771799</v>
      </c>
    </row>
    <row r="2229" spans="2:9">
      <c r="B2229" s="76">
        <v>2024.7095535611163</v>
      </c>
      <c r="C2229">
        <v>1026.8597517680257</v>
      </c>
      <c r="D2229" s="77">
        <v>171.14329196133761</v>
      </c>
      <c r="E2229" s="77">
        <v>171.14329196133761</v>
      </c>
      <c r="F2229" s="77">
        <v>171.14329196133761</v>
      </c>
      <c r="G2229" s="77">
        <v>171.14329196133761</v>
      </c>
      <c r="H2229" s="77">
        <v>171.14329196133761</v>
      </c>
      <c r="I2229" s="77">
        <v>171.14329196133761</v>
      </c>
    </row>
    <row r="2230" spans="2:9">
      <c r="B2230" s="76">
        <v>2024.5124667927134</v>
      </c>
      <c r="C2230">
        <v>982.65376854713986</v>
      </c>
      <c r="D2230" s="77">
        <v>163.77562809118999</v>
      </c>
      <c r="E2230" s="77">
        <v>163.77562809118999</v>
      </c>
      <c r="F2230" s="77">
        <v>163.77562809118999</v>
      </c>
      <c r="G2230" s="77">
        <v>163.77562809118999</v>
      </c>
      <c r="H2230" s="77">
        <v>163.77562809118999</v>
      </c>
      <c r="I2230" s="77">
        <v>163.77562809118999</v>
      </c>
    </row>
    <row r="2231" spans="2:9">
      <c r="B2231" s="76">
        <v>2023.1936231302066</v>
      </c>
      <c r="C2231">
        <v>931.54148062508796</v>
      </c>
      <c r="D2231" s="77">
        <v>155.25691343751467</v>
      </c>
      <c r="E2231" s="77">
        <v>155.25691343751467</v>
      </c>
      <c r="F2231" s="77">
        <v>155.25691343751467</v>
      </c>
      <c r="G2231" s="77">
        <v>155.25691343751467</v>
      </c>
      <c r="H2231" s="77">
        <v>155.25691343751467</v>
      </c>
      <c r="I2231" s="77">
        <v>155.25691343751467</v>
      </c>
    </row>
    <row r="2232" spans="2:9">
      <c r="B2232" s="76">
        <v>2022.9789101516055</v>
      </c>
      <c r="C2232">
        <v>883.89728111851139</v>
      </c>
      <c r="D2232" s="77">
        <v>147.3162135197519</v>
      </c>
      <c r="E2232" s="77">
        <v>147.3162135197519</v>
      </c>
      <c r="F2232" s="77">
        <v>147.3162135197519</v>
      </c>
      <c r="G2232" s="77">
        <v>147.3162135197519</v>
      </c>
      <c r="H2232" s="77">
        <v>147.3162135197519</v>
      </c>
      <c r="I2232" s="77">
        <v>147.3162135197519</v>
      </c>
    </row>
    <row r="2233" spans="2:9">
      <c r="B2233" s="76">
        <v>2024.7166525412842</v>
      </c>
      <c r="C2233">
        <v>1086.0849608655371</v>
      </c>
      <c r="D2233" s="77">
        <v>181.01416014425618</v>
      </c>
      <c r="E2233" s="77">
        <v>181.01416014425618</v>
      </c>
      <c r="F2233" s="77">
        <v>181.01416014425618</v>
      </c>
      <c r="G2233" s="77">
        <v>181.01416014425618</v>
      </c>
      <c r="H2233" s="77">
        <v>181.01416014425618</v>
      </c>
      <c r="I2233" s="77">
        <v>181.01416014425618</v>
      </c>
    </row>
    <row r="2234" spans="2:9">
      <c r="B2234" s="76">
        <v>2023.0745590329568</v>
      </c>
      <c r="C2234">
        <v>921.76525788812069</v>
      </c>
      <c r="D2234" s="77">
        <v>153.62754298135346</v>
      </c>
      <c r="E2234" s="77">
        <v>153.62754298135346</v>
      </c>
      <c r="F2234" s="77">
        <v>153.62754298135346</v>
      </c>
      <c r="G2234" s="77">
        <v>153.62754298135346</v>
      </c>
      <c r="H2234" s="77">
        <v>153.62754298135346</v>
      </c>
      <c r="I2234" s="77">
        <v>153.62754298135346</v>
      </c>
    </row>
    <row r="2235" spans="2:9">
      <c r="B2235" s="76">
        <v>2022.9282302093143</v>
      </c>
      <c r="C2235">
        <v>903.42324146386318</v>
      </c>
      <c r="D2235" s="77">
        <v>150.57054024397721</v>
      </c>
      <c r="E2235" s="77">
        <v>150.57054024397721</v>
      </c>
      <c r="F2235" s="77">
        <v>150.57054024397721</v>
      </c>
      <c r="G2235" s="77">
        <v>150.57054024397721</v>
      </c>
      <c r="H2235" s="77">
        <v>150.57054024397721</v>
      </c>
      <c r="I2235" s="77">
        <v>150.57054024397721</v>
      </c>
    </row>
    <row r="2236" spans="2:9">
      <c r="B2236" s="76">
        <v>2023.1855990453005</v>
      </c>
      <c r="C2236">
        <v>904.2907724274894</v>
      </c>
      <c r="D2236" s="77">
        <v>150.71512873791491</v>
      </c>
      <c r="E2236" s="77">
        <v>150.71512873791491</v>
      </c>
      <c r="F2236" s="77">
        <v>150.71512873791491</v>
      </c>
      <c r="G2236" s="77">
        <v>150.71512873791491</v>
      </c>
      <c r="H2236" s="77">
        <v>150.71512873791491</v>
      </c>
      <c r="I2236" s="77">
        <v>150.71512873791491</v>
      </c>
    </row>
    <row r="2237" spans="2:9">
      <c r="B2237" s="76">
        <v>2023.10567704704</v>
      </c>
      <c r="C2237">
        <v>889.49384763926344</v>
      </c>
      <c r="D2237" s="77">
        <v>148.2489746065439</v>
      </c>
      <c r="E2237" s="77">
        <v>148.2489746065439</v>
      </c>
      <c r="F2237" s="77">
        <v>148.2489746065439</v>
      </c>
      <c r="G2237" s="77">
        <v>148.2489746065439</v>
      </c>
      <c r="H2237" s="77">
        <v>148.2489746065439</v>
      </c>
      <c r="I2237" s="77">
        <v>148.2489746065439</v>
      </c>
    </row>
    <row r="2238" spans="2:9">
      <c r="B2238" s="76">
        <v>2023.2504848248332</v>
      </c>
      <c r="C2238">
        <v>929.25989573716663</v>
      </c>
      <c r="D2238" s="77">
        <v>154.87664928952776</v>
      </c>
      <c r="E2238" s="77">
        <v>154.87664928952776</v>
      </c>
      <c r="F2238" s="77">
        <v>154.87664928952776</v>
      </c>
      <c r="G2238" s="77">
        <v>154.87664928952776</v>
      </c>
      <c r="H2238" s="77">
        <v>154.87664928952776</v>
      </c>
      <c r="I2238" s="77">
        <v>154.87664928952776</v>
      </c>
    </row>
    <row r="2239" spans="2:9">
      <c r="B2239" s="76">
        <v>2025.961636916478</v>
      </c>
      <c r="C2239">
        <v>1224.0679974787793</v>
      </c>
      <c r="D2239" s="77">
        <v>204.01133291312988</v>
      </c>
      <c r="E2239" s="77">
        <v>204.01133291312988</v>
      </c>
      <c r="F2239" s="77">
        <v>204.01133291312988</v>
      </c>
      <c r="G2239" s="77">
        <v>204.01133291312988</v>
      </c>
      <c r="H2239" s="77">
        <v>204.01133291312988</v>
      </c>
      <c r="I2239" s="77">
        <v>204.01133291312988</v>
      </c>
    </row>
    <row r="2240" spans="2:9">
      <c r="B2240" s="76">
        <v>2025.1623120729316</v>
      </c>
      <c r="C2240">
        <v>1128.7979160840548</v>
      </c>
      <c r="D2240" s="77">
        <v>188.13298601400913</v>
      </c>
      <c r="E2240" s="77">
        <v>188.13298601400913</v>
      </c>
      <c r="F2240" s="77">
        <v>188.13298601400913</v>
      </c>
      <c r="G2240" s="77">
        <v>188.13298601400913</v>
      </c>
      <c r="H2240" s="77">
        <v>188.13298601400913</v>
      </c>
      <c r="I2240" s="77">
        <v>188.13298601400913</v>
      </c>
    </row>
    <row r="2241" spans="2:9">
      <c r="B2241" s="76">
        <v>2024.4203612484387</v>
      </c>
      <c r="C2241">
        <v>1060.334051331341</v>
      </c>
      <c r="D2241" s="77">
        <v>176.72234188855683</v>
      </c>
      <c r="E2241" s="77">
        <v>176.72234188855683</v>
      </c>
      <c r="F2241" s="77">
        <v>176.72234188855683</v>
      </c>
      <c r="G2241" s="77">
        <v>176.72234188855683</v>
      </c>
      <c r="H2241" s="77">
        <v>176.72234188855683</v>
      </c>
      <c r="I2241" s="77">
        <v>176.72234188855683</v>
      </c>
    </row>
    <row r="2242" spans="2:9">
      <c r="B2242" s="76">
        <v>2023.205297168711</v>
      </c>
      <c r="C2242">
        <v>916.32258895319035</v>
      </c>
      <c r="D2242" s="77">
        <v>152.7204314921984</v>
      </c>
      <c r="E2242" s="77">
        <v>152.7204314921984</v>
      </c>
      <c r="F2242" s="77">
        <v>152.7204314921984</v>
      </c>
      <c r="G2242" s="77">
        <v>152.7204314921984</v>
      </c>
      <c r="H2242" s="77">
        <v>152.7204314921984</v>
      </c>
      <c r="I2242" s="77">
        <v>152.7204314921984</v>
      </c>
    </row>
    <row r="2243" spans="2:9">
      <c r="B2243" s="76">
        <v>2023.2991622871898</v>
      </c>
      <c r="C2243">
        <v>879.39384193332637</v>
      </c>
      <c r="D2243" s="77">
        <v>146.56564032222107</v>
      </c>
      <c r="E2243" s="77">
        <v>146.56564032222107</v>
      </c>
      <c r="F2243" s="77">
        <v>146.56564032222107</v>
      </c>
      <c r="G2243" s="77">
        <v>146.56564032222107</v>
      </c>
      <c r="H2243" s="77">
        <v>146.56564032222107</v>
      </c>
      <c r="I2243" s="77">
        <v>146.56564032222107</v>
      </c>
    </row>
    <row r="2244" spans="2:9">
      <c r="B2244" s="76">
        <v>2025.0225055790602</v>
      </c>
      <c r="C2244">
        <v>1092.6070345566786</v>
      </c>
      <c r="D2244" s="77">
        <v>182.1011724261131</v>
      </c>
      <c r="E2244" s="77">
        <v>182.1011724261131</v>
      </c>
      <c r="F2244" s="77">
        <v>182.1011724261131</v>
      </c>
      <c r="G2244" s="77">
        <v>182.1011724261131</v>
      </c>
      <c r="H2244" s="77">
        <v>182.1011724261131</v>
      </c>
      <c r="I2244" s="77">
        <v>182.1011724261131</v>
      </c>
    </row>
    <row r="2245" spans="2:9">
      <c r="B2245" s="76">
        <v>2022.8202007805628</v>
      </c>
      <c r="C2245">
        <v>828.93652946136592</v>
      </c>
      <c r="D2245" s="77">
        <v>138.15608824356099</v>
      </c>
      <c r="E2245" s="77">
        <v>138.15608824356099</v>
      </c>
      <c r="F2245" s="77">
        <v>138.15608824356099</v>
      </c>
      <c r="G2245" s="77">
        <v>138.15608824356099</v>
      </c>
      <c r="H2245" s="77">
        <v>138.15608824356099</v>
      </c>
      <c r="I2245" s="77">
        <v>138.15608824356099</v>
      </c>
    </row>
    <row r="2246" spans="2:9">
      <c r="B2246" s="76">
        <v>2023.1177077443797</v>
      </c>
      <c r="C2246">
        <v>863.09333343579283</v>
      </c>
      <c r="D2246" s="77">
        <v>143.84888890596548</v>
      </c>
      <c r="E2246" s="77">
        <v>143.84888890596548</v>
      </c>
      <c r="F2246" s="77">
        <v>143.84888890596548</v>
      </c>
      <c r="G2246" s="77">
        <v>143.84888890596548</v>
      </c>
      <c r="H2246" s="77">
        <v>143.84888890596548</v>
      </c>
      <c r="I2246" s="77">
        <v>143.84888890596548</v>
      </c>
    </row>
    <row r="2247" spans="2:9">
      <c r="B2247" s="76">
        <v>2024.9889816201448</v>
      </c>
      <c r="C2247">
        <v>1222.0682861932214</v>
      </c>
      <c r="D2247" s="77">
        <v>203.67804769887024</v>
      </c>
      <c r="E2247" s="77">
        <v>203.67804769887024</v>
      </c>
      <c r="F2247" s="77">
        <v>203.67804769887024</v>
      </c>
      <c r="G2247" s="77">
        <v>203.67804769887024</v>
      </c>
      <c r="H2247" s="77">
        <v>203.67804769887024</v>
      </c>
      <c r="I2247" s="77">
        <v>203.67804769887024</v>
      </c>
    </row>
    <row r="2248" spans="2:9">
      <c r="B2248" s="76">
        <v>2023.1506623098339</v>
      </c>
      <c r="C2248">
        <v>877.39772089715211</v>
      </c>
      <c r="D2248" s="77">
        <v>146.23295348285868</v>
      </c>
      <c r="E2248" s="77">
        <v>146.23295348285868</v>
      </c>
      <c r="F2248" s="77">
        <v>146.23295348285868</v>
      </c>
      <c r="G2248" s="77">
        <v>146.23295348285868</v>
      </c>
      <c r="H2248" s="77">
        <v>146.23295348285868</v>
      </c>
      <c r="I2248" s="77">
        <v>146.23295348285868</v>
      </c>
    </row>
    <row r="2249" spans="2:9">
      <c r="B2249" s="76">
        <v>2025.6043715318704</v>
      </c>
      <c r="C2249">
        <v>1242.8093658648086</v>
      </c>
      <c r="D2249" s="77">
        <v>207.13489431080143</v>
      </c>
      <c r="E2249" s="77">
        <v>207.13489431080143</v>
      </c>
      <c r="F2249" s="77">
        <v>207.13489431080143</v>
      </c>
      <c r="G2249" s="77">
        <v>207.13489431080143</v>
      </c>
      <c r="H2249" s="77">
        <v>207.13489431080143</v>
      </c>
      <c r="I2249" s="77">
        <v>207.13489431080143</v>
      </c>
    </row>
    <row r="2250" spans="2:9">
      <c r="B2250" s="76">
        <v>2024.9531384982376</v>
      </c>
      <c r="C2250">
        <v>1066.7669499841038</v>
      </c>
      <c r="D2250" s="77">
        <v>177.7944916640173</v>
      </c>
      <c r="E2250" s="77">
        <v>177.7944916640173</v>
      </c>
      <c r="F2250" s="77">
        <v>177.7944916640173</v>
      </c>
      <c r="G2250" s="77">
        <v>177.7944916640173</v>
      </c>
      <c r="H2250" s="77">
        <v>177.7944916640173</v>
      </c>
      <c r="I2250" s="77">
        <v>177.7944916640173</v>
      </c>
    </row>
    <row r="2251" spans="2:9">
      <c r="B2251" s="76">
        <v>2023.0031952274462</v>
      </c>
      <c r="C2251">
        <v>922.0836269815062</v>
      </c>
      <c r="D2251" s="77">
        <v>153.68060449691771</v>
      </c>
      <c r="E2251" s="77">
        <v>153.68060449691771</v>
      </c>
      <c r="F2251" s="77">
        <v>153.68060449691771</v>
      </c>
      <c r="G2251" s="77">
        <v>153.68060449691771</v>
      </c>
      <c r="H2251" s="77">
        <v>153.68060449691771</v>
      </c>
      <c r="I2251" s="77">
        <v>153.68060449691771</v>
      </c>
    </row>
    <row r="2252" spans="2:9">
      <c r="B2252" s="76">
        <v>2022.8486658715117</v>
      </c>
      <c r="C2252">
        <v>918.47672533268519</v>
      </c>
      <c r="D2252" s="77">
        <v>153.07945422211421</v>
      </c>
      <c r="E2252" s="77">
        <v>153.07945422211421</v>
      </c>
      <c r="F2252" s="77">
        <v>153.07945422211421</v>
      </c>
      <c r="G2252" s="77">
        <v>153.07945422211421</v>
      </c>
      <c r="H2252" s="77">
        <v>153.07945422211421</v>
      </c>
      <c r="I2252" s="77">
        <v>153.07945422211421</v>
      </c>
    </row>
    <row r="2253" spans="2:9">
      <c r="B2253" s="76">
        <v>2023.3017478958834</v>
      </c>
      <c r="C2253">
        <v>941.64053866421909</v>
      </c>
      <c r="D2253" s="77">
        <v>156.94008977736985</v>
      </c>
      <c r="E2253" s="77">
        <v>156.94008977736985</v>
      </c>
      <c r="F2253" s="77">
        <v>156.94008977736985</v>
      </c>
      <c r="G2253" s="77">
        <v>156.94008977736985</v>
      </c>
      <c r="H2253" s="77">
        <v>156.94008977736985</v>
      </c>
      <c r="I2253" s="77">
        <v>156.94008977736985</v>
      </c>
    </row>
    <row r="2254" spans="2:9">
      <c r="B2254" s="76">
        <v>2022.998262908997</v>
      </c>
      <c r="C2254">
        <v>902.44533245975936</v>
      </c>
      <c r="D2254" s="77">
        <v>150.40755540995988</v>
      </c>
      <c r="E2254" s="77">
        <v>150.40755540995988</v>
      </c>
      <c r="F2254" s="77">
        <v>150.40755540995988</v>
      </c>
      <c r="G2254" s="77">
        <v>150.40755540995988</v>
      </c>
      <c r="H2254" s="77">
        <v>150.40755540995988</v>
      </c>
      <c r="I2254" s="77">
        <v>150.40755540995988</v>
      </c>
    </row>
    <row r="2255" spans="2:9">
      <c r="B2255" s="76">
        <v>2023.2010478766097</v>
      </c>
      <c r="C2255">
        <v>932.50723766801673</v>
      </c>
      <c r="D2255" s="77">
        <v>155.41787294466945</v>
      </c>
      <c r="E2255" s="77">
        <v>155.41787294466945</v>
      </c>
      <c r="F2255" s="77">
        <v>155.41787294466945</v>
      </c>
      <c r="G2255" s="77">
        <v>155.41787294466945</v>
      </c>
      <c r="H2255" s="77">
        <v>155.41787294466945</v>
      </c>
      <c r="I2255" s="77">
        <v>155.41787294466945</v>
      </c>
    </row>
    <row r="2256" spans="2:9">
      <c r="B2256" s="76">
        <v>2023.2077131432525</v>
      </c>
      <c r="C2256">
        <v>880.53174585628392</v>
      </c>
      <c r="D2256" s="77">
        <v>146.75529097604732</v>
      </c>
      <c r="E2256" s="77">
        <v>146.75529097604732</v>
      </c>
      <c r="F2256" s="77">
        <v>146.75529097604732</v>
      </c>
      <c r="G2256" s="77">
        <v>146.75529097604732</v>
      </c>
      <c r="H2256" s="77">
        <v>146.75529097604732</v>
      </c>
      <c r="I2256" s="77">
        <v>146.75529097604732</v>
      </c>
    </row>
    <row r="2257" spans="2:9">
      <c r="B2257" s="76">
        <v>2024.5449116881352</v>
      </c>
      <c r="C2257">
        <v>1072.2832444957701</v>
      </c>
      <c r="D2257" s="77">
        <v>178.71387408262834</v>
      </c>
      <c r="E2257" s="77">
        <v>178.71387408262834</v>
      </c>
      <c r="F2257" s="77">
        <v>178.71387408262834</v>
      </c>
      <c r="G2257" s="77">
        <v>178.71387408262834</v>
      </c>
      <c r="H2257" s="77">
        <v>178.71387408262834</v>
      </c>
      <c r="I2257" s="77">
        <v>178.71387408262834</v>
      </c>
    </row>
    <row r="2258" spans="2:9">
      <c r="B2258" s="76">
        <v>2023.4425443141392</v>
      </c>
      <c r="C2258">
        <v>978.79941563690011</v>
      </c>
      <c r="D2258" s="77">
        <v>163.13323593948334</v>
      </c>
      <c r="E2258" s="77">
        <v>163.13323593948334</v>
      </c>
      <c r="F2258" s="77">
        <v>163.13323593948334</v>
      </c>
      <c r="G2258" s="77">
        <v>163.13323593948334</v>
      </c>
      <c r="H2258" s="77">
        <v>163.13323593948334</v>
      </c>
      <c r="I2258" s="77">
        <v>163.13323593948334</v>
      </c>
    </row>
    <row r="2259" spans="2:9">
      <c r="B2259" s="76">
        <v>2025.1223873666283</v>
      </c>
      <c r="C2259">
        <v>1082.9124892673524</v>
      </c>
      <c r="D2259" s="77">
        <v>180.48541487789205</v>
      </c>
      <c r="E2259" s="77">
        <v>180.48541487789205</v>
      </c>
      <c r="F2259" s="77">
        <v>180.48541487789205</v>
      </c>
      <c r="G2259" s="77">
        <v>180.48541487789205</v>
      </c>
      <c r="H2259" s="77">
        <v>180.48541487789205</v>
      </c>
      <c r="I2259" s="77">
        <v>180.48541487789205</v>
      </c>
    </row>
    <row r="2260" spans="2:9">
      <c r="B2260" s="76">
        <v>2023.3426741948385</v>
      </c>
      <c r="C2260">
        <v>976.29385457551018</v>
      </c>
      <c r="D2260" s="77">
        <v>162.71564242925169</v>
      </c>
      <c r="E2260" s="77">
        <v>162.71564242925169</v>
      </c>
      <c r="F2260" s="77">
        <v>162.71564242925169</v>
      </c>
      <c r="G2260" s="77">
        <v>162.71564242925169</v>
      </c>
      <c r="H2260" s="77">
        <v>162.71564242925169</v>
      </c>
      <c r="I2260" s="77">
        <v>162.71564242925169</v>
      </c>
    </row>
    <row r="2261" spans="2:9">
      <c r="B2261" s="76">
        <v>2025.1962499786041</v>
      </c>
      <c r="C2261">
        <v>1247.9450724088163</v>
      </c>
      <c r="D2261" s="77">
        <v>207.99084540146939</v>
      </c>
      <c r="E2261" s="77">
        <v>207.99084540146939</v>
      </c>
      <c r="F2261" s="77">
        <v>207.99084540146939</v>
      </c>
      <c r="G2261" s="77">
        <v>207.99084540146939</v>
      </c>
      <c r="H2261" s="77">
        <v>207.99084540146939</v>
      </c>
      <c r="I2261" s="77">
        <v>207.99084540146939</v>
      </c>
    </row>
    <row r="2262" spans="2:9">
      <c r="B2262" s="76">
        <v>2023.0547679835006</v>
      </c>
      <c r="C2262">
        <v>903.00587612701645</v>
      </c>
      <c r="D2262" s="77">
        <v>150.50097935450273</v>
      </c>
      <c r="E2262" s="77">
        <v>150.50097935450273</v>
      </c>
      <c r="F2262" s="77">
        <v>150.50097935450273</v>
      </c>
      <c r="G2262" s="77">
        <v>150.50097935450273</v>
      </c>
      <c r="H2262" s="77">
        <v>150.50097935450273</v>
      </c>
      <c r="I2262" s="77">
        <v>150.50097935450273</v>
      </c>
    </row>
    <row r="2263" spans="2:9">
      <c r="B2263" s="76">
        <v>2024.4796263472804</v>
      </c>
      <c r="C2263">
        <v>1062.5030258948871</v>
      </c>
      <c r="D2263" s="77">
        <v>177.08383764914785</v>
      </c>
      <c r="E2263" s="77">
        <v>177.08383764914785</v>
      </c>
      <c r="F2263" s="77">
        <v>177.08383764914785</v>
      </c>
      <c r="G2263" s="77">
        <v>177.08383764914785</v>
      </c>
      <c r="H2263" s="77">
        <v>177.08383764914785</v>
      </c>
      <c r="I2263" s="77">
        <v>177.08383764914785</v>
      </c>
    </row>
    <row r="2264" spans="2:9">
      <c r="B2264" s="76">
        <v>2022.8320905231699</v>
      </c>
      <c r="C2264">
        <v>836.51466203181792</v>
      </c>
      <c r="D2264" s="77">
        <v>139.41911033863633</v>
      </c>
      <c r="E2264" s="77">
        <v>139.41911033863633</v>
      </c>
      <c r="F2264" s="77">
        <v>139.41911033863633</v>
      </c>
      <c r="G2264" s="77">
        <v>139.41911033863633</v>
      </c>
      <c r="H2264" s="77">
        <v>139.41911033863633</v>
      </c>
      <c r="I2264" s="77">
        <v>139.41911033863633</v>
      </c>
    </row>
    <row r="2265" spans="2:9">
      <c r="B2265" s="76">
        <v>2022.943664541639</v>
      </c>
      <c r="C2265">
        <v>878.72183207779949</v>
      </c>
      <c r="D2265" s="77">
        <v>146.45363867963326</v>
      </c>
      <c r="E2265" s="77">
        <v>146.45363867963326</v>
      </c>
      <c r="F2265" s="77">
        <v>146.45363867963326</v>
      </c>
      <c r="G2265" s="77">
        <v>146.45363867963326</v>
      </c>
      <c r="H2265" s="77">
        <v>146.45363867963326</v>
      </c>
      <c r="I2265" s="77">
        <v>146.45363867963326</v>
      </c>
    </row>
    <row r="2266" spans="2:9">
      <c r="B2266" s="76">
        <v>2024.6869158035283</v>
      </c>
      <c r="C2266">
        <v>1176.221803996576</v>
      </c>
      <c r="D2266" s="77">
        <v>196.03696733276266</v>
      </c>
      <c r="E2266" s="77">
        <v>196.03696733276266</v>
      </c>
      <c r="F2266" s="77">
        <v>196.03696733276266</v>
      </c>
      <c r="G2266" s="77">
        <v>196.03696733276266</v>
      </c>
      <c r="H2266" s="77">
        <v>196.03696733276266</v>
      </c>
      <c r="I2266" s="77">
        <v>196.03696733276266</v>
      </c>
    </row>
    <row r="2267" spans="2:9">
      <c r="B2267" s="76">
        <v>2022.9792154148602</v>
      </c>
      <c r="C2267">
        <v>864.71663117215724</v>
      </c>
      <c r="D2267" s="77">
        <v>144.11943852869288</v>
      </c>
      <c r="E2267" s="77">
        <v>144.11943852869288</v>
      </c>
      <c r="F2267" s="77">
        <v>144.11943852869288</v>
      </c>
      <c r="G2267" s="77">
        <v>144.11943852869288</v>
      </c>
      <c r="H2267" s="77">
        <v>144.11943852869288</v>
      </c>
      <c r="I2267" s="77">
        <v>144.11943852869288</v>
      </c>
    </row>
    <row r="2268" spans="2:9">
      <c r="B2268" s="76">
        <v>2022.9798127481231</v>
      </c>
      <c r="C2268">
        <v>892.20359128332348</v>
      </c>
      <c r="D2268" s="77">
        <v>148.70059854722058</v>
      </c>
      <c r="E2268" s="77">
        <v>148.70059854722058</v>
      </c>
      <c r="F2268" s="77">
        <v>148.70059854722058</v>
      </c>
      <c r="G2268" s="77">
        <v>148.70059854722058</v>
      </c>
      <c r="H2268" s="77">
        <v>148.70059854722058</v>
      </c>
      <c r="I2268" s="77">
        <v>148.70059854722058</v>
      </c>
    </row>
    <row r="2269" spans="2:9">
      <c r="B2269" s="76">
        <v>2022.9894629186274</v>
      </c>
      <c r="C2269">
        <v>913.61572325303325</v>
      </c>
      <c r="D2269" s="77">
        <v>152.26928720883888</v>
      </c>
      <c r="E2269" s="77">
        <v>152.26928720883888</v>
      </c>
      <c r="F2269" s="77">
        <v>152.26928720883888</v>
      </c>
      <c r="G2269" s="77">
        <v>152.26928720883888</v>
      </c>
      <c r="H2269" s="77">
        <v>152.26928720883888</v>
      </c>
      <c r="I2269" s="77">
        <v>152.26928720883888</v>
      </c>
    </row>
    <row r="2270" spans="2:9">
      <c r="B2270" s="76">
        <v>2023.3151197472378</v>
      </c>
      <c r="C2270">
        <v>986.17403118426921</v>
      </c>
      <c r="D2270" s="77">
        <v>164.36233853071153</v>
      </c>
      <c r="E2270" s="77">
        <v>164.36233853071153</v>
      </c>
      <c r="F2270" s="77">
        <v>164.36233853071153</v>
      </c>
      <c r="G2270" s="77">
        <v>164.36233853071153</v>
      </c>
      <c r="H2270" s="77">
        <v>164.36233853071153</v>
      </c>
      <c r="I2270" s="77">
        <v>164.36233853071153</v>
      </c>
    </row>
    <row r="2271" spans="2:9">
      <c r="B2271" s="76">
        <v>2023.4301942755692</v>
      </c>
      <c r="C2271">
        <v>980.13862467387401</v>
      </c>
      <c r="D2271" s="77">
        <v>163.35643744564567</v>
      </c>
      <c r="E2271" s="77">
        <v>163.35643744564567</v>
      </c>
      <c r="F2271" s="77">
        <v>163.35643744564567</v>
      </c>
      <c r="G2271" s="77">
        <v>163.35643744564567</v>
      </c>
      <c r="H2271" s="77">
        <v>163.35643744564567</v>
      </c>
      <c r="I2271" s="77">
        <v>163.35643744564567</v>
      </c>
    </row>
    <row r="2272" spans="2:9">
      <c r="B2272" s="76">
        <v>2023.2356827798721</v>
      </c>
      <c r="C2272">
        <v>909.48437039307498</v>
      </c>
      <c r="D2272" s="77">
        <v>151.58072839884582</v>
      </c>
      <c r="E2272" s="77">
        <v>151.58072839884582</v>
      </c>
      <c r="F2272" s="77">
        <v>151.58072839884582</v>
      </c>
      <c r="G2272" s="77">
        <v>151.58072839884582</v>
      </c>
      <c r="H2272" s="77">
        <v>151.58072839884582</v>
      </c>
      <c r="I2272" s="77">
        <v>151.58072839884582</v>
      </c>
    </row>
    <row r="2273" spans="2:9">
      <c r="B2273" s="76">
        <v>2024.9620437361182</v>
      </c>
      <c r="C2273">
        <v>1185.0724318095292</v>
      </c>
      <c r="D2273" s="77">
        <v>197.51207196825487</v>
      </c>
      <c r="E2273" s="77">
        <v>197.51207196825487</v>
      </c>
      <c r="F2273" s="77">
        <v>197.51207196825487</v>
      </c>
      <c r="G2273" s="77">
        <v>197.51207196825487</v>
      </c>
      <c r="H2273" s="77">
        <v>197.51207196825487</v>
      </c>
      <c r="I2273" s="77">
        <v>197.51207196825487</v>
      </c>
    </row>
    <row r="2274" spans="2:9">
      <c r="B2274" s="76">
        <v>2023.5437445872712</v>
      </c>
      <c r="C2274">
        <v>930.05374090898397</v>
      </c>
      <c r="D2274" s="77">
        <v>155.00895681816399</v>
      </c>
      <c r="E2274" s="77">
        <v>155.00895681816399</v>
      </c>
      <c r="F2274" s="77">
        <v>155.00895681816399</v>
      </c>
      <c r="G2274" s="77">
        <v>155.00895681816399</v>
      </c>
      <c r="H2274" s="77">
        <v>155.00895681816399</v>
      </c>
      <c r="I2274" s="77">
        <v>155.00895681816399</v>
      </c>
    </row>
    <row r="2275" spans="2:9">
      <c r="B2275" s="76">
        <v>2023.5673594782372</v>
      </c>
      <c r="C2275">
        <v>961.2056637124906</v>
      </c>
      <c r="D2275" s="77">
        <v>160.20094395208176</v>
      </c>
      <c r="E2275" s="77">
        <v>160.20094395208176</v>
      </c>
      <c r="F2275" s="77">
        <v>160.20094395208176</v>
      </c>
      <c r="G2275" s="77">
        <v>160.20094395208176</v>
      </c>
      <c r="H2275" s="77">
        <v>160.20094395208176</v>
      </c>
      <c r="I2275" s="77">
        <v>160.20094395208176</v>
      </c>
    </row>
    <row r="2276" spans="2:9">
      <c r="B2276" s="76">
        <v>2023.670426936294</v>
      </c>
      <c r="C2276">
        <v>973.82425544800833</v>
      </c>
      <c r="D2276" s="77">
        <v>162.30404257466805</v>
      </c>
      <c r="E2276" s="77">
        <v>162.30404257466805</v>
      </c>
      <c r="F2276" s="77">
        <v>162.30404257466805</v>
      </c>
      <c r="G2276" s="77">
        <v>162.30404257466805</v>
      </c>
      <c r="H2276" s="77">
        <v>162.30404257466805</v>
      </c>
      <c r="I2276" s="77">
        <v>162.30404257466805</v>
      </c>
    </row>
    <row r="2277" spans="2:9">
      <c r="B2277" s="76">
        <v>2023.298506849909</v>
      </c>
      <c r="C2277">
        <v>946.38324244186549</v>
      </c>
      <c r="D2277" s="77">
        <v>157.73054040697758</v>
      </c>
      <c r="E2277" s="77">
        <v>157.73054040697758</v>
      </c>
      <c r="F2277" s="77">
        <v>157.73054040697758</v>
      </c>
      <c r="G2277" s="77">
        <v>157.73054040697758</v>
      </c>
      <c r="H2277" s="77">
        <v>157.73054040697758</v>
      </c>
      <c r="I2277" s="77">
        <v>157.73054040697758</v>
      </c>
    </row>
    <row r="2278" spans="2:9">
      <c r="B2278" s="76">
        <v>2023.1056845373878</v>
      </c>
      <c r="C2278">
        <v>868.29177422041153</v>
      </c>
      <c r="D2278" s="77">
        <v>144.71529570340192</v>
      </c>
      <c r="E2278" s="77">
        <v>144.71529570340192</v>
      </c>
      <c r="F2278" s="77">
        <v>144.71529570340192</v>
      </c>
      <c r="G2278" s="77">
        <v>144.71529570340192</v>
      </c>
      <c r="H2278" s="77">
        <v>144.71529570340192</v>
      </c>
      <c r="I2278" s="77">
        <v>144.71529570340192</v>
      </c>
    </row>
    <row r="2279" spans="2:9">
      <c r="B2279" s="76">
        <v>2022.9185334790491</v>
      </c>
      <c r="C2279">
        <v>914.86627989736496</v>
      </c>
      <c r="D2279" s="77">
        <v>152.47771331622749</v>
      </c>
      <c r="E2279" s="77">
        <v>152.47771331622749</v>
      </c>
      <c r="F2279" s="77">
        <v>152.47771331622749</v>
      </c>
      <c r="G2279" s="77">
        <v>152.47771331622749</v>
      </c>
      <c r="H2279" s="77">
        <v>152.47771331622749</v>
      </c>
      <c r="I2279" s="77">
        <v>152.47771331622749</v>
      </c>
    </row>
    <row r="2280" spans="2:9">
      <c r="B2280" s="76">
        <v>2023.645157907446</v>
      </c>
      <c r="C2280">
        <v>939.04110683955071</v>
      </c>
      <c r="D2280" s="77">
        <v>156.50685113992512</v>
      </c>
      <c r="E2280" s="77">
        <v>156.50685113992512</v>
      </c>
      <c r="F2280" s="77">
        <v>156.50685113992512</v>
      </c>
      <c r="G2280" s="77">
        <v>156.50685113992512</v>
      </c>
      <c r="H2280" s="77">
        <v>156.50685113992512</v>
      </c>
      <c r="I2280" s="77">
        <v>156.50685113992512</v>
      </c>
    </row>
    <row r="2281" spans="2:9">
      <c r="B2281" s="76">
        <v>2025.8077600884026</v>
      </c>
      <c r="C2281">
        <v>1291.3262869377563</v>
      </c>
      <c r="D2281" s="77">
        <v>215.22104782295938</v>
      </c>
      <c r="E2281" s="77">
        <v>215.22104782295938</v>
      </c>
      <c r="F2281" s="77">
        <v>215.22104782295938</v>
      </c>
      <c r="G2281" s="77">
        <v>215.22104782295938</v>
      </c>
      <c r="H2281" s="77">
        <v>215.22104782295938</v>
      </c>
      <c r="I2281" s="77">
        <v>215.22104782295938</v>
      </c>
    </row>
    <row r="2282" spans="2:9">
      <c r="B2282" s="76">
        <v>2023.0745971943245</v>
      </c>
      <c r="C2282">
        <v>889.74482803715239</v>
      </c>
      <c r="D2282" s="77">
        <v>148.29080467285874</v>
      </c>
      <c r="E2282" s="77">
        <v>148.29080467285874</v>
      </c>
      <c r="F2282" s="77">
        <v>148.29080467285874</v>
      </c>
      <c r="G2282" s="77">
        <v>148.29080467285874</v>
      </c>
      <c r="H2282" s="77">
        <v>148.29080467285874</v>
      </c>
      <c r="I2282" s="77">
        <v>148.29080467285874</v>
      </c>
    </row>
    <row r="2283" spans="2:9">
      <c r="B2283" s="76">
        <v>2023.0683046268227</v>
      </c>
      <c r="C2283">
        <v>961.69182861210663</v>
      </c>
      <c r="D2283" s="77">
        <v>160.2819714353511</v>
      </c>
      <c r="E2283" s="77">
        <v>160.2819714353511</v>
      </c>
      <c r="F2283" s="77">
        <v>160.2819714353511</v>
      </c>
      <c r="G2283" s="77">
        <v>160.2819714353511</v>
      </c>
      <c r="H2283" s="77">
        <v>160.2819714353511</v>
      </c>
      <c r="I2283" s="77">
        <v>160.2819714353511</v>
      </c>
    </row>
    <row r="2284" spans="2:9">
      <c r="B2284" s="76">
        <v>2023.276485781184</v>
      </c>
      <c r="C2284">
        <v>966.33721577246627</v>
      </c>
      <c r="D2284" s="77">
        <v>161.05620262874439</v>
      </c>
      <c r="E2284" s="77">
        <v>161.05620262874439</v>
      </c>
      <c r="F2284" s="77">
        <v>161.05620262874439</v>
      </c>
      <c r="G2284" s="77">
        <v>161.05620262874439</v>
      </c>
      <c r="H2284" s="77">
        <v>161.05620262874439</v>
      </c>
      <c r="I2284" s="77">
        <v>161.05620262874439</v>
      </c>
    </row>
    <row r="2285" spans="2:9">
      <c r="B2285" s="76">
        <v>2024.3561985157596</v>
      </c>
      <c r="C2285">
        <v>1073.5201981240052</v>
      </c>
      <c r="D2285" s="77">
        <v>178.92003302066755</v>
      </c>
      <c r="E2285" s="77">
        <v>178.92003302066755</v>
      </c>
      <c r="F2285" s="77">
        <v>178.92003302066755</v>
      </c>
      <c r="G2285" s="77">
        <v>178.92003302066755</v>
      </c>
      <c r="H2285" s="77">
        <v>178.92003302066755</v>
      </c>
      <c r="I2285" s="77">
        <v>178.92003302066755</v>
      </c>
    </row>
    <row r="2286" spans="2:9">
      <c r="B2286" s="76">
        <v>2022.8859521061988</v>
      </c>
      <c r="C2286">
        <v>895.64045905681098</v>
      </c>
      <c r="D2286" s="77">
        <v>149.27340984280184</v>
      </c>
      <c r="E2286" s="77">
        <v>149.27340984280184</v>
      </c>
      <c r="F2286" s="77">
        <v>149.27340984280184</v>
      </c>
      <c r="G2286" s="77">
        <v>149.27340984280184</v>
      </c>
      <c r="H2286" s="77">
        <v>149.27340984280184</v>
      </c>
      <c r="I2286" s="77">
        <v>149.27340984280184</v>
      </c>
    </row>
    <row r="2287" spans="2:9">
      <c r="B2287" s="76">
        <v>2023.5209143405043</v>
      </c>
      <c r="C2287">
        <v>1000.9518975477781</v>
      </c>
      <c r="D2287" s="77">
        <v>166.82531625796301</v>
      </c>
      <c r="E2287" s="77">
        <v>166.82531625796301</v>
      </c>
      <c r="F2287" s="77">
        <v>166.82531625796301</v>
      </c>
      <c r="G2287" s="77">
        <v>166.82531625796301</v>
      </c>
      <c r="H2287" s="77">
        <v>166.82531625796301</v>
      </c>
      <c r="I2287" s="77">
        <v>166.82531625796301</v>
      </c>
    </row>
    <row r="2288" spans="2:9">
      <c r="B2288" s="76">
        <v>2023.1938167138503</v>
      </c>
      <c r="C2288">
        <v>887.13512142786374</v>
      </c>
      <c r="D2288" s="77">
        <v>147.85585357131063</v>
      </c>
      <c r="E2288" s="77">
        <v>147.85585357131063</v>
      </c>
      <c r="F2288" s="77">
        <v>147.85585357131063</v>
      </c>
      <c r="G2288" s="77">
        <v>147.85585357131063</v>
      </c>
      <c r="H2288" s="77">
        <v>147.85585357131063</v>
      </c>
      <c r="I2288" s="77">
        <v>147.85585357131063</v>
      </c>
    </row>
    <row r="2289" spans="2:9">
      <c r="B2289" s="76">
        <v>2025.1526092908828</v>
      </c>
      <c r="C2289">
        <v>1174.5087837612102</v>
      </c>
      <c r="D2289" s="77">
        <v>195.7514639602017</v>
      </c>
      <c r="E2289" s="77">
        <v>195.7514639602017</v>
      </c>
      <c r="F2289" s="77">
        <v>195.7514639602017</v>
      </c>
      <c r="G2289" s="77">
        <v>195.7514639602017</v>
      </c>
      <c r="H2289" s="77">
        <v>195.7514639602017</v>
      </c>
      <c r="I2289" s="77">
        <v>195.7514639602017</v>
      </c>
    </row>
    <row r="2290" spans="2:9">
      <c r="B2290" s="76">
        <v>2023.6403726539097</v>
      </c>
      <c r="C2290">
        <v>950.58227291431285</v>
      </c>
      <c r="D2290" s="77">
        <v>158.43037881905215</v>
      </c>
      <c r="E2290" s="77">
        <v>158.43037881905215</v>
      </c>
      <c r="F2290" s="77">
        <v>158.43037881905215</v>
      </c>
      <c r="G2290" s="77">
        <v>158.43037881905215</v>
      </c>
      <c r="H2290" s="77">
        <v>158.43037881905215</v>
      </c>
      <c r="I2290" s="77">
        <v>158.43037881905215</v>
      </c>
    </row>
    <row r="2291" spans="2:9">
      <c r="B2291" s="76">
        <v>2023.350596482567</v>
      </c>
      <c r="C2291">
        <v>931.87278413344382</v>
      </c>
      <c r="D2291" s="77">
        <v>155.3121306889073</v>
      </c>
      <c r="E2291" s="77">
        <v>155.3121306889073</v>
      </c>
      <c r="F2291" s="77">
        <v>155.3121306889073</v>
      </c>
      <c r="G2291" s="77">
        <v>155.3121306889073</v>
      </c>
      <c r="H2291" s="77">
        <v>155.3121306889073</v>
      </c>
      <c r="I2291" s="77">
        <v>155.3121306889073</v>
      </c>
    </row>
    <row r="2292" spans="2:9">
      <c r="B2292" s="76">
        <v>2024.9770760220997</v>
      </c>
      <c r="C2292">
        <v>1183.9507277283301</v>
      </c>
      <c r="D2292" s="77">
        <v>197.32512128805502</v>
      </c>
      <c r="E2292" s="77">
        <v>197.32512128805502</v>
      </c>
      <c r="F2292" s="77">
        <v>197.32512128805502</v>
      </c>
      <c r="G2292" s="77">
        <v>197.32512128805502</v>
      </c>
      <c r="H2292" s="77">
        <v>197.32512128805502</v>
      </c>
      <c r="I2292" s="77">
        <v>197.32512128805502</v>
      </c>
    </row>
    <row r="2293" spans="2:9">
      <c r="B2293" s="76">
        <v>2024.5282295296124</v>
      </c>
      <c r="C2293">
        <v>1121.0459831830772</v>
      </c>
      <c r="D2293" s="77">
        <v>186.84099719717952</v>
      </c>
      <c r="E2293" s="77">
        <v>186.84099719717952</v>
      </c>
      <c r="F2293" s="77">
        <v>186.84099719717952</v>
      </c>
      <c r="G2293" s="77">
        <v>186.84099719717952</v>
      </c>
      <c r="H2293" s="77">
        <v>186.84099719717952</v>
      </c>
      <c r="I2293" s="77">
        <v>186.84099719717952</v>
      </c>
    </row>
    <row r="2294" spans="2:9">
      <c r="B2294" s="76">
        <v>2024.925780941473</v>
      </c>
      <c r="C2294">
        <v>1067.3556586632374</v>
      </c>
      <c r="D2294" s="77">
        <v>177.89260977720622</v>
      </c>
      <c r="E2294" s="77">
        <v>177.89260977720622</v>
      </c>
      <c r="F2294" s="77">
        <v>177.89260977720622</v>
      </c>
      <c r="G2294" s="77">
        <v>177.89260977720622</v>
      </c>
      <c r="H2294" s="77">
        <v>177.89260977720622</v>
      </c>
      <c r="I2294" s="77">
        <v>177.89260977720622</v>
      </c>
    </row>
    <row r="2295" spans="2:9">
      <c r="B2295" s="76">
        <v>2022.9017439251945</v>
      </c>
      <c r="C2295">
        <v>891.97731673704766</v>
      </c>
      <c r="D2295" s="77">
        <v>148.66288612284129</v>
      </c>
      <c r="E2295" s="77">
        <v>148.66288612284129</v>
      </c>
      <c r="F2295" s="77">
        <v>148.66288612284129</v>
      </c>
      <c r="G2295" s="77">
        <v>148.66288612284129</v>
      </c>
      <c r="H2295" s="77">
        <v>148.66288612284129</v>
      </c>
      <c r="I2295" s="77">
        <v>148.66288612284129</v>
      </c>
    </row>
    <row r="2296" spans="2:9">
      <c r="B2296" s="76">
        <v>2022.7269118668542</v>
      </c>
      <c r="C2296">
        <v>812.20105659844648</v>
      </c>
      <c r="D2296" s="77">
        <v>135.36684276640776</v>
      </c>
      <c r="E2296" s="77">
        <v>135.36684276640776</v>
      </c>
      <c r="F2296" s="77">
        <v>135.36684276640776</v>
      </c>
      <c r="G2296" s="77">
        <v>135.36684276640776</v>
      </c>
      <c r="H2296" s="77">
        <v>135.36684276640776</v>
      </c>
      <c r="I2296" s="77">
        <v>135.36684276640776</v>
      </c>
    </row>
    <row r="2297" spans="2:9">
      <c r="B2297" s="76">
        <v>2025.3502333079916</v>
      </c>
      <c r="C2297">
        <v>1193.7499092247683</v>
      </c>
      <c r="D2297" s="77">
        <v>198.95831820412806</v>
      </c>
      <c r="E2297" s="77">
        <v>198.95831820412806</v>
      </c>
      <c r="F2297" s="77">
        <v>198.95831820412806</v>
      </c>
      <c r="G2297" s="77">
        <v>198.95831820412806</v>
      </c>
      <c r="H2297" s="77">
        <v>198.95831820412806</v>
      </c>
      <c r="I2297" s="77">
        <v>198.95831820412806</v>
      </c>
    </row>
    <row r="2298" spans="2:9">
      <c r="B2298" s="76">
        <v>2023.3429190321733</v>
      </c>
      <c r="C2298">
        <v>928.55922733301168</v>
      </c>
      <c r="D2298" s="77">
        <v>154.75987122216861</v>
      </c>
      <c r="E2298" s="77">
        <v>154.75987122216861</v>
      </c>
      <c r="F2298" s="77">
        <v>154.75987122216861</v>
      </c>
      <c r="G2298" s="77">
        <v>154.75987122216861</v>
      </c>
      <c r="H2298" s="77">
        <v>154.75987122216861</v>
      </c>
      <c r="I2298" s="77">
        <v>154.75987122216861</v>
      </c>
    </row>
    <row r="2299" spans="2:9">
      <c r="B2299" s="76">
        <v>2024.9373820255262</v>
      </c>
      <c r="C2299">
        <v>1153.3956632115285</v>
      </c>
      <c r="D2299" s="77">
        <v>192.23261053525474</v>
      </c>
      <c r="E2299" s="77">
        <v>192.23261053525474</v>
      </c>
      <c r="F2299" s="77">
        <v>192.23261053525474</v>
      </c>
      <c r="G2299" s="77">
        <v>192.23261053525474</v>
      </c>
      <c r="H2299" s="77">
        <v>192.23261053525474</v>
      </c>
      <c r="I2299" s="77">
        <v>192.23261053525474</v>
      </c>
    </row>
    <row r="2300" spans="2:9">
      <c r="B2300" s="76">
        <v>2022.7417416224725</v>
      </c>
      <c r="C2300">
        <v>881.43185131374094</v>
      </c>
      <c r="D2300" s="77">
        <v>146.90530855229017</v>
      </c>
      <c r="E2300" s="77">
        <v>146.90530855229017</v>
      </c>
      <c r="F2300" s="77">
        <v>146.90530855229017</v>
      </c>
      <c r="G2300" s="77">
        <v>146.90530855229017</v>
      </c>
      <c r="H2300" s="77">
        <v>146.90530855229017</v>
      </c>
      <c r="I2300" s="77">
        <v>146.90530855229017</v>
      </c>
    </row>
    <row r="2301" spans="2:9">
      <c r="B2301" s="76">
        <v>2025.2493608380905</v>
      </c>
      <c r="C2301">
        <v>1145.5404170172681</v>
      </c>
      <c r="D2301" s="77">
        <v>190.92340283621135</v>
      </c>
      <c r="E2301" s="77">
        <v>190.92340283621135</v>
      </c>
      <c r="F2301" s="77">
        <v>190.92340283621135</v>
      </c>
      <c r="G2301" s="77">
        <v>190.92340283621135</v>
      </c>
      <c r="H2301" s="77">
        <v>190.92340283621135</v>
      </c>
      <c r="I2301" s="77">
        <v>190.92340283621135</v>
      </c>
    </row>
    <row r="2302" spans="2:9">
      <c r="B2302" s="76">
        <v>2022.8650059404733</v>
      </c>
      <c r="C2302">
        <v>852.4440985471075</v>
      </c>
      <c r="D2302" s="77">
        <v>142.07401642451791</v>
      </c>
      <c r="E2302" s="77">
        <v>142.07401642451791</v>
      </c>
      <c r="F2302" s="77">
        <v>142.07401642451791</v>
      </c>
      <c r="G2302" s="77">
        <v>142.07401642451791</v>
      </c>
      <c r="H2302" s="77">
        <v>142.07401642451791</v>
      </c>
      <c r="I2302" s="77">
        <v>142.07401642451791</v>
      </c>
    </row>
    <row r="2303" spans="2:9">
      <c r="B2303" s="76">
        <v>2023.1473853426633</v>
      </c>
      <c r="C2303">
        <v>915.14703324321715</v>
      </c>
      <c r="D2303" s="77">
        <v>152.52450554053618</v>
      </c>
      <c r="E2303" s="77">
        <v>152.52450554053618</v>
      </c>
      <c r="F2303" s="77">
        <v>152.52450554053618</v>
      </c>
      <c r="G2303" s="77">
        <v>152.52450554053618</v>
      </c>
      <c r="H2303" s="77">
        <v>152.52450554053618</v>
      </c>
      <c r="I2303" s="77">
        <v>152.52450554053618</v>
      </c>
    </row>
    <row r="2304" spans="2:9">
      <c r="B2304" s="76">
        <v>2024.6452646763048</v>
      </c>
      <c r="C2304">
        <v>1086.7677516607537</v>
      </c>
      <c r="D2304" s="77">
        <v>181.1279586101256</v>
      </c>
      <c r="E2304" s="77">
        <v>181.1279586101256</v>
      </c>
      <c r="F2304" s="77">
        <v>181.1279586101256</v>
      </c>
      <c r="G2304" s="77">
        <v>181.1279586101256</v>
      </c>
      <c r="H2304" s="77">
        <v>181.1279586101256</v>
      </c>
      <c r="I2304" s="77">
        <v>181.1279586101256</v>
      </c>
    </row>
    <row r="2305" spans="2:9">
      <c r="B2305" s="76">
        <v>2022.8965347141777</v>
      </c>
      <c r="C2305">
        <v>858.49027391014283</v>
      </c>
      <c r="D2305" s="77">
        <v>143.08171231835715</v>
      </c>
      <c r="E2305" s="77">
        <v>143.08171231835715</v>
      </c>
      <c r="F2305" s="77">
        <v>143.08171231835715</v>
      </c>
      <c r="G2305" s="77">
        <v>143.08171231835715</v>
      </c>
      <c r="H2305" s="77">
        <v>143.08171231835715</v>
      </c>
      <c r="I2305" s="77">
        <v>143.08171231835715</v>
      </c>
    </row>
    <row r="2306" spans="2:9">
      <c r="B2306" s="76">
        <v>2025.258018810179</v>
      </c>
      <c r="C2306">
        <v>1218.5709092500194</v>
      </c>
      <c r="D2306" s="77">
        <v>203.09515154166991</v>
      </c>
      <c r="E2306" s="77">
        <v>203.09515154166991</v>
      </c>
      <c r="F2306" s="77">
        <v>203.09515154166991</v>
      </c>
      <c r="G2306" s="77">
        <v>203.09515154166991</v>
      </c>
      <c r="H2306" s="77">
        <v>203.09515154166991</v>
      </c>
      <c r="I2306" s="77">
        <v>203.09515154166991</v>
      </c>
    </row>
    <row r="2307" spans="2:9">
      <c r="B2307" s="76">
        <v>2023.5913550597543</v>
      </c>
      <c r="C2307">
        <v>959.19738725134914</v>
      </c>
      <c r="D2307" s="77">
        <v>159.86623120855819</v>
      </c>
      <c r="E2307" s="77">
        <v>159.86623120855819</v>
      </c>
      <c r="F2307" s="77">
        <v>159.86623120855819</v>
      </c>
      <c r="G2307" s="77">
        <v>159.86623120855819</v>
      </c>
      <c r="H2307" s="77">
        <v>159.86623120855819</v>
      </c>
      <c r="I2307" s="77">
        <v>159.86623120855819</v>
      </c>
    </row>
    <row r="2308" spans="2:9">
      <c r="B2308" s="76">
        <v>2023.2723313827898</v>
      </c>
      <c r="C2308">
        <v>1025.1953570955211</v>
      </c>
      <c r="D2308" s="77">
        <v>170.86589284925353</v>
      </c>
      <c r="E2308" s="77">
        <v>170.86589284925353</v>
      </c>
      <c r="F2308" s="77">
        <v>170.86589284925353</v>
      </c>
      <c r="G2308" s="77">
        <v>170.86589284925353</v>
      </c>
      <c r="H2308" s="77">
        <v>170.86589284925353</v>
      </c>
      <c r="I2308" s="77">
        <v>170.86589284925353</v>
      </c>
    </row>
    <row r="2309" spans="2:9">
      <c r="B2309" s="76">
        <v>2023.3153349721435</v>
      </c>
      <c r="C2309">
        <v>929.68922002594115</v>
      </c>
      <c r="D2309" s="77">
        <v>154.94820333765685</v>
      </c>
      <c r="E2309" s="77">
        <v>154.94820333765685</v>
      </c>
      <c r="F2309" s="77">
        <v>154.94820333765685</v>
      </c>
      <c r="G2309" s="77">
        <v>154.94820333765685</v>
      </c>
      <c r="H2309" s="77">
        <v>154.94820333765685</v>
      </c>
      <c r="I2309" s="77">
        <v>154.94820333765685</v>
      </c>
    </row>
    <row r="2310" spans="2:9">
      <c r="B2310" s="76">
        <v>2024.433104451851</v>
      </c>
      <c r="C2310">
        <v>1032.3642977313309</v>
      </c>
      <c r="D2310" s="77">
        <v>172.06071628855514</v>
      </c>
      <c r="E2310" s="77">
        <v>172.06071628855514</v>
      </c>
      <c r="F2310" s="77">
        <v>172.06071628855514</v>
      </c>
      <c r="G2310" s="77">
        <v>172.06071628855514</v>
      </c>
      <c r="H2310" s="77">
        <v>172.06071628855514</v>
      </c>
      <c r="I2310" s="77">
        <v>172.06071628855514</v>
      </c>
    </row>
    <row r="2311" spans="2:9">
      <c r="B2311" s="76">
        <v>2025.0976048853399</v>
      </c>
      <c r="C2311">
        <v>1204.2365166647364</v>
      </c>
      <c r="D2311" s="77">
        <v>200.70608611078941</v>
      </c>
      <c r="E2311" s="77">
        <v>200.70608611078941</v>
      </c>
      <c r="F2311" s="77">
        <v>200.70608611078941</v>
      </c>
      <c r="G2311" s="77">
        <v>200.70608611078941</v>
      </c>
      <c r="H2311" s="77">
        <v>200.70608611078941</v>
      </c>
      <c r="I2311" s="77">
        <v>200.70608611078941</v>
      </c>
    </row>
    <row r="2312" spans="2:9">
      <c r="B2312" s="76">
        <v>2022.7195917089823</v>
      </c>
      <c r="C2312">
        <v>855.44056271218358</v>
      </c>
      <c r="D2312" s="77">
        <v>142.57342711869725</v>
      </c>
      <c r="E2312" s="77">
        <v>142.57342711869725</v>
      </c>
      <c r="F2312" s="77">
        <v>142.57342711869725</v>
      </c>
      <c r="G2312" s="77">
        <v>142.57342711869725</v>
      </c>
      <c r="H2312" s="77">
        <v>142.57342711869725</v>
      </c>
      <c r="I2312" s="77">
        <v>142.57342711869725</v>
      </c>
    </row>
    <row r="2313" spans="2:9">
      <c r="B2313" s="76">
        <v>2024.8202702373289</v>
      </c>
      <c r="C2313">
        <v>1096.1972151399868</v>
      </c>
      <c r="D2313" s="77">
        <v>182.69953585666448</v>
      </c>
      <c r="E2313" s="77">
        <v>182.69953585666448</v>
      </c>
      <c r="F2313" s="77">
        <v>182.69953585666448</v>
      </c>
      <c r="G2313" s="77">
        <v>182.69953585666448</v>
      </c>
      <c r="H2313" s="77">
        <v>182.69953585666448</v>
      </c>
      <c r="I2313" s="77">
        <v>182.69953585666448</v>
      </c>
    </row>
    <row r="2314" spans="2:9">
      <c r="B2314" s="76">
        <v>2025.1088712198364</v>
      </c>
      <c r="C2314">
        <v>1168.699641186382</v>
      </c>
      <c r="D2314" s="77">
        <v>194.78327353106366</v>
      </c>
      <c r="E2314" s="77">
        <v>194.78327353106366</v>
      </c>
      <c r="F2314" s="77">
        <v>194.78327353106366</v>
      </c>
      <c r="G2314" s="77">
        <v>194.78327353106366</v>
      </c>
      <c r="H2314" s="77">
        <v>194.78327353106366</v>
      </c>
      <c r="I2314" s="77">
        <v>194.78327353106366</v>
      </c>
    </row>
    <row r="2315" spans="2:9">
      <c r="B2315" s="76">
        <v>2022.9992436671091</v>
      </c>
      <c r="C2315">
        <v>878.50536803141881</v>
      </c>
      <c r="D2315" s="77">
        <v>146.41756133856981</v>
      </c>
      <c r="E2315" s="77">
        <v>146.41756133856981</v>
      </c>
      <c r="F2315" s="77">
        <v>146.41756133856981</v>
      </c>
      <c r="G2315" s="77">
        <v>146.41756133856981</v>
      </c>
      <c r="H2315" s="77">
        <v>146.41756133856981</v>
      </c>
      <c r="I2315" s="77">
        <v>146.41756133856981</v>
      </c>
    </row>
    <row r="2316" spans="2:9">
      <c r="B2316" s="76">
        <v>2023.2131697812727</v>
      </c>
      <c r="C2316">
        <v>938.84000885705439</v>
      </c>
      <c r="D2316" s="77">
        <v>156.47333480950905</v>
      </c>
      <c r="E2316" s="77">
        <v>156.47333480950905</v>
      </c>
      <c r="F2316" s="77">
        <v>156.47333480950905</v>
      </c>
      <c r="G2316" s="77">
        <v>156.47333480950905</v>
      </c>
      <c r="H2316" s="77">
        <v>156.47333480950905</v>
      </c>
      <c r="I2316" s="77">
        <v>156.47333480950905</v>
      </c>
    </row>
    <row r="2317" spans="2:9">
      <c r="B2317" s="76">
        <v>2022.8126067223955</v>
      </c>
      <c r="C2317">
        <v>859.34352081950715</v>
      </c>
      <c r="D2317" s="77">
        <v>143.22392013658452</v>
      </c>
      <c r="E2317" s="77">
        <v>143.22392013658452</v>
      </c>
      <c r="F2317" s="77">
        <v>143.22392013658452</v>
      </c>
      <c r="G2317" s="77">
        <v>143.22392013658452</v>
      </c>
      <c r="H2317" s="77">
        <v>143.22392013658452</v>
      </c>
      <c r="I2317" s="77">
        <v>143.22392013658452</v>
      </c>
    </row>
    <row r="2318" spans="2:9">
      <c r="B2318" s="76">
        <v>2023.1790298875858</v>
      </c>
      <c r="C2318">
        <v>916.4171954878193</v>
      </c>
      <c r="D2318" s="77">
        <v>152.73619924796989</v>
      </c>
      <c r="E2318" s="77">
        <v>152.73619924796989</v>
      </c>
      <c r="F2318" s="77">
        <v>152.73619924796989</v>
      </c>
      <c r="G2318" s="77">
        <v>152.73619924796989</v>
      </c>
      <c r="H2318" s="77">
        <v>152.73619924796989</v>
      </c>
      <c r="I2318" s="77">
        <v>152.73619924796989</v>
      </c>
    </row>
    <row r="2319" spans="2:9">
      <c r="B2319" s="76">
        <v>2023.324440652058</v>
      </c>
      <c r="C2319">
        <v>955.7100023134725</v>
      </c>
      <c r="D2319" s="77">
        <v>159.28500038557874</v>
      </c>
      <c r="E2319" s="77">
        <v>159.28500038557874</v>
      </c>
      <c r="F2319" s="77">
        <v>159.28500038557874</v>
      </c>
      <c r="G2319" s="77">
        <v>159.28500038557874</v>
      </c>
      <c r="H2319" s="77">
        <v>159.28500038557874</v>
      </c>
      <c r="I2319" s="77">
        <v>159.28500038557874</v>
      </c>
    </row>
    <row r="2320" spans="2:9">
      <c r="B2320" s="76">
        <v>2025.5247292964714</v>
      </c>
      <c r="C2320">
        <v>1252.5929698017321</v>
      </c>
      <c r="D2320" s="77">
        <v>208.76549496695534</v>
      </c>
      <c r="E2320" s="77">
        <v>208.76549496695534</v>
      </c>
      <c r="F2320" s="77">
        <v>208.76549496695534</v>
      </c>
      <c r="G2320" s="77">
        <v>208.76549496695534</v>
      </c>
      <c r="H2320" s="77">
        <v>208.76549496695534</v>
      </c>
      <c r="I2320" s="77">
        <v>208.76549496695534</v>
      </c>
    </row>
    <row r="2321" spans="2:9">
      <c r="B2321" s="76">
        <v>2023.153966160271</v>
      </c>
      <c r="C2321">
        <v>946.0282684438987</v>
      </c>
      <c r="D2321" s="77">
        <v>157.67137807398311</v>
      </c>
      <c r="E2321" s="77">
        <v>157.67137807398311</v>
      </c>
      <c r="F2321" s="77">
        <v>157.67137807398311</v>
      </c>
      <c r="G2321" s="77">
        <v>157.67137807398311</v>
      </c>
      <c r="H2321" s="77">
        <v>157.67137807398311</v>
      </c>
      <c r="I2321" s="77">
        <v>157.67137807398311</v>
      </c>
    </row>
    <row r="2322" spans="2:9">
      <c r="B2322" s="76">
        <v>2023.334718428212</v>
      </c>
      <c r="C2322">
        <v>948.9912180406742</v>
      </c>
      <c r="D2322" s="77">
        <v>158.16520300677902</v>
      </c>
      <c r="E2322" s="77">
        <v>158.16520300677902</v>
      </c>
      <c r="F2322" s="77">
        <v>158.16520300677902</v>
      </c>
      <c r="G2322" s="77">
        <v>158.16520300677902</v>
      </c>
      <c r="H2322" s="77">
        <v>158.16520300677902</v>
      </c>
      <c r="I2322" s="77">
        <v>158.16520300677902</v>
      </c>
    </row>
    <row r="2323" spans="2:9">
      <c r="B2323" s="76">
        <v>2024.9125805294557</v>
      </c>
      <c r="C2323">
        <v>1086.5580413567081</v>
      </c>
      <c r="D2323" s="77">
        <v>181.0930068927847</v>
      </c>
      <c r="E2323" s="77">
        <v>181.0930068927847</v>
      </c>
      <c r="F2323" s="77">
        <v>181.0930068927847</v>
      </c>
      <c r="G2323" s="77">
        <v>181.0930068927847</v>
      </c>
      <c r="H2323" s="77">
        <v>181.0930068927847</v>
      </c>
      <c r="I2323" s="77">
        <v>181.0930068927847</v>
      </c>
    </row>
    <row r="2324" spans="2:9">
      <c r="B2324" s="76">
        <v>2024.3313914569978</v>
      </c>
      <c r="C2324">
        <v>1030.2859432374576</v>
      </c>
      <c r="D2324" s="77">
        <v>171.7143238729096</v>
      </c>
      <c r="E2324" s="77">
        <v>171.7143238729096</v>
      </c>
      <c r="F2324" s="77">
        <v>171.7143238729096</v>
      </c>
      <c r="G2324" s="77">
        <v>171.7143238729096</v>
      </c>
      <c r="H2324" s="77">
        <v>171.7143238729096</v>
      </c>
      <c r="I2324" s="77">
        <v>171.7143238729096</v>
      </c>
    </row>
    <row r="2325" spans="2:9">
      <c r="B2325" s="76">
        <v>2024.7043203785774</v>
      </c>
      <c r="C2325">
        <v>1038.9633261792405</v>
      </c>
      <c r="D2325" s="77">
        <v>173.16055436320676</v>
      </c>
      <c r="E2325" s="77">
        <v>173.16055436320676</v>
      </c>
      <c r="F2325" s="77">
        <v>173.16055436320676</v>
      </c>
      <c r="G2325" s="77">
        <v>173.16055436320676</v>
      </c>
      <c r="H2325" s="77">
        <v>173.16055436320676</v>
      </c>
      <c r="I2325" s="77">
        <v>173.16055436320676</v>
      </c>
    </row>
    <row r="2326" spans="2:9">
      <c r="B2326" s="76">
        <v>2024.5875461683224</v>
      </c>
      <c r="C2326">
        <v>1071.1334358788729</v>
      </c>
      <c r="D2326" s="77">
        <v>178.52223931314549</v>
      </c>
      <c r="E2326" s="77">
        <v>178.52223931314549</v>
      </c>
      <c r="F2326" s="77">
        <v>178.52223931314549</v>
      </c>
      <c r="G2326" s="77">
        <v>178.52223931314549</v>
      </c>
      <c r="H2326" s="77">
        <v>178.52223931314549</v>
      </c>
      <c r="I2326" s="77">
        <v>178.52223931314549</v>
      </c>
    </row>
    <row r="2327" spans="2:9">
      <c r="B2327" s="76">
        <v>2023.3408193229322</v>
      </c>
      <c r="C2327">
        <v>908.79206680578113</v>
      </c>
      <c r="D2327" s="77">
        <v>151.46534446763019</v>
      </c>
      <c r="E2327" s="77">
        <v>151.46534446763019</v>
      </c>
      <c r="F2327" s="77">
        <v>151.46534446763019</v>
      </c>
      <c r="G2327" s="77">
        <v>151.46534446763019</v>
      </c>
      <c r="H2327" s="77">
        <v>151.46534446763019</v>
      </c>
      <c r="I2327" s="77">
        <v>151.46534446763019</v>
      </c>
    </row>
    <row r="2328" spans="2:9">
      <c r="B2328" s="76">
        <v>2023.0630545492495</v>
      </c>
      <c r="C2328">
        <v>888.4850194235479</v>
      </c>
      <c r="D2328" s="77">
        <v>148.08083657059132</v>
      </c>
      <c r="E2328" s="77">
        <v>148.08083657059132</v>
      </c>
      <c r="F2328" s="77">
        <v>148.08083657059132</v>
      </c>
      <c r="G2328" s="77">
        <v>148.08083657059132</v>
      </c>
      <c r="H2328" s="77">
        <v>148.08083657059132</v>
      </c>
      <c r="I2328" s="77">
        <v>148.08083657059132</v>
      </c>
    </row>
    <row r="2329" spans="2:9">
      <c r="B2329" s="76">
        <v>2023.2675590405663</v>
      </c>
      <c r="C2329">
        <v>936.12819752652535</v>
      </c>
      <c r="D2329" s="77">
        <v>156.02136625442088</v>
      </c>
      <c r="E2329" s="77">
        <v>156.02136625442088</v>
      </c>
      <c r="F2329" s="77">
        <v>156.02136625442088</v>
      </c>
      <c r="G2329" s="77">
        <v>156.02136625442088</v>
      </c>
      <c r="H2329" s="77">
        <v>156.02136625442088</v>
      </c>
      <c r="I2329" s="77">
        <v>156.02136625442088</v>
      </c>
    </row>
    <row r="2330" spans="2:9">
      <c r="B2330" s="76">
        <v>2023.3680349321407</v>
      </c>
      <c r="C2330">
        <v>940.03655700887691</v>
      </c>
      <c r="D2330" s="77">
        <v>156.67275950147948</v>
      </c>
      <c r="E2330" s="77">
        <v>156.67275950147948</v>
      </c>
      <c r="F2330" s="77">
        <v>156.67275950147948</v>
      </c>
      <c r="G2330" s="77">
        <v>156.67275950147948</v>
      </c>
      <c r="H2330" s="77">
        <v>156.67275950147948</v>
      </c>
      <c r="I2330" s="77">
        <v>156.67275950147948</v>
      </c>
    </row>
    <row r="2331" spans="2:9">
      <c r="B2331" s="76">
        <v>2025.5723529609857</v>
      </c>
      <c r="C2331">
        <v>1282.4026681622747</v>
      </c>
      <c r="D2331" s="77">
        <v>213.73377802704579</v>
      </c>
      <c r="E2331" s="77">
        <v>213.73377802704579</v>
      </c>
      <c r="F2331" s="77">
        <v>213.73377802704579</v>
      </c>
      <c r="G2331" s="77">
        <v>213.73377802704579</v>
      </c>
      <c r="H2331" s="77">
        <v>213.73377802704579</v>
      </c>
      <c r="I2331" s="77">
        <v>213.73377802704579</v>
      </c>
    </row>
    <row r="2332" spans="2:9">
      <c r="B2332" s="76">
        <v>2023.2994881195109</v>
      </c>
      <c r="C2332">
        <v>879.51220812947474</v>
      </c>
      <c r="D2332" s="77">
        <v>146.58536802157911</v>
      </c>
      <c r="E2332" s="77">
        <v>146.58536802157911</v>
      </c>
      <c r="F2332" s="77">
        <v>146.58536802157911</v>
      </c>
      <c r="G2332" s="77">
        <v>146.58536802157911</v>
      </c>
      <c r="H2332" s="77">
        <v>146.58536802157911</v>
      </c>
      <c r="I2332" s="77">
        <v>146.58536802157911</v>
      </c>
    </row>
    <row r="2333" spans="2:9">
      <c r="B2333" s="76">
        <v>2023.0841589573738</v>
      </c>
      <c r="C2333">
        <v>876.01135866738957</v>
      </c>
      <c r="D2333" s="77">
        <v>146.0018931112316</v>
      </c>
      <c r="E2333" s="77">
        <v>146.0018931112316</v>
      </c>
      <c r="F2333" s="77">
        <v>146.0018931112316</v>
      </c>
      <c r="G2333" s="77">
        <v>146.0018931112316</v>
      </c>
      <c r="H2333" s="77">
        <v>146.0018931112316</v>
      </c>
      <c r="I2333" s="77">
        <v>146.0018931112316</v>
      </c>
    </row>
    <row r="2334" spans="2:9">
      <c r="B2334" s="76">
        <v>2022.7394123132576</v>
      </c>
      <c r="C2334">
        <v>804.31804126844884</v>
      </c>
      <c r="D2334" s="77">
        <v>134.0530068780748</v>
      </c>
      <c r="E2334" s="77">
        <v>134.0530068780748</v>
      </c>
      <c r="F2334" s="77">
        <v>134.0530068780748</v>
      </c>
      <c r="G2334" s="77">
        <v>134.0530068780748</v>
      </c>
      <c r="H2334" s="77">
        <v>134.0530068780748</v>
      </c>
      <c r="I2334" s="77">
        <v>134.0530068780748</v>
      </c>
    </row>
    <row r="2335" spans="2:9">
      <c r="B2335" s="76">
        <v>2024.4726865707023</v>
      </c>
      <c r="C2335">
        <v>1102.6809727898697</v>
      </c>
      <c r="D2335" s="77">
        <v>183.78016213164494</v>
      </c>
      <c r="E2335" s="77">
        <v>183.78016213164494</v>
      </c>
      <c r="F2335" s="77">
        <v>183.78016213164494</v>
      </c>
      <c r="G2335" s="77">
        <v>183.78016213164494</v>
      </c>
      <c r="H2335" s="77">
        <v>183.78016213164494</v>
      </c>
      <c r="I2335" s="77">
        <v>183.78016213164494</v>
      </c>
    </row>
    <row r="2336" spans="2:9">
      <c r="B2336" s="76">
        <v>2022.8817775882978</v>
      </c>
      <c r="C2336">
        <v>948.31818605949286</v>
      </c>
      <c r="D2336" s="77">
        <v>158.05303100991549</v>
      </c>
      <c r="E2336" s="77">
        <v>158.05303100991549</v>
      </c>
      <c r="F2336" s="77">
        <v>158.05303100991549</v>
      </c>
      <c r="G2336" s="77">
        <v>158.05303100991549</v>
      </c>
      <c r="H2336" s="77">
        <v>158.05303100991549</v>
      </c>
      <c r="I2336" s="77">
        <v>158.05303100991549</v>
      </c>
    </row>
    <row r="2337" spans="2:9">
      <c r="B2337" s="76">
        <v>2023.2172347519311</v>
      </c>
      <c r="C2337">
        <v>904.11770199333455</v>
      </c>
      <c r="D2337" s="77">
        <v>150.68628366555575</v>
      </c>
      <c r="E2337" s="77">
        <v>150.68628366555575</v>
      </c>
      <c r="F2337" s="77">
        <v>150.68628366555575</v>
      </c>
      <c r="G2337" s="77">
        <v>150.68628366555575</v>
      </c>
      <c r="H2337" s="77">
        <v>150.68628366555575</v>
      </c>
      <c r="I2337" s="77">
        <v>150.68628366555575</v>
      </c>
    </row>
    <row r="2338" spans="2:9">
      <c r="B2338" s="76">
        <v>2024.8288014338302</v>
      </c>
      <c r="C2338">
        <v>1041.5303284145866</v>
      </c>
      <c r="D2338" s="77">
        <v>173.58838806909776</v>
      </c>
      <c r="E2338" s="77">
        <v>173.58838806909776</v>
      </c>
      <c r="F2338" s="77">
        <v>173.58838806909776</v>
      </c>
      <c r="G2338" s="77">
        <v>173.58838806909776</v>
      </c>
      <c r="H2338" s="77">
        <v>173.58838806909776</v>
      </c>
      <c r="I2338" s="77">
        <v>173.58838806909776</v>
      </c>
    </row>
    <row r="2339" spans="2:9">
      <c r="B2339" s="76">
        <v>2024.3036985185081</v>
      </c>
      <c r="C2339">
        <v>993.11407223697597</v>
      </c>
      <c r="D2339" s="77">
        <v>165.519012039496</v>
      </c>
      <c r="E2339" s="77">
        <v>165.519012039496</v>
      </c>
      <c r="F2339" s="77">
        <v>165.519012039496</v>
      </c>
      <c r="G2339" s="77">
        <v>165.519012039496</v>
      </c>
      <c r="H2339" s="77">
        <v>165.519012039496</v>
      </c>
      <c r="I2339" s="77">
        <v>165.519012039496</v>
      </c>
    </row>
    <row r="2340" spans="2:9">
      <c r="B2340" s="76">
        <v>2022.9932239314323</v>
      </c>
      <c r="C2340">
        <v>860.60227766781622</v>
      </c>
      <c r="D2340" s="77">
        <v>143.43371294463603</v>
      </c>
      <c r="E2340" s="77">
        <v>143.43371294463603</v>
      </c>
      <c r="F2340" s="77">
        <v>143.43371294463603</v>
      </c>
      <c r="G2340" s="77">
        <v>143.43371294463603</v>
      </c>
      <c r="H2340" s="77">
        <v>143.43371294463603</v>
      </c>
      <c r="I2340" s="77">
        <v>143.43371294463603</v>
      </c>
    </row>
    <row r="2341" spans="2:9">
      <c r="B2341" s="76">
        <v>2023.3769096579638</v>
      </c>
      <c r="C2341">
        <v>909.21472906093356</v>
      </c>
      <c r="D2341" s="77">
        <v>151.53578817682225</v>
      </c>
      <c r="E2341" s="77">
        <v>151.53578817682225</v>
      </c>
      <c r="F2341" s="77">
        <v>151.53578817682225</v>
      </c>
      <c r="G2341" s="77">
        <v>151.53578817682225</v>
      </c>
      <c r="H2341" s="77">
        <v>151.53578817682225</v>
      </c>
      <c r="I2341" s="77">
        <v>151.53578817682225</v>
      </c>
    </row>
    <row r="2342" spans="2:9">
      <c r="B2342" s="76">
        <v>2023.1034707329929</v>
      </c>
      <c r="C2342">
        <v>945.69637014867237</v>
      </c>
      <c r="D2342" s="77">
        <v>157.6160616914454</v>
      </c>
      <c r="E2342" s="77">
        <v>157.6160616914454</v>
      </c>
      <c r="F2342" s="77">
        <v>157.6160616914454</v>
      </c>
      <c r="G2342" s="77">
        <v>157.6160616914454</v>
      </c>
      <c r="H2342" s="77">
        <v>157.6160616914454</v>
      </c>
      <c r="I2342" s="77">
        <v>157.6160616914454</v>
      </c>
    </row>
    <row r="2343" spans="2:9">
      <c r="B2343" s="76">
        <v>2023.1454773801922</v>
      </c>
      <c r="C2343">
        <v>912.02916609508907</v>
      </c>
      <c r="D2343" s="77">
        <v>152.00486101584818</v>
      </c>
      <c r="E2343" s="77">
        <v>152.00486101584818</v>
      </c>
      <c r="F2343" s="77">
        <v>152.00486101584818</v>
      </c>
      <c r="G2343" s="77">
        <v>152.00486101584818</v>
      </c>
      <c r="H2343" s="77">
        <v>152.00486101584818</v>
      </c>
      <c r="I2343" s="77">
        <v>152.00486101584818</v>
      </c>
    </row>
    <row r="2344" spans="2:9">
      <c r="B2344" s="76">
        <v>2022.7954139933142</v>
      </c>
      <c r="C2344">
        <v>854.63050377336367</v>
      </c>
      <c r="D2344" s="77">
        <v>142.43841729556061</v>
      </c>
      <c r="E2344" s="77">
        <v>142.43841729556061</v>
      </c>
      <c r="F2344" s="77">
        <v>142.43841729556061</v>
      </c>
      <c r="G2344" s="77">
        <v>142.43841729556061</v>
      </c>
      <c r="H2344" s="77">
        <v>142.43841729556061</v>
      </c>
      <c r="I2344" s="77">
        <v>142.43841729556061</v>
      </c>
    </row>
    <row r="2345" spans="2:9">
      <c r="B2345" s="76">
        <v>2023.3138274298117</v>
      </c>
      <c r="C2345">
        <v>891.51315652425944</v>
      </c>
      <c r="D2345" s="77">
        <v>148.58552608737656</v>
      </c>
      <c r="E2345" s="77">
        <v>148.58552608737656</v>
      </c>
      <c r="F2345" s="77">
        <v>148.58552608737656</v>
      </c>
      <c r="G2345" s="77">
        <v>148.58552608737656</v>
      </c>
      <c r="H2345" s="77">
        <v>148.58552608737656</v>
      </c>
      <c r="I2345" s="77">
        <v>148.58552608737656</v>
      </c>
    </row>
    <row r="2346" spans="2:9">
      <c r="B2346" s="76">
        <v>2023.3171090483484</v>
      </c>
      <c r="C2346">
        <v>924.00493028283427</v>
      </c>
      <c r="D2346" s="77">
        <v>154.00082171380572</v>
      </c>
      <c r="E2346" s="77">
        <v>154.00082171380572</v>
      </c>
      <c r="F2346" s="77">
        <v>154.00082171380572</v>
      </c>
      <c r="G2346" s="77">
        <v>154.00082171380572</v>
      </c>
      <c r="H2346" s="77">
        <v>154.00082171380572</v>
      </c>
      <c r="I2346" s="77">
        <v>154.00082171380572</v>
      </c>
    </row>
    <row r="2347" spans="2:9">
      <c r="B2347" s="76">
        <v>2024.95992412993</v>
      </c>
      <c r="C2347">
        <v>1096.9020391948231</v>
      </c>
      <c r="D2347" s="77">
        <v>182.81700653247051</v>
      </c>
      <c r="E2347" s="77">
        <v>182.81700653247051</v>
      </c>
      <c r="F2347" s="77">
        <v>182.81700653247051</v>
      </c>
      <c r="G2347" s="77">
        <v>182.81700653247051</v>
      </c>
      <c r="H2347" s="77">
        <v>182.81700653247051</v>
      </c>
      <c r="I2347" s="77">
        <v>182.81700653247051</v>
      </c>
    </row>
    <row r="2348" spans="2:9">
      <c r="B2348" s="76">
        <v>2022.9316030048158</v>
      </c>
      <c r="C2348">
        <v>880.9087992895652</v>
      </c>
      <c r="D2348" s="77">
        <v>146.81813321492754</v>
      </c>
      <c r="E2348" s="77">
        <v>146.81813321492754</v>
      </c>
      <c r="F2348" s="77">
        <v>146.81813321492754</v>
      </c>
      <c r="G2348" s="77">
        <v>146.81813321492754</v>
      </c>
      <c r="H2348" s="77">
        <v>146.81813321492754</v>
      </c>
      <c r="I2348" s="77">
        <v>146.81813321492754</v>
      </c>
    </row>
    <row r="2349" spans="2:9">
      <c r="B2349" s="76">
        <v>2024.674544393419</v>
      </c>
      <c r="C2349">
        <v>1085.9165244452181</v>
      </c>
      <c r="D2349" s="77">
        <v>180.98608740753636</v>
      </c>
      <c r="E2349" s="77">
        <v>180.98608740753636</v>
      </c>
      <c r="F2349" s="77">
        <v>180.98608740753636</v>
      </c>
      <c r="G2349" s="77">
        <v>180.98608740753636</v>
      </c>
      <c r="H2349" s="77">
        <v>180.98608740753636</v>
      </c>
      <c r="I2349" s="77">
        <v>180.98608740753636</v>
      </c>
    </row>
    <row r="2350" spans="2:9">
      <c r="B2350" s="76">
        <v>2023.3018290912812</v>
      </c>
      <c r="C2350">
        <v>899.65886274015406</v>
      </c>
      <c r="D2350" s="77">
        <v>149.94314379002569</v>
      </c>
      <c r="E2350" s="77">
        <v>149.94314379002569</v>
      </c>
      <c r="F2350" s="77">
        <v>149.94314379002569</v>
      </c>
      <c r="G2350" s="77">
        <v>149.94314379002569</v>
      </c>
      <c r="H2350" s="77">
        <v>149.94314379002569</v>
      </c>
      <c r="I2350" s="77">
        <v>149.94314379002569</v>
      </c>
    </row>
    <row r="2351" spans="2:9">
      <c r="B2351" s="76">
        <v>2023.338971121387</v>
      </c>
      <c r="C2351">
        <v>844.93041311620516</v>
      </c>
      <c r="D2351" s="77">
        <v>140.82173551936754</v>
      </c>
      <c r="E2351" s="77">
        <v>140.82173551936754</v>
      </c>
      <c r="F2351" s="77">
        <v>140.82173551936754</v>
      </c>
      <c r="G2351" s="77">
        <v>140.82173551936754</v>
      </c>
      <c r="H2351" s="77">
        <v>140.82173551936754</v>
      </c>
      <c r="I2351" s="77">
        <v>140.82173551936754</v>
      </c>
    </row>
    <row r="2352" spans="2:9">
      <c r="B2352" s="76">
        <v>2023.4935374272609</v>
      </c>
      <c r="C2352">
        <v>928.59644437506631</v>
      </c>
      <c r="D2352" s="77">
        <v>154.76607406251105</v>
      </c>
      <c r="E2352" s="77">
        <v>154.76607406251105</v>
      </c>
      <c r="F2352" s="77">
        <v>154.76607406251105</v>
      </c>
      <c r="G2352" s="77">
        <v>154.76607406251105</v>
      </c>
      <c r="H2352" s="77">
        <v>154.76607406251105</v>
      </c>
      <c r="I2352" s="77">
        <v>154.76607406251105</v>
      </c>
    </row>
    <row r="2353" spans="2:9">
      <c r="B2353" s="76">
        <v>2022.9611887571873</v>
      </c>
      <c r="C2353">
        <v>878.74928474520937</v>
      </c>
      <c r="D2353" s="77">
        <v>146.45821412420156</v>
      </c>
      <c r="E2353" s="77">
        <v>146.45821412420156</v>
      </c>
      <c r="F2353" s="77">
        <v>146.45821412420156</v>
      </c>
      <c r="G2353" s="77">
        <v>146.45821412420156</v>
      </c>
      <c r="H2353" s="77">
        <v>146.45821412420156</v>
      </c>
      <c r="I2353" s="77">
        <v>146.45821412420156</v>
      </c>
    </row>
    <row r="2354" spans="2:9">
      <c r="B2354" s="76">
        <v>2025.760329069509</v>
      </c>
      <c r="C2354">
        <v>1273.1143351079809</v>
      </c>
      <c r="D2354" s="77">
        <v>212.18572251799682</v>
      </c>
      <c r="E2354" s="77">
        <v>212.18572251799682</v>
      </c>
      <c r="F2354" s="77">
        <v>212.18572251799682</v>
      </c>
      <c r="G2354" s="77">
        <v>212.18572251799682</v>
      </c>
      <c r="H2354" s="77">
        <v>212.18572251799682</v>
      </c>
      <c r="I2354" s="77">
        <v>212.18572251799682</v>
      </c>
    </row>
    <row r="2355" spans="2:9">
      <c r="B2355" s="76">
        <v>2024.6164382602599</v>
      </c>
      <c r="C2355">
        <v>1115.1671694092975</v>
      </c>
      <c r="D2355" s="77">
        <v>185.86119490154957</v>
      </c>
      <c r="E2355" s="77">
        <v>185.86119490154957</v>
      </c>
      <c r="F2355" s="77">
        <v>185.86119490154957</v>
      </c>
      <c r="G2355" s="77">
        <v>185.86119490154957</v>
      </c>
      <c r="H2355" s="77">
        <v>185.86119490154957</v>
      </c>
      <c r="I2355" s="77">
        <v>185.86119490154957</v>
      </c>
    </row>
    <row r="2356" spans="2:9">
      <c r="B2356" s="76">
        <v>2023.0402667100755</v>
      </c>
      <c r="C2356">
        <v>859.29667909971363</v>
      </c>
      <c r="D2356" s="77">
        <v>143.21611318328561</v>
      </c>
      <c r="E2356" s="77">
        <v>143.21611318328561</v>
      </c>
      <c r="F2356" s="77">
        <v>143.21611318328561</v>
      </c>
      <c r="G2356" s="77">
        <v>143.21611318328561</v>
      </c>
      <c r="H2356" s="77">
        <v>143.21611318328561</v>
      </c>
      <c r="I2356" s="77">
        <v>143.21611318328561</v>
      </c>
    </row>
    <row r="2357" spans="2:9">
      <c r="B2357" s="76">
        <v>2023.2074534670157</v>
      </c>
      <c r="C2357">
        <v>916.83300696450556</v>
      </c>
      <c r="D2357" s="77">
        <v>152.80550116075094</v>
      </c>
      <c r="E2357" s="77">
        <v>152.80550116075094</v>
      </c>
      <c r="F2357" s="77">
        <v>152.80550116075094</v>
      </c>
      <c r="G2357" s="77">
        <v>152.80550116075094</v>
      </c>
      <c r="H2357" s="77">
        <v>152.80550116075094</v>
      </c>
      <c r="I2357" s="77">
        <v>152.80550116075094</v>
      </c>
    </row>
    <row r="2358" spans="2:9">
      <c r="B2358" s="76">
        <v>2024.2247770653812</v>
      </c>
      <c r="C2358">
        <v>1054.1016230108078</v>
      </c>
      <c r="D2358" s="77">
        <v>175.68360383513462</v>
      </c>
      <c r="E2358" s="77">
        <v>175.68360383513462</v>
      </c>
      <c r="F2358" s="77">
        <v>175.68360383513462</v>
      </c>
      <c r="G2358" s="77">
        <v>175.68360383513462</v>
      </c>
      <c r="H2358" s="77">
        <v>175.68360383513462</v>
      </c>
      <c r="I2358" s="77">
        <v>175.68360383513462</v>
      </c>
    </row>
    <row r="2359" spans="2:9">
      <c r="B2359" s="76">
        <v>2025.1846694341039</v>
      </c>
      <c r="C2359">
        <v>1173.9123501113033</v>
      </c>
      <c r="D2359" s="77">
        <v>195.65205835188388</v>
      </c>
      <c r="E2359" s="77">
        <v>195.65205835188388</v>
      </c>
      <c r="F2359" s="77">
        <v>195.65205835188388</v>
      </c>
      <c r="G2359" s="77">
        <v>195.65205835188388</v>
      </c>
      <c r="H2359" s="77">
        <v>195.65205835188388</v>
      </c>
      <c r="I2359" s="77">
        <v>195.65205835188388</v>
      </c>
    </row>
    <row r="2360" spans="2:9">
      <c r="B2360" s="76">
        <v>2025.2364947741542</v>
      </c>
      <c r="C2360">
        <v>1113.9776771761431</v>
      </c>
      <c r="D2360" s="77">
        <v>185.66294619602385</v>
      </c>
      <c r="E2360" s="77">
        <v>185.66294619602385</v>
      </c>
      <c r="F2360" s="77">
        <v>185.66294619602385</v>
      </c>
      <c r="G2360" s="77">
        <v>185.66294619602385</v>
      </c>
      <c r="H2360" s="77">
        <v>185.66294619602385</v>
      </c>
      <c r="I2360" s="77">
        <v>185.66294619602385</v>
      </c>
    </row>
    <row r="2361" spans="2:9">
      <c r="B2361" s="76">
        <v>2023.2933374664603</v>
      </c>
      <c r="C2361">
        <v>979.63644647227727</v>
      </c>
      <c r="D2361" s="77">
        <v>163.27274107871287</v>
      </c>
      <c r="E2361" s="77">
        <v>163.27274107871287</v>
      </c>
      <c r="F2361" s="77">
        <v>163.27274107871287</v>
      </c>
      <c r="G2361" s="77">
        <v>163.27274107871287</v>
      </c>
      <c r="H2361" s="77">
        <v>163.27274107871287</v>
      </c>
      <c r="I2361" s="77">
        <v>163.27274107871287</v>
      </c>
    </row>
    <row r="2362" spans="2:9">
      <c r="B2362" s="76">
        <v>2023.4844623498193</v>
      </c>
      <c r="C2362">
        <v>992.61565801247923</v>
      </c>
      <c r="D2362" s="77">
        <v>165.43594300207988</v>
      </c>
      <c r="E2362" s="77">
        <v>165.43594300207988</v>
      </c>
      <c r="F2362" s="77">
        <v>165.43594300207988</v>
      </c>
      <c r="G2362" s="77">
        <v>165.43594300207988</v>
      </c>
      <c r="H2362" s="77">
        <v>165.43594300207988</v>
      </c>
      <c r="I2362" s="77">
        <v>165.43594300207988</v>
      </c>
    </row>
    <row r="2363" spans="2:9">
      <c r="B2363" s="76">
        <v>2023.0427882796344</v>
      </c>
      <c r="C2363">
        <v>913.75747974488274</v>
      </c>
      <c r="D2363" s="77">
        <v>152.2929132908138</v>
      </c>
      <c r="E2363" s="77">
        <v>152.2929132908138</v>
      </c>
      <c r="F2363" s="77">
        <v>152.2929132908138</v>
      </c>
      <c r="G2363" s="77">
        <v>152.2929132908138</v>
      </c>
      <c r="H2363" s="77">
        <v>152.2929132908138</v>
      </c>
      <c r="I2363" s="77">
        <v>152.2929132908138</v>
      </c>
    </row>
    <row r="2364" spans="2:9">
      <c r="B2364" s="76">
        <v>2023.3125448945934</v>
      </c>
      <c r="C2364">
        <v>879.78759612975296</v>
      </c>
      <c r="D2364" s="77">
        <v>146.63126602162549</v>
      </c>
      <c r="E2364" s="77">
        <v>146.63126602162549</v>
      </c>
      <c r="F2364" s="77">
        <v>146.63126602162549</v>
      </c>
      <c r="G2364" s="77">
        <v>146.63126602162549</v>
      </c>
      <c r="H2364" s="77">
        <v>146.63126602162549</v>
      </c>
      <c r="I2364" s="77">
        <v>146.63126602162549</v>
      </c>
    </row>
    <row r="2365" spans="2:9">
      <c r="B2365" s="76">
        <v>2025.2474646635208</v>
      </c>
      <c r="C2365">
        <v>1183.4325615006201</v>
      </c>
      <c r="D2365" s="77">
        <v>197.23876025010335</v>
      </c>
      <c r="E2365" s="77">
        <v>197.23876025010335</v>
      </c>
      <c r="F2365" s="77">
        <v>197.23876025010335</v>
      </c>
      <c r="G2365" s="77">
        <v>197.23876025010335</v>
      </c>
      <c r="H2365" s="77">
        <v>197.23876025010335</v>
      </c>
      <c r="I2365" s="77">
        <v>197.23876025010335</v>
      </c>
    </row>
    <row r="2366" spans="2:9">
      <c r="B2366" s="76">
        <v>2025.1518137734738</v>
      </c>
      <c r="C2366">
        <v>1214.3256003426777</v>
      </c>
      <c r="D2366" s="77">
        <v>202.38760005711296</v>
      </c>
      <c r="E2366" s="77">
        <v>202.38760005711296</v>
      </c>
      <c r="F2366" s="77">
        <v>202.38760005711296</v>
      </c>
      <c r="G2366" s="77">
        <v>202.38760005711296</v>
      </c>
      <c r="H2366" s="77">
        <v>202.38760005711296</v>
      </c>
      <c r="I2366" s="77">
        <v>202.38760005711296</v>
      </c>
    </row>
    <row r="2367" spans="2:9">
      <c r="B2367" s="76">
        <v>2025.1012091598607</v>
      </c>
      <c r="C2367">
        <v>1207.743853276673</v>
      </c>
      <c r="D2367" s="77">
        <v>201.29064221277883</v>
      </c>
      <c r="E2367" s="77">
        <v>201.29064221277883</v>
      </c>
      <c r="F2367" s="77">
        <v>201.29064221277883</v>
      </c>
      <c r="G2367" s="77">
        <v>201.29064221277883</v>
      </c>
      <c r="H2367" s="77">
        <v>201.29064221277883</v>
      </c>
      <c r="I2367" s="77">
        <v>201.29064221277883</v>
      </c>
    </row>
    <row r="2368" spans="2:9">
      <c r="B2368" s="76">
        <v>2024.4290883836973</v>
      </c>
      <c r="C2368">
        <v>969.48038881681896</v>
      </c>
      <c r="D2368" s="77">
        <v>161.58006480280315</v>
      </c>
      <c r="E2368" s="77">
        <v>161.58006480280315</v>
      </c>
      <c r="F2368" s="77">
        <v>161.58006480280315</v>
      </c>
      <c r="G2368" s="77">
        <v>161.58006480280315</v>
      </c>
      <c r="H2368" s="77">
        <v>161.58006480280315</v>
      </c>
      <c r="I2368" s="77">
        <v>161.58006480280315</v>
      </c>
    </row>
    <row r="2369" spans="2:9">
      <c r="B2369" s="76">
        <v>2023.2026255000396</v>
      </c>
      <c r="C2369">
        <v>904.43809854193182</v>
      </c>
      <c r="D2369" s="77">
        <v>150.73968309032196</v>
      </c>
      <c r="E2369" s="77">
        <v>150.73968309032196</v>
      </c>
      <c r="F2369" s="77">
        <v>150.73968309032196</v>
      </c>
      <c r="G2369" s="77">
        <v>150.73968309032196</v>
      </c>
      <c r="H2369" s="77">
        <v>150.73968309032196</v>
      </c>
      <c r="I2369" s="77">
        <v>150.73968309032196</v>
      </c>
    </row>
    <row r="2370" spans="2:9">
      <c r="B2370" s="76">
        <v>2023.0369844809977</v>
      </c>
      <c r="C2370">
        <v>864.02058127323789</v>
      </c>
      <c r="D2370" s="77">
        <v>144.00343021220633</v>
      </c>
      <c r="E2370" s="77">
        <v>144.00343021220633</v>
      </c>
      <c r="F2370" s="77">
        <v>144.00343021220633</v>
      </c>
      <c r="G2370" s="77">
        <v>144.00343021220633</v>
      </c>
      <c r="H2370" s="77">
        <v>144.00343021220633</v>
      </c>
      <c r="I2370" s="77">
        <v>144.00343021220633</v>
      </c>
    </row>
    <row r="2371" spans="2:9">
      <c r="B2371" s="76">
        <v>2023.295515989028</v>
      </c>
      <c r="C2371">
        <v>882.89113969455832</v>
      </c>
      <c r="D2371" s="77">
        <v>147.1485232824264</v>
      </c>
      <c r="E2371" s="77">
        <v>147.1485232824264</v>
      </c>
      <c r="F2371" s="77">
        <v>147.1485232824264</v>
      </c>
      <c r="G2371" s="77">
        <v>147.1485232824264</v>
      </c>
      <c r="H2371" s="77">
        <v>147.1485232824264</v>
      </c>
      <c r="I2371" s="77">
        <v>147.1485232824264</v>
      </c>
    </row>
    <row r="2372" spans="2:9">
      <c r="B2372" s="76">
        <v>2024.6786089348352</v>
      </c>
      <c r="C2372">
        <v>1099.7241100043348</v>
      </c>
      <c r="D2372" s="77">
        <v>183.28735166738912</v>
      </c>
      <c r="E2372" s="77">
        <v>183.28735166738912</v>
      </c>
      <c r="F2372" s="77">
        <v>183.28735166738912</v>
      </c>
      <c r="G2372" s="77">
        <v>183.28735166738912</v>
      </c>
      <c r="H2372" s="77">
        <v>183.28735166738912</v>
      </c>
      <c r="I2372" s="77">
        <v>183.28735166738912</v>
      </c>
    </row>
    <row r="2373" spans="2:9">
      <c r="B2373" s="76">
        <v>2024.5430295280823</v>
      </c>
      <c r="C2373">
        <v>1059.0271667584534</v>
      </c>
      <c r="D2373" s="77">
        <v>176.50452779307557</v>
      </c>
      <c r="E2373" s="77">
        <v>176.50452779307557</v>
      </c>
      <c r="F2373" s="77">
        <v>176.50452779307557</v>
      </c>
      <c r="G2373" s="77">
        <v>176.50452779307557</v>
      </c>
      <c r="H2373" s="77">
        <v>176.50452779307557</v>
      </c>
      <c r="I2373" s="77">
        <v>176.50452779307557</v>
      </c>
    </row>
    <row r="2374" spans="2:9">
      <c r="B2374" s="76">
        <v>2024.3654333842546</v>
      </c>
      <c r="C2374">
        <v>1028.5900661880919</v>
      </c>
      <c r="D2374" s="77">
        <v>171.43167769801531</v>
      </c>
      <c r="E2374" s="77">
        <v>171.43167769801531</v>
      </c>
      <c r="F2374" s="77">
        <v>171.43167769801531</v>
      </c>
      <c r="G2374" s="77">
        <v>171.43167769801531</v>
      </c>
      <c r="H2374" s="77">
        <v>171.43167769801531</v>
      </c>
      <c r="I2374" s="77">
        <v>171.43167769801531</v>
      </c>
    </row>
    <row r="2375" spans="2:9">
      <c r="B2375" s="76">
        <v>2023.6139399486433</v>
      </c>
      <c r="C2375">
        <v>938.68688671538439</v>
      </c>
      <c r="D2375" s="77">
        <v>156.44781445256407</v>
      </c>
      <c r="E2375" s="77">
        <v>156.44781445256407</v>
      </c>
      <c r="F2375" s="77">
        <v>156.44781445256407</v>
      </c>
      <c r="G2375" s="77">
        <v>156.44781445256407</v>
      </c>
      <c r="H2375" s="77">
        <v>156.44781445256407</v>
      </c>
      <c r="I2375" s="77">
        <v>156.44781445256407</v>
      </c>
    </row>
    <row r="2376" spans="2:9">
      <c r="B2376" s="76">
        <v>2023.3047022792334</v>
      </c>
      <c r="C2376">
        <v>924.75448229729864</v>
      </c>
      <c r="D2376" s="77">
        <v>154.12574704954977</v>
      </c>
      <c r="E2376" s="77">
        <v>154.12574704954977</v>
      </c>
      <c r="F2376" s="77">
        <v>154.12574704954977</v>
      </c>
      <c r="G2376" s="77">
        <v>154.12574704954977</v>
      </c>
      <c r="H2376" s="77">
        <v>154.12574704954977</v>
      </c>
      <c r="I2376" s="77">
        <v>154.12574704954977</v>
      </c>
    </row>
    <row r="2377" spans="2:9">
      <c r="B2377" s="76">
        <v>2024.8361339217643</v>
      </c>
      <c r="C2377">
        <v>1116.5662304258922</v>
      </c>
      <c r="D2377" s="77">
        <v>186.09437173764869</v>
      </c>
      <c r="E2377" s="77">
        <v>186.09437173764869</v>
      </c>
      <c r="F2377" s="77">
        <v>186.09437173764869</v>
      </c>
      <c r="G2377" s="77">
        <v>186.09437173764869</v>
      </c>
      <c r="H2377" s="77">
        <v>186.09437173764869</v>
      </c>
      <c r="I2377" s="77">
        <v>186.09437173764869</v>
      </c>
    </row>
    <row r="2378" spans="2:9">
      <c r="B2378" s="76">
        <v>2023.3771768654076</v>
      </c>
      <c r="C2378">
        <v>924.52134836687981</v>
      </c>
      <c r="D2378" s="77">
        <v>154.08689139447998</v>
      </c>
      <c r="E2378" s="77">
        <v>154.08689139447998</v>
      </c>
      <c r="F2378" s="77">
        <v>154.08689139447998</v>
      </c>
      <c r="G2378" s="77">
        <v>154.08689139447998</v>
      </c>
      <c r="H2378" s="77">
        <v>154.08689139447998</v>
      </c>
      <c r="I2378" s="77">
        <v>154.08689139447998</v>
      </c>
    </row>
    <row r="2379" spans="2:9">
      <c r="B2379" s="76">
        <v>2022.9429971773791</v>
      </c>
      <c r="C2379">
        <v>862.74470865913202</v>
      </c>
      <c r="D2379" s="77">
        <v>143.790784776522</v>
      </c>
      <c r="E2379" s="77">
        <v>143.790784776522</v>
      </c>
      <c r="F2379" s="77">
        <v>143.790784776522</v>
      </c>
      <c r="G2379" s="77">
        <v>143.790784776522</v>
      </c>
      <c r="H2379" s="77">
        <v>143.790784776522</v>
      </c>
      <c r="I2379" s="77">
        <v>143.790784776522</v>
      </c>
    </row>
    <row r="2380" spans="2:9">
      <c r="B2380" s="76">
        <v>2023.3762196458542</v>
      </c>
      <c r="C2380">
        <v>887.87605249503576</v>
      </c>
      <c r="D2380" s="77">
        <v>147.97934208250595</v>
      </c>
      <c r="E2380" s="77">
        <v>147.97934208250595</v>
      </c>
      <c r="F2380" s="77">
        <v>147.97934208250595</v>
      </c>
      <c r="G2380" s="77">
        <v>147.97934208250595</v>
      </c>
      <c r="H2380" s="77">
        <v>147.97934208250595</v>
      </c>
      <c r="I2380" s="77">
        <v>147.97934208250595</v>
      </c>
    </row>
    <row r="2381" spans="2:9">
      <c r="B2381" s="76">
        <v>2023.4252411287546</v>
      </c>
      <c r="C2381">
        <v>913.72377305574696</v>
      </c>
      <c r="D2381" s="77">
        <v>152.28729550929117</v>
      </c>
      <c r="E2381" s="77">
        <v>152.28729550929117</v>
      </c>
      <c r="F2381" s="77">
        <v>152.28729550929117</v>
      </c>
      <c r="G2381" s="77">
        <v>152.28729550929117</v>
      </c>
      <c r="H2381" s="77">
        <v>152.28729550929117</v>
      </c>
      <c r="I2381" s="77">
        <v>152.28729550929117</v>
      </c>
    </row>
    <row r="2382" spans="2:9">
      <c r="B2382" s="76">
        <v>2023.0092841510079</v>
      </c>
      <c r="C2382">
        <v>896.29131772771018</v>
      </c>
      <c r="D2382" s="77">
        <v>149.38188628795169</v>
      </c>
      <c r="E2382" s="77">
        <v>149.38188628795169</v>
      </c>
      <c r="F2382" s="77">
        <v>149.38188628795169</v>
      </c>
      <c r="G2382" s="77">
        <v>149.38188628795169</v>
      </c>
      <c r="H2382" s="77">
        <v>149.38188628795169</v>
      </c>
      <c r="I2382" s="77">
        <v>149.38188628795169</v>
      </c>
    </row>
    <row r="2383" spans="2:9">
      <c r="B2383" s="76">
        <v>2024.7394337796604</v>
      </c>
      <c r="C2383">
        <v>1057.0795793222371</v>
      </c>
      <c r="D2383" s="77">
        <v>176.17992988703952</v>
      </c>
      <c r="E2383" s="77">
        <v>176.17992988703952</v>
      </c>
      <c r="F2383" s="77">
        <v>176.17992988703952</v>
      </c>
      <c r="G2383" s="77">
        <v>176.17992988703952</v>
      </c>
      <c r="H2383" s="77">
        <v>176.17992988703952</v>
      </c>
      <c r="I2383" s="77">
        <v>176.17992988703952</v>
      </c>
    </row>
    <row r="2384" spans="2:9">
      <c r="B2384" s="76">
        <v>2025.1190726649918</v>
      </c>
      <c r="C2384">
        <v>1117.4265931699344</v>
      </c>
      <c r="D2384" s="77">
        <v>186.2377655283224</v>
      </c>
      <c r="E2384" s="77">
        <v>186.2377655283224</v>
      </c>
      <c r="F2384" s="77">
        <v>186.2377655283224</v>
      </c>
      <c r="G2384" s="77">
        <v>186.2377655283224</v>
      </c>
      <c r="H2384" s="77">
        <v>186.2377655283224</v>
      </c>
      <c r="I2384" s="77">
        <v>186.2377655283224</v>
      </c>
    </row>
    <row r="2385" spans="2:9">
      <c r="B2385" s="76">
        <v>2023.0504907608495</v>
      </c>
      <c r="C2385">
        <v>874.97439167157427</v>
      </c>
      <c r="D2385" s="77">
        <v>145.82906527859572</v>
      </c>
      <c r="E2385" s="77">
        <v>145.82906527859572</v>
      </c>
      <c r="F2385" s="77">
        <v>145.82906527859572</v>
      </c>
      <c r="G2385" s="77">
        <v>145.82906527859572</v>
      </c>
      <c r="H2385" s="77">
        <v>145.82906527859572</v>
      </c>
      <c r="I2385" s="77">
        <v>145.82906527859572</v>
      </c>
    </row>
    <row r="2386" spans="2:9">
      <c r="B2386" s="76">
        <v>2023.3871056807836</v>
      </c>
      <c r="C2386">
        <v>974.27167679191348</v>
      </c>
      <c r="D2386" s="77">
        <v>162.37861279865226</v>
      </c>
      <c r="E2386" s="77">
        <v>162.37861279865226</v>
      </c>
      <c r="F2386" s="77">
        <v>162.37861279865226</v>
      </c>
      <c r="G2386" s="77">
        <v>162.37861279865226</v>
      </c>
      <c r="H2386" s="77">
        <v>162.37861279865226</v>
      </c>
      <c r="I2386" s="77">
        <v>162.37861279865226</v>
      </c>
    </row>
    <row r="2387" spans="2:9">
      <c r="B2387" s="76">
        <v>2024.2215372669159</v>
      </c>
      <c r="C2387">
        <v>1101.434606950972</v>
      </c>
      <c r="D2387" s="77">
        <v>183.57243449182866</v>
      </c>
      <c r="E2387" s="77">
        <v>183.57243449182866</v>
      </c>
      <c r="F2387" s="77">
        <v>183.57243449182866</v>
      </c>
      <c r="G2387" s="77">
        <v>183.57243449182866</v>
      </c>
      <c r="H2387" s="77">
        <v>183.57243449182866</v>
      </c>
      <c r="I2387" s="77">
        <v>183.57243449182866</v>
      </c>
    </row>
    <row r="2388" spans="2:9">
      <c r="B2388" s="76">
        <v>2023.2011687298582</v>
      </c>
      <c r="C2388">
        <v>859.95756539715399</v>
      </c>
      <c r="D2388" s="77">
        <v>143.32626089952566</v>
      </c>
      <c r="E2388" s="77">
        <v>143.32626089952566</v>
      </c>
      <c r="F2388" s="77">
        <v>143.32626089952566</v>
      </c>
      <c r="G2388" s="77">
        <v>143.32626089952566</v>
      </c>
      <c r="H2388" s="77">
        <v>143.32626089952566</v>
      </c>
      <c r="I2388" s="77">
        <v>143.32626089952566</v>
      </c>
    </row>
    <row r="2389" spans="2:9">
      <c r="B2389" s="76">
        <v>2023.9893779516308</v>
      </c>
      <c r="C2389">
        <v>986.34515572122393</v>
      </c>
      <c r="D2389" s="77">
        <v>164.39085928687066</v>
      </c>
      <c r="E2389" s="77">
        <v>164.39085928687066</v>
      </c>
      <c r="F2389" s="77">
        <v>164.39085928687066</v>
      </c>
      <c r="G2389" s="77">
        <v>164.39085928687066</v>
      </c>
      <c r="H2389" s="77">
        <v>164.39085928687066</v>
      </c>
      <c r="I2389" s="77">
        <v>164.39085928687066</v>
      </c>
    </row>
    <row r="2390" spans="2:9">
      <c r="B2390" s="76">
        <v>2024.5260090758536</v>
      </c>
      <c r="C2390">
        <v>1039.4892691689361</v>
      </c>
      <c r="D2390" s="77">
        <v>173.24821152815602</v>
      </c>
      <c r="E2390" s="77">
        <v>173.24821152815602</v>
      </c>
      <c r="F2390" s="77">
        <v>173.24821152815602</v>
      </c>
      <c r="G2390" s="77">
        <v>173.24821152815602</v>
      </c>
      <c r="H2390" s="77">
        <v>173.24821152815602</v>
      </c>
      <c r="I2390" s="77">
        <v>173.24821152815602</v>
      </c>
    </row>
    <row r="2391" spans="2:9">
      <c r="B2391" s="76">
        <v>2024.8728887321181</v>
      </c>
      <c r="C2391">
        <v>1100.9731137729893</v>
      </c>
      <c r="D2391" s="77">
        <v>183.49551896216488</v>
      </c>
      <c r="E2391" s="77">
        <v>183.49551896216488</v>
      </c>
      <c r="F2391" s="77">
        <v>183.49551896216488</v>
      </c>
      <c r="G2391" s="77">
        <v>183.49551896216488</v>
      </c>
      <c r="H2391" s="77">
        <v>183.49551896216488</v>
      </c>
      <c r="I2391" s="77">
        <v>183.49551896216488</v>
      </c>
    </row>
    <row r="2392" spans="2:9">
      <c r="B2392" s="76">
        <v>2023.2052023408942</v>
      </c>
      <c r="C2392">
        <v>897.97852262345873</v>
      </c>
      <c r="D2392" s="77">
        <v>149.66308710390979</v>
      </c>
      <c r="E2392" s="77">
        <v>149.66308710390979</v>
      </c>
      <c r="F2392" s="77">
        <v>149.66308710390979</v>
      </c>
      <c r="G2392" s="77">
        <v>149.66308710390979</v>
      </c>
      <c r="H2392" s="77">
        <v>149.66308710390979</v>
      </c>
      <c r="I2392" s="77">
        <v>149.66308710390979</v>
      </c>
    </row>
    <row r="2393" spans="2:9">
      <c r="B2393" s="76">
        <v>2022.929228819246</v>
      </c>
      <c r="C2393">
        <v>925.51711668943574</v>
      </c>
      <c r="D2393" s="77">
        <v>154.25285278157261</v>
      </c>
      <c r="E2393" s="77">
        <v>154.25285278157261</v>
      </c>
      <c r="F2393" s="77">
        <v>154.25285278157261</v>
      </c>
      <c r="G2393" s="77">
        <v>154.25285278157261</v>
      </c>
      <c r="H2393" s="77">
        <v>154.25285278157261</v>
      </c>
      <c r="I2393" s="77">
        <v>154.25285278157261</v>
      </c>
    </row>
    <row r="2394" spans="2:9">
      <c r="B2394" s="76">
        <v>2024.9566877429181</v>
      </c>
      <c r="C2394">
        <v>1170.2848844513157</v>
      </c>
      <c r="D2394" s="77">
        <v>195.04748074188595</v>
      </c>
      <c r="E2394" s="77">
        <v>195.04748074188595</v>
      </c>
      <c r="F2394" s="77">
        <v>195.04748074188595</v>
      </c>
      <c r="G2394" s="77">
        <v>195.04748074188595</v>
      </c>
      <c r="H2394" s="77">
        <v>195.04748074188595</v>
      </c>
      <c r="I2394" s="77">
        <v>195.04748074188595</v>
      </c>
    </row>
    <row r="2395" spans="2:9">
      <c r="B2395" s="76">
        <v>2024.207937844282</v>
      </c>
      <c r="C2395">
        <v>1016.4339241213981</v>
      </c>
      <c r="D2395" s="77">
        <v>169.40565402023302</v>
      </c>
      <c r="E2395" s="77">
        <v>169.40565402023302</v>
      </c>
      <c r="F2395" s="77">
        <v>169.40565402023302</v>
      </c>
      <c r="G2395" s="77">
        <v>169.40565402023302</v>
      </c>
      <c r="H2395" s="77">
        <v>169.40565402023302</v>
      </c>
      <c r="I2395" s="77">
        <v>169.40565402023302</v>
      </c>
    </row>
    <row r="2396" spans="2:9">
      <c r="B2396" s="76">
        <v>2022.8525378113327</v>
      </c>
      <c r="C2396">
        <v>905.66447491644112</v>
      </c>
      <c r="D2396" s="77">
        <v>150.94407915274019</v>
      </c>
      <c r="E2396" s="77">
        <v>150.94407915274019</v>
      </c>
      <c r="F2396" s="77">
        <v>150.94407915274019</v>
      </c>
      <c r="G2396" s="77">
        <v>150.94407915274019</v>
      </c>
      <c r="H2396" s="77">
        <v>150.94407915274019</v>
      </c>
      <c r="I2396" s="77">
        <v>150.94407915274019</v>
      </c>
    </row>
    <row r="2397" spans="2:9">
      <c r="B2397" s="76">
        <v>2023.0730506152006</v>
      </c>
      <c r="C2397">
        <v>966.71490827482251</v>
      </c>
      <c r="D2397" s="77">
        <v>161.11915137913709</v>
      </c>
      <c r="E2397" s="77">
        <v>161.11915137913709</v>
      </c>
      <c r="F2397" s="77">
        <v>161.11915137913709</v>
      </c>
      <c r="G2397" s="77">
        <v>161.11915137913709</v>
      </c>
      <c r="H2397" s="77">
        <v>161.11915137913709</v>
      </c>
      <c r="I2397" s="77">
        <v>161.11915137913709</v>
      </c>
    </row>
    <row r="2398" spans="2:9">
      <c r="B2398" s="76">
        <v>2023.1549895777164</v>
      </c>
      <c r="C2398">
        <v>916.6600108872376</v>
      </c>
      <c r="D2398" s="77">
        <v>152.77666848120626</v>
      </c>
      <c r="E2398" s="77">
        <v>152.77666848120626</v>
      </c>
      <c r="F2398" s="77">
        <v>152.77666848120626</v>
      </c>
      <c r="G2398" s="77">
        <v>152.77666848120626</v>
      </c>
      <c r="H2398" s="77">
        <v>152.77666848120626</v>
      </c>
      <c r="I2398" s="77">
        <v>152.77666848120626</v>
      </c>
    </row>
    <row r="2399" spans="2:9">
      <c r="B2399" s="76">
        <v>2023.2970146890245</v>
      </c>
      <c r="C2399">
        <v>920.64961627149387</v>
      </c>
      <c r="D2399" s="77">
        <v>153.44160271191564</v>
      </c>
      <c r="E2399" s="77">
        <v>153.44160271191564</v>
      </c>
      <c r="F2399" s="77">
        <v>153.44160271191564</v>
      </c>
      <c r="G2399" s="77">
        <v>153.44160271191564</v>
      </c>
      <c r="H2399" s="77">
        <v>153.44160271191564</v>
      </c>
      <c r="I2399" s="77">
        <v>153.44160271191564</v>
      </c>
    </row>
    <row r="2400" spans="2:9">
      <c r="B2400" s="76">
        <v>2023.3746938609902</v>
      </c>
      <c r="C2400">
        <v>883.20903992575631</v>
      </c>
      <c r="D2400" s="77">
        <v>147.20150665429273</v>
      </c>
      <c r="E2400" s="77">
        <v>147.20150665429273</v>
      </c>
      <c r="F2400" s="77">
        <v>147.20150665429273</v>
      </c>
      <c r="G2400" s="77">
        <v>147.20150665429273</v>
      </c>
      <c r="H2400" s="77">
        <v>147.20150665429273</v>
      </c>
      <c r="I2400" s="77">
        <v>147.20150665429273</v>
      </c>
    </row>
    <row r="2401" spans="2:9">
      <c r="B2401" s="76">
        <v>2022.9593023679149</v>
      </c>
      <c r="C2401">
        <v>879.965739887675</v>
      </c>
      <c r="D2401" s="77">
        <v>146.66095664794582</v>
      </c>
      <c r="E2401" s="77">
        <v>146.66095664794582</v>
      </c>
      <c r="F2401" s="77">
        <v>146.66095664794582</v>
      </c>
      <c r="G2401" s="77">
        <v>146.66095664794582</v>
      </c>
      <c r="H2401" s="77">
        <v>146.66095664794582</v>
      </c>
      <c r="I2401" s="77">
        <v>146.66095664794582</v>
      </c>
    </row>
    <row r="2402" spans="2:9">
      <c r="B2402" s="76">
        <v>2023.0739726574698</v>
      </c>
      <c r="C2402">
        <v>895.80634333849923</v>
      </c>
      <c r="D2402" s="77">
        <v>149.30105722308321</v>
      </c>
      <c r="E2402" s="77">
        <v>149.30105722308321</v>
      </c>
      <c r="F2402" s="77">
        <v>149.30105722308321</v>
      </c>
      <c r="G2402" s="77">
        <v>149.30105722308321</v>
      </c>
      <c r="H2402" s="77">
        <v>149.30105722308321</v>
      </c>
      <c r="I2402" s="77">
        <v>149.30105722308321</v>
      </c>
    </row>
    <row r="2403" spans="2:9">
      <c r="B2403" s="76">
        <v>2023.3374924826662</v>
      </c>
      <c r="C2403">
        <v>852.36273020228521</v>
      </c>
      <c r="D2403" s="77">
        <v>142.06045503371419</v>
      </c>
      <c r="E2403" s="77">
        <v>142.06045503371419</v>
      </c>
      <c r="F2403" s="77">
        <v>142.06045503371419</v>
      </c>
      <c r="G2403" s="77">
        <v>142.06045503371419</v>
      </c>
      <c r="H2403" s="77">
        <v>142.06045503371419</v>
      </c>
      <c r="I2403" s="77">
        <v>142.06045503371419</v>
      </c>
    </row>
    <row r="2404" spans="2:9">
      <c r="B2404" s="76">
        <v>2024.2501073265867</v>
      </c>
      <c r="C2404">
        <v>1022.4666543756492</v>
      </c>
      <c r="D2404" s="77">
        <v>170.4111090626082</v>
      </c>
      <c r="E2404" s="77">
        <v>170.4111090626082</v>
      </c>
      <c r="F2404" s="77">
        <v>170.4111090626082</v>
      </c>
      <c r="G2404" s="77">
        <v>170.4111090626082</v>
      </c>
      <c r="H2404" s="77">
        <v>170.4111090626082</v>
      </c>
      <c r="I2404" s="77">
        <v>170.4111090626082</v>
      </c>
    </row>
    <row r="2405" spans="2:9">
      <c r="B2405" s="76">
        <v>2025.0873949813406</v>
      </c>
      <c r="C2405">
        <v>1109.0998914432264</v>
      </c>
      <c r="D2405" s="77">
        <v>184.84998190720441</v>
      </c>
      <c r="E2405" s="77">
        <v>184.84998190720441</v>
      </c>
      <c r="F2405" s="77">
        <v>184.84998190720441</v>
      </c>
      <c r="G2405" s="77">
        <v>184.84998190720441</v>
      </c>
      <c r="H2405" s="77">
        <v>184.84998190720441</v>
      </c>
      <c r="I2405" s="77">
        <v>184.84998190720441</v>
      </c>
    </row>
    <row r="2406" spans="2:9">
      <c r="B2406" s="76">
        <v>2024.7546576116958</v>
      </c>
      <c r="C2406">
        <v>1020.2826056111452</v>
      </c>
      <c r="D2406" s="77">
        <v>170.04710093519085</v>
      </c>
      <c r="E2406" s="77">
        <v>170.04710093519085</v>
      </c>
      <c r="F2406" s="77">
        <v>170.04710093519085</v>
      </c>
      <c r="G2406" s="77">
        <v>170.04710093519085</v>
      </c>
      <c r="H2406" s="77">
        <v>170.04710093519085</v>
      </c>
      <c r="I2406" s="77">
        <v>170.04710093519085</v>
      </c>
    </row>
    <row r="2407" spans="2:9">
      <c r="B2407" s="76">
        <v>2024.5394749349714</v>
      </c>
      <c r="C2407">
        <v>1077.3226330533084</v>
      </c>
      <c r="D2407" s="77">
        <v>179.55377217555142</v>
      </c>
      <c r="E2407" s="77">
        <v>179.55377217555142</v>
      </c>
      <c r="F2407" s="77">
        <v>179.55377217555142</v>
      </c>
      <c r="G2407" s="77">
        <v>179.55377217555142</v>
      </c>
      <c r="H2407" s="77">
        <v>179.55377217555142</v>
      </c>
      <c r="I2407" s="77">
        <v>179.55377217555142</v>
      </c>
    </row>
    <row r="2408" spans="2:9">
      <c r="B2408" s="76">
        <v>2023.0154469555357</v>
      </c>
      <c r="C2408">
        <v>870.86011894568912</v>
      </c>
      <c r="D2408" s="77">
        <v>145.14335315761485</v>
      </c>
      <c r="E2408" s="77">
        <v>145.14335315761485</v>
      </c>
      <c r="F2408" s="77">
        <v>145.14335315761485</v>
      </c>
      <c r="G2408" s="77">
        <v>145.14335315761485</v>
      </c>
      <c r="H2408" s="77">
        <v>145.14335315761485</v>
      </c>
      <c r="I2408" s="77">
        <v>145.14335315761485</v>
      </c>
    </row>
    <row r="2409" spans="2:9">
      <c r="B2409" s="76">
        <v>2025.5575065900684</v>
      </c>
      <c r="C2409">
        <v>1189.0153364019027</v>
      </c>
      <c r="D2409" s="77">
        <v>198.16922273365046</v>
      </c>
      <c r="E2409" s="77">
        <v>198.16922273365046</v>
      </c>
      <c r="F2409" s="77">
        <v>198.16922273365046</v>
      </c>
      <c r="G2409" s="77">
        <v>198.16922273365046</v>
      </c>
      <c r="H2409" s="77">
        <v>198.16922273365046</v>
      </c>
      <c r="I2409" s="77">
        <v>198.16922273365046</v>
      </c>
    </row>
    <row r="2410" spans="2:9">
      <c r="B2410" s="76">
        <v>2023.147028517496</v>
      </c>
      <c r="C2410">
        <v>877.43278627759321</v>
      </c>
      <c r="D2410" s="77">
        <v>146.23879771293221</v>
      </c>
      <c r="E2410" s="77">
        <v>146.23879771293221</v>
      </c>
      <c r="F2410" s="77">
        <v>146.23879771293221</v>
      </c>
      <c r="G2410" s="77">
        <v>146.23879771293221</v>
      </c>
      <c r="H2410" s="77">
        <v>146.23879771293221</v>
      </c>
      <c r="I2410" s="77">
        <v>146.23879771293221</v>
      </c>
    </row>
    <row r="2411" spans="2:9">
      <c r="B2411" s="76">
        <v>2024.2224334568157</v>
      </c>
      <c r="C2411">
        <v>1019.6020134155851</v>
      </c>
      <c r="D2411" s="77">
        <v>169.93366890259753</v>
      </c>
      <c r="E2411" s="77">
        <v>169.93366890259753</v>
      </c>
      <c r="F2411" s="77">
        <v>169.93366890259753</v>
      </c>
      <c r="G2411" s="77">
        <v>169.93366890259753</v>
      </c>
      <c r="H2411" s="77">
        <v>169.93366890259753</v>
      </c>
      <c r="I2411" s="77">
        <v>169.93366890259753</v>
      </c>
    </row>
    <row r="2412" spans="2:9">
      <c r="B2412" s="76">
        <v>2022.8226719406648</v>
      </c>
      <c r="C2412">
        <v>921.32356964810742</v>
      </c>
      <c r="D2412" s="77">
        <v>153.55392827468458</v>
      </c>
      <c r="E2412" s="77">
        <v>153.55392827468458</v>
      </c>
      <c r="F2412" s="77">
        <v>153.55392827468458</v>
      </c>
      <c r="G2412" s="77">
        <v>153.55392827468458</v>
      </c>
      <c r="H2412" s="77">
        <v>153.55392827468458</v>
      </c>
      <c r="I2412" s="77">
        <v>153.55392827468458</v>
      </c>
    </row>
    <row r="2413" spans="2:9">
      <c r="B2413" s="76">
        <v>2023.1690516142528</v>
      </c>
      <c r="C2413">
        <v>918.35934059564511</v>
      </c>
      <c r="D2413" s="77">
        <v>153.05989009927418</v>
      </c>
      <c r="E2413" s="77">
        <v>153.05989009927418</v>
      </c>
      <c r="F2413" s="77">
        <v>153.05989009927418</v>
      </c>
      <c r="G2413" s="77">
        <v>153.05989009927418</v>
      </c>
      <c r="H2413" s="77">
        <v>153.05989009927418</v>
      </c>
      <c r="I2413" s="77">
        <v>153.05989009927418</v>
      </c>
    </row>
    <row r="2414" spans="2:9">
      <c r="B2414" s="76">
        <v>2022.9189277070614</v>
      </c>
      <c r="C2414">
        <v>891.2557176560116</v>
      </c>
      <c r="D2414" s="77">
        <v>148.54261960933528</v>
      </c>
      <c r="E2414" s="77">
        <v>148.54261960933528</v>
      </c>
      <c r="F2414" s="77">
        <v>148.54261960933528</v>
      </c>
      <c r="G2414" s="77">
        <v>148.54261960933528</v>
      </c>
      <c r="H2414" s="77">
        <v>148.54261960933528</v>
      </c>
      <c r="I2414" s="77">
        <v>148.54261960933528</v>
      </c>
    </row>
    <row r="2415" spans="2:9">
      <c r="B2415" s="76">
        <v>2024.7447208424942</v>
      </c>
      <c r="C2415">
        <v>1023.4548281640806</v>
      </c>
      <c r="D2415" s="77">
        <v>170.57580469401344</v>
      </c>
      <c r="E2415" s="77">
        <v>170.57580469401344</v>
      </c>
      <c r="F2415" s="77">
        <v>170.57580469401344</v>
      </c>
      <c r="G2415" s="77">
        <v>170.57580469401344</v>
      </c>
      <c r="H2415" s="77">
        <v>170.57580469401344</v>
      </c>
      <c r="I2415" s="77">
        <v>170.57580469401344</v>
      </c>
    </row>
    <row r="2416" spans="2:9">
      <c r="B2416" s="76">
        <v>2023.2651718551508</v>
      </c>
      <c r="C2416">
        <v>901.4925975017054</v>
      </c>
      <c r="D2416" s="77">
        <v>150.24876625028423</v>
      </c>
      <c r="E2416" s="77">
        <v>150.24876625028423</v>
      </c>
      <c r="F2416" s="77">
        <v>150.24876625028423</v>
      </c>
      <c r="G2416" s="77">
        <v>150.24876625028423</v>
      </c>
      <c r="H2416" s="77">
        <v>150.24876625028423</v>
      </c>
      <c r="I2416" s="77">
        <v>150.24876625028423</v>
      </c>
    </row>
    <row r="2417" spans="2:9">
      <c r="B2417" s="76">
        <v>2024.0104611381596</v>
      </c>
      <c r="C2417">
        <v>1018.2786141261062</v>
      </c>
      <c r="D2417" s="77">
        <v>169.71310235435104</v>
      </c>
      <c r="E2417" s="77">
        <v>169.71310235435104</v>
      </c>
      <c r="F2417" s="77">
        <v>169.71310235435104</v>
      </c>
      <c r="G2417" s="77">
        <v>169.71310235435104</v>
      </c>
      <c r="H2417" s="77">
        <v>169.71310235435104</v>
      </c>
      <c r="I2417" s="77">
        <v>169.71310235435104</v>
      </c>
    </row>
    <row r="2418" spans="2:9">
      <c r="B2418" s="76">
        <v>2023.0656775458554</v>
      </c>
      <c r="C2418">
        <v>869.12079004159398</v>
      </c>
      <c r="D2418" s="77">
        <v>144.85346500693234</v>
      </c>
      <c r="E2418" s="77">
        <v>144.85346500693234</v>
      </c>
      <c r="F2418" s="77">
        <v>144.85346500693234</v>
      </c>
      <c r="G2418" s="77">
        <v>144.85346500693234</v>
      </c>
      <c r="H2418" s="77">
        <v>144.85346500693234</v>
      </c>
      <c r="I2418" s="77">
        <v>144.85346500693234</v>
      </c>
    </row>
    <row r="2419" spans="2:9">
      <c r="B2419" s="76">
        <v>2025.0867086835985</v>
      </c>
      <c r="C2419">
        <v>1071.5242606179299</v>
      </c>
      <c r="D2419" s="77">
        <v>178.58737676965498</v>
      </c>
      <c r="E2419" s="77">
        <v>178.58737676965498</v>
      </c>
      <c r="F2419" s="77">
        <v>178.58737676965498</v>
      </c>
      <c r="G2419" s="77">
        <v>178.58737676965498</v>
      </c>
      <c r="H2419" s="77">
        <v>178.58737676965498</v>
      </c>
      <c r="I2419" s="77">
        <v>178.58737676965498</v>
      </c>
    </row>
    <row r="2420" spans="2:9">
      <c r="B2420" s="76">
        <v>2024.805070250331</v>
      </c>
      <c r="C2420">
        <v>1089.027909079834</v>
      </c>
      <c r="D2420" s="77">
        <v>181.50465151330567</v>
      </c>
      <c r="E2420" s="77">
        <v>181.50465151330567</v>
      </c>
      <c r="F2420" s="77">
        <v>181.50465151330567</v>
      </c>
      <c r="G2420" s="77">
        <v>181.50465151330567</v>
      </c>
      <c r="H2420" s="77">
        <v>181.50465151330567</v>
      </c>
      <c r="I2420" s="77">
        <v>181.50465151330567</v>
      </c>
    </row>
    <row r="2421" spans="2:9">
      <c r="B2421" s="76">
        <v>2023.6449143917264</v>
      </c>
      <c r="C2421">
        <v>1000.9449731671294</v>
      </c>
      <c r="D2421" s="77">
        <v>166.82416219452156</v>
      </c>
      <c r="E2421" s="77">
        <v>166.82416219452156</v>
      </c>
      <c r="F2421" s="77">
        <v>166.82416219452156</v>
      </c>
      <c r="G2421" s="77">
        <v>166.82416219452156</v>
      </c>
      <c r="H2421" s="77">
        <v>166.82416219452156</v>
      </c>
      <c r="I2421" s="77">
        <v>166.82416219452156</v>
      </c>
    </row>
    <row r="2422" spans="2:9">
      <c r="B2422" s="76">
        <v>2024.9859191324597</v>
      </c>
      <c r="C2422">
        <v>1098.1072709525049</v>
      </c>
      <c r="D2422" s="77">
        <v>183.01787849208415</v>
      </c>
      <c r="E2422" s="77">
        <v>183.01787849208415</v>
      </c>
      <c r="F2422" s="77">
        <v>183.01787849208415</v>
      </c>
      <c r="G2422" s="77">
        <v>183.01787849208415</v>
      </c>
      <c r="H2422" s="77">
        <v>183.01787849208415</v>
      </c>
      <c r="I2422" s="77">
        <v>183.01787849208415</v>
      </c>
    </row>
    <row r="2423" spans="2:9">
      <c r="B2423" s="76">
        <v>2024.783034043402</v>
      </c>
      <c r="C2423">
        <v>1125.2364953464437</v>
      </c>
      <c r="D2423" s="77">
        <v>187.53941589107396</v>
      </c>
      <c r="E2423" s="77">
        <v>187.53941589107396</v>
      </c>
      <c r="F2423" s="77">
        <v>187.53941589107396</v>
      </c>
      <c r="G2423" s="77">
        <v>187.53941589107396</v>
      </c>
      <c r="H2423" s="77">
        <v>187.53941589107396</v>
      </c>
      <c r="I2423" s="77">
        <v>187.53941589107396</v>
      </c>
    </row>
    <row r="2424" spans="2:9">
      <c r="B2424" s="76">
        <v>2022.9629787085398</v>
      </c>
      <c r="C2424">
        <v>901.20722704990476</v>
      </c>
      <c r="D2424" s="77">
        <v>150.20120450831746</v>
      </c>
      <c r="E2424" s="77">
        <v>150.20120450831746</v>
      </c>
      <c r="F2424" s="77">
        <v>150.20120450831746</v>
      </c>
      <c r="G2424" s="77">
        <v>150.20120450831746</v>
      </c>
      <c r="H2424" s="77">
        <v>150.20120450831746</v>
      </c>
      <c r="I2424" s="77">
        <v>150.20120450831746</v>
      </c>
    </row>
    <row r="2425" spans="2:9">
      <c r="B2425" s="76">
        <v>2023.5786562173312</v>
      </c>
      <c r="C2425">
        <v>944.99359341948946</v>
      </c>
      <c r="D2425" s="77">
        <v>157.49893223658157</v>
      </c>
      <c r="E2425" s="77">
        <v>157.49893223658157</v>
      </c>
      <c r="F2425" s="77">
        <v>157.49893223658157</v>
      </c>
      <c r="G2425" s="77">
        <v>157.49893223658157</v>
      </c>
      <c r="H2425" s="77">
        <v>157.49893223658157</v>
      </c>
      <c r="I2425" s="77">
        <v>157.49893223658157</v>
      </c>
    </row>
    <row r="2426" spans="2:9">
      <c r="B2426" s="76">
        <v>2022.9874518872898</v>
      </c>
      <c r="C2426">
        <v>956.73412074858163</v>
      </c>
      <c r="D2426" s="77">
        <v>159.45568679143028</v>
      </c>
      <c r="E2426" s="77">
        <v>159.45568679143028</v>
      </c>
      <c r="F2426" s="77">
        <v>159.45568679143028</v>
      </c>
      <c r="G2426" s="77">
        <v>159.45568679143028</v>
      </c>
      <c r="H2426" s="77">
        <v>159.45568679143028</v>
      </c>
      <c r="I2426" s="77">
        <v>159.45568679143028</v>
      </c>
    </row>
    <row r="2427" spans="2:9">
      <c r="B2427" s="76">
        <v>2023.8154498128033</v>
      </c>
      <c r="C2427">
        <v>973.28040935444574</v>
      </c>
      <c r="D2427" s="77">
        <v>162.2134015590743</v>
      </c>
      <c r="E2427" s="77">
        <v>162.2134015590743</v>
      </c>
      <c r="F2427" s="77">
        <v>162.2134015590743</v>
      </c>
      <c r="G2427" s="77">
        <v>162.2134015590743</v>
      </c>
      <c r="H2427" s="77">
        <v>162.2134015590743</v>
      </c>
      <c r="I2427" s="77">
        <v>162.2134015590743</v>
      </c>
    </row>
    <row r="2428" spans="2:9">
      <c r="B2428" s="76">
        <v>2022.6188332193215</v>
      </c>
      <c r="C2428">
        <v>814.95845140836047</v>
      </c>
      <c r="D2428" s="77">
        <v>135.82640856806009</v>
      </c>
      <c r="E2428" s="77">
        <v>135.82640856806009</v>
      </c>
      <c r="F2428" s="77">
        <v>135.82640856806009</v>
      </c>
      <c r="G2428" s="77">
        <v>135.82640856806009</v>
      </c>
      <c r="H2428" s="77">
        <v>135.82640856806009</v>
      </c>
      <c r="I2428" s="77">
        <v>135.82640856806009</v>
      </c>
    </row>
    <row r="2429" spans="2:9">
      <c r="B2429" s="76">
        <v>2024.5651607329019</v>
      </c>
      <c r="C2429">
        <v>1023.8587200463899</v>
      </c>
      <c r="D2429" s="77">
        <v>170.64312000773165</v>
      </c>
      <c r="E2429" s="77">
        <v>170.64312000773165</v>
      </c>
      <c r="F2429" s="77">
        <v>170.64312000773165</v>
      </c>
      <c r="G2429" s="77">
        <v>170.64312000773165</v>
      </c>
      <c r="H2429" s="77">
        <v>170.64312000773165</v>
      </c>
      <c r="I2429" s="77">
        <v>170.64312000773165</v>
      </c>
    </row>
    <row r="2430" spans="2:9">
      <c r="B2430" s="76">
        <v>2022.70049329313</v>
      </c>
      <c r="C2430">
        <v>921.91920087038829</v>
      </c>
      <c r="D2430" s="77">
        <v>153.65320014506472</v>
      </c>
      <c r="E2430" s="77">
        <v>153.65320014506472</v>
      </c>
      <c r="F2430" s="77">
        <v>153.65320014506472</v>
      </c>
      <c r="G2430" s="77">
        <v>153.65320014506472</v>
      </c>
      <c r="H2430" s="77">
        <v>153.65320014506472</v>
      </c>
      <c r="I2430" s="77">
        <v>153.65320014506472</v>
      </c>
    </row>
    <row r="2431" spans="2:9">
      <c r="B2431" s="76">
        <v>2023.1196010986039</v>
      </c>
      <c r="C2431">
        <v>983.49162522095605</v>
      </c>
      <c r="D2431" s="77">
        <v>163.91527087015933</v>
      </c>
      <c r="E2431" s="77">
        <v>163.91527087015933</v>
      </c>
      <c r="F2431" s="77">
        <v>163.91527087015933</v>
      </c>
      <c r="G2431" s="77">
        <v>163.91527087015933</v>
      </c>
      <c r="H2431" s="77">
        <v>163.91527087015933</v>
      </c>
      <c r="I2431" s="77">
        <v>163.91527087015933</v>
      </c>
    </row>
    <row r="2432" spans="2:9">
      <c r="B2432" s="76">
        <v>2023.4163357771433</v>
      </c>
      <c r="C2432">
        <v>947.99063684098257</v>
      </c>
      <c r="D2432" s="77">
        <v>157.99843947349709</v>
      </c>
      <c r="E2432" s="77">
        <v>157.99843947349709</v>
      </c>
      <c r="F2432" s="77">
        <v>157.99843947349709</v>
      </c>
      <c r="G2432" s="77">
        <v>157.99843947349709</v>
      </c>
      <c r="H2432" s="77">
        <v>157.99843947349709</v>
      </c>
      <c r="I2432" s="77">
        <v>157.99843947349709</v>
      </c>
    </row>
    <row r="2433" spans="2:9">
      <c r="B2433" s="76">
        <v>2023.3260812238157</v>
      </c>
      <c r="C2433">
        <v>922.3146855216412</v>
      </c>
      <c r="D2433" s="77">
        <v>153.71911425360688</v>
      </c>
      <c r="E2433" s="77">
        <v>153.71911425360688</v>
      </c>
      <c r="F2433" s="77">
        <v>153.71911425360688</v>
      </c>
      <c r="G2433" s="77">
        <v>153.71911425360688</v>
      </c>
      <c r="H2433" s="77">
        <v>153.71911425360688</v>
      </c>
      <c r="I2433" s="77">
        <v>153.71911425360688</v>
      </c>
    </row>
    <row r="2434" spans="2:9">
      <c r="B2434" s="76">
        <v>2022.5410758148057</v>
      </c>
      <c r="C2434">
        <v>776.14071941386317</v>
      </c>
      <c r="D2434" s="77">
        <v>129.35678656897718</v>
      </c>
      <c r="E2434" s="77">
        <v>129.35678656897718</v>
      </c>
      <c r="F2434" s="77">
        <v>129.35678656897718</v>
      </c>
      <c r="G2434" s="77">
        <v>129.35678656897718</v>
      </c>
      <c r="H2434" s="77">
        <v>129.35678656897718</v>
      </c>
      <c r="I2434" s="77">
        <v>129.35678656897718</v>
      </c>
    </row>
    <row r="2435" spans="2:9">
      <c r="B2435" s="76">
        <v>2023.3868263602915</v>
      </c>
      <c r="C2435">
        <v>892.79791819740319</v>
      </c>
      <c r="D2435" s="77">
        <v>148.79965303290052</v>
      </c>
      <c r="E2435" s="77">
        <v>148.79965303290052</v>
      </c>
      <c r="F2435" s="77">
        <v>148.79965303290052</v>
      </c>
      <c r="G2435" s="77">
        <v>148.79965303290052</v>
      </c>
      <c r="H2435" s="77">
        <v>148.79965303290052</v>
      </c>
      <c r="I2435" s="77">
        <v>148.79965303290052</v>
      </c>
    </row>
    <row r="2436" spans="2:9">
      <c r="B2436" s="76">
        <v>2024.1278324305558</v>
      </c>
      <c r="C2436">
        <v>940.73655088613327</v>
      </c>
      <c r="D2436" s="77">
        <v>156.78942514768889</v>
      </c>
      <c r="E2436" s="77">
        <v>156.78942514768889</v>
      </c>
      <c r="F2436" s="77">
        <v>156.78942514768889</v>
      </c>
      <c r="G2436" s="77">
        <v>156.78942514768889</v>
      </c>
      <c r="H2436" s="77">
        <v>156.78942514768889</v>
      </c>
      <c r="I2436" s="77">
        <v>156.78942514768889</v>
      </c>
    </row>
    <row r="2437" spans="2:9">
      <c r="B2437" s="76">
        <v>2025.0462877249861</v>
      </c>
      <c r="C2437">
        <v>1230.036073479632</v>
      </c>
      <c r="D2437" s="77">
        <v>205.00601224660534</v>
      </c>
      <c r="E2437" s="77">
        <v>205.00601224660534</v>
      </c>
      <c r="F2437" s="77">
        <v>205.00601224660534</v>
      </c>
      <c r="G2437" s="77">
        <v>205.00601224660534</v>
      </c>
      <c r="H2437" s="77">
        <v>205.00601224660534</v>
      </c>
      <c r="I2437" s="77">
        <v>205.00601224660534</v>
      </c>
    </row>
    <row r="2438" spans="2:9">
      <c r="B2438" s="76">
        <v>2023.0002137205156</v>
      </c>
      <c r="C2438">
        <v>888.44735803424339</v>
      </c>
      <c r="D2438" s="77">
        <v>148.07455967237391</v>
      </c>
      <c r="E2438" s="77">
        <v>148.07455967237391</v>
      </c>
      <c r="F2438" s="77">
        <v>148.07455967237391</v>
      </c>
      <c r="G2438" s="77">
        <v>148.07455967237391</v>
      </c>
      <c r="H2438" s="77">
        <v>148.07455967237391</v>
      </c>
      <c r="I2438" s="77">
        <v>148.07455967237391</v>
      </c>
    </row>
    <row r="2439" spans="2:9">
      <c r="B2439" s="76">
        <v>2023.2461022959499</v>
      </c>
      <c r="C2439">
        <v>880.38381074019424</v>
      </c>
      <c r="D2439" s="77">
        <v>146.73063512336572</v>
      </c>
      <c r="E2439" s="77">
        <v>146.73063512336572</v>
      </c>
      <c r="F2439" s="77">
        <v>146.73063512336572</v>
      </c>
      <c r="G2439" s="77">
        <v>146.73063512336572</v>
      </c>
      <c r="H2439" s="77">
        <v>146.73063512336572</v>
      </c>
      <c r="I2439" s="77">
        <v>146.73063512336572</v>
      </c>
    </row>
    <row r="2440" spans="2:9">
      <c r="B2440" s="76">
        <v>2023.1628002146069</v>
      </c>
      <c r="C2440">
        <v>967.50751884339581</v>
      </c>
      <c r="D2440" s="77">
        <v>161.25125314056598</v>
      </c>
      <c r="E2440" s="77">
        <v>161.25125314056598</v>
      </c>
      <c r="F2440" s="77">
        <v>161.25125314056598</v>
      </c>
      <c r="G2440" s="77">
        <v>161.25125314056598</v>
      </c>
      <c r="H2440" s="77">
        <v>161.25125314056598</v>
      </c>
      <c r="I2440" s="77">
        <v>161.25125314056598</v>
      </c>
    </row>
    <row r="2441" spans="2:9">
      <c r="B2441" s="76">
        <v>2024.9898802478078</v>
      </c>
      <c r="C2441">
        <v>1139.6432149262982</v>
      </c>
      <c r="D2441" s="77">
        <v>189.94053582104971</v>
      </c>
      <c r="E2441" s="77">
        <v>189.94053582104971</v>
      </c>
      <c r="F2441" s="77">
        <v>189.94053582104971</v>
      </c>
      <c r="G2441" s="77">
        <v>189.94053582104971</v>
      </c>
      <c r="H2441" s="77">
        <v>189.94053582104971</v>
      </c>
      <c r="I2441" s="77">
        <v>189.94053582104971</v>
      </c>
    </row>
    <row r="2442" spans="2:9">
      <c r="B2442" s="76">
        <v>2023.975032402383</v>
      </c>
      <c r="C2442">
        <v>958.7700437406661</v>
      </c>
      <c r="D2442" s="77">
        <v>159.79500729011102</v>
      </c>
      <c r="E2442" s="77">
        <v>159.79500729011102</v>
      </c>
      <c r="F2442" s="77">
        <v>159.79500729011102</v>
      </c>
      <c r="G2442" s="77">
        <v>159.79500729011102</v>
      </c>
      <c r="H2442" s="77">
        <v>159.79500729011102</v>
      </c>
      <c r="I2442" s="77">
        <v>159.79500729011102</v>
      </c>
    </row>
    <row r="2443" spans="2:9">
      <c r="B2443" s="76">
        <v>2022.875978234016</v>
      </c>
      <c r="C2443">
        <v>889.07150424802467</v>
      </c>
      <c r="D2443" s="77">
        <v>148.17858404133744</v>
      </c>
      <c r="E2443" s="77">
        <v>148.17858404133744</v>
      </c>
      <c r="F2443" s="77">
        <v>148.17858404133744</v>
      </c>
      <c r="G2443" s="77">
        <v>148.17858404133744</v>
      </c>
      <c r="H2443" s="77">
        <v>148.17858404133744</v>
      </c>
      <c r="I2443" s="77">
        <v>148.17858404133744</v>
      </c>
    </row>
    <row r="2444" spans="2:9">
      <c r="B2444" s="76">
        <v>2024.6661746548282</v>
      </c>
      <c r="C2444">
        <v>1091.8022116901279</v>
      </c>
      <c r="D2444" s="77">
        <v>181.967035281688</v>
      </c>
      <c r="E2444" s="77">
        <v>181.967035281688</v>
      </c>
      <c r="F2444" s="77">
        <v>181.967035281688</v>
      </c>
      <c r="G2444" s="77">
        <v>181.967035281688</v>
      </c>
      <c r="H2444" s="77">
        <v>181.967035281688</v>
      </c>
      <c r="I2444" s="77">
        <v>181.967035281688</v>
      </c>
    </row>
    <row r="2445" spans="2:9">
      <c r="B2445" s="76">
        <v>2023.0023272960455</v>
      </c>
      <c r="C2445">
        <v>863.0543522288425</v>
      </c>
      <c r="D2445" s="77">
        <v>143.84239203814042</v>
      </c>
      <c r="E2445" s="77">
        <v>143.84239203814042</v>
      </c>
      <c r="F2445" s="77">
        <v>143.84239203814042</v>
      </c>
      <c r="G2445" s="77">
        <v>143.84239203814042</v>
      </c>
      <c r="H2445" s="77">
        <v>143.84239203814042</v>
      </c>
      <c r="I2445" s="77">
        <v>143.84239203814042</v>
      </c>
    </row>
    <row r="2446" spans="2:9">
      <c r="B2446" s="76">
        <v>2023.7152317776704</v>
      </c>
      <c r="C2446">
        <v>966.89840135669112</v>
      </c>
      <c r="D2446" s="77">
        <v>161.14973355944852</v>
      </c>
      <c r="E2446" s="77">
        <v>161.14973355944852</v>
      </c>
      <c r="F2446" s="77">
        <v>161.14973355944852</v>
      </c>
      <c r="G2446" s="77">
        <v>161.14973355944852</v>
      </c>
      <c r="H2446" s="77">
        <v>161.14973355944852</v>
      </c>
      <c r="I2446" s="77">
        <v>161.14973355944852</v>
      </c>
    </row>
    <row r="2447" spans="2:9">
      <c r="B2447" s="76">
        <v>2023.2349013956998</v>
      </c>
      <c r="C2447">
        <v>961.34639922328881</v>
      </c>
      <c r="D2447" s="77">
        <v>160.22439987054813</v>
      </c>
      <c r="E2447" s="77">
        <v>160.22439987054813</v>
      </c>
      <c r="F2447" s="77">
        <v>160.22439987054813</v>
      </c>
      <c r="G2447" s="77">
        <v>160.22439987054813</v>
      </c>
      <c r="H2447" s="77">
        <v>160.22439987054813</v>
      </c>
      <c r="I2447" s="77">
        <v>160.22439987054813</v>
      </c>
    </row>
    <row r="2448" spans="2:9">
      <c r="B2448" s="76">
        <v>2025.2834048371014</v>
      </c>
      <c r="C2448">
        <v>1130.3766318387577</v>
      </c>
      <c r="D2448" s="77">
        <v>188.39610530645962</v>
      </c>
      <c r="E2448" s="77">
        <v>188.39610530645962</v>
      </c>
      <c r="F2448" s="77">
        <v>188.39610530645962</v>
      </c>
      <c r="G2448" s="77">
        <v>188.39610530645962</v>
      </c>
      <c r="H2448" s="77">
        <v>188.39610530645962</v>
      </c>
      <c r="I2448" s="77">
        <v>188.39610530645962</v>
      </c>
    </row>
    <row r="2449" spans="2:9">
      <c r="B2449" s="76">
        <v>2025.2452355188927</v>
      </c>
      <c r="C2449">
        <v>1105.734201370856</v>
      </c>
      <c r="D2449" s="77">
        <v>184.28903356180933</v>
      </c>
      <c r="E2449" s="77">
        <v>184.28903356180933</v>
      </c>
      <c r="F2449" s="77">
        <v>184.28903356180933</v>
      </c>
      <c r="G2449" s="77">
        <v>184.28903356180933</v>
      </c>
      <c r="H2449" s="77">
        <v>184.28903356180933</v>
      </c>
      <c r="I2449" s="77">
        <v>184.28903356180933</v>
      </c>
    </row>
    <row r="2450" spans="2:9">
      <c r="B2450" s="76">
        <v>2023.3853476987845</v>
      </c>
      <c r="C2450">
        <v>926.447391188663</v>
      </c>
      <c r="D2450" s="77">
        <v>154.40789853144383</v>
      </c>
      <c r="E2450" s="77">
        <v>154.40789853144383</v>
      </c>
      <c r="F2450" s="77">
        <v>154.40789853144383</v>
      </c>
      <c r="G2450" s="77">
        <v>154.40789853144383</v>
      </c>
      <c r="H2450" s="77">
        <v>154.40789853144383</v>
      </c>
      <c r="I2450" s="77">
        <v>154.40789853144383</v>
      </c>
    </row>
    <row r="2451" spans="2:9">
      <c r="B2451" s="76">
        <v>2024.3955589918623</v>
      </c>
      <c r="C2451">
        <v>1029.9540275339457</v>
      </c>
      <c r="D2451" s="77">
        <v>171.65900458899094</v>
      </c>
      <c r="E2451" s="77">
        <v>171.65900458899094</v>
      </c>
      <c r="F2451" s="77">
        <v>171.65900458899094</v>
      </c>
      <c r="G2451" s="77">
        <v>171.65900458899094</v>
      </c>
      <c r="H2451" s="77">
        <v>171.65900458899094</v>
      </c>
      <c r="I2451" s="77">
        <v>171.65900458899094</v>
      </c>
    </row>
    <row r="2452" spans="2:9">
      <c r="B2452" s="76">
        <v>2024.6351604695778</v>
      </c>
      <c r="C2452">
        <v>1091.0101590665322</v>
      </c>
      <c r="D2452" s="77">
        <v>181.8350265110887</v>
      </c>
      <c r="E2452" s="77">
        <v>181.8350265110887</v>
      </c>
      <c r="F2452" s="77">
        <v>181.8350265110887</v>
      </c>
      <c r="G2452" s="77">
        <v>181.8350265110887</v>
      </c>
      <c r="H2452" s="77">
        <v>181.8350265110887</v>
      </c>
      <c r="I2452" s="77">
        <v>181.8350265110887</v>
      </c>
    </row>
    <row r="2453" spans="2:9">
      <c r="B2453" s="76">
        <v>2023.6255041434415</v>
      </c>
      <c r="C2453">
        <v>963.03003431865557</v>
      </c>
      <c r="D2453" s="77">
        <v>160.50500571977594</v>
      </c>
      <c r="E2453" s="77">
        <v>160.50500571977594</v>
      </c>
      <c r="F2453" s="77">
        <v>160.50500571977594</v>
      </c>
      <c r="G2453" s="77">
        <v>160.50500571977594</v>
      </c>
      <c r="H2453" s="77">
        <v>160.50500571977594</v>
      </c>
      <c r="I2453" s="77">
        <v>160.50500571977594</v>
      </c>
    </row>
    <row r="2454" spans="2:9">
      <c r="B2454" s="76">
        <v>2022.8554537102393</v>
      </c>
      <c r="C2454">
        <v>835.8549140858305</v>
      </c>
      <c r="D2454" s="77">
        <v>139.30915234763842</v>
      </c>
      <c r="E2454" s="77">
        <v>139.30915234763842</v>
      </c>
      <c r="F2454" s="77">
        <v>139.30915234763842</v>
      </c>
      <c r="G2454" s="77">
        <v>139.30915234763842</v>
      </c>
      <c r="H2454" s="77">
        <v>139.30915234763842</v>
      </c>
      <c r="I2454" s="77">
        <v>139.30915234763842</v>
      </c>
    </row>
    <row r="2455" spans="2:9">
      <c r="B2455" s="76">
        <v>2024.6821978926989</v>
      </c>
      <c r="C2455">
        <v>1065.2745552468571</v>
      </c>
      <c r="D2455" s="77">
        <v>177.54575920780951</v>
      </c>
      <c r="E2455" s="77">
        <v>177.54575920780951</v>
      </c>
      <c r="F2455" s="77">
        <v>177.54575920780951</v>
      </c>
      <c r="G2455" s="77">
        <v>177.54575920780951</v>
      </c>
      <c r="H2455" s="77">
        <v>177.54575920780951</v>
      </c>
      <c r="I2455" s="77">
        <v>177.54575920780951</v>
      </c>
    </row>
    <row r="2456" spans="2:9">
      <c r="B2456" s="76">
        <v>2023.1389420139872</v>
      </c>
      <c r="C2456">
        <v>870.76510521997773</v>
      </c>
      <c r="D2456" s="77">
        <v>145.12751753666296</v>
      </c>
      <c r="E2456" s="77">
        <v>145.12751753666296</v>
      </c>
      <c r="F2456" s="77">
        <v>145.12751753666296</v>
      </c>
      <c r="G2456" s="77">
        <v>145.12751753666296</v>
      </c>
      <c r="H2456" s="77">
        <v>145.12751753666296</v>
      </c>
      <c r="I2456" s="77">
        <v>145.12751753666296</v>
      </c>
    </row>
    <row r="2457" spans="2:9">
      <c r="B2457" s="76">
        <v>2022.9843673855037</v>
      </c>
      <c r="C2457">
        <v>900.87925877848181</v>
      </c>
      <c r="D2457" s="77">
        <v>150.14654312974696</v>
      </c>
      <c r="E2457" s="77">
        <v>150.14654312974696</v>
      </c>
      <c r="F2457" s="77">
        <v>150.14654312974696</v>
      </c>
      <c r="G2457" s="77">
        <v>150.14654312974696</v>
      </c>
      <c r="H2457" s="77">
        <v>150.14654312974696</v>
      </c>
      <c r="I2457" s="77">
        <v>150.14654312974696</v>
      </c>
    </row>
    <row r="2458" spans="2:9">
      <c r="B2458" s="76">
        <v>2023.1907663703169</v>
      </c>
      <c r="C2458">
        <v>932.04205111334386</v>
      </c>
      <c r="D2458" s="77">
        <v>155.34034185222399</v>
      </c>
      <c r="E2458" s="77">
        <v>155.34034185222399</v>
      </c>
      <c r="F2458" s="77">
        <v>155.34034185222399</v>
      </c>
      <c r="G2458" s="77">
        <v>155.34034185222399</v>
      </c>
      <c r="H2458" s="77">
        <v>155.34034185222399</v>
      </c>
      <c r="I2458" s="77">
        <v>155.34034185222399</v>
      </c>
    </row>
    <row r="2459" spans="2:9">
      <c r="B2459" s="76">
        <v>2023.2323275665444</v>
      </c>
      <c r="C2459">
        <v>881.13503889632</v>
      </c>
      <c r="D2459" s="77">
        <v>146.85583981605333</v>
      </c>
      <c r="E2459" s="77">
        <v>146.85583981605333</v>
      </c>
      <c r="F2459" s="77">
        <v>146.85583981605333</v>
      </c>
      <c r="G2459" s="77">
        <v>146.85583981605333</v>
      </c>
      <c r="H2459" s="77">
        <v>146.85583981605333</v>
      </c>
      <c r="I2459" s="77">
        <v>146.85583981605333</v>
      </c>
    </row>
    <row r="2460" spans="2:9">
      <c r="B2460" s="76">
        <v>2023.2013274478966</v>
      </c>
      <c r="C2460">
        <v>923.00894047997838</v>
      </c>
      <c r="D2460" s="77">
        <v>153.83482341332973</v>
      </c>
      <c r="E2460" s="77">
        <v>153.83482341332973</v>
      </c>
      <c r="F2460" s="77">
        <v>153.83482341332973</v>
      </c>
      <c r="G2460" s="77">
        <v>153.83482341332973</v>
      </c>
      <c r="H2460" s="77">
        <v>153.83482341332973</v>
      </c>
      <c r="I2460" s="77">
        <v>153.83482341332973</v>
      </c>
    </row>
    <row r="2461" spans="2:9">
      <c r="B2461" s="76">
        <v>2024.4650731641505</v>
      </c>
      <c r="C2461">
        <v>1084.4674798772787</v>
      </c>
      <c r="D2461" s="77">
        <v>180.74457997954644</v>
      </c>
      <c r="E2461" s="77">
        <v>180.74457997954644</v>
      </c>
      <c r="F2461" s="77">
        <v>180.74457997954644</v>
      </c>
      <c r="G2461" s="77">
        <v>180.74457997954644</v>
      </c>
      <c r="H2461" s="77">
        <v>180.74457997954644</v>
      </c>
      <c r="I2461" s="77">
        <v>180.74457997954644</v>
      </c>
    </row>
    <row r="2462" spans="2:9">
      <c r="B2462" s="76">
        <v>2025.5524176383688</v>
      </c>
      <c r="C2462">
        <v>1191.4537312354121</v>
      </c>
      <c r="D2462" s="77">
        <v>198.57562187256869</v>
      </c>
      <c r="E2462" s="77">
        <v>198.57562187256869</v>
      </c>
      <c r="F2462" s="77">
        <v>198.57562187256869</v>
      </c>
      <c r="G2462" s="77">
        <v>198.57562187256869</v>
      </c>
      <c r="H2462" s="77">
        <v>198.57562187256869</v>
      </c>
      <c r="I2462" s="77">
        <v>198.57562187256869</v>
      </c>
    </row>
    <row r="2463" spans="2:9">
      <c r="B2463" s="76">
        <v>2025.0342508511621</v>
      </c>
      <c r="C2463">
        <v>1144.54429478877</v>
      </c>
      <c r="D2463" s="77">
        <v>190.757382464795</v>
      </c>
      <c r="E2463" s="77">
        <v>190.757382464795</v>
      </c>
      <c r="F2463" s="77">
        <v>190.757382464795</v>
      </c>
      <c r="G2463" s="77">
        <v>190.757382464795</v>
      </c>
      <c r="H2463" s="77">
        <v>190.757382464795</v>
      </c>
      <c r="I2463" s="77">
        <v>190.757382464795</v>
      </c>
    </row>
    <row r="2464" spans="2:9">
      <c r="B2464" s="76">
        <v>2024.5075593874953</v>
      </c>
      <c r="C2464">
        <v>1073.6591152387443</v>
      </c>
      <c r="D2464" s="77">
        <v>178.94318587312407</v>
      </c>
      <c r="E2464" s="77">
        <v>178.94318587312407</v>
      </c>
      <c r="F2464" s="77">
        <v>178.94318587312407</v>
      </c>
      <c r="G2464" s="77">
        <v>178.94318587312407</v>
      </c>
      <c r="H2464" s="77">
        <v>178.94318587312407</v>
      </c>
      <c r="I2464" s="77">
        <v>178.94318587312407</v>
      </c>
    </row>
    <row r="2465" spans="2:9">
      <c r="B2465" s="76">
        <v>2023.2927412418562</v>
      </c>
      <c r="C2465">
        <v>945.3024444970581</v>
      </c>
      <c r="D2465" s="77">
        <v>157.55040741617634</v>
      </c>
      <c r="E2465" s="77">
        <v>157.55040741617634</v>
      </c>
      <c r="F2465" s="77">
        <v>157.55040741617634</v>
      </c>
      <c r="G2465" s="77">
        <v>157.55040741617634</v>
      </c>
      <c r="H2465" s="77">
        <v>157.55040741617634</v>
      </c>
      <c r="I2465" s="77">
        <v>157.55040741617634</v>
      </c>
    </row>
    <row r="2466" spans="2:9">
      <c r="B2466" s="76">
        <v>2023.1295781252436</v>
      </c>
      <c r="C2466">
        <v>934.12078527914537</v>
      </c>
      <c r="D2466" s="77">
        <v>155.68679754652422</v>
      </c>
      <c r="E2466" s="77">
        <v>155.68679754652422</v>
      </c>
      <c r="F2466" s="77">
        <v>155.68679754652422</v>
      </c>
      <c r="G2466" s="77">
        <v>155.68679754652422</v>
      </c>
      <c r="H2466" s="77">
        <v>155.68679754652422</v>
      </c>
      <c r="I2466" s="77">
        <v>155.68679754652422</v>
      </c>
    </row>
    <row r="2467" spans="2:9">
      <c r="B2467" s="76">
        <v>2022.8137935524585</v>
      </c>
      <c r="C2467">
        <v>857.12837714061493</v>
      </c>
      <c r="D2467" s="77">
        <v>142.85472952343582</v>
      </c>
      <c r="E2467" s="77">
        <v>142.85472952343582</v>
      </c>
      <c r="F2467" s="77">
        <v>142.85472952343582</v>
      </c>
      <c r="G2467" s="77">
        <v>142.85472952343582</v>
      </c>
      <c r="H2467" s="77">
        <v>142.85472952343582</v>
      </c>
      <c r="I2467" s="77">
        <v>142.85472952343582</v>
      </c>
    </row>
    <row r="2468" spans="2:9">
      <c r="B2468" s="76">
        <v>2024.4793758175481</v>
      </c>
      <c r="C2468">
        <v>1049.1489842871415</v>
      </c>
      <c r="D2468" s="77">
        <v>174.85816404785692</v>
      </c>
      <c r="E2468" s="77">
        <v>174.85816404785692</v>
      </c>
      <c r="F2468" s="77">
        <v>174.85816404785692</v>
      </c>
      <c r="G2468" s="77">
        <v>174.85816404785692</v>
      </c>
      <c r="H2468" s="77">
        <v>174.85816404785692</v>
      </c>
      <c r="I2468" s="77">
        <v>174.85816404785692</v>
      </c>
    </row>
    <row r="2469" spans="2:9">
      <c r="B2469" s="76">
        <v>2023.1516327758811</v>
      </c>
      <c r="C2469">
        <v>932.47452673514852</v>
      </c>
      <c r="D2469" s="77">
        <v>155.41242112252476</v>
      </c>
      <c r="E2469" s="77">
        <v>155.41242112252476</v>
      </c>
      <c r="F2469" s="77">
        <v>155.41242112252476</v>
      </c>
      <c r="G2469" s="77">
        <v>155.41242112252476</v>
      </c>
      <c r="H2469" s="77">
        <v>155.41242112252476</v>
      </c>
      <c r="I2469" s="77">
        <v>155.41242112252476</v>
      </c>
    </row>
    <row r="2470" spans="2:9">
      <c r="B2470" s="76">
        <v>2024.5096098010795</v>
      </c>
      <c r="C2470">
        <v>1025.2677125429107</v>
      </c>
      <c r="D2470" s="77">
        <v>170.87795209048511</v>
      </c>
      <c r="E2470" s="77">
        <v>170.87795209048511</v>
      </c>
      <c r="F2470" s="77">
        <v>170.87795209048511</v>
      </c>
      <c r="G2470" s="77">
        <v>170.87795209048511</v>
      </c>
      <c r="H2470" s="77">
        <v>170.87795209048511</v>
      </c>
      <c r="I2470" s="77">
        <v>170.87795209048511</v>
      </c>
    </row>
    <row r="2471" spans="2:9">
      <c r="B2471" s="76">
        <v>2023.3731603159824</v>
      </c>
      <c r="C2471">
        <v>874.53414914037467</v>
      </c>
      <c r="D2471" s="77">
        <v>145.75569152339577</v>
      </c>
      <c r="E2471" s="77">
        <v>145.75569152339577</v>
      </c>
      <c r="F2471" s="77">
        <v>145.75569152339577</v>
      </c>
      <c r="G2471" s="77">
        <v>145.75569152339577</v>
      </c>
      <c r="H2471" s="77">
        <v>145.75569152339577</v>
      </c>
      <c r="I2471" s="77">
        <v>145.75569152339577</v>
      </c>
    </row>
    <row r="2472" spans="2:9">
      <c r="B2472" s="76">
        <v>2023.1304006370888</v>
      </c>
      <c r="C2472">
        <v>902.32627997772988</v>
      </c>
      <c r="D2472" s="77">
        <v>150.38771332962165</v>
      </c>
      <c r="E2472" s="77">
        <v>150.38771332962165</v>
      </c>
      <c r="F2472" s="77">
        <v>150.38771332962165</v>
      </c>
      <c r="G2472" s="77">
        <v>150.38771332962165</v>
      </c>
      <c r="H2472" s="77">
        <v>150.38771332962165</v>
      </c>
      <c r="I2472" s="77">
        <v>150.38771332962165</v>
      </c>
    </row>
    <row r="2473" spans="2:9">
      <c r="B2473" s="76">
        <v>2023.1067991382813</v>
      </c>
      <c r="C2473">
        <v>897.99344556216124</v>
      </c>
      <c r="D2473" s="77">
        <v>149.66557426036022</v>
      </c>
      <c r="E2473" s="77">
        <v>149.66557426036022</v>
      </c>
      <c r="F2473" s="77">
        <v>149.66557426036022</v>
      </c>
      <c r="G2473" s="77">
        <v>149.66557426036022</v>
      </c>
      <c r="H2473" s="77">
        <v>149.66557426036022</v>
      </c>
      <c r="I2473" s="77">
        <v>149.66557426036022</v>
      </c>
    </row>
    <row r="2474" spans="2:9">
      <c r="B2474" s="76">
        <v>2025.0411212923248</v>
      </c>
      <c r="C2474">
        <v>1231.922052582737</v>
      </c>
      <c r="D2474" s="77">
        <v>205.32034209712285</v>
      </c>
      <c r="E2474" s="77">
        <v>205.32034209712285</v>
      </c>
      <c r="F2474" s="77">
        <v>205.32034209712285</v>
      </c>
      <c r="G2474" s="77">
        <v>205.32034209712285</v>
      </c>
      <c r="H2474" s="77">
        <v>205.32034209712285</v>
      </c>
      <c r="I2474" s="77">
        <v>205.32034209712285</v>
      </c>
    </row>
    <row r="2475" spans="2:9">
      <c r="B2475" s="76">
        <v>2023.0305717833678</v>
      </c>
      <c r="C2475">
        <v>899.99212606582296</v>
      </c>
      <c r="D2475" s="77">
        <v>149.99868767763715</v>
      </c>
      <c r="E2475" s="77">
        <v>149.99868767763715</v>
      </c>
      <c r="F2475" s="77">
        <v>149.99868767763715</v>
      </c>
      <c r="G2475" s="77">
        <v>149.99868767763715</v>
      </c>
      <c r="H2475" s="77">
        <v>149.99868767763715</v>
      </c>
      <c r="I2475" s="77">
        <v>149.99868767763715</v>
      </c>
    </row>
    <row r="2476" spans="2:9">
      <c r="B2476" s="76">
        <v>2022.8302544353344</v>
      </c>
      <c r="C2476">
        <v>846.0131740644714</v>
      </c>
      <c r="D2476" s="77">
        <v>141.00219567741189</v>
      </c>
      <c r="E2476" s="77">
        <v>141.00219567741189</v>
      </c>
      <c r="F2476" s="77">
        <v>141.00219567741189</v>
      </c>
      <c r="G2476" s="77">
        <v>141.00219567741189</v>
      </c>
      <c r="H2476" s="77">
        <v>141.00219567741189</v>
      </c>
      <c r="I2476" s="77">
        <v>141.00219567741189</v>
      </c>
    </row>
    <row r="2477" spans="2:9">
      <c r="B2477" s="76">
        <v>2025.1116908974652</v>
      </c>
      <c r="C2477">
        <v>1198.1779542486179</v>
      </c>
      <c r="D2477" s="77">
        <v>199.69632570810299</v>
      </c>
      <c r="E2477" s="77">
        <v>199.69632570810299</v>
      </c>
      <c r="F2477" s="77">
        <v>199.69632570810299</v>
      </c>
      <c r="G2477" s="77">
        <v>199.69632570810299</v>
      </c>
      <c r="H2477" s="77">
        <v>199.69632570810299</v>
      </c>
      <c r="I2477" s="77">
        <v>199.69632570810299</v>
      </c>
    </row>
    <row r="2478" spans="2:9">
      <c r="B2478" s="76">
        <v>2023.0594429972873</v>
      </c>
      <c r="C2478">
        <v>903.33677872550982</v>
      </c>
      <c r="D2478" s="77">
        <v>150.55612978758498</v>
      </c>
      <c r="E2478" s="77">
        <v>150.55612978758498</v>
      </c>
      <c r="F2478" s="77">
        <v>150.55612978758498</v>
      </c>
      <c r="G2478" s="77">
        <v>150.55612978758498</v>
      </c>
      <c r="H2478" s="77">
        <v>150.55612978758498</v>
      </c>
      <c r="I2478" s="77">
        <v>150.55612978758498</v>
      </c>
    </row>
    <row r="2479" spans="2:9">
      <c r="B2479" s="76">
        <v>2024.4409528557328</v>
      </c>
      <c r="C2479">
        <v>1048.781190012606</v>
      </c>
      <c r="D2479" s="77">
        <v>174.79686500210099</v>
      </c>
      <c r="E2479" s="77">
        <v>174.79686500210099</v>
      </c>
      <c r="F2479" s="77">
        <v>174.79686500210099</v>
      </c>
      <c r="G2479" s="77">
        <v>174.79686500210099</v>
      </c>
      <c r="H2479" s="77">
        <v>174.79686500210099</v>
      </c>
      <c r="I2479" s="77">
        <v>174.79686500210099</v>
      </c>
    </row>
    <row r="2480" spans="2:9">
      <c r="B2480" s="76">
        <v>2023.3339232833623</v>
      </c>
      <c r="C2480">
        <v>958.31003610393668</v>
      </c>
      <c r="D2480" s="77">
        <v>159.71833935065612</v>
      </c>
      <c r="E2480" s="77">
        <v>159.71833935065612</v>
      </c>
      <c r="F2480" s="77">
        <v>159.71833935065612</v>
      </c>
      <c r="G2480" s="77">
        <v>159.71833935065612</v>
      </c>
      <c r="H2480" s="77">
        <v>159.71833935065612</v>
      </c>
      <c r="I2480" s="77">
        <v>159.71833935065612</v>
      </c>
    </row>
    <row r="2481" spans="2:9">
      <c r="B2481" s="76">
        <v>2023.5983404084186</v>
      </c>
      <c r="C2481">
        <v>982.47974806746367</v>
      </c>
      <c r="D2481" s="77">
        <v>163.7466246779106</v>
      </c>
      <c r="E2481" s="77">
        <v>163.7466246779106</v>
      </c>
      <c r="F2481" s="77">
        <v>163.7466246779106</v>
      </c>
      <c r="G2481" s="77">
        <v>163.7466246779106</v>
      </c>
      <c r="H2481" s="77">
        <v>163.7466246779106</v>
      </c>
      <c r="I2481" s="77">
        <v>163.7466246779106</v>
      </c>
    </row>
    <row r="2482" spans="2:9">
      <c r="B2482" s="76">
        <v>2022.7624991803075</v>
      </c>
      <c r="C2482">
        <v>846.46575781132253</v>
      </c>
      <c r="D2482" s="77">
        <v>141.07762630188708</v>
      </c>
      <c r="E2482" s="77">
        <v>141.07762630188708</v>
      </c>
      <c r="F2482" s="77">
        <v>141.07762630188708</v>
      </c>
      <c r="G2482" s="77">
        <v>141.07762630188708</v>
      </c>
      <c r="H2482" s="77">
        <v>141.07762630188708</v>
      </c>
      <c r="I2482" s="77">
        <v>141.07762630188708</v>
      </c>
    </row>
    <row r="2483" spans="2:9">
      <c r="B2483" s="76">
        <v>2023.2385270679749</v>
      </c>
      <c r="C2483">
        <v>878.24306596620409</v>
      </c>
      <c r="D2483" s="77">
        <v>146.37384432770068</v>
      </c>
      <c r="E2483" s="77">
        <v>146.37384432770068</v>
      </c>
      <c r="F2483" s="77">
        <v>146.37384432770068</v>
      </c>
      <c r="G2483" s="77">
        <v>146.37384432770068</v>
      </c>
      <c r="H2483" s="77">
        <v>146.37384432770068</v>
      </c>
      <c r="I2483" s="77">
        <v>146.37384432770068</v>
      </c>
    </row>
    <row r="2484" spans="2:9">
      <c r="B2484" s="76">
        <v>2023.4515375510593</v>
      </c>
      <c r="C2484">
        <v>935.22463230346943</v>
      </c>
      <c r="D2484" s="77">
        <v>155.87077205057824</v>
      </c>
      <c r="E2484" s="77">
        <v>155.87077205057824</v>
      </c>
      <c r="F2484" s="77">
        <v>155.87077205057824</v>
      </c>
      <c r="G2484" s="77">
        <v>155.87077205057824</v>
      </c>
      <c r="H2484" s="77">
        <v>155.87077205057824</v>
      </c>
      <c r="I2484" s="77">
        <v>155.87077205057824</v>
      </c>
    </row>
    <row r="2485" spans="2:9">
      <c r="B2485" s="76">
        <v>2025.0371480467359</v>
      </c>
      <c r="C2485">
        <v>1139.2609274126742</v>
      </c>
      <c r="D2485" s="77">
        <v>189.8768212354457</v>
      </c>
      <c r="E2485" s="77">
        <v>189.8768212354457</v>
      </c>
      <c r="F2485" s="77">
        <v>189.8768212354457</v>
      </c>
      <c r="G2485" s="77">
        <v>189.8768212354457</v>
      </c>
      <c r="H2485" s="77">
        <v>189.8768212354457</v>
      </c>
      <c r="I2485" s="77">
        <v>189.8768212354457</v>
      </c>
    </row>
    <row r="2486" spans="2:9">
      <c r="B2486" s="76">
        <v>2023.3542426043778</v>
      </c>
      <c r="C2486">
        <v>951.58765087937456</v>
      </c>
      <c r="D2486" s="77">
        <v>158.59794181322908</v>
      </c>
      <c r="E2486" s="77">
        <v>158.59794181322908</v>
      </c>
      <c r="F2486" s="77">
        <v>158.59794181322908</v>
      </c>
      <c r="G2486" s="77">
        <v>158.59794181322908</v>
      </c>
      <c r="H2486" s="77">
        <v>158.59794181322908</v>
      </c>
      <c r="I2486" s="77">
        <v>158.59794181322908</v>
      </c>
    </row>
    <row r="2487" spans="2:9">
      <c r="B2487" s="76">
        <v>2022.7582458324214</v>
      </c>
      <c r="C2487">
        <v>842.79607284660153</v>
      </c>
      <c r="D2487" s="77">
        <v>140.46601214110026</v>
      </c>
      <c r="E2487" s="77">
        <v>140.46601214110026</v>
      </c>
      <c r="F2487" s="77">
        <v>140.46601214110026</v>
      </c>
      <c r="G2487" s="77">
        <v>140.46601214110026</v>
      </c>
      <c r="H2487" s="77">
        <v>140.46601214110026</v>
      </c>
      <c r="I2487" s="77">
        <v>140.46601214110026</v>
      </c>
    </row>
    <row r="2488" spans="2:9">
      <c r="B2488" s="76">
        <v>2024.826583983624</v>
      </c>
      <c r="C2488">
        <v>1138.706138793221</v>
      </c>
      <c r="D2488" s="77">
        <v>189.78435646553683</v>
      </c>
      <c r="E2488" s="77">
        <v>189.78435646553683</v>
      </c>
      <c r="F2488" s="77">
        <v>189.78435646553683</v>
      </c>
      <c r="G2488" s="77">
        <v>189.78435646553683</v>
      </c>
      <c r="H2488" s="77">
        <v>189.78435646553683</v>
      </c>
      <c r="I2488" s="77">
        <v>189.78435646553683</v>
      </c>
    </row>
    <row r="2489" spans="2:9">
      <c r="B2489" s="76">
        <v>2024.8504846023509</v>
      </c>
      <c r="C2489">
        <v>1101.6542041743407</v>
      </c>
      <c r="D2489" s="77">
        <v>183.6090340290568</v>
      </c>
      <c r="E2489" s="77">
        <v>183.6090340290568</v>
      </c>
      <c r="F2489" s="77">
        <v>183.6090340290568</v>
      </c>
      <c r="G2489" s="77">
        <v>183.6090340290568</v>
      </c>
      <c r="H2489" s="77">
        <v>183.6090340290568</v>
      </c>
      <c r="I2489" s="77">
        <v>183.6090340290568</v>
      </c>
    </row>
    <row r="2490" spans="2:9">
      <c r="B2490" s="76">
        <v>2022.864762149263</v>
      </c>
      <c r="C2490">
        <v>828.64555874142752</v>
      </c>
      <c r="D2490" s="77">
        <v>138.10759312357126</v>
      </c>
      <c r="E2490" s="77">
        <v>138.10759312357126</v>
      </c>
      <c r="F2490" s="77">
        <v>138.10759312357126</v>
      </c>
      <c r="G2490" s="77">
        <v>138.10759312357126</v>
      </c>
      <c r="H2490" s="77">
        <v>138.10759312357126</v>
      </c>
      <c r="I2490" s="77">
        <v>138.10759312357126</v>
      </c>
    </row>
    <row r="2491" spans="2:9">
      <c r="B2491" s="76">
        <v>2023.2534046320529</v>
      </c>
      <c r="C2491">
        <v>961.91589139541441</v>
      </c>
      <c r="D2491" s="77">
        <v>160.31931523256907</v>
      </c>
      <c r="E2491" s="77">
        <v>160.31931523256907</v>
      </c>
      <c r="F2491" s="77">
        <v>160.31931523256907</v>
      </c>
      <c r="G2491" s="77">
        <v>160.31931523256907</v>
      </c>
      <c r="H2491" s="77">
        <v>160.31931523256907</v>
      </c>
      <c r="I2491" s="77">
        <v>160.31931523256907</v>
      </c>
    </row>
    <row r="2492" spans="2:9">
      <c r="B2492" s="76">
        <v>2024.8594886745702</v>
      </c>
      <c r="C2492">
        <v>1078.4591694881665</v>
      </c>
      <c r="D2492" s="77">
        <v>179.74319491469441</v>
      </c>
      <c r="E2492" s="77">
        <v>179.74319491469441</v>
      </c>
      <c r="F2492" s="77">
        <v>179.74319491469441</v>
      </c>
      <c r="G2492" s="77">
        <v>179.74319491469441</v>
      </c>
      <c r="H2492" s="77">
        <v>179.74319491469441</v>
      </c>
      <c r="I2492" s="77">
        <v>179.74319491469441</v>
      </c>
    </row>
    <row r="2493" spans="2:9">
      <c r="B2493" s="76">
        <v>2023.6431111006768</v>
      </c>
      <c r="C2493">
        <v>992.93107657603514</v>
      </c>
      <c r="D2493" s="77">
        <v>165.48851276267251</v>
      </c>
      <c r="E2493" s="77">
        <v>165.48851276267251</v>
      </c>
      <c r="F2493" s="77">
        <v>165.48851276267251</v>
      </c>
      <c r="G2493" s="77">
        <v>165.48851276267251</v>
      </c>
      <c r="H2493" s="77">
        <v>165.48851276267251</v>
      </c>
      <c r="I2493" s="77">
        <v>165.48851276267251</v>
      </c>
    </row>
    <row r="2494" spans="2:9">
      <c r="B2494" s="76">
        <v>2022.8122285207223</v>
      </c>
      <c r="C2494">
        <v>893.70485595166656</v>
      </c>
      <c r="D2494" s="77">
        <v>148.95080932527776</v>
      </c>
      <c r="E2494" s="77">
        <v>148.95080932527776</v>
      </c>
      <c r="F2494" s="77">
        <v>148.95080932527776</v>
      </c>
      <c r="G2494" s="77">
        <v>148.95080932527776</v>
      </c>
      <c r="H2494" s="77">
        <v>148.95080932527776</v>
      </c>
      <c r="I2494" s="77">
        <v>148.95080932527776</v>
      </c>
    </row>
    <row r="2495" spans="2:9">
      <c r="B2495" s="76">
        <v>2025.3803693575956</v>
      </c>
      <c r="C2495">
        <v>1304.634906821555</v>
      </c>
      <c r="D2495" s="77">
        <v>217.43915113692583</v>
      </c>
      <c r="E2495" s="77">
        <v>217.43915113692583</v>
      </c>
      <c r="F2495" s="77">
        <v>217.43915113692583</v>
      </c>
      <c r="G2495" s="77">
        <v>217.43915113692583</v>
      </c>
      <c r="H2495" s="77">
        <v>217.43915113692583</v>
      </c>
      <c r="I2495" s="77">
        <v>217.43915113692583</v>
      </c>
    </row>
    <row r="2496" spans="2:9">
      <c r="B2496" s="76">
        <v>2023.5263398128232</v>
      </c>
      <c r="C2496">
        <v>928.57357808275742</v>
      </c>
      <c r="D2496" s="77">
        <v>154.7622630137929</v>
      </c>
      <c r="E2496" s="77">
        <v>154.7622630137929</v>
      </c>
      <c r="F2496" s="77">
        <v>154.7622630137929</v>
      </c>
      <c r="G2496" s="77">
        <v>154.7622630137929</v>
      </c>
      <c r="H2496" s="77">
        <v>154.7622630137929</v>
      </c>
      <c r="I2496" s="77">
        <v>154.7622630137929</v>
      </c>
    </row>
    <row r="2497" spans="2:9">
      <c r="B2497" s="76">
        <v>2022.7892275447875</v>
      </c>
      <c r="C2497">
        <v>882.70671354475326</v>
      </c>
      <c r="D2497" s="77">
        <v>147.11778559079221</v>
      </c>
      <c r="E2497" s="77">
        <v>147.11778559079221</v>
      </c>
      <c r="F2497" s="77">
        <v>147.11778559079221</v>
      </c>
      <c r="G2497" s="77">
        <v>147.11778559079221</v>
      </c>
      <c r="H2497" s="77">
        <v>147.11778559079221</v>
      </c>
      <c r="I2497" s="77">
        <v>147.11778559079221</v>
      </c>
    </row>
    <row r="2498" spans="2:9">
      <c r="B2498" s="76">
        <v>2023.5249938388649</v>
      </c>
      <c r="C2498">
        <v>957.34009359613935</v>
      </c>
      <c r="D2498" s="77">
        <v>159.55668226602322</v>
      </c>
      <c r="E2498" s="77">
        <v>159.55668226602322</v>
      </c>
      <c r="F2498" s="77">
        <v>159.55668226602322</v>
      </c>
      <c r="G2498" s="77">
        <v>159.55668226602322</v>
      </c>
      <c r="H2498" s="77">
        <v>159.55668226602322</v>
      </c>
      <c r="I2498" s="77">
        <v>159.55668226602322</v>
      </c>
    </row>
    <row r="2499" spans="2:9">
      <c r="B2499" s="76">
        <v>2023.0226060598854</v>
      </c>
      <c r="C2499">
        <v>859.45075900361007</v>
      </c>
      <c r="D2499" s="77">
        <v>143.24179316726836</v>
      </c>
      <c r="E2499" s="77">
        <v>143.24179316726836</v>
      </c>
      <c r="F2499" s="77">
        <v>143.24179316726836</v>
      </c>
      <c r="G2499" s="77">
        <v>143.24179316726836</v>
      </c>
      <c r="H2499" s="77">
        <v>143.24179316726836</v>
      </c>
      <c r="I2499" s="77">
        <v>143.24179316726836</v>
      </c>
    </row>
    <row r="2500" spans="2:9">
      <c r="B2500" s="76">
        <v>2023.355333665083</v>
      </c>
      <c r="C2500">
        <v>907.5982280525343</v>
      </c>
      <c r="D2500" s="77">
        <v>151.26637134208906</v>
      </c>
      <c r="E2500" s="77">
        <v>151.26637134208906</v>
      </c>
      <c r="F2500" s="77">
        <v>151.26637134208906</v>
      </c>
      <c r="G2500" s="77">
        <v>151.26637134208906</v>
      </c>
      <c r="H2500" s="77">
        <v>151.26637134208906</v>
      </c>
      <c r="I2500" s="77">
        <v>151.26637134208906</v>
      </c>
    </row>
    <row r="2501" spans="2:9">
      <c r="B2501" s="76">
        <v>2024.325313047603</v>
      </c>
      <c r="C2501">
        <v>1063.8837242767042</v>
      </c>
      <c r="D2501" s="77">
        <v>177.31395404611737</v>
      </c>
      <c r="E2501" s="77">
        <v>177.31395404611737</v>
      </c>
      <c r="F2501" s="77">
        <v>177.31395404611737</v>
      </c>
      <c r="G2501" s="77">
        <v>177.31395404611737</v>
      </c>
      <c r="H2501" s="77">
        <v>177.31395404611737</v>
      </c>
      <c r="I2501" s="77">
        <v>177.31395404611737</v>
      </c>
    </row>
    <row r="2502" spans="2:9">
      <c r="B2502" s="76">
        <v>2023.2540126053732</v>
      </c>
      <c r="C2502">
        <v>902.19470073104821</v>
      </c>
      <c r="D2502" s="77">
        <v>150.36578345517469</v>
      </c>
      <c r="E2502" s="77">
        <v>150.36578345517469</v>
      </c>
      <c r="F2502" s="77">
        <v>150.36578345517469</v>
      </c>
      <c r="G2502" s="77">
        <v>150.36578345517469</v>
      </c>
      <c r="H2502" s="77">
        <v>150.36578345517469</v>
      </c>
      <c r="I2502" s="77">
        <v>150.36578345517469</v>
      </c>
    </row>
    <row r="2503" spans="2:9">
      <c r="B2503" s="76">
        <v>2023.2667012138179</v>
      </c>
      <c r="C2503">
        <v>993.53435123989368</v>
      </c>
      <c r="D2503" s="77">
        <v>165.58905853998229</v>
      </c>
      <c r="E2503" s="77">
        <v>165.58905853998229</v>
      </c>
      <c r="F2503" s="77">
        <v>165.58905853998229</v>
      </c>
      <c r="G2503" s="77">
        <v>165.58905853998229</v>
      </c>
      <c r="H2503" s="77">
        <v>165.58905853998229</v>
      </c>
      <c r="I2503" s="77">
        <v>165.58905853998229</v>
      </c>
    </row>
    <row r="2504" spans="2:9">
      <c r="B2504" s="76">
        <v>2023.4877945123501</v>
      </c>
      <c r="C2504">
        <v>964.89216173282398</v>
      </c>
      <c r="D2504" s="77">
        <v>160.81536028880399</v>
      </c>
      <c r="E2504" s="77">
        <v>160.81536028880399</v>
      </c>
      <c r="F2504" s="77">
        <v>160.81536028880399</v>
      </c>
      <c r="G2504" s="77">
        <v>160.81536028880399</v>
      </c>
      <c r="H2504" s="77">
        <v>160.81536028880399</v>
      </c>
      <c r="I2504" s="77">
        <v>160.81536028880399</v>
      </c>
    </row>
    <row r="2505" spans="2:9">
      <c r="B2505" s="76">
        <v>2022.6176942839609</v>
      </c>
      <c r="C2505">
        <v>810.6975799110279</v>
      </c>
      <c r="D2505" s="77">
        <v>135.11626331850465</v>
      </c>
      <c r="E2505" s="77">
        <v>135.11626331850465</v>
      </c>
      <c r="F2505" s="77">
        <v>135.11626331850465</v>
      </c>
      <c r="G2505" s="77">
        <v>135.11626331850465</v>
      </c>
      <c r="H2505" s="77">
        <v>135.11626331850465</v>
      </c>
      <c r="I2505" s="77">
        <v>135.11626331850465</v>
      </c>
    </row>
    <row r="2506" spans="2:9">
      <c r="B2506" s="76">
        <v>2023.1427639340225</v>
      </c>
      <c r="C2506">
        <v>898.35445520932069</v>
      </c>
      <c r="D2506" s="77">
        <v>149.72574253488679</v>
      </c>
      <c r="E2506" s="77">
        <v>149.72574253488679</v>
      </c>
      <c r="F2506" s="77">
        <v>149.72574253488679</v>
      </c>
      <c r="G2506" s="77">
        <v>149.72574253488679</v>
      </c>
      <c r="H2506" s="77">
        <v>149.72574253488679</v>
      </c>
      <c r="I2506" s="77">
        <v>149.72574253488679</v>
      </c>
    </row>
    <row r="2507" spans="2:9">
      <c r="B2507" s="76">
        <v>2024.6569437475075</v>
      </c>
      <c r="C2507">
        <v>1044.5792073344612</v>
      </c>
      <c r="D2507" s="77">
        <v>174.09653455574355</v>
      </c>
      <c r="E2507" s="77">
        <v>174.09653455574355</v>
      </c>
      <c r="F2507" s="77">
        <v>174.09653455574355</v>
      </c>
      <c r="G2507" s="77">
        <v>174.09653455574355</v>
      </c>
      <c r="H2507" s="77">
        <v>174.09653455574355</v>
      </c>
      <c r="I2507" s="77">
        <v>174.09653455574355</v>
      </c>
    </row>
    <row r="2508" spans="2:9">
      <c r="B2508" s="76">
        <v>2025.5102069427851</v>
      </c>
      <c r="C2508">
        <v>1233.787966740141</v>
      </c>
      <c r="D2508" s="77">
        <v>205.63132779002351</v>
      </c>
      <c r="E2508" s="77">
        <v>205.63132779002351</v>
      </c>
      <c r="F2508" s="77">
        <v>205.63132779002351</v>
      </c>
      <c r="G2508" s="77">
        <v>205.63132779002351</v>
      </c>
      <c r="H2508" s="77">
        <v>205.63132779002351</v>
      </c>
      <c r="I2508" s="77">
        <v>205.63132779002351</v>
      </c>
    </row>
    <row r="2509" spans="2:9">
      <c r="B2509" s="76">
        <v>2022.5364398208501</v>
      </c>
      <c r="C2509">
        <v>827.62378125885664</v>
      </c>
      <c r="D2509" s="77">
        <v>137.9372968764761</v>
      </c>
      <c r="E2509" s="77">
        <v>137.9372968764761</v>
      </c>
      <c r="F2509" s="77">
        <v>137.9372968764761</v>
      </c>
      <c r="G2509" s="77">
        <v>137.9372968764761</v>
      </c>
      <c r="H2509" s="77">
        <v>137.9372968764761</v>
      </c>
      <c r="I2509" s="77">
        <v>137.9372968764761</v>
      </c>
    </row>
    <row r="2510" spans="2:9">
      <c r="B2510" s="76">
        <v>2023.3868487559516</v>
      </c>
      <c r="C2510">
        <v>871.91755358304465</v>
      </c>
      <c r="D2510" s="77">
        <v>145.31959226384078</v>
      </c>
      <c r="E2510" s="77">
        <v>145.31959226384078</v>
      </c>
      <c r="F2510" s="77">
        <v>145.31959226384078</v>
      </c>
      <c r="G2510" s="77">
        <v>145.31959226384078</v>
      </c>
      <c r="H2510" s="77">
        <v>145.31959226384078</v>
      </c>
      <c r="I2510" s="77">
        <v>145.31959226384078</v>
      </c>
    </row>
    <row r="2511" spans="2:9">
      <c r="B2511" s="76">
        <v>2024.958638973714</v>
      </c>
      <c r="C2511">
        <v>1138.2478256957586</v>
      </c>
      <c r="D2511" s="77">
        <v>189.7079709492931</v>
      </c>
      <c r="E2511" s="77">
        <v>189.7079709492931</v>
      </c>
      <c r="F2511" s="77">
        <v>189.7079709492931</v>
      </c>
      <c r="G2511" s="77">
        <v>189.7079709492931</v>
      </c>
      <c r="H2511" s="77">
        <v>189.7079709492931</v>
      </c>
      <c r="I2511" s="77">
        <v>189.7079709492931</v>
      </c>
    </row>
    <row r="2512" spans="2:9">
      <c r="B2512" s="76">
        <v>2023.7512388126868</v>
      </c>
      <c r="C2512">
        <v>1069.5216144109006</v>
      </c>
      <c r="D2512" s="77">
        <v>178.25360240181678</v>
      </c>
      <c r="E2512" s="77">
        <v>178.25360240181678</v>
      </c>
      <c r="F2512" s="77">
        <v>178.25360240181678</v>
      </c>
      <c r="G2512" s="77">
        <v>178.25360240181678</v>
      </c>
      <c r="H2512" s="77">
        <v>178.25360240181678</v>
      </c>
      <c r="I2512" s="77">
        <v>178.25360240181678</v>
      </c>
    </row>
    <row r="2513" spans="2:9">
      <c r="B2513" s="76">
        <v>2024.2068019358678</v>
      </c>
      <c r="C2513">
        <v>1108.2141035392181</v>
      </c>
      <c r="D2513" s="77">
        <v>184.70235058986967</v>
      </c>
      <c r="E2513" s="77">
        <v>184.70235058986967</v>
      </c>
      <c r="F2513" s="77">
        <v>184.70235058986967</v>
      </c>
      <c r="G2513" s="77">
        <v>184.70235058986967</v>
      </c>
      <c r="H2513" s="77">
        <v>184.70235058986967</v>
      </c>
      <c r="I2513" s="77">
        <v>184.70235058986967</v>
      </c>
    </row>
    <row r="2514" spans="2:9">
      <c r="B2514" s="76">
        <v>2023.0839287172905</v>
      </c>
      <c r="C2514">
        <v>894.72692587409006</v>
      </c>
      <c r="D2514" s="77">
        <v>149.12115431234835</v>
      </c>
      <c r="E2514" s="77">
        <v>149.12115431234835</v>
      </c>
      <c r="F2514" s="77">
        <v>149.12115431234835</v>
      </c>
      <c r="G2514" s="77">
        <v>149.12115431234835</v>
      </c>
      <c r="H2514" s="77">
        <v>149.12115431234835</v>
      </c>
      <c r="I2514" s="77">
        <v>149.12115431234835</v>
      </c>
    </row>
    <row r="2515" spans="2:9">
      <c r="B2515" s="76">
        <v>2022.9873786393198</v>
      </c>
      <c r="C2515">
        <v>834.30076118339616</v>
      </c>
      <c r="D2515" s="77">
        <v>139.05012686389935</v>
      </c>
      <c r="E2515" s="77">
        <v>139.05012686389935</v>
      </c>
      <c r="F2515" s="77">
        <v>139.05012686389935</v>
      </c>
      <c r="G2515" s="77">
        <v>139.05012686389935</v>
      </c>
      <c r="H2515" s="77">
        <v>139.05012686389935</v>
      </c>
      <c r="I2515" s="77">
        <v>139.05012686389935</v>
      </c>
    </row>
    <row r="2516" spans="2:9">
      <c r="B2516" s="76">
        <v>2023.1930864411386</v>
      </c>
      <c r="C2516">
        <v>947.8671991053244</v>
      </c>
      <c r="D2516" s="77">
        <v>157.97786651755408</v>
      </c>
      <c r="E2516" s="77">
        <v>157.97786651755408</v>
      </c>
      <c r="F2516" s="77">
        <v>157.97786651755408</v>
      </c>
      <c r="G2516" s="77">
        <v>157.97786651755408</v>
      </c>
      <c r="H2516" s="77">
        <v>157.97786651755408</v>
      </c>
      <c r="I2516" s="77">
        <v>157.97786651755408</v>
      </c>
    </row>
    <row r="2517" spans="2:9">
      <c r="B2517" s="76">
        <v>2024.7705947647094</v>
      </c>
      <c r="C2517">
        <v>1049.6473928842881</v>
      </c>
      <c r="D2517" s="77">
        <v>174.94123214738136</v>
      </c>
      <c r="E2517" s="77">
        <v>174.94123214738136</v>
      </c>
      <c r="F2517" s="77">
        <v>174.94123214738136</v>
      </c>
      <c r="G2517" s="77">
        <v>174.94123214738136</v>
      </c>
      <c r="H2517" s="77">
        <v>174.94123214738136</v>
      </c>
      <c r="I2517" s="77">
        <v>174.94123214738136</v>
      </c>
    </row>
    <row r="2518" spans="2:9">
      <c r="B2518" s="76">
        <v>2024.821890287717</v>
      </c>
      <c r="C2518">
        <v>1069.1902000601267</v>
      </c>
      <c r="D2518" s="77">
        <v>178.19836667668778</v>
      </c>
      <c r="E2518" s="77">
        <v>178.19836667668778</v>
      </c>
      <c r="F2518" s="77">
        <v>178.19836667668778</v>
      </c>
      <c r="G2518" s="77">
        <v>178.19836667668778</v>
      </c>
      <c r="H2518" s="77">
        <v>178.19836667668778</v>
      </c>
      <c r="I2518" s="77">
        <v>178.19836667668778</v>
      </c>
    </row>
    <row r="2519" spans="2:9">
      <c r="B2519" s="76">
        <v>2023.0889909045429</v>
      </c>
      <c r="C2519">
        <v>902.06770206648628</v>
      </c>
      <c r="D2519" s="77">
        <v>150.34461701108106</v>
      </c>
      <c r="E2519" s="77">
        <v>150.34461701108106</v>
      </c>
      <c r="F2519" s="77">
        <v>150.34461701108106</v>
      </c>
      <c r="G2519" s="77">
        <v>150.34461701108106</v>
      </c>
      <c r="H2519" s="77">
        <v>150.34461701108106</v>
      </c>
      <c r="I2519" s="77">
        <v>150.34461701108106</v>
      </c>
    </row>
    <row r="2520" spans="2:9">
      <c r="B2520" s="76">
        <v>2022.9504836597976</v>
      </c>
      <c r="C2520">
        <v>887.12856215732916</v>
      </c>
      <c r="D2520" s="77">
        <v>147.85476035955486</v>
      </c>
      <c r="E2520" s="77">
        <v>147.85476035955486</v>
      </c>
      <c r="F2520" s="77">
        <v>147.85476035955486</v>
      </c>
      <c r="G2520" s="77">
        <v>147.85476035955486</v>
      </c>
      <c r="H2520" s="77">
        <v>147.85476035955486</v>
      </c>
      <c r="I2520" s="77">
        <v>147.85476035955486</v>
      </c>
    </row>
    <row r="2521" spans="2:9">
      <c r="B2521" s="76">
        <v>2023.6067333930941</v>
      </c>
      <c r="C2521">
        <v>970.23127194069286</v>
      </c>
      <c r="D2521" s="77">
        <v>161.70521199011549</v>
      </c>
      <c r="E2521" s="77">
        <v>161.70521199011549</v>
      </c>
      <c r="F2521" s="77">
        <v>161.70521199011549</v>
      </c>
      <c r="G2521" s="77">
        <v>161.70521199011549</v>
      </c>
      <c r="H2521" s="77">
        <v>161.70521199011549</v>
      </c>
      <c r="I2521" s="77">
        <v>161.70521199011549</v>
      </c>
    </row>
    <row r="2522" spans="2:9">
      <c r="B2522" s="76">
        <v>2023.0599498766169</v>
      </c>
      <c r="C2522">
        <v>851.7418454468127</v>
      </c>
      <c r="D2522" s="77">
        <v>141.95697424113544</v>
      </c>
      <c r="E2522" s="77">
        <v>141.95697424113544</v>
      </c>
      <c r="F2522" s="77">
        <v>141.95697424113544</v>
      </c>
      <c r="G2522" s="77">
        <v>141.95697424113544</v>
      </c>
      <c r="H2522" s="77">
        <v>141.95697424113544</v>
      </c>
      <c r="I2522" s="77">
        <v>141.95697424113544</v>
      </c>
    </row>
    <row r="2523" spans="2:9">
      <c r="B2523" s="76">
        <v>2022.7971491699825</v>
      </c>
      <c r="C2523">
        <v>873.10322586318262</v>
      </c>
      <c r="D2523" s="77">
        <v>145.51720431053045</v>
      </c>
      <c r="E2523" s="77">
        <v>145.51720431053045</v>
      </c>
      <c r="F2523" s="77">
        <v>145.51720431053045</v>
      </c>
      <c r="G2523" s="77">
        <v>145.51720431053045</v>
      </c>
      <c r="H2523" s="77">
        <v>145.51720431053045</v>
      </c>
      <c r="I2523" s="77">
        <v>145.51720431053045</v>
      </c>
    </row>
    <row r="2524" spans="2:9">
      <c r="B2524" s="76">
        <v>2022.9494140591478</v>
      </c>
      <c r="C2524">
        <v>895.67288258547046</v>
      </c>
      <c r="D2524" s="77">
        <v>149.27881376424509</v>
      </c>
      <c r="E2524" s="77">
        <v>149.27881376424509</v>
      </c>
      <c r="F2524" s="77">
        <v>149.27881376424509</v>
      </c>
      <c r="G2524" s="77">
        <v>149.27881376424509</v>
      </c>
      <c r="H2524" s="77">
        <v>149.27881376424509</v>
      </c>
      <c r="I2524" s="77">
        <v>149.27881376424509</v>
      </c>
    </row>
    <row r="2525" spans="2:9">
      <c r="B2525" s="76">
        <v>2025.5357140253509</v>
      </c>
      <c r="C2525">
        <v>1224.866933891062</v>
      </c>
      <c r="D2525" s="77">
        <v>204.14448898184366</v>
      </c>
      <c r="E2525" s="77">
        <v>204.14448898184366</v>
      </c>
      <c r="F2525" s="77">
        <v>204.14448898184366</v>
      </c>
      <c r="G2525" s="77">
        <v>204.14448898184366</v>
      </c>
      <c r="H2525" s="77">
        <v>204.14448898184366</v>
      </c>
      <c r="I2525" s="77">
        <v>204.14448898184366</v>
      </c>
    </row>
    <row r="2526" spans="2:9">
      <c r="B2526" s="76">
        <v>2023.5733628547591</v>
      </c>
      <c r="C2526">
        <v>923.40441389628177</v>
      </c>
      <c r="D2526" s="77">
        <v>153.90073564938029</v>
      </c>
      <c r="E2526" s="77">
        <v>153.90073564938029</v>
      </c>
      <c r="F2526" s="77">
        <v>153.90073564938029</v>
      </c>
      <c r="G2526" s="77">
        <v>153.90073564938029</v>
      </c>
      <c r="H2526" s="77">
        <v>153.90073564938029</v>
      </c>
      <c r="I2526" s="77">
        <v>153.90073564938029</v>
      </c>
    </row>
    <row r="2527" spans="2:9">
      <c r="B2527" s="76">
        <v>2024.4924860296353</v>
      </c>
      <c r="C2527">
        <v>1032.4191749987772</v>
      </c>
      <c r="D2527" s="77">
        <v>172.06986249979619</v>
      </c>
      <c r="E2527" s="77">
        <v>172.06986249979619</v>
      </c>
      <c r="F2527" s="77">
        <v>172.06986249979619</v>
      </c>
      <c r="G2527" s="77">
        <v>172.06986249979619</v>
      </c>
      <c r="H2527" s="77">
        <v>172.06986249979619</v>
      </c>
      <c r="I2527" s="77">
        <v>172.06986249979619</v>
      </c>
    </row>
    <row r="2528" spans="2:9">
      <c r="B2528" s="76">
        <v>2023.2485818231735</v>
      </c>
      <c r="C2528">
        <v>979.93957871300324</v>
      </c>
      <c r="D2528" s="77">
        <v>163.32326311883386</v>
      </c>
      <c r="E2528" s="77">
        <v>163.32326311883386</v>
      </c>
      <c r="F2528" s="77">
        <v>163.32326311883386</v>
      </c>
      <c r="G2528" s="77">
        <v>163.32326311883386</v>
      </c>
      <c r="H2528" s="77">
        <v>163.32326311883386</v>
      </c>
      <c r="I2528" s="77">
        <v>163.32326311883386</v>
      </c>
    </row>
    <row r="2529" spans="2:9">
      <c r="B2529" s="76">
        <v>2024.6612964309136</v>
      </c>
      <c r="C2529">
        <v>1097.8096228446495</v>
      </c>
      <c r="D2529" s="77">
        <v>182.96827047410827</v>
      </c>
      <c r="E2529" s="77">
        <v>182.96827047410827</v>
      </c>
      <c r="F2529" s="77">
        <v>182.96827047410827</v>
      </c>
      <c r="G2529" s="77">
        <v>182.96827047410827</v>
      </c>
      <c r="H2529" s="77">
        <v>182.96827047410827</v>
      </c>
      <c r="I2529" s="77">
        <v>182.96827047410827</v>
      </c>
    </row>
    <row r="2530" spans="2:9">
      <c r="B2530" s="76">
        <v>2022.8923737778587</v>
      </c>
      <c r="C2530">
        <v>886.10151323271509</v>
      </c>
      <c r="D2530" s="77">
        <v>147.68358553878585</v>
      </c>
      <c r="E2530" s="77">
        <v>147.68358553878585</v>
      </c>
      <c r="F2530" s="77">
        <v>147.68358553878585</v>
      </c>
      <c r="G2530" s="77">
        <v>147.68358553878585</v>
      </c>
      <c r="H2530" s="77">
        <v>147.68358553878585</v>
      </c>
      <c r="I2530" s="77">
        <v>147.68358553878585</v>
      </c>
    </row>
    <row r="2531" spans="2:9">
      <c r="B2531" s="76">
        <v>2022.592599927721</v>
      </c>
      <c r="C2531">
        <v>883.03383361743806</v>
      </c>
      <c r="D2531" s="77">
        <v>147.17230560290633</v>
      </c>
      <c r="E2531" s="77">
        <v>147.17230560290633</v>
      </c>
      <c r="F2531" s="77">
        <v>147.17230560290633</v>
      </c>
      <c r="G2531" s="77">
        <v>147.17230560290633</v>
      </c>
      <c r="H2531" s="77">
        <v>147.17230560290633</v>
      </c>
      <c r="I2531" s="77">
        <v>147.17230560290633</v>
      </c>
    </row>
    <row r="2532" spans="2:9">
      <c r="B2532" s="76">
        <v>2023.4230287701396</v>
      </c>
      <c r="C2532">
        <v>937.83474875548518</v>
      </c>
      <c r="D2532" s="77">
        <v>156.30579145924753</v>
      </c>
      <c r="E2532" s="77">
        <v>156.30579145924753</v>
      </c>
      <c r="F2532" s="77">
        <v>156.30579145924753</v>
      </c>
      <c r="G2532" s="77">
        <v>156.30579145924753</v>
      </c>
      <c r="H2532" s="77">
        <v>156.30579145924753</v>
      </c>
      <c r="I2532" s="77">
        <v>156.30579145924753</v>
      </c>
    </row>
    <row r="2533" spans="2:9">
      <c r="B2533" s="76">
        <v>2024.4503802966346</v>
      </c>
      <c r="C2533">
        <v>1038.6177315684622</v>
      </c>
      <c r="D2533" s="77">
        <v>173.10295526141036</v>
      </c>
      <c r="E2533" s="77">
        <v>173.10295526141036</v>
      </c>
      <c r="F2533" s="77">
        <v>173.10295526141036</v>
      </c>
      <c r="G2533" s="77">
        <v>173.10295526141036</v>
      </c>
      <c r="H2533" s="77">
        <v>173.10295526141036</v>
      </c>
      <c r="I2533" s="77">
        <v>173.10295526141036</v>
      </c>
    </row>
    <row r="2534" spans="2:9">
      <c r="B2534" s="76">
        <v>2023.3441201988028</v>
      </c>
      <c r="C2534">
        <v>967.52547826313219</v>
      </c>
      <c r="D2534" s="77">
        <v>161.25424637718871</v>
      </c>
      <c r="E2534" s="77">
        <v>161.25424637718871</v>
      </c>
      <c r="F2534" s="77">
        <v>161.25424637718871</v>
      </c>
      <c r="G2534" s="77">
        <v>161.25424637718871</v>
      </c>
      <c r="H2534" s="77">
        <v>161.25424637718871</v>
      </c>
      <c r="I2534" s="77">
        <v>161.25424637718871</v>
      </c>
    </row>
    <row r="2535" spans="2:9">
      <c r="B2535" s="76">
        <v>2023.326629959631</v>
      </c>
      <c r="C2535">
        <v>869.80370383338345</v>
      </c>
      <c r="D2535" s="77">
        <v>144.96728397223058</v>
      </c>
      <c r="E2535" s="77">
        <v>144.96728397223058</v>
      </c>
      <c r="F2535" s="77">
        <v>144.96728397223058</v>
      </c>
      <c r="G2535" s="77">
        <v>144.96728397223058</v>
      </c>
      <c r="H2535" s="77">
        <v>144.96728397223058</v>
      </c>
      <c r="I2535" s="77">
        <v>144.96728397223058</v>
      </c>
    </row>
    <row r="2536" spans="2:9">
      <c r="B2536" s="76">
        <v>2025.4252049927111</v>
      </c>
      <c r="C2536">
        <v>1198.8260030425959</v>
      </c>
      <c r="D2536" s="77">
        <v>199.80433384043263</v>
      </c>
      <c r="E2536" s="77">
        <v>199.80433384043263</v>
      </c>
      <c r="F2536" s="77">
        <v>199.80433384043263</v>
      </c>
      <c r="G2536" s="77">
        <v>199.80433384043263</v>
      </c>
      <c r="H2536" s="77">
        <v>199.80433384043263</v>
      </c>
      <c r="I2536" s="77">
        <v>199.80433384043263</v>
      </c>
    </row>
    <row r="2537" spans="2:9">
      <c r="B2537" s="76">
        <v>2022.635943255644</v>
      </c>
      <c r="C2537">
        <v>818.68567304802662</v>
      </c>
      <c r="D2537" s="77">
        <v>136.44761217467109</v>
      </c>
      <c r="E2537" s="77">
        <v>136.44761217467109</v>
      </c>
      <c r="F2537" s="77">
        <v>136.44761217467109</v>
      </c>
      <c r="G2537" s="77">
        <v>136.44761217467109</v>
      </c>
      <c r="H2537" s="77">
        <v>136.44761217467109</v>
      </c>
      <c r="I2537" s="77">
        <v>136.44761217467109</v>
      </c>
    </row>
    <row r="2538" spans="2:9">
      <c r="B2538" s="76">
        <v>2024.6988338653459</v>
      </c>
      <c r="C2538">
        <v>1090.2491967147212</v>
      </c>
      <c r="D2538" s="77">
        <v>181.70819945245353</v>
      </c>
      <c r="E2538" s="77">
        <v>181.70819945245353</v>
      </c>
      <c r="F2538" s="77">
        <v>181.70819945245353</v>
      </c>
      <c r="G2538" s="77">
        <v>181.70819945245353</v>
      </c>
      <c r="H2538" s="77">
        <v>181.70819945245353</v>
      </c>
      <c r="I2538" s="77">
        <v>181.70819945245353</v>
      </c>
    </row>
    <row r="2539" spans="2:9">
      <c r="B2539" s="76">
        <v>2023.2624137935629</v>
      </c>
      <c r="C2539">
        <v>891.04299037902229</v>
      </c>
      <c r="D2539" s="77">
        <v>148.50716506317039</v>
      </c>
      <c r="E2539" s="77">
        <v>148.50716506317039</v>
      </c>
      <c r="F2539" s="77">
        <v>148.50716506317039</v>
      </c>
      <c r="G2539" s="77">
        <v>148.50716506317039</v>
      </c>
      <c r="H2539" s="77">
        <v>148.50716506317039</v>
      </c>
      <c r="I2539" s="77">
        <v>148.50716506317039</v>
      </c>
    </row>
    <row r="2540" spans="2:9">
      <c r="B2540" s="76">
        <v>2022.9900945764116</v>
      </c>
      <c r="C2540">
        <v>947.50669255204843</v>
      </c>
      <c r="D2540" s="77">
        <v>157.91778209200808</v>
      </c>
      <c r="E2540" s="77">
        <v>157.91778209200808</v>
      </c>
      <c r="F2540" s="77">
        <v>157.91778209200808</v>
      </c>
      <c r="G2540" s="77">
        <v>157.91778209200808</v>
      </c>
      <c r="H2540" s="77">
        <v>157.91778209200808</v>
      </c>
      <c r="I2540" s="77">
        <v>157.91778209200808</v>
      </c>
    </row>
    <row r="2541" spans="2:9">
      <c r="B2541" s="76">
        <v>2023.0121903405986</v>
      </c>
      <c r="C2541">
        <v>943.87215578792791</v>
      </c>
      <c r="D2541" s="77">
        <v>157.31202596465465</v>
      </c>
      <c r="E2541" s="77">
        <v>157.31202596465465</v>
      </c>
      <c r="F2541" s="77">
        <v>157.31202596465465</v>
      </c>
      <c r="G2541" s="77">
        <v>157.31202596465465</v>
      </c>
      <c r="H2541" s="77">
        <v>157.31202596465465</v>
      </c>
      <c r="I2541" s="77">
        <v>157.31202596465465</v>
      </c>
    </row>
    <row r="2542" spans="2:9">
      <c r="B2542" s="76">
        <v>2024.8623523239769</v>
      </c>
      <c r="C2542">
        <v>1106.1349581183204</v>
      </c>
      <c r="D2542" s="77">
        <v>184.3558263530534</v>
      </c>
      <c r="E2542" s="77">
        <v>184.3558263530534</v>
      </c>
      <c r="F2542" s="77">
        <v>184.3558263530534</v>
      </c>
      <c r="G2542" s="77">
        <v>184.3558263530534</v>
      </c>
      <c r="H2542" s="77">
        <v>184.3558263530534</v>
      </c>
      <c r="I2542" s="77">
        <v>184.3558263530534</v>
      </c>
    </row>
    <row r="2543" spans="2:9">
      <c r="B2543" s="76">
        <v>2023.118805368174</v>
      </c>
      <c r="C2543">
        <v>812.67660317553793</v>
      </c>
      <c r="D2543" s="77">
        <v>135.44610052925631</v>
      </c>
      <c r="E2543" s="77">
        <v>135.44610052925631</v>
      </c>
      <c r="F2543" s="77">
        <v>135.44610052925631</v>
      </c>
      <c r="G2543" s="77">
        <v>135.44610052925631</v>
      </c>
      <c r="H2543" s="77">
        <v>135.44610052925631</v>
      </c>
      <c r="I2543" s="77">
        <v>135.44610052925631</v>
      </c>
    </row>
    <row r="2544" spans="2:9">
      <c r="B2544" s="76">
        <v>2024.9275638924089</v>
      </c>
      <c r="C2544">
        <v>1089.4637752091539</v>
      </c>
      <c r="D2544" s="77">
        <v>181.57729586819232</v>
      </c>
      <c r="E2544" s="77">
        <v>181.57729586819232</v>
      </c>
      <c r="F2544" s="77">
        <v>181.57729586819232</v>
      </c>
      <c r="G2544" s="77">
        <v>181.57729586819232</v>
      </c>
      <c r="H2544" s="77">
        <v>181.57729586819232</v>
      </c>
      <c r="I2544" s="77">
        <v>181.57729586819232</v>
      </c>
    </row>
    <row r="2545" spans="2:9">
      <c r="B2545" s="76">
        <v>2024.3434493584875</v>
      </c>
      <c r="C2545">
        <v>968.13217079275978</v>
      </c>
      <c r="D2545" s="77">
        <v>161.3553617987933</v>
      </c>
      <c r="E2545" s="77">
        <v>161.3553617987933</v>
      </c>
      <c r="F2545" s="77">
        <v>161.3553617987933</v>
      </c>
      <c r="G2545" s="77">
        <v>161.3553617987933</v>
      </c>
      <c r="H2545" s="77">
        <v>161.3553617987933</v>
      </c>
      <c r="I2545" s="77">
        <v>161.3553617987933</v>
      </c>
    </row>
    <row r="2546" spans="2:9">
      <c r="B2546" s="76">
        <v>2023.1407166890119</v>
      </c>
      <c r="C2546">
        <v>881.06673794895369</v>
      </c>
      <c r="D2546" s="77">
        <v>146.84445632482561</v>
      </c>
      <c r="E2546" s="77">
        <v>146.84445632482561</v>
      </c>
      <c r="F2546" s="77">
        <v>146.84445632482561</v>
      </c>
      <c r="G2546" s="77">
        <v>146.84445632482561</v>
      </c>
      <c r="H2546" s="77">
        <v>146.84445632482561</v>
      </c>
      <c r="I2546" s="77">
        <v>146.84445632482561</v>
      </c>
    </row>
    <row r="2547" spans="2:9">
      <c r="B2547" s="76">
        <v>2023.0289411908609</v>
      </c>
      <c r="C2547">
        <v>908.65633705386449</v>
      </c>
      <c r="D2547" s="77">
        <v>151.44272284231076</v>
      </c>
      <c r="E2547" s="77">
        <v>151.44272284231076</v>
      </c>
      <c r="F2547" s="77">
        <v>151.44272284231076</v>
      </c>
      <c r="G2547" s="77">
        <v>151.44272284231076</v>
      </c>
      <c r="H2547" s="77">
        <v>151.44272284231076</v>
      </c>
      <c r="I2547" s="77">
        <v>151.44272284231076</v>
      </c>
    </row>
    <row r="2548" spans="2:9">
      <c r="B2548" s="76">
        <v>2023.6675110666431</v>
      </c>
      <c r="C2548">
        <v>977.02679941270367</v>
      </c>
      <c r="D2548" s="77">
        <v>162.83779990211727</v>
      </c>
      <c r="E2548" s="77">
        <v>162.83779990211727</v>
      </c>
      <c r="F2548" s="77">
        <v>162.83779990211727</v>
      </c>
      <c r="G2548" s="77">
        <v>162.83779990211727</v>
      </c>
      <c r="H2548" s="77">
        <v>162.83779990211727</v>
      </c>
      <c r="I2548" s="77">
        <v>162.83779990211727</v>
      </c>
    </row>
    <row r="2549" spans="2:9">
      <c r="B2549" s="76">
        <v>2023.7486827919822</v>
      </c>
      <c r="C2549">
        <v>1029.7472544082825</v>
      </c>
      <c r="D2549" s="77">
        <v>171.62454240138041</v>
      </c>
      <c r="E2549" s="77">
        <v>171.62454240138041</v>
      </c>
      <c r="F2549" s="77">
        <v>171.62454240138041</v>
      </c>
      <c r="G2549" s="77">
        <v>171.62454240138041</v>
      </c>
      <c r="H2549" s="77">
        <v>171.62454240138041</v>
      </c>
      <c r="I2549" s="77">
        <v>171.62454240138041</v>
      </c>
    </row>
    <row r="2550" spans="2:9">
      <c r="B2550" s="76">
        <v>2023.0855994549438</v>
      </c>
      <c r="C2550">
        <v>901.144364366221</v>
      </c>
      <c r="D2550" s="77">
        <v>150.19072739437016</v>
      </c>
      <c r="E2550" s="77">
        <v>150.19072739437016</v>
      </c>
      <c r="F2550" s="77">
        <v>150.19072739437016</v>
      </c>
      <c r="G2550" s="77">
        <v>150.19072739437016</v>
      </c>
      <c r="H2550" s="77">
        <v>150.19072739437016</v>
      </c>
      <c r="I2550" s="77">
        <v>150.19072739437016</v>
      </c>
    </row>
    <row r="2551" spans="2:9">
      <c r="B2551" s="76">
        <v>2023.098098754027</v>
      </c>
      <c r="C2551">
        <v>872.55799955228258</v>
      </c>
      <c r="D2551" s="77">
        <v>145.42633325871375</v>
      </c>
      <c r="E2551" s="77">
        <v>145.42633325871375</v>
      </c>
      <c r="F2551" s="77">
        <v>145.42633325871375</v>
      </c>
      <c r="G2551" s="77">
        <v>145.42633325871375</v>
      </c>
      <c r="H2551" s="77">
        <v>145.42633325871375</v>
      </c>
      <c r="I2551" s="77">
        <v>145.42633325871375</v>
      </c>
    </row>
    <row r="2552" spans="2:9">
      <c r="B2552" s="76">
        <v>2022.7639974597507</v>
      </c>
      <c r="C2552">
        <v>804.48949998587955</v>
      </c>
      <c r="D2552" s="77">
        <v>134.08158333097992</v>
      </c>
      <c r="E2552" s="77">
        <v>134.08158333097992</v>
      </c>
      <c r="F2552" s="77">
        <v>134.08158333097992</v>
      </c>
      <c r="G2552" s="77">
        <v>134.08158333097992</v>
      </c>
      <c r="H2552" s="77">
        <v>134.08158333097992</v>
      </c>
      <c r="I2552" s="77">
        <v>134.08158333097992</v>
      </c>
    </row>
    <row r="2553" spans="2:9">
      <c r="B2553" s="76">
        <v>2023.1989932417716</v>
      </c>
      <c r="C2553">
        <v>971.7021549782794</v>
      </c>
      <c r="D2553" s="77">
        <v>161.95035916304656</v>
      </c>
      <c r="E2553" s="77">
        <v>161.95035916304656</v>
      </c>
      <c r="F2553" s="77">
        <v>161.95035916304656</v>
      </c>
      <c r="G2553" s="77">
        <v>161.95035916304656</v>
      </c>
      <c r="H2553" s="77">
        <v>161.95035916304656</v>
      </c>
      <c r="I2553" s="77">
        <v>161.95035916304656</v>
      </c>
    </row>
    <row r="2554" spans="2:9">
      <c r="B2554" s="76">
        <v>2022.9277829010189</v>
      </c>
      <c r="C2554">
        <v>887.29443062707901</v>
      </c>
      <c r="D2554" s="77">
        <v>147.88240510451317</v>
      </c>
      <c r="E2554" s="77">
        <v>147.88240510451317</v>
      </c>
      <c r="F2554" s="77">
        <v>147.88240510451317</v>
      </c>
      <c r="G2554" s="77">
        <v>147.88240510451317</v>
      </c>
      <c r="H2554" s="77">
        <v>147.88240510451317</v>
      </c>
      <c r="I2554" s="77">
        <v>147.88240510451317</v>
      </c>
    </row>
    <row r="2555" spans="2:9">
      <c r="B2555" s="76">
        <v>2023.2522987774282</v>
      </c>
      <c r="C2555">
        <v>974.90346428404393</v>
      </c>
      <c r="D2555" s="77">
        <v>162.48391071400732</v>
      </c>
      <c r="E2555" s="77">
        <v>162.48391071400732</v>
      </c>
      <c r="F2555" s="77">
        <v>162.48391071400732</v>
      </c>
      <c r="G2555" s="77">
        <v>162.48391071400732</v>
      </c>
      <c r="H2555" s="77">
        <v>162.48391071400732</v>
      </c>
      <c r="I2555" s="77">
        <v>162.48391071400732</v>
      </c>
    </row>
    <row r="2556" spans="2:9">
      <c r="B2556" s="76">
        <v>2023.2544647963953</v>
      </c>
      <c r="C2556">
        <v>873.00640700204156</v>
      </c>
      <c r="D2556" s="77">
        <v>145.5010678336736</v>
      </c>
      <c r="E2556" s="77">
        <v>145.5010678336736</v>
      </c>
      <c r="F2556" s="77">
        <v>145.5010678336736</v>
      </c>
      <c r="G2556" s="77">
        <v>145.5010678336736</v>
      </c>
      <c r="H2556" s="77">
        <v>145.5010678336736</v>
      </c>
      <c r="I2556" s="77">
        <v>145.5010678336736</v>
      </c>
    </row>
    <row r="2557" spans="2:9">
      <c r="B2557" s="76">
        <v>2025.1586170503122</v>
      </c>
      <c r="C2557">
        <v>1191.5525230862461</v>
      </c>
      <c r="D2557" s="77">
        <v>198.59208718104102</v>
      </c>
      <c r="E2557" s="77">
        <v>198.59208718104102</v>
      </c>
      <c r="F2557" s="77">
        <v>198.59208718104102</v>
      </c>
      <c r="G2557" s="77">
        <v>198.59208718104102</v>
      </c>
      <c r="H2557" s="77">
        <v>198.59208718104102</v>
      </c>
      <c r="I2557" s="77">
        <v>198.59208718104102</v>
      </c>
    </row>
    <row r="2558" spans="2:9">
      <c r="B2558" s="76">
        <v>2023.3140738467876</v>
      </c>
      <c r="C2558">
        <v>901.85012538173385</v>
      </c>
      <c r="D2558" s="77">
        <v>150.30835423028898</v>
      </c>
      <c r="E2558" s="77">
        <v>150.30835423028898</v>
      </c>
      <c r="F2558" s="77">
        <v>150.30835423028898</v>
      </c>
      <c r="G2558" s="77">
        <v>150.30835423028898</v>
      </c>
      <c r="H2558" s="77">
        <v>150.30835423028898</v>
      </c>
      <c r="I2558" s="77">
        <v>150.30835423028898</v>
      </c>
    </row>
    <row r="2559" spans="2:9">
      <c r="B2559" s="76">
        <v>2022.8664990355096</v>
      </c>
      <c r="C2559">
        <v>857.24939474662403</v>
      </c>
      <c r="D2559" s="77">
        <v>142.87489912443735</v>
      </c>
      <c r="E2559" s="77">
        <v>142.87489912443735</v>
      </c>
      <c r="F2559" s="77">
        <v>142.87489912443735</v>
      </c>
      <c r="G2559" s="77">
        <v>142.87489912443735</v>
      </c>
      <c r="H2559" s="77">
        <v>142.87489912443735</v>
      </c>
      <c r="I2559" s="77">
        <v>142.87489912443735</v>
      </c>
    </row>
    <row r="2560" spans="2:9">
      <c r="B2560" s="76">
        <v>2024.289340106046</v>
      </c>
      <c r="C2560">
        <v>992.73572310546626</v>
      </c>
      <c r="D2560" s="77">
        <v>165.45595385091104</v>
      </c>
      <c r="E2560" s="77">
        <v>165.45595385091104</v>
      </c>
      <c r="F2560" s="77">
        <v>165.45595385091104</v>
      </c>
      <c r="G2560" s="77">
        <v>165.45595385091104</v>
      </c>
      <c r="H2560" s="77">
        <v>165.45595385091104</v>
      </c>
      <c r="I2560" s="77">
        <v>165.45595385091104</v>
      </c>
    </row>
    <row r="2561" spans="2:9">
      <c r="B2561" s="76">
        <v>2023.2092250929875</v>
      </c>
      <c r="C2561">
        <v>879.91108345210569</v>
      </c>
      <c r="D2561" s="77">
        <v>146.65184724201762</v>
      </c>
      <c r="E2561" s="77">
        <v>146.65184724201762</v>
      </c>
      <c r="F2561" s="77">
        <v>146.65184724201762</v>
      </c>
      <c r="G2561" s="77">
        <v>146.65184724201762</v>
      </c>
      <c r="H2561" s="77">
        <v>146.65184724201762</v>
      </c>
      <c r="I2561" s="77">
        <v>146.65184724201762</v>
      </c>
    </row>
    <row r="2562" spans="2:9">
      <c r="B2562" s="76">
        <v>2024.9247401376572</v>
      </c>
      <c r="C2562">
        <v>1113.6227785280648</v>
      </c>
      <c r="D2562" s="77">
        <v>185.60379642134413</v>
      </c>
      <c r="E2562" s="77">
        <v>185.60379642134413</v>
      </c>
      <c r="F2562" s="77">
        <v>185.60379642134413</v>
      </c>
      <c r="G2562" s="77">
        <v>185.60379642134413</v>
      </c>
      <c r="H2562" s="77">
        <v>185.60379642134413</v>
      </c>
      <c r="I2562" s="77">
        <v>185.60379642134413</v>
      </c>
    </row>
    <row r="2563" spans="2:9">
      <c r="B2563" s="76">
        <v>2023.5107276178774</v>
      </c>
      <c r="C2563">
        <v>996.96793980392442</v>
      </c>
      <c r="D2563" s="77">
        <v>166.16132330065406</v>
      </c>
      <c r="E2563" s="77">
        <v>166.16132330065406</v>
      </c>
      <c r="F2563" s="77">
        <v>166.16132330065406</v>
      </c>
      <c r="G2563" s="77">
        <v>166.16132330065406</v>
      </c>
      <c r="H2563" s="77">
        <v>166.16132330065406</v>
      </c>
      <c r="I2563" s="77">
        <v>166.16132330065406</v>
      </c>
    </row>
    <row r="2564" spans="2:9">
      <c r="B2564" s="76">
        <v>2023.0253389856721</v>
      </c>
      <c r="C2564">
        <v>895.38663725029812</v>
      </c>
      <c r="D2564" s="77">
        <v>149.23110620838301</v>
      </c>
      <c r="E2564" s="77">
        <v>149.23110620838301</v>
      </c>
      <c r="F2564" s="77">
        <v>149.23110620838301</v>
      </c>
      <c r="G2564" s="77">
        <v>149.23110620838301</v>
      </c>
      <c r="H2564" s="77">
        <v>149.23110620838301</v>
      </c>
      <c r="I2564" s="77">
        <v>149.23110620838301</v>
      </c>
    </row>
    <row r="2565" spans="2:9">
      <c r="B2565" s="76">
        <v>2023.4640286501153</v>
      </c>
      <c r="C2565">
        <v>920.70219355134805</v>
      </c>
      <c r="D2565" s="77">
        <v>153.45036559189134</v>
      </c>
      <c r="E2565" s="77">
        <v>153.45036559189134</v>
      </c>
      <c r="F2565" s="77">
        <v>153.45036559189134</v>
      </c>
      <c r="G2565" s="77">
        <v>153.45036559189134</v>
      </c>
      <c r="H2565" s="77">
        <v>153.45036559189134</v>
      </c>
      <c r="I2565" s="77">
        <v>153.45036559189134</v>
      </c>
    </row>
    <row r="2566" spans="2:9">
      <c r="B2566" s="76">
        <v>2023.1731353323532</v>
      </c>
      <c r="C2566">
        <v>928.84158224412931</v>
      </c>
      <c r="D2566" s="77">
        <v>154.80693037402156</v>
      </c>
      <c r="E2566" s="77">
        <v>154.80693037402156</v>
      </c>
      <c r="F2566" s="77">
        <v>154.80693037402156</v>
      </c>
      <c r="G2566" s="77">
        <v>154.80693037402156</v>
      </c>
      <c r="H2566" s="77">
        <v>154.80693037402156</v>
      </c>
      <c r="I2566" s="77">
        <v>154.80693037402156</v>
      </c>
    </row>
    <row r="2567" spans="2:9">
      <c r="B2567" s="76">
        <v>2023.3030771997867</v>
      </c>
      <c r="C2567">
        <v>889.56568950559677</v>
      </c>
      <c r="D2567" s="77">
        <v>148.26094825093278</v>
      </c>
      <c r="E2567" s="77">
        <v>148.26094825093278</v>
      </c>
      <c r="F2567" s="77">
        <v>148.26094825093278</v>
      </c>
      <c r="G2567" s="77">
        <v>148.26094825093278</v>
      </c>
      <c r="H2567" s="77">
        <v>148.26094825093278</v>
      </c>
      <c r="I2567" s="77">
        <v>148.26094825093278</v>
      </c>
    </row>
    <row r="2568" spans="2:9">
      <c r="B2568" s="76">
        <v>2025.4337559364221</v>
      </c>
      <c r="C2568">
        <v>1220.3637114993946</v>
      </c>
      <c r="D2568" s="77">
        <v>203.39395191656578</v>
      </c>
      <c r="E2568" s="77">
        <v>203.39395191656578</v>
      </c>
      <c r="F2568" s="77">
        <v>203.39395191656578</v>
      </c>
      <c r="G2568" s="77">
        <v>203.39395191656578</v>
      </c>
      <c r="H2568" s="77">
        <v>203.39395191656578</v>
      </c>
      <c r="I2568" s="77">
        <v>203.39395191656578</v>
      </c>
    </row>
    <row r="2569" spans="2:9">
      <c r="B2569" s="76">
        <v>2023.1503011416212</v>
      </c>
      <c r="C2569">
        <v>886.41183148149673</v>
      </c>
      <c r="D2569" s="77">
        <v>147.73530524691611</v>
      </c>
      <c r="E2569" s="77">
        <v>147.73530524691611</v>
      </c>
      <c r="F2569" s="77">
        <v>147.73530524691611</v>
      </c>
      <c r="G2569" s="77">
        <v>147.73530524691611</v>
      </c>
      <c r="H2569" s="77">
        <v>147.73530524691611</v>
      </c>
      <c r="I2569" s="77">
        <v>147.73530524691611</v>
      </c>
    </row>
    <row r="2570" spans="2:9">
      <c r="B2570" s="76">
        <v>2024.8819388086069</v>
      </c>
      <c r="C2570">
        <v>1134.4635176304987</v>
      </c>
      <c r="D2570" s="77">
        <v>189.07725293841645</v>
      </c>
      <c r="E2570" s="77">
        <v>189.07725293841645</v>
      </c>
      <c r="F2570" s="77">
        <v>189.07725293841645</v>
      </c>
      <c r="G2570" s="77">
        <v>189.07725293841645</v>
      </c>
      <c r="H2570" s="77">
        <v>189.07725293841645</v>
      </c>
      <c r="I2570" s="77">
        <v>189.07725293841645</v>
      </c>
    </row>
    <row r="2571" spans="2:9">
      <c r="B2571" s="76">
        <v>2023.9325512700475</v>
      </c>
      <c r="C2571">
        <v>975.32828486187509</v>
      </c>
      <c r="D2571" s="77">
        <v>162.55471414364584</v>
      </c>
      <c r="E2571" s="77">
        <v>162.55471414364584</v>
      </c>
      <c r="F2571" s="77">
        <v>162.55471414364584</v>
      </c>
      <c r="G2571" s="77">
        <v>162.55471414364584</v>
      </c>
      <c r="H2571" s="77">
        <v>162.55471414364584</v>
      </c>
      <c r="I2571" s="77">
        <v>162.55471414364584</v>
      </c>
    </row>
    <row r="2572" spans="2:9">
      <c r="B2572" s="76">
        <v>2022.6958166297741</v>
      </c>
      <c r="C2572">
        <v>836.85859275796111</v>
      </c>
      <c r="D2572" s="77">
        <v>139.47643212632684</v>
      </c>
      <c r="E2572" s="77">
        <v>139.47643212632684</v>
      </c>
      <c r="F2572" s="77">
        <v>139.47643212632684</v>
      </c>
      <c r="G2572" s="77">
        <v>139.47643212632684</v>
      </c>
      <c r="H2572" s="77">
        <v>139.47643212632684</v>
      </c>
      <c r="I2572" s="77">
        <v>139.47643212632684</v>
      </c>
    </row>
    <row r="2573" spans="2:9">
      <c r="B2573" s="76">
        <v>2024.6454844279199</v>
      </c>
      <c r="C2573">
        <v>1101.2102935267492</v>
      </c>
      <c r="D2573" s="77">
        <v>183.53504892112485</v>
      </c>
      <c r="E2573" s="77">
        <v>183.53504892112485</v>
      </c>
      <c r="F2573" s="77">
        <v>183.53504892112485</v>
      </c>
      <c r="G2573" s="77">
        <v>183.53504892112485</v>
      </c>
      <c r="H2573" s="77">
        <v>183.53504892112485</v>
      </c>
      <c r="I2573" s="77">
        <v>183.53504892112485</v>
      </c>
    </row>
    <row r="2574" spans="2:9">
      <c r="B2574" s="76">
        <v>2023.2140680982775</v>
      </c>
      <c r="C2574">
        <v>904.3179596894422</v>
      </c>
      <c r="D2574" s="77">
        <v>150.71965994824038</v>
      </c>
      <c r="E2574" s="77">
        <v>150.71965994824038</v>
      </c>
      <c r="F2574" s="77">
        <v>150.71965994824038</v>
      </c>
      <c r="G2574" s="77">
        <v>150.71965994824038</v>
      </c>
      <c r="H2574" s="77">
        <v>150.71965994824038</v>
      </c>
      <c r="I2574" s="77">
        <v>150.71965994824038</v>
      </c>
    </row>
    <row r="2575" spans="2:9">
      <c r="B2575" s="76">
        <v>2023.0706590313328</v>
      </c>
      <c r="C2575">
        <v>878.56261006600505</v>
      </c>
      <c r="D2575" s="77">
        <v>146.42710167766751</v>
      </c>
      <c r="E2575" s="77">
        <v>146.42710167766751</v>
      </c>
      <c r="F2575" s="77">
        <v>146.42710167766751</v>
      </c>
      <c r="G2575" s="77">
        <v>146.42710167766751</v>
      </c>
      <c r="H2575" s="77">
        <v>146.42710167766751</v>
      </c>
      <c r="I2575" s="77">
        <v>146.42710167766751</v>
      </c>
    </row>
    <row r="2576" spans="2:9">
      <c r="B2576" s="76">
        <v>2023.1013249281043</v>
      </c>
      <c r="C2576">
        <v>823.89888923013905</v>
      </c>
      <c r="D2576" s="77">
        <v>137.3164815383565</v>
      </c>
      <c r="E2576" s="77">
        <v>137.3164815383565</v>
      </c>
      <c r="F2576" s="77">
        <v>137.3164815383565</v>
      </c>
      <c r="G2576" s="77">
        <v>137.3164815383565</v>
      </c>
      <c r="H2576" s="77">
        <v>137.3164815383565</v>
      </c>
      <c r="I2576" s="77">
        <v>137.3164815383565</v>
      </c>
    </row>
    <row r="2577" spans="2:9">
      <c r="B2577" s="76">
        <v>2023.9415597250731</v>
      </c>
      <c r="C2577">
        <v>970.59714553716037</v>
      </c>
      <c r="D2577" s="77">
        <v>161.76619092286006</v>
      </c>
      <c r="E2577" s="77">
        <v>161.76619092286006</v>
      </c>
      <c r="F2577" s="77">
        <v>161.76619092286006</v>
      </c>
      <c r="G2577" s="77">
        <v>161.76619092286006</v>
      </c>
      <c r="H2577" s="77">
        <v>161.76619092286006</v>
      </c>
      <c r="I2577" s="77">
        <v>161.76619092286006</v>
      </c>
    </row>
    <row r="2578" spans="2:9">
      <c r="B2578" s="76">
        <v>2023.2439832141292</v>
      </c>
      <c r="C2578">
        <v>911.36199018404716</v>
      </c>
      <c r="D2578" s="77">
        <v>151.89366503067453</v>
      </c>
      <c r="E2578" s="77">
        <v>151.89366503067453</v>
      </c>
      <c r="F2578" s="77">
        <v>151.89366503067453</v>
      </c>
      <c r="G2578" s="77">
        <v>151.89366503067453</v>
      </c>
      <c r="H2578" s="77">
        <v>151.89366503067453</v>
      </c>
      <c r="I2578" s="77">
        <v>151.89366503067453</v>
      </c>
    </row>
    <row r="2579" spans="2:9">
      <c r="B2579" s="76">
        <v>2022.8857852225099</v>
      </c>
      <c r="C2579">
        <v>818.53826448339169</v>
      </c>
      <c r="D2579" s="77">
        <v>136.42304408056529</v>
      </c>
      <c r="E2579" s="77">
        <v>136.42304408056529</v>
      </c>
      <c r="F2579" s="77">
        <v>136.42304408056529</v>
      </c>
      <c r="G2579" s="77">
        <v>136.42304408056529</v>
      </c>
      <c r="H2579" s="77">
        <v>136.42304408056529</v>
      </c>
      <c r="I2579" s="77">
        <v>136.42304408056529</v>
      </c>
    </row>
    <row r="2580" spans="2:9">
      <c r="B2580" s="76">
        <v>2022.7910221080747</v>
      </c>
      <c r="C2580">
        <v>802.10837578199425</v>
      </c>
      <c r="D2580" s="77">
        <v>133.68472929699905</v>
      </c>
      <c r="E2580" s="77">
        <v>133.68472929699905</v>
      </c>
      <c r="F2580" s="77">
        <v>133.68472929699905</v>
      </c>
      <c r="G2580" s="77">
        <v>133.68472929699905</v>
      </c>
      <c r="H2580" s="77">
        <v>133.68472929699905</v>
      </c>
      <c r="I2580" s="77">
        <v>133.68472929699905</v>
      </c>
    </row>
    <row r="2581" spans="2:9">
      <c r="B2581" s="76">
        <v>2025.1244969644144</v>
      </c>
      <c r="C2581">
        <v>1247.7914689998381</v>
      </c>
      <c r="D2581" s="77">
        <v>207.96524483330634</v>
      </c>
      <c r="E2581" s="77">
        <v>207.96524483330634</v>
      </c>
      <c r="F2581" s="77">
        <v>207.96524483330634</v>
      </c>
      <c r="G2581" s="77">
        <v>207.96524483330634</v>
      </c>
      <c r="H2581" s="77">
        <v>207.96524483330634</v>
      </c>
      <c r="I2581" s="77">
        <v>207.96524483330634</v>
      </c>
    </row>
    <row r="2582" spans="2:9">
      <c r="B2582" s="76">
        <v>2023.0078126208225</v>
      </c>
      <c r="C2582">
        <v>839.29193042587838</v>
      </c>
      <c r="D2582" s="77">
        <v>139.88198840431306</v>
      </c>
      <c r="E2582" s="77">
        <v>139.88198840431306</v>
      </c>
      <c r="F2582" s="77">
        <v>139.88198840431306</v>
      </c>
      <c r="G2582" s="77">
        <v>139.88198840431306</v>
      </c>
      <c r="H2582" s="77">
        <v>139.88198840431306</v>
      </c>
      <c r="I2582" s="77">
        <v>139.88198840431306</v>
      </c>
    </row>
    <row r="2583" spans="2:9">
      <c r="B2583" s="76">
        <v>2023.2401378699392</v>
      </c>
      <c r="C2583">
        <v>948.51003377989423</v>
      </c>
      <c r="D2583" s="77">
        <v>158.08500562998236</v>
      </c>
      <c r="E2583" s="77">
        <v>158.08500562998236</v>
      </c>
      <c r="F2583" s="77">
        <v>158.08500562998236</v>
      </c>
      <c r="G2583" s="77">
        <v>158.08500562998236</v>
      </c>
      <c r="H2583" s="77">
        <v>158.08500562998236</v>
      </c>
      <c r="I2583" s="77">
        <v>158.08500562998236</v>
      </c>
    </row>
    <row r="2584" spans="2:9">
      <c r="B2584" s="76">
        <v>2025.2134143910828</v>
      </c>
      <c r="C2584">
        <v>1238.5263582914765</v>
      </c>
      <c r="D2584" s="77">
        <v>206.42105971524609</v>
      </c>
      <c r="E2584" s="77">
        <v>206.42105971524609</v>
      </c>
      <c r="F2584" s="77">
        <v>206.42105971524609</v>
      </c>
      <c r="G2584" s="77">
        <v>206.42105971524609</v>
      </c>
      <c r="H2584" s="77">
        <v>206.42105971524609</v>
      </c>
      <c r="I2584" s="77">
        <v>206.42105971524609</v>
      </c>
    </row>
    <row r="2585" spans="2:9">
      <c r="B2585" s="76">
        <v>2023.6687475387359</v>
      </c>
      <c r="C2585">
        <v>970.4192705394596</v>
      </c>
      <c r="D2585" s="77">
        <v>161.73654508990992</v>
      </c>
      <c r="E2585" s="77">
        <v>161.73654508990992</v>
      </c>
      <c r="F2585" s="77">
        <v>161.73654508990992</v>
      </c>
      <c r="G2585" s="77">
        <v>161.73654508990992</v>
      </c>
      <c r="H2585" s="77">
        <v>161.73654508990992</v>
      </c>
      <c r="I2585" s="77">
        <v>161.73654508990992</v>
      </c>
    </row>
    <row r="2586" spans="2:9">
      <c r="B2586" s="76">
        <v>2023.5297734884293</v>
      </c>
      <c r="C2586">
        <v>928.39264780603298</v>
      </c>
      <c r="D2586" s="77">
        <v>154.73210796767216</v>
      </c>
      <c r="E2586" s="77">
        <v>154.73210796767216</v>
      </c>
      <c r="F2586" s="77">
        <v>154.73210796767216</v>
      </c>
      <c r="G2586" s="77">
        <v>154.73210796767216</v>
      </c>
      <c r="H2586" s="77">
        <v>154.73210796767216</v>
      </c>
      <c r="I2586" s="77">
        <v>154.73210796767216</v>
      </c>
    </row>
    <row r="2587" spans="2:9">
      <c r="B2587" s="76">
        <v>2022.7343443454104</v>
      </c>
      <c r="C2587">
        <v>907.63626475304773</v>
      </c>
      <c r="D2587" s="77">
        <v>151.27271079217462</v>
      </c>
      <c r="E2587" s="77">
        <v>151.27271079217462</v>
      </c>
      <c r="F2587" s="77">
        <v>151.27271079217462</v>
      </c>
      <c r="G2587" s="77">
        <v>151.27271079217462</v>
      </c>
      <c r="H2587" s="77">
        <v>151.27271079217462</v>
      </c>
      <c r="I2587" s="77">
        <v>151.27271079217462</v>
      </c>
    </row>
    <row r="2588" spans="2:9">
      <c r="B2588" s="76">
        <v>2023.4699613399271</v>
      </c>
      <c r="C2588">
        <v>943.4047426646448</v>
      </c>
      <c r="D2588" s="77">
        <v>157.2341237774408</v>
      </c>
      <c r="E2588" s="77">
        <v>157.2341237774408</v>
      </c>
      <c r="F2588" s="77">
        <v>157.2341237774408</v>
      </c>
      <c r="G2588" s="77">
        <v>157.2341237774408</v>
      </c>
      <c r="H2588" s="77">
        <v>157.2341237774408</v>
      </c>
      <c r="I2588" s="77">
        <v>157.2341237774408</v>
      </c>
    </row>
    <row r="2589" spans="2:9">
      <c r="B2589" s="76">
        <v>2025.0552188378024</v>
      </c>
      <c r="C2589">
        <v>1198.0558447597289</v>
      </c>
      <c r="D2589" s="77">
        <v>199.67597412662147</v>
      </c>
      <c r="E2589" s="77">
        <v>199.67597412662147</v>
      </c>
      <c r="F2589" s="77">
        <v>199.67597412662147</v>
      </c>
      <c r="G2589" s="77">
        <v>199.67597412662147</v>
      </c>
      <c r="H2589" s="77">
        <v>199.67597412662147</v>
      </c>
      <c r="I2589" s="77">
        <v>199.67597412662147</v>
      </c>
    </row>
    <row r="2590" spans="2:9">
      <c r="B2590" s="76">
        <v>2023.7692046887826</v>
      </c>
      <c r="C2590">
        <v>971.11496287862246</v>
      </c>
      <c r="D2590" s="77">
        <v>161.85249381310373</v>
      </c>
      <c r="E2590" s="77">
        <v>161.85249381310373</v>
      </c>
      <c r="F2590" s="77">
        <v>161.85249381310373</v>
      </c>
      <c r="G2590" s="77">
        <v>161.85249381310373</v>
      </c>
      <c r="H2590" s="77">
        <v>161.85249381310373</v>
      </c>
      <c r="I2590" s="77">
        <v>161.85249381310373</v>
      </c>
    </row>
    <row r="2591" spans="2:9">
      <c r="B2591" s="76">
        <v>2024.5845586603957</v>
      </c>
      <c r="C2591">
        <v>1150.9084207891635</v>
      </c>
      <c r="D2591" s="77">
        <v>191.81807013152726</v>
      </c>
      <c r="E2591" s="77">
        <v>191.81807013152726</v>
      </c>
      <c r="F2591" s="77">
        <v>191.81807013152726</v>
      </c>
      <c r="G2591" s="77">
        <v>191.81807013152726</v>
      </c>
      <c r="H2591" s="77">
        <v>191.81807013152726</v>
      </c>
      <c r="I2591" s="77">
        <v>191.81807013152726</v>
      </c>
    </row>
    <row r="2592" spans="2:9">
      <c r="B2592" s="76">
        <v>2023.4115833587921</v>
      </c>
      <c r="C2592">
        <v>999.26756339082169</v>
      </c>
      <c r="D2592" s="77">
        <v>166.54459389847028</v>
      </c>
      <c r="E2592" s="77">
        <v>166.54459389847028</v>
      </c>
      <c r="F2592" s="77">
        <v>166.54459389847028</v>
      </c>
      <c r="G2592" s="77">
        <v>166.54459389847028</v>
      </c>
      <c r="H2592" s="77">
        <v>166.54459389847028</v>
      </c>
      <c r="I2592" s="77">
        <v>166.54459389847028</v>
      </c>
    </row>
    <row r="2593" spans="2:9">
      <c r="B2593" s="76">
        <v>2023.3293982389669</v>
      </c>
      <c r="C2593">
        <v>925.12634282760905</v>
      </c>
      <c r="D2593" s="77">
        <v>154.18772380460152</v>
      </c>
      <c r="E2593" s="77">
        <v>154.18772380460152</v>
      </c>
      <c r="F2593" s="77">
        <v>154.18772380460152</v>
      </c>
      <c r="G2593" s="77">
        <v>154.18772380460152</v>
      </c>
      <c r="H2593" s="77">
        <v>154.18772380460152</v>
      </c>
      <c r="I2593" s="77">
        <v>154.18772380460152</v>
      </c>
    </row>
    <row r="2594" spans="2:9">
      <c r="B2594" s="76">
        <v>2023.1049528760423</v>
      </c>
      <c r="C2594">
        <v>895.37216611695499</v>
      </c>
      <c r="D2594" s="77">
        <v>149.22869435282584</v>
      </c>
      <c r="E2594" s="77">
        <v>149.22869435282584</v>
      </c>
      <c r="F2594" s="77">
        <v>149.22869435282584</v>
      </c>
      <c r="G2594" s="77">
        <v>149.22869435282584</v>
      </c>
      <c r="H2594" s="77">
        <v>149.22869435282584</v>
      </c>
      <c r="I2594" s="77">
        <v>149.22869435282584</v>
      </c>
    </row>
    <row r="2595" spans="2:9">
      <c r="B2595" s="76">
        <v>2023.2873078318794</v>
      </c>
      <c r="C2595">
        <v>907.08863379371394</v>
      </c>
      <c r="D2595" s="77">
        <v>151.18143896561898</v>
      </c>
      <c r="E2595" s="77">
        <v>151.18143896561898</v>
      </c>
      <c r="F2595" s="77">
        <v>151.18143896561898</v>
      </c>
      <c r="G2595" s="77">
        <v>151.18143896561898</v>
      </c>
      <c r="H2595" s="77">
        <v>151.18143896561898</v>
      </c>
      <c r="I2595" s="77">
        <v>151.18143896561898</v>
      </c>
    </row>
    <row r="2596" spans="2:9">
      <c r="B2596" s="76">
        <v>2023.4758786701093</v>
      </c>
      <c r="C2596">
        <v>998.25420559707459</v>
      </c>
      <c r="D2596" s="77">
        <v>166.37570093284577</v>
      </c>
      <c r="E2596" s="77">
        <v>166.37570093284577</v>
      </c>
      <c r="F2596" s="77">
        <v>166.37570093284577</v>
      </c>
      <c r="G2596" s="77">
        <v>166.37570093284577</v>
      </c>
      <c r="H2596" s="77">
        <v>166.37570093284577</v>
      </c>
      <c r="I2596" s="77">
        <v>166.37570093284577</v>
      </c>
    </row>
    <row r="2597" spans="2:9">
      <c r="B2597" s="76">
        <v>2022.7955035100254</v>
      </c>
      <c r="C2597">
        <v>914.83245853889605</v>
      </c>
      <c r="D2597" s="77">
        <v>152.47207642314933</v>
      </c>
      <c r="E2597" s="77">
        <v>152.47207642314933</v>
      </c>
      <c r="F2597" s="77">
        <v>152.47207642314933</v>
      </c>
      <c r="G2597" s="77">
        <v>152.47207642314933</v>
      </c>
      <c r="H2597" s="77">
        <v>152.47207642314933</v>
      </c>
      <c r="I2597" s="77">
        <v>152.47207642314933</v>
      </c>
    </row>
    <row r="2598" spans="2:9">
      <c r="B2598" s="76">
        <v>2023.7309317699755</v>
      </c>
      <c r="C2598">
        <v>926.41941733756289</v>
      </c>
      <c r="D2598" s="77">
        <v>154.40323622292715</v>
      </c>
      <c r="E2598" s="77">
        <v>154.40323622292715</v>
      </c>
      <c r="F2598" s="77">
        <v>154.40323622292715</v>
      </c>
      <c r="G2598" s="77">
        <v>154.40323622292715</v>
      </c>
      <c r="H2598" s="77">
        <v>154.40323622292715</v>
      </c>
      <c r="I2598" s="77">
        <v>154.40323622292715</v>
      </c>
    </row>
    <row r="2599" spans="2:9">
      <c r="B2599" s="76">
        <v>2023.1582362790596</v>
      </c>
      <c r="C2599">
        <v>927.35689758646447</v>
      </c>
      <c r="D2599" s="77">
        <v>154.55948293107741</v>
      </c>
      <c r="E2599" s="77">
        <v>154.55948293107741</v>
      </c>
      <c r="F2599" s="77">
        <v>154.55948293107741</v>
      </c>
      <c r="G2599" s="77">
        <v>154.55948293107741</v>
      </c>
      <c r="H2599" s="77">
        <v>154.55948293107741</v>
      </c>
      <c r="I2599" s="77">
        <v>154.55948293107741</v>
      </c>
    </row>
    <row r="2600" spans="2:9">
      <c r="B2600" s="76">
        <v>2023.1929270224682</v>
      </c>
      <c r="C2600">
        <v>849.81120229501414</v>
      </c>
      <c r="D2600" s="77">
        <v>141.63520038250235</v>
      </c>
      <c r="E2600" s="77">
        <v>141.63520038250235</v>
      </c>
      <c r="F2600" s="77">
        <v>141.63520038250235</v>
      </c>
      <c r="G2600" s="77">
        <v>141.63520038250235</v>
      </c>
      <c r="H2600" s="77">
        <v>141.63520038250235</v>
      </c>
      <c r="I2600" s="77">
        <v>141.63520038250235</v>
      </c>
    </row>
    <row r="2601" spans="2:9">
      <c r="B2601" s="76">
        <v>2025.3281845632318</v>
      </c>
      <c r="C2601">
        <v>1125.7189229568621</v>
      </c>
      <c r="D2601" s="77">
        <v>187.61982049281036</v>
      </c>
      <c r="E2601" s="77">
        <v>187.61982049281036</v>
      </c>
      <c r="F2601" s="77">
        <v>187.61982049281036</v>
      </c>
      <c r="G2601" s="77">
        <v>187.61982049281036</v>
      </c>
      <c r="H2601" s="77">
        <v>187.61982049281036</v>
      </c>
      <c r="I2601" s="77">
        <v>187.61982049281036</v>
      </c>
    </row>
    <row r="2602" spans="2:9">
      <c r="B2602" s="76">
        <v>2022.8089514189455</v>
      </c>
      <c r="C2602">
        <v>844.79343674914105</v>
      </c>
      <c r="D2602" s="77">
        <v>140.79890612485684</v>
      </c>
      <c r="E2602" s="77">
        <v>140.79890612485684</v>
      </c>
      <c r="F2602" s="77">
        <v>140.79890612485684</v>
      </c>
      <c r="G2602" s="77">
        <v>140.79890612485684</v>
      </c>
      <c r="H2602" s="77">
        <v>140.79890612485684</v>
      </c>
      <c r="I2602" s="77">
        <v>140.79890612485684</v>
      </c>
    </row>
    <row r="2603" spans="2:9">
      <c r="B2603" s="76">
        <v>2023.3464618421306</v>
      </c>
      <c r="C2603">
        <v>918.98823472691834</v>
      </c>
      <c r="D2603" s="77">
        <v>153.16470578781971</v>
      </c>
      <c r="E2603" s="77">
        <v>153.16470578781971</v>
      </c>
      <c r="F2603" s="77">
        <v>153.16470578781971</v>
      </c>
      <c r="G2603" s="77">
        <v>153.16470578781971</v>
      </c>
      <c r="H2603" s="77">
        <v>153.16470578781971</v>
      </c>
      <c r="I2603" s="77">
        <v>153.16470578781971</v>
      </c>
    </row>
    <row r="2604" spans="2:9">
      <c r="B2604" s="76">
        <v>2024.9453794308579</v>
      </c>
      <c r="C2604">
        <v>1135.0249961102199</v>
      </c>
      <c r="D2604" s="77">
        <v>189.17083268503666</v>
      </c>
      <c r="E2604" s="77">
        <v>189.17083268503666</v>
      </c>
      <c r="F2604" s="77">
        <v>189.17083268503666</v>
      </c>
      <c r="G2604" s="77">
        <v>189.17083268503666</v>
      </c>
      <c r="H2604" s="77">
        <v>189.17083268503666</v>
      </c>
      <c r="I2604" s="77">
        <v>189.17083268503666</v>
      </c>
    </row>
    <row r="2605" spans="2:9">
      <c r="B2605" s="76">
        <v>2022.8579298078066</v>
      </c>
      <c r="C2605">
        <v>831.57472986144978</v>
      </c>
      <c r="D2605" s="77">
        <v>138.59578831024163</v>
      </c>
      <c r="E2605" s="77">
        <v>138.59578831024163</v>
      </c>
      <c r="F2605" s="77">
        <v>138.59578831024163</v>
      </c>
      <c r="G2605" s="77">
        <v>138.59578831024163</v>
      </c>
      <c r="H2605" s="77">
        <v>138.59578831024163</v>
      </c>
      <c r="I2605" s="77">
        <v>138.59578831024163</v>
      </c>
    </row>
    <row r="2606" spans="2:9">
      <c r="B2606" s="76">
        <v>2023.5429013564572</v>
      </c>
      <c r="C2606">
        <v>962.55849242600152</v>
      </c>
      <c r="D2606" s="77">
        <v>160.4264154043336</v>
      </c>
      <c r="E2606" s="77">
        <v>160.4264154043336</v>
      </c>
      <c r="F2606" s="77">
        <v>160.4264154043336</v>
      </c>
      <c r="G2606" s="77">
        <v>160.4264154043336</v>
      </c>
      <c r="H2606" s="77">
        <v>160.4264154043336</v>
      </c>
      <c r="I2606" s="77">
        <v>160.4264154043336</v>
      </c>
    </row>
    <row r="2607" spans="2:9">
      <c r="B2607" s="76">
        <v>2023.4894842361125</v>
      </c>
      <c r="C2607">
        <v>957.74740530397844</v>
      </c>
      <c r="D2607" s="77">
        <v>159.62456755066307</v>
      </c>
      <c r="E2607" s="77">
        <v>159.62456755066307</v>
      </c>
      <c r="F2607" s="77">
        <v>159.62456755066307</v>
      </c>
      <c r="G2607" s="77">
        <v>159.62456755066307</v>
      </c>
      <c r="H2607" s="77">
        <v>159.62456755066307</v>
      </c>
      <c r="I2607" s="77">
        <v>159.62456755066307</v>
      </c>
    </row>
    <row r="2608" spans="2:9">
      <c r="B2608" s="76">
        <v>2025.3853063117633</v>
      </c>
      <c r="C2608">
        <v>1165.8644808384438</v>
      </c>
      <c r="D2608" s="77">
        <v>194.31074680640731</v>
      </c>
      <c r="E2608" s="77">
        <v>194.31074680640731</v>
      </c>
      <c r="F2608" s="77">
        <v>194.31074680640731</v>
      </c>
      <c r="G2608" s="77">
        <v>194.31074680640731</v>
      </c>
      <c r="H2608" s="77">
        <v>194.31074680640731</v>
      </c>
      <c r="I2608" s="77">
        <v>194.31074680640731</v>
      </c>
    </row>
    <row r="2609" spans="2:9">
      <c r="B2609" s="76">
        <v>2024.6083712101765</v>
      </c>
      <c r="C2609">
        <v>1014.9463153262295</v>
      </c>
      <c r="D2609" s="77">
        <v>169.15771922103826</v>
      </c>
      <c r="E2609" s="77">
        <v>169.15771922103826</v>
      </c>
      <c r="F2609" s="77">
        <v>169.15771922103826</v>
      </c>
      <c r="G2609" s="77">
        <v>169.15771922103826</v>
      </c>
      <c r="H2609" s="77">
        <v>169.15771922103826</v>
      </c>
      <c r="I2609" s="77">
        <v>169.15771922103826</v>
      </c>
    </row>
    <row r="2610" spans="2:9">
      <c r="B2610" s="76">
        <v>2025.1764718705754</v>
      </c>
      <c r="C2610">
        <v>1220.6410222207708</v>
      </c>
      <c r="D2610" s="77">
        <v>203.44017037012847</v>
      </c>
      <c r="E2610" s="77">
        <v>203.44017037012847</v>
      </c>
      <c r="F2610" s="77">
        <v>203.44017037012847</v>
      </c>
      <c r="G2610" s="77">
        <v>203.44017037012847</v>
      </c>
      <c r="H2610" s="77">
        <v>203.44017037012847</v>
      </c>
      <c r="I2610" s="77">
        <v>203.44017037012847</v>
      </c>
    </row>
    <row r="2611" spans="2:9">
      <c r="B2611" s="76">
        <v>2025.1406532902654</v>
      </c>
      <c r="C2611">
        <v>1188.3973579412855</v>
      </c>
      <c r="D2611" s="77">
        <v>198.06622632354757</v>
      </c>
      <c r="E2611" s="77">
        <v>198.06622632354757</v>
      </c>
      <c r="F2611" s="77">
        <v>198.06622632354757</v>
      </c>
      <c r="G2611" s="77">
        <v>198.06622632354757</v>
      </c>
      <c r="H2611" s="77">
        <v>198.06622632354757</v>
      </c>
      <c r="I2611" s="77">
        <v>198.06622632354757</v>
      </c>
    </row>
    <row r="2612" spans="2:9">
      <c r="B2612" s="76">
        <v>2022.7066248559884</v>
      </c>
      <c r="C2612">
        <v>847.52779284663825</v>
      </c>
      <c r="D2612" s="77">
        <v>141.25463214110638</v>
      </c>
      <c r="E2612" s="77">
        <v>141.25463214110638</v>
      </c>
      <c r="F2612" s="77">
        <v>141.25463214110638</v>
      </c>
      <c r="G2612" s="77">
        <v>141.25463214110638</v>
      </c>
      <c r="H2612" s="77">
        <v>141.25463214110638</v>
      </c>
      <c r="I2612" s="77">
        <v>141.25463214110638</v>
      </c>
    </row>
    <row r="2613" spans="2:9">
      <c r="B2613" s="76">
        <v>2024.7792878180123</v>
      </c>
      <c r="C2613">
        <v>1061.549202479508</v>
      </c>
      <c r="D2613" s="77">
        <v>176.92486707991802</v>
      </c>
      <c r="E2613" s="77">
        <v>176.92486707991802</v>
      </c>
      <c r="F2613" s="77">
        <v>176.92486707991802</v>
      </c>
      <c r="G2613" s="77">
        <v>176.92486707991802</v>
      </c>
      <c r="H2613" s="77">
        <v>176.92486707991802</v>
      </c>
      <c r="I2613" s="77">
        <v>176.92486707991802</v>
      </c>
    </row>
    <row r="2614" spans="2:9">
      <c r="B2614" s="76">
        <v>2023.6770597330085</v>
      </c>
      <c r="C2614">
        <v>910.63424814086181</v>
      </c>
      <c r="D2614" s="77">
        <v>151.77237469014364</v>
      </c>
      <c r="E2614" s="77">
        <v>151.77237469014364</v>
      </c>
      <c r="F2614" s="77">
        <v>151.77237469014364</v>
      </c>
      <c r="G2614" s="77">
        <v>151.77237469014364</v>
      </c>
      <c r="H2614" s="77">
        <v>151.77237469014364</v>
      </c>
      <c r="I2614" s="77">
        <v>151.77237469014364</v>
      </c>
    </row>
    <row r="2615" spans="2:9">
      <c r="B2615" s="76">
        <v>2023.1464316860722</v>
      </c>
      <c r="C2615">
        <v>934.5875890801866</v>
      </c>
      <c r="D2615" s="77">
        <v>155.7645981800311</v>
      </c>
      <c r="E2615" s="77">
        <v>155.7645981800311</v>
      </c>
      <c r="F2615" s="77">
        <v>155.7645981800311</v>
      </c>
      <c r="G2615" s="77">
        <v>155.7645981800311</v>
      </c>
      <c r="H2615" s="77">
        <v>155.7645981800311</v>
      </c>
      <c r="I2615" s="77">
        <v>155.7645981800311</v>
      </c>
    </row>
    <row r="2616" spans="2:9">
      <c r="B2616" s="76">
        <v>2023.311437466399</v>
      </c>
      <c r="C2616">
        <v>979.28791517325158</v>
      </c>
      <c r="D2616" s="77">
        <v>163.21465252887526</v>
      </c>
      <c r="E2616" s="77">
        <v>163.21465252887526</v>
      </c>
      <c r="F2616" s="77">
        <v>163.21465252887526</v>
      </c>
      <c r="G2616" s="77">
        <v>163.21465252887526</v>
      </c>
      <c r="H2616" s="77">
        <v>163.21465252887526</v>
      </c>
      <c r="I2616" s="77">
        <v>163.21465252887526</v>
      </c>
    </row>
    <row r="2617" spans="2:9">
      <c r="B2617" s="76">
        <v>2024.5953589167204</v>
      </c>
      <c r="C2617">
        <v>1077.0132756270993</v>
      </c>
      <c r="D2617" s="77">
        <v>179.50221260451656</v>
      </c>
      <c r="E2617" s="77">
        <v>179.50221260451656</v>
      </c>
      <c r="F2617" s="77">
        <v>179.50221260451656</v>
      </c>
      <c r="G2617" s="77">
        <v>179.50221260451656</v>
      </c>
      <c r="H2617" s="77">
        <v>179.50221260451656</v>
      </c>
      <c r="I2617" s="77">
        <v>179.50221260451656</v>
      </c>
    </row>
    <row r="2618" spans="2:9">
      <c r="B2618" s="76">
        <v>2024.8165966804684</v>
      </c>
      <c r="C2618">
        <v>1068.8862249000158</v>
      </c>
      <c r="D2618" s="77">
        <v>178.14770415000262</v>
      </c>
      <c r="E2618" s="77">
        <v>178.14770415000262</v>
      </c>
      <c r="F2618" s="77">
        <v>178.14770415000262</v>
      </c>
      <c r="G2618" s="77">
        <v>178.14770415000262</v>
      </c>
      <c r="H2618" s="77">
        <v>178.14770415000262</v>
      </c>
      <c r="I2618" s="77">
        <v>178.14770415000262</v>
      </c>
    </row>
    <row r="2619" spans="2:9">
      <c r="B2619" s="76">
        <v>2025.1731779015508</v>
      </c>
      <c r="C2619">
        <v>1136.6091759816297</v>
      </c>
      <c r="D2619" s="77">
        <v>189.43486266360495</v>
      </c>
      <c r="E2619" s="77">
        <v>189.43486266360495</v>
      </c>
      <c r="F2619" s="77">
        <v>189.43486266360495</v>
      </c>
      <c r="G2619" s="77">
        <v>189.43486266360495</v>
      </c>
      <c r="H2619" s="77">
        <v>189.43486266360495</v>
      </c>
      <c r="I2619" s="77">
        <v>189.43486266360495</v>
      </c>
    </row>
    <row r="2620" spans="2:9">
      <c r="B2620" s="76">
        <v>2023.6058991273512</v>
      </c>
      <c r="C2620">
        <v>1019.7479927144693</v>
      </c>
      <c r="D2620" s="77">
        <v>169.95799878574488</v>
      </c>
      <c r="E2620" s="77">
        <v>169.95799878574488</v>
      </c>
      <c r="F2620" s="77">
        <v>169.95799878574488</v>
      </c>
      <c r="G2620" s="77">
        <v>169.95799878574488</v>
      </c>
      <c r="H2620" s="77">
        <v>169.95799878574488</v>
      </c>
      <c r="I2620" s="77">
        <v>169.95799878574488</v>
      </c>
    </row>
    <row r="2621" spans="2:9">
      <c r="B2621" s="76">
        <v>2024.2733792518763</v>
      </c>
      <c r="C2621">
        <v>1078.3487694057314</v>
      </c>
      <c r="D2621" s="77">
        <v>179.72479490095523</v>
      </c>
      <c r="E2621" s="77">
        <v>179.72479490095523</v>
      </c>
      <c r="F2621" s="77">
        <v>179.72479490095523</v>
      </c>
      <c r="G2621" s="77">
        <v>179.72479490095523</v>
      </c>
      <c r="H2621" s="77">
        <v>179.72479490095523</v>
      </c>
      <c r="I2621" s="77">
        <v>179.72479490095523</v>
      </c>
    </row>
    <row r="2622" spans="2:9">
      <c r="B2622" s="76">
        <v>2023.0697917172504</v>
      </c>
      <c r="C2622">
        <v>868.85625073673043</v>
      </c>
      <c r="D2622" s="77">
        <v>144.8093751227884</v>
      </c>
      <c r="E2622" s="77">
        <v>144.8093751227884</v>
      </c>
      <c r="F2622" s="77">
        <v>144.8093751227884</v>
      </c>
      <c r="G2622" s="77">
        <v>144.8093751227884</v>
      </c>
      <c r="H2622" s="77">
        <v>144.8093751227884</v>
      </c>
      <c r="I2622" s="77">
        <v>144.8093751227884</v>
      </c>
    </row>
    <row r="2623" spans="2:9">
      <c r="B2623" s="76">
        <v>2023.4603986457098</v>
      </c>
      <c r="C2623">
        <v>946.35488051568859</v>
      </c>
      <c r="D2623" s="77">
        <v>157.72581341928142</v>
      </c>
      <c r="E2623" s="77">
        <v>157.72581341928142</v>
      </c>
      <c r="F2623" s="77">
        <v>157.72581341928142</v>
      </c>
      <c r="G2623" s="77">
        <v>157.72581341928142</v>
      </c>
      <c r="H2623" s="77">
        <v>157.72581341928142</v>
      </c>
      <c r="I2623" s="77">
        <v>157.72581341928142</v>
      </c>
    </row>
    <row r="2624" spans="2:9">
      <c r="B2624" s="76">
        <v>2023.1307023315296</v>
      </c>
      <c r="C2624">
        <v>939.14410968604659</v>
      </c>
      <c r="D2624" s="77">
        <v>156.52401828100776</v>
      </c>
      <c r="E2624" s="77">
        <v>156.52401828100776</v>
      </c>
      <c r="F2624" s="77">
        <v>156.52401828100776</v>
      </c>
      <c r="G2624" s="77">
        <v>156.52401828100776</v>
      </c>
      <c r="H2624" s="77">
        <v>156.52401828100776</v>
      </c>
      <c r="I2624" s="77">
        <v>156.52401828100776</v>
      </c>
    </row>
    <row r="2625" spans="2:9">
      <c r="B2625" s="76">
        <v>2023.0009523736799</v>
      </c>
      <c r="C2625">
        <v>924.95373508435341</v>
      </c>
      <c r="D2625" s="77">
        <v>154.15895584739224</v>
      </c>
      <c r="E2625" s="77">
        <v>154.15895584739224</v>
      </c>
      <c r="F2625" s="77">
        <v>154.15895584739224</v>
      </c>
      <c r="G2625" s="77">
        <v>154.15895584739224</v>
      </c>
      <c r="H2625" s="77">
        <v>154.15895584739224</v>
      </c>
      <c r="I2625" s="77">
        <v>154.15895584739224</v>
      </c>
    </row>
    <row r="2626" spans="2:9">
      <c r="B2626" s="76">
        <v>2023.0537032033906</v>
      </c>
      <c r="C2626">
        <v>914.40301749177434</v>
      </c>
      <c r="D2626" s="77">
        <v>152.40050291529573</v>
      </c>
      <c r="E2626" s="77">
        <v>152.40050291529573</v>
      </c>
      <c r="F2626" s="77">
        <v>152.40050291529573</v>
      </c>
      <c r="G2626" s="77">
        <v>152.40050291529573</v>
      </c>
      <c r="H2626" s="77">
        <v>152.40050291529573</v>
      </c>
      <c r="I2626" s="77">
        <v>152.40050291529573</v>
      </c>
    </row>
    <row r="2627" spans="2:9">
      <c r="B2627" s="76">
        <v>2023.4052113956384</v>
      </c>
      <c r="C2627">
        <v>930.54601880490145</v>
      </c>
      <c r="D2627" s="77">
        <v>155.09100313415024</v>
      </c>
      <c r="E2627" s="77">
        <v>155.09100313415024</v>
      </c>
      <c r="F2627" s="77">
        <v>155.09100313415024</v>
      </c>
      <c r="G2627" s="77">
        <v>155.09100313415024</v>
      </c>
      <c r="H2627" s="77">
        <v>155.09100313415024</v>
      </c>
      <c r="I2627" s="77">
        <v>155.09100313415024</v>
      </c>
    </row>
    <row r="2628" spans="2:9">
      <c r="B2628" s="76">
        <v>2023.6641424902798</v>
      </c>
      <c r="C2628">
        <v>962.80861061061239</v>
      </c>
      <c r="D2628" s="77">
        <v>160.46810176843539</v>
      </c>
      <c r="E2628" s="77">
        <v>160.46810176843539</v>
      </c>
      <c r="F2628" s="77">
        <v>160.46810176843539</v>
      </c>
      <c r="G2628" s="77">
        <v>160.46810176843539</v>
      </c>
      <c r="H2628" s="77">
        <v>160.46810176843539</v>
      </c>
      <c r="I2628" s="77">
        <v>160.46810176843539</v>
      </c>
    </row>
    <row r="2629" spans="2:9">
      <c r="B2629" s="76">
        <v>2024.0611893911139</v>
      </c>
      <c r="C2629">
        <v>945.59971990337078</v>
      </c>
      <c r="D2629" s="77">
        <v>157.59995331722845</v>
      </c>
      <c r="E2629" s="77">
        <v>157.59995331722845</v>
      </c>
      <c r="F2629" s="77">
        <v>157.59995331722845</v>
      </c>
      <c r="G2629" s="77">
        <v>157.59995331722845</v>
      </c>
      <c r="H2629" s="77">
        <v>157.59995331722845</v>
      </c>
      <c r="I2629" s="77">
        <v>157.59995331722845</v>
      </c>
    </row>
    <row r="2630" spans="2:9">
      <c r="B2630" s="76">
        <v>2023.2341871291667</v>
      </c>
      <c r="C2630">
        <v>986.34173835227489</v>
      </c>
      <c r="D2630" s="77">
        <v>164.39028972537915</v>
      </c>
      <c r="E2630" s="77">
        <v>164.39028972537915</v>
      </c>
      <c r="F2630" s="77">
        <v>164.39028972537915</v>
      </c>
      <c r="G2630" s="77">
        <v>164.39028972537915</v>
      </c>
      <c r="H2630" s="77">
        <v>164.39028972537915</v>
      </c>
      <c r="I2630" s="77">
        <v>164.39028972537915</v>
      </c>
    </row>
    <row r="2631" spans="2:9">
      <c r="B2631" s="76">
        <v>2022.8809821512618</v>
      </c>
      <c r="C2631">
        <v>918.0297825052113</v>
      </c>
      <c r="D2631" s="77">
        <v>153.00496375086854</v>
      </c>
      <c r="E2631" s="77">
        <v>153.00496375086854</v>
      </c>
      <c r="F2631" s="77">
        <v>153.00496375086854</v>
      </c>
      <c r="G2631" s="77">
        <v>153.00496375086854</v>
      </c>
      <c r="H2631" s="77">
        <v>153.00496375086854</v>
      </c>
      <c r="I2631" s="77">
        <v>153.00496375086854</v>
      </c>
    </row>
    <row r="2632" spans="2:9">
      <c r="B2632" s="76">
        <v>2023.8607562874258</v>
      </c>
      <c r="C2632">
        <v>949.02058679255788</v>
      </c>
      <c r="D2632" s="77">
        <v>158.17009779875966</v>
      </c>
      <c r="E2632" s="77">
        <v>158.17009779875966</v>
      </c>
      <c r="F2632" s="77">
        <v>158.17009779875966</v>
      </c>
      <c r="G2632" s="77">
        <v>158.17009779875966</v>
      </c>
      <c r="H2632" s="77">
        <v>158.17009779875966</v>
      </c>
      <c r="I2632" s="77">
        <v>158.17009779875966</v>
      </c>
    </row>
    <row r="2633" spans="2:9">
      <c r="B2633" s="76">
        <v>2024.6299873765599</v>
      </c>
      <c r="C2633">
        <v>1003.1141990926266</v>
      </c>
      <c r="D2633" s="77">
        <v>167.18569984877109</v>
      </c>
      <c r="E2633" s="77">
        <v>167.18569984877109</v>
      </c>
      <c r="F2633" s="77">
        <v>167.18569984877109</v>
      </c>
      <c r="G2633" s="77">
        <v>167.18569984877109</v>
      </c>
      <c r="H2633" s="77">
        <v>167.18569984877109</v>
      </c>
      <c r="I2633" s="77">
        <v>167.18569984877109</v>
      </c>
    </row>
    <row r="2634" spans="2:9">
      <c r="B2634" s="76">
        <v>2023.8694515616435</v>
      </c>
      <c r="C2634">
        <v>1002.3355802467869</v>
      </c>
      <c r="D2634" s="77">
        <v>167.05593004113115</v>
      </c>
      <c r="E2634" s="77">
        <v>167.05593004113115</v>
      </c>
      <c r="F2634" s="77">
        <v>167.05593004113115</v>
      </c>
      <c r="G2634" s="77">
        <v>167.05593004113115</v>
      </c>
      <c r="H2634" s="77">
        <v>167.05593004113115</v>
      </c>
      <c r="I2634" s="77">
        <v>167.05593004113115</v>
      </c>
    </row>
    <row r="2635" spans="2:9">
      <c r="B2635" s="76">
        <v>2024.4240737808477</v>
      </c>
      <c r="C2635">
        <v>1081.3499003027816</v>
      </c>
      <c r="D2635" s="77">
        <v>180.22498338379694</v>
      </c>
      <c r="E2635" s="77">
        <v>180.22498338379694</v>
      </c>
      <c r="F2635" s="77">
        <v>180.22498338379694</v>
      </c>
      <c r="G2635" s="77">
        <v>180.22498338379694</v>
      </c>
      <c r="H2635" s="77">
        <v>180.22498338379694</v>
      </c>
      <c r="I2635" s="77">
        <v>180.22498338379694</v>
      </c>
    </row>
    <row r="2636" spans="2:9">
      <c r="B2636" s="76">
        <v>2023.1644785601698</v>
      </c>
      <c r="C2636">
        <v>934.39595828731285</v>
      </c>
      <c r="D2636" s="77">
        <v>155.73265971455214</v>
      </c>
      <c r="E2636" s="77">
        <v>155.73265971455214</v>
      </c>
      <c r="F2636" s="77">
        <v>155.73265971455214</v>
      </c>
      <c r="G2636" s="77">
        <v>155.73265971455214</v>
      </c>
      <c r="H2636" s="77">
        <v>155.73265971455214</v>
      </c>
      <c r="I2636" s="77">
        <v>155.73265971455214</v>
      </c>
    </row>
    <row r="2637" spans="2:9">
      <c r="B2637" s="76">
        <v>2025.437802735765</v>
      </c>
      <c r="C2637">
        <v>1173.8449336878996</v>
      </c>
      <c r="D2637" s="77">
        <v>195.64082228131659</v>
      </c>
      <c r="E2637" s="77">
        <v>195.64082228131659</v>
      </c>
      <c r="F2637" s="77">
        <v>195.64082228131659</v>
      </c>
      <c r="G2637" s="77">
        <v>195.64082228131659</v>
      </c>
      <c r="H2637" s="77">
        <v>195.64082228131659</v>
      </c>
      <c r="I2637" s="77">
        <v>195.64082228131659</v>
      </c>
    </row>
    <row r="2638" spans="2:9">
      <c r="B2638" s="76">
        <v>2023.1389936242288</v>
      </c>
      <c r="C2638">
        <v>892.38994461538698</v>
      </c>
      <c r="D2638" s="77">
        <v>148.73165743589783</v>
      </c>
      <c r="E2638" s="77">
        <v>148.73165743589783</v>
      </c>
      <c r="F2638" s="77">
        <v>148.73165743589783</v>
      </c>
      <c r="G2638" s="77">
        <v>148.73165743589783</v>
      </c>
      <c r="H2638" s="77">
        <v>148.73165743589783</v>
      </c>
      <c r="I2638" s="77">
        <v>148.73165743589783</v>
      </c>
    </row>
    <row r="2639" spans="2:9">
      <c r="B2639" s="76">
        <v>2022.6794187507739</v>
      </c>
      <c r="C2639">
        <v>848.42246609131132</v>
      </c>
      <c r="D2639" s="77">
        <v>141.4037443485519</v>
      </c>
      <c r="E2639" s="77">
        <v>141.4037443485519</v>
      </c>
      <c r="F2639" s="77">
        <v>141.4037443485519</v>
      </c>
      <c r="G2639" s="77">
        <v>141.4037443485519</v>
      </c>
      <c r="H2639" s="77">
        <v>141.4037443485519</v>
      </c>
      <c r="I2639" s="77">
        <v>141.4037443485519</v>
      </c>
    </row>
    <row r="2640" spans="2:9">
      <c r="B2640" s="76">
        <v>2023.0742868177063</v>
      </c>
      <c r="C2640">
        <v>900.31413683480775</v>
      </c>
      <c r="D2640" s="77">
        <v>150.05235613913462</v>
      </c>
      <c r="E2640" s="77">
        <v>150.05235613913462</v>
      </c>
      <c r="F2640" s="77">
        <v>150.05235613913462</v>
      </c>
      <c r="G2640" s="77">
        <v>150.05235613913462</v>
      </c>
      <c r="H2640" s="77">
        <v>150.05235613913462</v>
      </c>
      <c r="I2640" s="77">
        <v>150.05235613913462</v>
      </c>
    </row>
    <row r="2641" spans="2:9">
      <c r="B2641" s="76">
        <v>2024.5222129024041</v>
      </c>
      <c r="C2641">
        <v>1033.7260339908787</v>
      </c>
      <c r="D2641" s="77">
        <v>172.28767233181313</v>
      </c>
      <c r="E2641" s="77">
        <v>172.28767233181313</v>
      </c>
      <c r="F2641" s="77">
        <v>172.28767233181313</v>
      </c>
      <c r="G2641" s="77">
        <v>172.28767233181313</v>
      </c>
      <c r="H2641" s="77">
        <v>172.28767233181313</v>
      </c>
      <c r="I2641" s="77">
        <v>172.28767233181313</v>
      </c>
    </row>
    <row r="2642" spans="2:9">
      <c r="B2642" s="76">
        <v>2023.4344745418721</v>
      </c>
      <c r="C2642">
        <v>945.78533651672149</v>
      </c>
      <c r="D2642" s="77">
        <v>157.63088941945358</v>
      </c>
      <c r="E2642" s="77">
        <v>157.63088941945358</v>
      </c>
      <c r="F2642" s="77">
        <v>157.63088941945358</v>
      </c>
      <c r="G2642" s="77">
        <v>157.63088941945358</v>
      </c>
      <c r="H2642" s="77">
        <v>157.63088941945358</v>
      </c>
      <c r="I2642" s="77">
        <v>157.63088941945358</v>
      </c>
    </row>
    <row r="2643" spans="2:9">
      <c r="B2643" s="76">
        <v>2025.3757268552999</v>
      </c>
      <c r="C2643">
        <v>1215.5360941691231</v>
      </c>
      <c r="D2643" s="77">
        <v>202.58934902818717</v>
      </c>
      <c r="E2643" s="77">
        <v>202.58934902818717</v>
      </c>
      <c r="F2643" s="77">
        <v>202.58934902818717</v>
      </c>
      <c r="G2643" s="77">
        <v>202.58934902818717</v>
      </c>
      <c r="H2643" s="77">
        <v>202.58934902818717</v>
      </c>
      <c r="I2643" s="77">
        <v>202.58934902818717</v>
      </c>
    </row>
    <row r="2644" spans="2:9">
      <c r="B2644" s="76">
        <v>2023.5715287873045</v>
      </c>
      <c r="C2644">
        <v>966.10389504037039</v>
      </c>
      <c r="D2644" s="77">
        <v>161.01731584006174</v>
      </c>
      <c r="E2644" s="77">
        <v>161.01731584006174</v>
      </c>
      <c r="F2644" s="77">
        <v>161.01731584006174</v>
      </c>
      <c r="G2644" s="77">
        <v>161.01731584006174</v>
      </c>
      <c r="H2644" s="77">
        <v>161.01731584006174</v>
      </c>
      <c r="I2644" s="77">
        <v>161.01731584006174</v>
      </c>
    </row>
    <row r="2645" spans="2:9">
      <c r="B2645" s="76">
        <v>2023.2446231048693</v>
      </c>
      <c r="C2645">
        <v>902.73534750118654</v>
      </c>
      <c r="D2645" s="77">
        <v>150.45589125019777</v>
      </c>
      <c r="E2645" s="77">
        <v>150.45589125019777</v>
      </c>
      <c r="F2645" s="77">
        <v>150.45589125019777</v>
      </c>
      <c r="G2645" s="77">
        <v>150.45589125019777</v>
      </c>
      <c r="H2645" s="77">
        <v>150.45589125019777</v>
      </c>
      <c r="I2645" s="77">
        <v>150.45589125019777</v>
      </c>
    </row>
    <row r="2646" spans="2:9">
      <c r="B2646" s="76">
        <v>2023.4262099953419</v>
      </c>
      <c r="C2646">
        <v>888.74809998241756</v>
      </c>
      <c r="D2646" s="77">
        <v>148.12468333040292</v>
      </c>
      <c r="E2646" s="77">
        <v>148.12468333040292</v>
      </c>
      <c r="F2646" s="77">
        <v>148.12468333040292</v>
      </c>
      <c r="G2646" s="77">
        <v>148.12468333040292</v>
      </c>
      <c r="H2646" s="77">
        <v>148.12468333040292</v>
      </c>
      <c r="I2646" s="77">
        <v>148.12468333040292</v>
      </c>
    </row>
    <row r="2647" spans="2:9">
      <c r="B2647" s="76">
        <v>2023.2968891655426</v>
      </c>
      <c r="C2647">
        <v>889.30382529752626</v>
      </c>
      <c r="D2647" s="77">
        <v>148.21730421625438</v>
      </c>
      <c r="E2647" s="77">
        <v>148.21730421625438</v>
      </c>
      <c r="F2647" s="77">
        <v>148.21730421625438</v>
      </c>
      <c r="G2647" s="77">
        <v>148.21730421625438</v>
      </c>
      <c r="H2647" s="77">
        <v>148.21730421625438</v>
      </c>
      <c r="I2647" s="77">
        <v>148.21730421625438</v>
      </c>
    </row>
    <row r="2648" spans="2:9">
      <c r="B2648" s="76">
        <v>2023.2739808788133</v>
      </c>
      <c r="C2648">
        <v>961.10669877708597</v>
      </c>
      <c r="D2648" s="77">
        <v>160.18444979618099</v>
      </c>
      <c r="E2648" s="77">
        <v>160.18444979618099</v>
      </c>
      <c r="F2648" s="77">
        <v>160.18444979618099</v>
      </c>
      <c r="G2648" s="77">
        <v>160.18444979618099</v>
      </c>
      <c r="H2648" s="77">
        <v>160.18444979618099</v>
      </c>
      <c r="I2648" s="77">
        <v>160.18444979618099</v>
      </c>
    </row>
    <row r="2649" spans="2:9">
      <c r="B2649" s="76">
        <v>2022.7908282010587</v>
      </c>
      <c r="C2649">
        <v>886.83034087078454</v>
      </c>
      <c r="D2649" s="77">
        <v>147.80505681179741</v>
      </c>
      <c r="E2649" s="77">
        <v>147.80505681179741</v>
      </c>
      <c r="F2649" s="77">
        <v>147.80505681179741</v>
      </c>
      <c r="G2649" s="77">
        <v>147.80505681179741</v>
      </c>
      <c r="H2649" s="77">
        <v>147.80505681179741</v>
      </c>
      <c r="I2649" s="77">
        <v>147.80505681179741</v>
      </c>
    </row>
    <row r="2650" spans="2:9">
      <c r="B2650" s="76">
        <v>2025.0606495445227</v>
      </c>
      <c r="C2650">
        <v>1166.0166403696489</v>
      </c>
      <c r="D2650" s="77">
        <v>194.33610672827481</v>
      </c>
      <c r="E2650" s="77">
        <v>194.33610672827481</v>
      </c>
      <c r="F2650" s="77">
        <v>194.33610672827481</v>
      </c>
      <c r="G2650" s="77">
        <v>194.33610672827481</v>
      </c>
      <c r="H2650" s="77">
        <v>194.33610672827481</v>
      </c>
      <c r="I2650" s="77">
        <v>194.33610672827481</v>
      </c>
    </row>
    <row r="2651" spans="2:9">
      <c r="B2651" s="76">
        <v>2024.9524788439171</v>
      </c>
      <c r="C2651">
        <v>1100.0408947268247</v>
      </c>
      <c r="D2651" s="77">
        <v>183.34014912113744</v>
      </c>
      <c r="E2651" s="77">
        <v>183.34014912113744</v>
      </c>
      <c r="F2651" s="77">
        <v>183.34014912113744</v>
      </c>
      <c r="G2651" s="77">
        <v>183.34014912113744</v>
      </c>
      <c r="H2651" s="77">
        <v>183.34014912113744</v>
      </c>
      <c r="I2651" s="77">
        <v>183.34014912113744</v>
      </c>
    </row>
    <row r="2652" spans="2:9">
      <c r="B2652" s="76">
        <v>2023.3150802363912</v>
      </c>
      <c r="C2652">
        <v>971.77178480581324</v>
      </c>
      <c r="D2652" s="77">
        <v>161.96196413430221</v>
      </c>
      <c r="E2652" s="77">
        <v>161.96196413430221</v>
      </c>
      <c r="F2652" s="77">
        <v>161.96196413430221</v>
      </c>
      <c r="G2652" s="77">
        <v>161.96196413430221</v>
      </c>
      <c r="H2652" s="77">
        <v>161.96196413430221</v>
      </c>
      <c r="I2652" s="77">
        <v>161.96196413430221</v>
      </c>
    </row>
    <row r="2653" spans="2:9">
      <c r="B2653" s="76">
        <v>2023.438081646299</v>
      </c>
      <c r="C2653">
        <v>965.93478666987767</v>
      </c>
      <c r="D2653" s="77">
        <v>160.98913111164629</v>
      </c>
      <c r="E2653" s="77">
        <v>160.98913111164629</v>
      </c>
      <c r="F2653" s="77">
        <v>160.98913111164629</v>
      </c>
      <c r="G2653" s="77">
        <v>160.98913111164629</v>
      </c>
      <c r="H2653" s="77">
        <v>160.98913111164629</v>
      </c>
      <c r="I2653" s="77">
        <v>160.98913111164629</v>
      </c>
    </row>
    <row r="2654" spans="2:9">
      <c r="B2654" s="76">
        <v>2024.2604413274182</v>
      </c>
      <c r="C2654">
        <v>1056.8935430447698</v>
      </c>
      <c r="D2654" s="77">
        <v>176.14892384079496</v>
      </c>
      <c r="E2654" s="77">
        <v>176.14892384079496</v>
      </c>
      <c r="F2654" s="77">
        <v>176.14892384079496</v>
      </c>
      <c r="G2654" s="77">
        <v>176.14892384079496</v>
      </c>
      <c r="H2654" s="77">
        <v>176.14892384079496</v>
      </c>
      <c r="I2654" s="77">
        <v>176.14892384079496</v>
      </c>
    </row>
    <row r="2655" spans="2:9">
      <c r="B2655" s="76">
        <v>2025.2125079648165</v>
      </c>
      <c r="C2655">
        <v>1075.480610064983</v>
      </c>
      <c r="D2655" s="77">
        <v>179.24676834416383</v>
      </c>
      <c r="E2655" s="77">
        <v>179.24676834416383</v>
      </c>
      <c r="F2655" s="77">
        <v>179.24676834416383</v>
      </c>
      <c r="G2655" s="77">
        <v>179.24676834416383</v>
      </c>
      <c r="H2655" s="77">
        <v>179.24676834416383</v>
      </c>
      <c r="I2655" s="77">
        <v>179.24676834416383</v>
      </c>
    </row>
    <row r="2656" spans="2:9">
      <c r="B2656" s="76">
        <v>2023.3298564476938</v>
      </c>
      <c r="C2656">
        <v>932.47026384555306</v>
      </c>
      <c r="D2656" s="77">
        <v>155.41171064092552</v>
      </c>
      <c r="E2656" s="77">
        <v>155.41171064092552</v>
      </c>
      <c r="F2656" s="77">
        <v>155.41171064092552</v>
      </c>
      <c r="G2656" s="77">
        <v>155.41171064092552</v>
      </c>
      <c r="H2656" s="77">
        <v>155.41171064092552</v>
      </c>
      <c r="I2656" s="77">
        <v>155.41171064092552</v>
      </c>
    </row>
    <row r="2657" spans="2:9">
      <c r="B2657" s="76">
        <v>2023.3791498200301</v>
      </c>
      <c r="C2657">
        <v>906.17317199658021</v>
      </c>
      <c r="D2657" s="77">
        <v>151.02886199943003</v>
      </c>
      <c r="E2657" s="77">
        <v>151.02886199943003</v>
      </c>
      <c r="F2657" s="77">
        <v>151.02886199943003</v>
      </c>
      <c r="G2657" s="77">
        <v>151.02886199943003</v>
      </c>
      <c r="H2657" s="77">
        <v>151.02886199943003</v>
      </c>
      <c r="I2657" s="77">
        <v>151.02886199943003</v>
      </c>
    </row>
    <row r="2658" spans="2:9">
      <c r="B2658" s="76">
        <v>2024.8397998543164</v>
      </c>
      <c r="C2658">
        <v>1126.774020388385</v>
      </c>
      <c r="D2658" s="77">
        <v>187.79567006473084</v>
      </c>
      <c r="E2658" s="77">
        <v>187.79567006473084</v>
      </c>
      <c r="F2658" s="77">
        <v>187.79567006473084</v>
      </c>
      <c r="G2658" s="77">
        <v>187.79567006473084</v>
      </c>
      <c r="H2658" s="77">
        <v>187.79567006473084</v>
      </c>
      <c r="I2658" s="77">
        <v>187.79567006473084</v>
      </c>
    </row>
    <row r="2659" spans="2:9">
      <c r="B2659" s="76">
        <v>2023.5358569735074</v>
      </c>
      <c r="C2659">
        <v>976.21534786327322</v>
      </c>
      <c r="D2659" s="77">
        <v>162.70255797721219</v>
      </c>
      <c r="E2659" s="77">
        <v>162.70255797721219</v>
      </c>
      <c r="F2659" s="77">
        <v>162.70255797721219</v>
      </c>
      <c r="G2659" s="77">
        <v>162.70255797721219</v>
      </c>
      <c r="H2659" s="77">
        <v>162.70255797721219</v>
      </c>
      <c r="I2659" s="77">
        <v>162.70255797721219</v>
      </c>
    </row>
    <row r="2660" spans="2:9">
      <c r="B2660" s="76">
        <v>2022.8431281160704</v>
      </c>
      <c r="C2660">
        <v>875.21465521940945</v>
      </c>
      <c r="D2660" s="77">
        <v>145.8691092032349</v>
      </c>
      <c r="E2660" s="77">
        <v>145.8691092032349</v>
      </c>
      <c r="F2660" s="77">
        <v>145.8691092032349</v>
      </c>
      <c r="G2660" s="77">
        <v>145.8691092032349</v>
      </c>
      <c r="H2660" s="77">
        <v>145.8691092032349</v>
      </c>
      <c r="I2660" s="77">
        <v>145.8691092032349</v>
      </c>
    </row>
    <row r="2661" spans="2:9">
      <c r="B2661" s="76">
        <v>2023.4556651071682</v>
      </c>
      <c r="C2661">
        <v>918.97603684583362</v>
      </c>
      <c r="D2661" s="77">
        <v>153.16267280763893</v>
      </c>
      <c r="E2661" s="77">
        <v>153.16267280763893</v>
      </c>
      <c r="F2661" s="77">
        <v>153.16267280763893</v>
      </c>
      <c r="G2661" s="77">
        <v>153.16267280763893</v>
      </c>
      <c r="H2661" s="77">
        <v>153.16267280763893</v>
      </c>
      <c r="I2661" s="77">
        <v>153.16267280763893</v>
      </c>
    </row>
    <row r="2662" spans="2:9">
      <c r="B2662" s="76">
        <v>2024.5798608227476</v>
      </c>
      <c r="C2662">
        <v>1164.0021444840993</v>
      </c>
      <c r="D2662" s="77">
        <v>194.00035741401655</v>
      </c>
      <c r="E2662" s="77">
        <v>194.00035741401655</v>
      </c>
      <c r="F2662" s="77">
        <v>194.00035741401655</v>
      </c>
      <c r="G2662" s="77">
        <v>194.00035741401655</v>
      </c>
      <c r="H2662" s="77">
        <v>194.00035741401655</v>
      </c>
      <c r="I2662" s="77">
        <v>194.00035741401655</v>
      </c>
    </row>
    <row r="2663" spans="2:9">
      <c r="B2663" s="76">
        <v>2024.7741136257941</v>
      </c>
      <c r="C2663">
        <v>1094.6591761302261</v>
      </c>
      <c r="D2663" s="77">
        <v>182.44319602170435</v>
      </c>
      <c r="E2663" s="77">
        <v>182.44319602170435</v>
      </c>
      <c r="F2663" s="77">
        <v>182.44319602170435</v>
      </c>
      <c r="G2663" s="77">
        <v>182.44319602170435</v>
      </c>
      <c r="H2663" s="77">
        <v>182.44319602170435</v>
      </c>
      <c r="I2663" s="77">
        <v>182.44319602170435</v>
      </c>
    </row>
    <row r="2664" spans="2:9">
      <c r="B2664" s="76">
        <v>2023.418623919848</v>
      </c>
      <c r="C2664">
        <v>958.34658197487897</v>
      </c>
      <c r="D2664" s="77">
        <v>159.72443032914649</v>
      </c>
      <c r="E2664" s="77">
        <v>159.72443032914649</v>
      </c>
      <c r="F2664" s="77">
        <v>159.72443032914649</v>
      </c>
      <c r="G2664" s="77">
        <v>159.72443032914649</v>
      </c>
      <c r="H2664" s="77">
        <v>159.72443032914649</v>
      </c>
      <c r="I2664" s="77">
        <v>159.72443032914649</v>
      </c>
    </row>
    <row r="2665" spans="2:9">
      <c r="B2665" s="76">
        <v>2023.2089357161537</v>
      </c>
      <c r="C2665">
        <v>951.07137266646851</v>
      </c>
      <c r="D2665" s="77">
        <v>158.51189544441141</v>
      </c>
      <c r="E2665" s="77">
        <v>158.51189544441141</v>
      </c>
      <c r="F2665" s="77">
        <v>158.51189544441141</v>
      </c>
      <c r="G2665" s="77">
        <v>158.51189544441141</v>
      </c>
      <c r="H2665" s="77">
        <v>158.51189544441141</v>
      </c>
      <c r="I2665" s="77">
        <v>158.51189544441141</v>
      </c>
    </row>
    <row r="2666" spans="2:9">
      <c r="B2666" s="76">
        <v>2024.9380865453043</v>
      </c>
      <c r="C2666">
        <v>1087.9320955646917</v>
      </c>
      <c r="D2666" s="77">
        <v>181.32201592744863</v>
      </c>
      <c r="E2666" s="77">
        <v>181.32201592744863</v>
      </c>
      <c r="F2666" s="77">
        <v>181.32201592744863</v>
      </c>
      <c r="G2666" s="77">
        <v>181.32201592744863</v>
      </c>
      <c r="H2666" s="77">
        <v>181.32201592744863</v>
      </c>
      <c r="I2666" s="77">
        <v>181.32201592744863</v>
      </c>
    </row>
    <row r="2667" spans="2:9">
      <c r="B2667" s="76">
        <v>2024.5160137631726</v>
      </c>
      <c r="C2667">
        <v>1067.7106096407938</v>
      </c>
      <c r="D2667" s="77">
        <v>177.95176827346563</v>
      </c>
      <c r="E2667" s="77">
        <v>177.95176827346563</v>
      </c>
      <c r="F2667" s="77">
        <v>177.95176827346563</v>
      </c>
      <c r="G2667" s="77">
        <v>177.95176827346563</v>
      </c>
      <c r="H2667" s="77">
        <v>177.95176827346563</v>
      </c>
      <c r="I2667" s="77">
        <v>177.95176827346563</v>
      </c>
    </row>
    <row r="2668" spans="2:9">
      <c r="B2668" s="76">
        <v>2025.3805322785674</v>
      </c>
      <c r="C2668">
        <v>1171.8088743091173</v>
      </c>
      <c r="D2668" s="77">
        <v>195.30147905151955</v>
      </c>
      <c r="E2668" s="77">
        <v>195.30147905151955</v>
      </c>
      <c r="F2668" s="77">
        <v>195.30147905151955</v>
      </c>
      <c r="G2668" s="77">
        <v>195.30147905151955</v>
      </c>
      <c r="H2668" s="77">
        <v>195.30147905151955</v>
      </c>
      <c r="I2668" s="77">
        <v>195.30147905151955</v>
      </c>
    </row>
    <row r="2669" spans="2:9">
      <c r="B2669" s="76">
        <v>2023.3027074687509</v>
      </c>
      <c r="C2669">
        <v>928.9606168014875</v>
      </c>
      <c r="D2669" s="77">
        <v>154.82676946691458</v>
      </c>
      <c r="E2669" s="77">
        <v>154.82676946691458</v>
      </c>
      <c r="F2669" s="77">
        <v>154.82676946691458</v>
      </c>
      <c r="G2669" s="77">
        <v>154.82676946691458</v>
      </c>
      <c r="H2669" s="77">
        <v>154.82676946691458</v>
      </c>
      <c r="I2669" s="77">
        <v>154.82676946691458</v>
      </c>
    </row>
    <row r="2670" spans="2:9">
      <c r="B2670" s="76">
        <v>2023.0396870267712</v>
      </c>
      <c r="C2670">
        <v>944.82949266167975</v>
      </c>
      <c r="D2670" s="77">
        <v>157.47158211027997</v>
      </c>
      <c r="E2670" s="77">
        <v>157.47158211027997</v>
      </c>
      <c r="F2670" s="77">
        <v>157.47158211027997</v>
      </c>
      <c r="G2670" s="77">
        <v>157.47158211027997</v>
      </c>
      <c r="H2670" s="77">
        <v>157.47158211027997</v>
      </c>
      <c r="I2670" s="77">
        <v>157.47158211027997</v>
      </c>
    </row>
    <row r="2671" spans="2:9">
      <c r="B2671" s="76">
        <v>2023.6636706772827</v>
      </c>
      <c r="C2671">
        <v>1006.9884957084153</v>
      </c>
      <c r="D2671" s="77">
        <v>167.83141595140253</v>
      </c>
      <c r="E2671" s="77">
        <v>167.83141595140253</v>
      </c>
      <c r="F2671" s="77">
        <v>167.83141595140253</v>
      </c>
      <c r="G2671" s="77">
        <v>167.83141595140253</v>
      </c>
      <c r="H2671" s="77">
        <v>167.83141595140253</v>
      </c>
      <c r="I2671" s="77">
        <v>167.83141595140253</v>
      </c>
    </row>
    <row r="2672" spans="2:9">
      <c r="B2672" s="76">
        <v>2023.1987367455847</v>
      </c>
      <c r="C2672">
        <v>963.84217898107488</v>
      </c>
      <c r="D2672" s="77">
        <v>160.64036316351249</v>
      </c>
      <c r="E2672" s="77">
        <v>160.64036316351249</v>
      </c>
      <c r="F2672" s="77">
        <v>160.64036316351249</v>
      </c>
      <c r="G2672" s="77">
        <v>160.64036316351249</v>
      </c>
      <c r="H2672" s="77">
        <v>160.64036316351249</v>
      </c>
      <c r="I2672" s="77">
        <v>160.64036316351249</v>
      </c>
    </row>
    <row r="2673" spans="2:9">
      <c r="B2673" s="76">
        <v>2023.2141018025507</v>
      </c>
      <c r="C2673">
        <v>878.6886311585796</v>
      </c>
      <c r="D2673" s="77">
        <v>146.44810519309661</v>
      </c>
      <c r="E2673" s="77">
        <v>146.44810519309661</v>
      </c>
      <c r="F2673" s="77">
        <v>146.44810519309661</v>
      </c>
      <c r="G2673" s="77">
        <v>146.44810519309661</v>
      </c>
      <c r="H2673" s="77">
        <v>146.44810519309661</v>
      </c>
      <c r="I2673" s="77">
        <v>146.44810519309661</v>
      </c>
    </row>
    <row r="2674" spans="2:9">
      <c r="B2674" s="76">
        <v>2023.2856402578859</v>
      </c>
      <c r="C2674">
        <v>953.62504993891491</v>
      </c>
      <c r="D2674" s="77">
        <v>158.93750832315249</v>
      </c>
      <c r="E2674" s="77">
        <v>158.93750832315249</v>
      </c>
      <c r="F2674" s="77">
        <v>158.93750832315249</v>
      </c>
      <c r="G2674" s="77">
        <v>158.93750832315249</v>
      </c>
      <c r="H2674" s="77">
        <v>158.93750832315249</v>
      </c>
      <c r="I2674" s="77">
        <v>158.93750832315249</v>
      </c>
    </row>
    <row r="2675" spans="2:9">
      <c r="B2675" s="76">
        <v>2022.7509189874888</v>
      </c>
      <c r="C2675">
        <v>814.53557474801312</v>
      </c>
      <c r="D2675" s="77">
        <v>135.75592912466885</v>
      </c>
      <c r="E2675" s="77">
        <v>135.75592912466885</v>
      </c>
      <c r="F2675" s="77">
        <v>135.75592912466885</v>
      </c>
      <c r="G2675" s="77">
        <v>135.75592912466885</v>
      </c>
      <c r="H2675" s="77">
        <v>135.75592912466885</v>
      </c>
      <c r="I2675" s="77">
        <v>135.75592912466885</v>
      </c>
    </row>
    <row r="2676" spans="2:9">
      <c r="B2676" s="76">
        <v>2023.063182769567</v>
      </c>
      <c r="C2676">
        <v>892.09652441686137</v>
      </c>
      <c r="D2676" s="77">
        <v>148.68275406947689</v>
      </c>
      <c r="E2676" s="77">
        <v>148.68275406947689</v>
      </c>
      <c r="F2676" s="77">
        <v>148.68275406947689</v>
      </c>
      <c r="G2676" s="77">
        <v>148.68275406947689</v>
      </c>
      <c r="H2676" s="77">
        <v>148.68275406947689</v>
      </c>
      <c r="I2676" s="77">
        <v>148.68275406947689</v>
      </c>
    </row>
    <row r="2677" spans="2:9">
      <c r="B2677" s="76">
        <v>2022.8648749861525</v>
      </c>
      <c r="C2677">
        <v>849.47036807648362</v>
      </c>
      <c r="D2677" s="77">
        <v>141.57839467941395</v>
      </c>
      <c r="E2677" s="77">
        <v>141.57839467941395</v>
      </c>
      <c r="F2677" s="77">
        <v>141.57839467941395</v>
      </c>
      <c r="G2677" s="77">
        <v>141.57839467941395</v>
      </c>
      <c r="H2677" s="77">
        <v>141.57839467941395</v>
      </c>
      <c r="I2677" s="77">
        <v>141.57839467941395</v>
      </c>
    </row>
    <row r="2678" spans="2:9">
      <c r="B2678" s="76">
        <v>2024.6110676088069</v>
      </c>
      <c r="C2678">
        <v>1090.3299766295454</v>
      </c>
      <c r="D2678" s="77">
        <v>181.7216627715909</v>
      </c>
      <c r="E2678" s="77">
        <v>181.7216627715909</v>
      </c>
      <c r="F2678" s="77">
        <v>181.7216627715909</v>
      </c>
      <c r="G2678" s="77">
        <v>181.7216627715909</v>
      </c>
      <c r="H2678" s="77">
        <v>181.7216627715909</v>
      </c>
      <c r="I2678" s="77">
        <v>181.7216627715909</v>
      </c>
    </row>
    <row r="2679" spans="2:9">
      <c r="B2679" s="76">
        <v>2023.381728365998</v>
      </c>
      <c r="C2679">
        <v>1024.7690668408932</v>
      </c>
      <c r="D2679" s="77">
        <v>170.79484447348219</v>
      </c>
      <c r="E2679" s="77">
        <v>170.79484447348219</v>
      </c>
      <c r="F2679" s="77">
        <v>170.79484447348219</v>
      </c>
      <c r="G2679" s="77">
        <v>170.79484447348219</v>
      </c>
      <c r="H2679" s="77">
        <v>170.79484447348219</v>
      </c>
      <c r="I2679" s="77">
        <v>170.79484447348219</v>
      </c>
    </row>
    <row r="2680" spans="2:9">
      <c r="B2680" s="76">
        <v>2025.1825849526808</v>
      </c>
      <c r="C2680">
        <v>1207.3017126974878</v>
      </c>
      <c r="D2680" s="77">
        <v>201.21695211624797</v>
      </c>
      <c r="E2680" s="77">
        <v>201.21695211624797</v>
      </c>
      <c r="F2680" s="77">
        <v>201.21695211624797</v>
      </c>
      <c r="G2680" s="77">
        <v>201.21695211624797</v>
      </c>
      <c r="H2680" s="77">
        <v>201.21695211624797</v>
      </c>
      <c r="I2680" s="77">
        <v>201.21695211624797</v>
      </c>
    </row>
    <row r="2681" spans="2:9">
      <c r="B2681" s="76">
        <v>2024.5812972644051</v>
      </c>
      <c r="C2681">
        <v>1072.0730161549945</v>
      </c>
      <c r="D2681" s="77">
        <v>178.67883602583242</v>
      </c>
      <c r="E2681" s="77">
        <v>178.67883602583242</v>
      </c>
      <c r="F2681" s="77">
        <v>178.67883602583242</v>
      </c>
      <c r="G2681" s="77">
        <v>178.67883602583242</v>
      </c>
      <c r="H2681" s="77">
        <v>178.67883602583242</v>
      </c>
      <c r="I2681" s="77">
        <v>178.67883602583242</v>
      </c>
    </row>
    <row r="2682" spans="2:9">
      <c r="B2682" s="76">
        <v>2024.6693403113363</v>
      </c>
      <c r="C2682">
        <v>1047.6261767798844</v>
      </c>
      <c r="D2682" s="77">
        <v>174.60436279664739</v>
      </c>
      <c r="E2682" s="77">
        <v>174.60436279664739</v>
      </c>
      <c r="F2682" s="77">
        <v>174.60436279664739</v>
      </c>
      <c r="G2682" s="77">
        <v>174.60436279664739</v>
      </c>
      <c r="H2682" s="77">
        <v>174.60436279664739</v>
      </c>
      <c r="I2682" s="77">
        <v>174.60436279664739</v>
      </c>
    </row>
    <row r="2683" spans="2:9">
      <c r="B2683" s="76">
        <v>2023.3702967614161</v>
      </c>
      <c r="C2683">
        <v>964.06800745623025</v>
      </c>
      <c r="D2683" s="77">
        <v>160.67800124270505</v>
      </c>
      <c r="E2683" s="77">
        <v>160.67800124270505</v>
      </c>
      <c r="F2683" s="77">
        <v>160.67800124270505</v>
      </c>
      <c r="G2683" s="77">
        <v>160.67800124270505</v>
      </c>
      <c r="H2683" s="77">
        <v>160.67800124270505</v>
      </c>
      <c r="I2683" s="77">
        <v>160.67800124270505</v>
      </c>
    </row>
    <row r="2684" spans="2:9">
      <c r="B2684" s="76">
        <v>2024.9318334177906</v>
      </c>
      <c r="C2684">
        <v>1090.2314091275184</v>
      </c>
      <c r="D2684" s="77">
        <v>181.70523485458639</v>
      </c>
      <c r="E2684" s="77">
        <v>181.70523485458639</v>
      </c>
      <c r="F2684" s="77">
        <v>181.70523485458639</v>
      </c>
      <c r="G2684" s="77">
        <v>181.70523485458639</v>
      </c>
      <c r="H2684" s="77">
        <v>181.70523485458639</v>
      </c>
      <c r="I2684" s="77">
        <v>181.70523485458639</v>
      </c>
    </row>
    <row r="2685" spans="2:9">
      <c r="B2685" s="76">
        <v>2023.5540204274589</v>
      </c>
      <c r="C2685">
        <v>960.2156216702582</v>
      </c>
      <c r="D2685" s="77">
        <v>160.03593694504303</v>
      </c>
      <c r="E2685" s="77">
        <v>160.03593694504303</v>
      </c>
      <c r="F2685" s="77">
        <v>160.03593694504303</v>
      </c>
      <c r="G2685" s="77">
        <v>160.03593694504303</v>
      </c>
      <c r="H2685" s="77">
        <v>160.03593694504303</v>
      </c>
      <c r="I2685" s="77">
        <v>160.03593694504303</v>
      </c>
    </row>
    <row r="2686" spans="2:9">
      <c r="B2686" s="76">
        <v>2023.022198291221</v>
      </c>
      <c r="C2686">
        <v>877.44703103307836</v>
      </c>
      <c r="D2686" s="77">
        <v>146.24117183884638</v>
      </c>
      <c r="E2686" s="77">
        <v>146.24117183884638</v>
      </c>
      <c r="F2686" s="77">
        <v>146.24117183884638</v>
      </c>
      <c r="G2686" s="77">
        <v>146.24117183884638</v>
      </c>
      <c r="H2686" s="77">
        <v>146.24117183884638</v>
      </c>
      <c r="I2686" s="77">
        <v>146.24117183884638</v>
      </c>
    </row>
    <row r="2687" spans="2:9">
      <c r="B2687" s="76">
        <v>2025.3135276952253</v>
      </c>
      <c r="C2687">
        <v>1240.0913003698229</v>
      </c>
      <c r="D2687" s="77">
        <v>206.68188339497047</v>
      </c>
      <c r="E2687" s="77">
        <v>206.68188339497047</v>
      </c>
      <c r="F2687" s="77">
        <v>206.68188339497047</v>
      </c>
      <c r="G2687" s="77">
        <v>206.68188339497047</v>
      </c>
      <c r="H2687" s="77">
        <v>206.68188339497047</v>
      </c>
      <c r="I2687" s="77">
        <v>206.68188339497047</v>
      </c>
    </row>
    <row r="2688" spans="2:9">
      <c r="B2688" s="76">
        <v>2023.3409101658353</v>
      </c>
      <c r="C2688">
        <v>897.10978040035252</v>
      </c>
      <c r="D2688" s="77">
        <v>149.51829673339208</v>
      </c>
      <c r="E2688" s="77">
        <v>149.51829673339208</v>
      </c>
      <c r="F2688" s="77">
        <v>149.51829673339208</v>
      </c>
      <c r="G2688" s="77">
        <v>149.51829673339208</v>
      </c>
      <c r="H2688" s="77">
        <v>149.51829673339208</v>
      </c>
      <c r="I2688" s="77">
        <v>149.51829673339208</v>
      </c>
    </row>
    <row r="2689" spans="2:9">
      <c r="B2689" s="76">
        <v>2024.4319407955988</v>
      </c>
      <c r="C2689">
        <v>1041.7795161374947</v>
      </c>
      <c r="D2689" s="77">
        <v>173.62991935624913</v>
      </c>
      <c r="E2689" s="77">
        <v>173.62991935624913</v>
      </c>
      <c r="F2689" s="77">
        <v>173.62991935624913</v>
      </c>
      <c r="G2689" s="77">
        <v>173.62991935624913</v>
      </c>
      <c r="H2689" s="77">
        <v>173.62991935624913</v>
      </c>
      <c r="I2689" s="77">
        <v>173.62991935624913</v>
      </c>
    </row>
    <row r="2690" spans="2:9">
      <c r="B2690" s="76">
        <v>2023.1848187449775</v>
      </c>
      <c r="C2690">
        <v>872.26744125449432</v>
      </c>
      <c r="D2690" s="77">
        <v>145.37790687574906</v>
      </c>
      <c r="E2690" s="77">
        <v>145.37790687574906</v>
      </c>
      <c r="F2690" s="77">
        <v>145.37790687574906</v>
      </c>
      <c r="G2690" s="77">
        <v>145.37790687574906</v>
      </c>
      <c r="H2690" s="77">
        <v>145.37790687574906</v>
      </c>
      <c r="I2690" s="77">
        <v>145.37790687574906</v>
      </c>
    </row>
    <row r="2691" spans="2:9">
      <c r="B2691" s="76">
        <v>2024.9916969300496</v>
      </c>
      <c r="C2691">
        <v>1122.6454889258414</v>
      </c>
      <c r="D2691" s="77">
        <v>187.10758148764023</v>
      </c>
      <c r="E2691" s="77">
        <v>187.10758148764023</v>
      </c>
      <c r="F2691" s="77">
        <v>187.10758148764023</v>
      </c>
      <c r="G2691" s="77">
        <v>187.10758148764023</v>
      </c>
      <c r="H2691" s="77">
        <v>187.10758148764023</v>
      </c>
      <c r="I2691" s="77">
        <v>187.10758148764023</v>
      </c>
    </row>
    <row r="2692" spans="2:9">
      <c r="B2692" s="76">
        <v>2023.3155222492803</v>
      </c>
      <c r="C2692">
        <v>920.29378263716933</v>
      </c>
      <c r="D2692" s="77">
        <v>153.3822971061949</v>
      </c>
      <c r="E2692" s="77">
        <v>153.3822971061949</v>
      </c>
      <c r="F2692" s="77">
        <v>153.3822971061949</v>
      </c>
      <c r="G2692" s="77">
        <v>153.3822971061949</v>
      </c>
      <c r="H2692" s="77">
        <v>153.3822971061949</v>
      </c>
      <c r="I2692" s="77">
        <v>153.3822971061949</v>
      </c>
    </row>
    <row r="2693" spans="2:9">
      <c r="B2693" s="76">
        <v>2025.0921194020495</v>
      </c>
      <c r="C2693">
        <v>1075.5069990915276</v>
      </c>
      <c r="D2693" s="77">
        <v>179.2511665152546</v>
      </c>
      <c r="E2693" s="77">
        <v>179.2511665152546</v>
      </c>
      <c r="F2693" s="77">
        <v>179.2511665152546</v>
      </c>
      <c r="G2693" s="77">
        <v>179.2511665152546</v>
      </c>
      <c r="H2693" s="77">
        <v>179.2511665152546</v>
      </c>
      <c r="I2693" s="77">
        <v>179.2511665152546</v>
      </c>
    </row>
    <row r="2694" spans="2:9">
      <c r="B2694" s="76">
        <v>2023.0091654606631</v>
      </c>
      <c r="C2694">
        <v>850.23785715673785</v>
      </c>
      <c r="D2694" s="77">
        <v>141.70630952612296</v>
      </c>
      <c r="E2694" s="77">
        <v>141.70630952612296</v>
      </c>
      <c r="F2694" s="77">
        <v>141.70630952612296</v>
      </c>
      <c r="G2694" s="77">
        <v>141.70630952612296</v>
      </c>
      <c r="H2694" s="77">
        <v>141.70630952612296</v>
      </c>
      <c r="I2694" s="77">
        <v>141.70630952612296</v>
      </c>
    </row>
    <row r="2695" spans="2:9">
      <c r="B2695" s="76">
        <v>2023.1253124018867</v>
      </c>
      <c r="C2695">
        <v>938.52292667945687</v>
      </c>
      <c r="D2695" s="77">
        <v>156.42048777990948</v>
      </c>
      <c r="E2695" s="77">
        <v>156.42048777990948</v>
      </c>
      <c r="F2695" s="77">
        <v>156.42048777990948</v>
      </c>
      <c r="G2695" s="77">
        <v>156.42048777990948</v>
      </c>
      <c r="H2695" s="77">
        <v>156.42048777990948</v>
      </c>
      <c r="I2695" s="77">
        <v>156.42048777990948</v>
      </c>
    </row>
    <row r="2696" spans="2:9">
      <c r="B2696" s="76">
        <v>2023.1391530224273</v>
      </c>
      <c r="C2696">
        <v>906.46868913129322</v>
      </c>
      <c r="D2696" s="77">
        <v>151.07811485521555</v>
      </c>
      <c r="E2696" s="77">
        <v>151.07811485521555</v>
      </c>
      <c r="F2696" s="77">
        <v>151.07811485521555</v>
      </c>
      <c r="G2696" s="77">
        <v>151.07811485521555</v>
      </c>
      <c r="H2696" s="77">
        <v>151.07811485521555</v>
      </c>
      <c r="I2696" s="77">
        <v>151.07811485521555</v>
      </c>
    </row>
    <row r="2697" spans="2:9">
      <c r="B2697" s="76">
        <v>2024.894611462558</v>
      </c>
      <c r="C2697">
        <v>1069.1249582730059</v>
      </c>
      <c r="D2697" s="77">
        <v>178.18749304550099</v>
      </c>
      <c r="E2697" s="77">
        <v>178.18749304550099</v>
      </c>
      <c r="F2697" s="77">
        <v>178.18749304550099</v>
      </c>
      <c r="G2697" s="77">
        <v>178.18749304550099</v>
      </c>
      <c r="H2697" s="77">
        <v>178.18749304550099</v>
      </c>
      <c r="I2697" s="77">
        <v>178.18749304550099</v>
      </c>
    </row>
    <row r="2698" spans="2:9">
      <c r="B2698" s="76">
        <v>2022.7334400472496</v>
      </c>
      <c r="C2698">
        <v>850.02929322881187</v>
      </c>
      <c r="D2698" s="77">
        <v>141.67154887146864</v>
      </c>
      <c r="E2698" s="77">
        <v>141.67154887146864</v>
      </c>
      <c r="F2698" s="77">
        <v>141.67154887146864</v>
      </c>
      <c r="G2698" s="77">
        <v>141.67154887146864</v>
      </c>
      <c r="H2698" s="77">
        <v>141.67154887146864</v>
      </c>
      <c r="I2698" s="77">
        <v>141.67154887146864</v>
      </c>
    </row>
    <row r="2699" spans="2:9">
      <c r="B2699" s="76">
        <v>2023.079303897712</v>
      </c>
      <c r="C2699">
        <v>897.81658551166799</v>
      </c>
      <c r="D2699" s="77">
        <v>149.63609758527801</v>
      </c>
      <c r="E2699" s="77">
        <v>149.63609758527801</v>
      </c>
      <c r="F2699" s="77">
        <v>149.63609758527801</v>
      </c>
      <c r="G2699" s="77">
        <v>149.63609758527801</v>
      </c>
      <c r="H2699" s="77">
        <v>149.63609758527801</v>
      </c>
      <c r="I2699" s="77">
        <v>149.63609758527801</v>
      </c>
    </row>
    <row r="2700" spans="2:9">
      <c r="B2700" s="76">
        <v>2024.8314050956787</v>
      </c>
      <c r="C2700">
        <v>1116.600138609861</v>
      </c>
      <c r="D2700" s="77">
        <v>186.1000231016435</v>
      </c>
      <c r="E2700" s="77">
        <v>186.1000231016435</v>
      </c>
      <c r="F2700" s="77">
        <v>186.1000231016435</v>
      </c>
      <c r="G2700" s="77">
        <v>186.1000231016435</v>
      </c>
      <c r="H2700" s="77">
        <v>186.1000231016435</v>
      </c>
      <c r="I2700" s="77">
        <v>186.1000231016435</v>
      </c>
    </row>
    <row r="2701" spans="2:9">
      <c r="B2701" s="76">
        <v>2024.7459203029312</v>
      </c>
      <c r="C2701">
        <v>1102.9254991112218</v>
      </c>
      <c r="D2701" s="77">
        <v>183.82091651853696</v>
      </c>
      <c r="E2701" s="77">
        <v>183.82091651853696</v>
      </c>
      <c r="F2701" s="77">
        <v>183.82091651853696</v>
      </c>
      <c r="G2701" s="77">
        <v>183.82091651853696</v>
      </c>
      <c r="H2701" s="77">
        <v>183.82091651853696</v>
      </c>
      <c r="I2701" s="77">
        <v>183.82091651853696</v>
      </c>
    </row>
    <row r="2702" spans="2:9">
      <c r="B2702" s="76">
        <v>2023.669599524015</v>
      </c>
      <c r="C2702">
        <v>937.36814042674769</v>
      </c>
      <c r="D2702" s="77">
        <v>156.22802340445796</v>
      </c>
      <c r="E2702" s="77">
        <v>156.22802340445796</v>
      </c>
      <c r="F2702" s="77">
        <v>156.22802340445796</v>
      </c>
      <c r="G2702" s="77">
        <v>156.22802340445796</v>
      </c>
      <c r="H2702" s="77">
        <v>156.22802340445796</v>
      </c>
      <c r="I2702" s="77">
        <v>156.22802340445796</v>
      </c>
    </row>
    <row r="2703" spans="2:9">
      <c r="B2703" s="76">
        <v>2024.6046352889366</v>
      </c>
      <c r="C2703">
        <v>1044.3665198145918</v>
      </c>
      <c r="D2703" s="77">
        <v>174.06108663576529</v>
      </c>
      <c r="E2703" s="77">
        <v>174.06108663576529</v>
      </c>
      <c r="F2703" s="77">
        <v>174.06108663576529</v>
      </c>
      <c r="G2703" s="77">
        <v>174.06108663576529</v>
      </c>
      <c r="H2703" s="77">
        <v>174.06108663576529</v>
      </c>
      <c r="I2703" s="77">
        <v>174.06108663576529</v>
      </c>
    </row>
    <row r="2704" spans="2:9">
      <c r="B2704" s="76">
        <v>2023.2802148433391</v>
      </c>
      <c r="C2704">
        <v>913.11536623175778</v>
      </c>
      <c r="D2704" s="77">
        <v>152.18589437195962</v>
      </c>
      <c r="E2704" s="77">
        <v>152.18589437195962</v>
      </c>
      <c r="F2704" s="77">
        <v>152.18589437195962</v>
      </c>
      <c r="G2704" s="77">
        <v>152.18589437195962</v>
      </c>
      <c r="H2704" s="77">
        <v>152.18589437195962</v>
      </c>
      <c r="I2704" s="77">
        <v>152.18589437195962</v>
      </c>
    </row>
    <row r="2705" spans="2:9">
      <c r="B2705" s="76">
        <v>2023.6404782745351</v>
      </c>
      <c r="C2705">
        <v>959.81626281921172</v>
      </c>
      <c r="D2705" s="77">
        <v>159.96937713653529</v>
      </c>
      <c r="E2705" s="77">
        <v>159.96937713653529</v>
      </c>
      <c r="F2705" s="77">
        <v>159.96937713653529</v>
      </c>
      <c r="G2705" s="77">
        <v>159.96937713653529</v>
      </c>
      <c r="H2705" s="77">
        <v>159.96937713653529</v>
      </c>
      <c r="I2705" s="77">
        <v>159.96937713653529</v>
      </c>
    </row>
    <row r="2706" spans="2:9">
      <c r="B2706" s="76">
        <v>2023.165867346398</v>
      </c>
      <c r="C2706">
        <v>876.79481501780856</v>
      </c>
      <c r="D2706" s="77">
        <v>146.13246916963476</v>
      </c>
      <c r="E2706" s="77">
        <v>146.13246916963476</v>
      </c>
      <c r="F2706" s="77">
        <v>146.13246916963476</v>
      </c>
      <c r="G2706" s="77">
        <v>146.13246916963476</v>
      </c>
      <c r="H2706" s="77">
        <v>146.13246916963476</v>
      </c>
      <c r="I2706" s="77">
        <v>146.13246916963476</v>
      </c>
    </row>
    <row r="2707" spans="2:9">
      <c r="B2707" s="76">
        <v>2023.7616056545005</v>
      </c>
      <c r="C2707">
        <v>964.47721291743653</v>
      </c>
      <c r="D2707" s="77">
        <v>160.74620215290608</v>
      </c>
      <c r="E2707" s="77">
        <v>160.74620215290608</v>
      </c>
      <c r="F2707" s="77">
        <v>160.74620215290608</v>
      </c>
      <c r="G2707" s="77">
        <v>160.74620215290608</v>
      </c>
      <c r="H2707" s="77">
        <v>160.74620215290608</v>
      </c>
      <c r="I2707" s="77">
        <v>160.74620215290608</v>
      </c>
    </row>
    <row r="2708" spans="2:9">
      <c r="B2708" s="76">
        <v>2022.8349456428703</v>
      </c>
      <c r="C2708">
        <v>850.96210018467877</v>
      </c>
      <c r="D2708" s="77">
        <v>141.82701669744645</v>
      </c>
      <c r="E2708" s="77">
        <v>141.82701669744645</v>
      </c>
      <c r="F2708" s="77">
        <v>141.82701669744645</v>
      </c>
      <c r="G2708" s="77">
        <v>141.82701669744645</v>
      </c>
      <c r="H2708" s="77">
        <v>141.82701669744645</v>
      </c>
      <c r="I2708" s="77">
        <v>141.82701669744645</v>
      </c>
    </row>
    <row r="2709" spans="2:9">
      <c r="B2709" s="76">
        <v>2023.3890704916175</v>
      </c>
      <c r="C2709">
        <v>885.92035470167014</v>
      </c>
      <c r="D2709" s="77">
        <v>147.65339245027835</v>
      </c>
      <c r="E2709" s="77">
        <v>147.65339245027835</v>
      </c>
      <c r="F2709" s="77">
        <v>147.65339245027835</v>
      </c>
      <c r="G2709" s="77">
        <v>147.65339245027835</v>
      </c>
      <c r="H2709" s="77">
        <v>147.65339245027835</v>
      </c>
      <c r="I2709" s="77">
        <v>147.65339245027835</v>
      </c>
    </row>
    <row r="2710" spans="2:9">
      <c r="B2710" s="76">
        <v>2024.7447403890505</v>
      </c>
      <c r="C2710">
        <v>1131.6022403478728</v>
      </c>
      <c r="D2710" s="77">
        <v>188.60037339131213</v>
      </c>
      <c r="E2710" s="77">
        <v>188.60037339131213</v>
      </c>
      <c r="F2710" s="77">
        <v>188.60037339131213</v>
      </c>
      <c r="G2710" s="77">
        <v>188.60037339131213</v>
      </c>
      <c r="H2710" s="77">
        <v>188.60037339131213</v>
      </c>
      <c r="I2710" s="77">
        <v>188.60037339131213</v>
      </c>
    </row>
    <row r="2711" spans="2:9">
      <c r="B2711" s="76">
        <v>2023.488241204328</v>
      </c>
      <c r="C2711">
        <v>1020.3094586395383</v>
      </c>
      <c r="D2711" s="77">
        <v>170.05157643992305</v>
      </c>
      <c r="E2711" s="77">
        <v>170.05157643992305</v>
      </c>
      <c r="F2711" s="77">
        <v>170.05157643992305</v>
      </c>
      <c r="G2711" s="77">
        <v>170.05157643992305</v>
      </c>
      <c r="H2711" s="77">
        <v>170.05157643992305</v>
      </c>
      <c r="I2711" s="77">
        <v>170.05157643992305</v>
      </c>
    </row>
    <row r="2712" spans="2:9">
      <c r="B2712" s="76">
        <v>2025.9894492364383</v>
      </c>
      <c r="C2712">
        <v>1322.8733602422114</v>
      </c>
      <c r="D2712" s="77">
        <v>220.47889337370191</v>
      </c>
      <c r="E2712" s="77">
        <v>220.47889337370191</v>
      </c>
      <c r="F2712" s="77">
        <v>220.47889337370191</v>
      </c>
      <c r="G2712" s="77">
        <v>220.47889337370191</v>
      </c>
      <c r="H2712" s="77">
        <v>220.47889337370191</v>
      </c>
      <c r="I2712" s="77">
        <v>220.47889337370191</v>
      </c>
    </row>
    <row r="2713" spans="2:9">
      <c r="B2713" s="76">
        <v>2023.3631632327806</v>
      </c>
      <c r="C2713">
        <v>935.63876215026448</v>
      </c>
      <c r="D2713" s="77">
        <v>155.93979369171075</v>
      </c>
      <c r="E2713" s="77">
        <v>155.93979369171075</v>
      </c>
      <c r="F2713" s="77">
        <v>155.93979369171075</v>
      </c>
      <c r="G2713" s="77">
        <v>155.93979369171075</v>
      </c>
      <c r="H2713" s="77">
        <v>155.93979369171075</v>
      </c>
      <c r="I2713" s="77">
        <v>155.93979369171075</v>
      </c>
    </row>
    <row r="2714" spans="2:9">
      <c r="B2714" s="76">
        <v>2023.2866346710698</v>
      </c>
      <c r="C2714">
        <v>926.21921783018217</v>
      </c>
      <c r="D2714" s="77">
        <v>154.3698696383637</v>
      </c>
      <c r="E2714" s="77">
        <v>154.3698696383637</v>
      </c>
      <c r="F2714" s="77">
        <v>154.3698696383637</v>
      </c>
      <c r="G2714" s="77">
        <v>154.3698696383637</v>
      </c>
      <c r="H2714" s="77">
        <v>154.3698696383637</v>
      </c>
      <c r="I2714" s="77">
        <v>154.3698696383637</v>
      </c>
    </row>
    <row r="2715" spans="2:9">
      <c r="B2715" s="76">
        <v>2024.8828118345978</v>
      </c>
      <c r="C2715">
        <v>1061.7122661775293</v>
      </c>
      <c r="D2715" s="77">
        <v>176.95204436292155</v>
      </c>
      <c r="E2715" s="77">
        <v>176.95204436292155</v>
      </c>
      <c r="F2715" s="77">
        <v>176.95204436292155</v>
      </c>
      <c r="G2715" s="77">
        <v>176.95204436292155</v>
      </c>
      <c r="H2715" s="77">
        <v>176.95204436292155</v>
      </c>
      <c r="I2715" s="77">
        <v>176.95204436292155</v>
      </c>
    </row>
    <row r="2716" spans="2:9">
      <c r="B2716" s="76">
        <v>2022.8897116414478</v>
      </c>
      <c r="C2716">
        <v>941.40187607548728</v>
      </c>
      <c r="D2716" s="77">
        <v>156.90031267924789</v>
      </c>
      <c r="E2716" s="77">
        <v>156.90031267924789</v>
      </c>
      <c r="F2716" s="77">
        <v>156.90031267924789</v>
      </c>
      <c r="G2716" s="77">
        <v>156.90031267924789</v>
      </c>
      <c r="H2716" s="77">
        <v>156.90031267924789</v>
      </c>
      <c r="I2716" s="77">
        <v>156.90031267924789</v>
      </c>
    </row>
    <row r="2717" spans="2:9">
      <c r="B2717" s="76">
        <v>2023.0876049244623</v>
      </c>
      <c r="C2717">
        <v>920.5908218553343</v>
      </c>
      <c r="D2717" s="77">
        <v>153.43180364255571</v>
      </c>
      <c r="E2717" s="77">
        <v>153.43180364255571</v>
      </c>
      <c r="F2717" s="77">
        <v>153.43180364255571</v>
      </c>
      <c r="G2717" s="77">
        <v>153.43180364255571</v>
      </c>
      <c r="H2717" s="77">
        <v>153.43180364255571</v>
      </c>
      <c r="I2717" s="77">
        <v>153.43180364255571</v>
      </c>
    </row>
    <row r="2718" spans="2:9">
      <c r="B2718" s="76">
        <v>2023.1765607725624</v>
      </c>
      <c r="C2718">
        <v>910.90863653778047</v>
      </c>
      <c r="D2718" s="77">
        <v>151.81810608963008</v>
      </c>
      <c r="E2718" s="77">
        <v>151.81810608963008</v>
      </c>
      <c r="F2718" s="77">
        <v>151.81810608963008</v>
      </c>
      <c r="G2718" s="77">
        <v>151.81810608963008</v>
      </c>
      <c r="H2718" s="77">
        <v>151.81810608963008</v>
      </c>
      <c r="I2718" s="77">
        <v>151.81810608963008</v>
      </c>
    </row>
    <row r="2719" spans="2:9">
      <c r="B2719" s="76">
        <v>2023.5832565220758</v>
      </c>
      <c r="C2719">
        <v>996.81357350721805</v>
      </c>
      <c r="D2719" s="77">
        <v>166.13559558453633</v>
      </c>
      <c r="E2719" s="77">
        <v>166.13559558453633</v>
      </c>
      <c r="F2719" s="77">
        <v>166.13559558453633</v>
      </c>
      <c r="G2719" s="77">
        <v>166.13559558453633</v>
      </c>
      <c r="H2719" s="77">
        <v>166.13559558453633</v>
      </c>
      <c r="I2719" s="77">
        <v>166.13559558453633</v>
      </c>
    </row>
    <row r="2720" spans="2:9">
      <c r="B2720" s="76">
        <v>2023.2470278119358</v>
      </c>
      <c r="C2720">
        <v>1013.0305526046301</v>
      </c>
      <c r="D2720" s="77">
        <v>168.83842543410501</v>
      </c>
      <c r="E2720" s="77">
        <v>168.83842543410501</v>
      </c>
      <c r="F2720" s="77">
        <v>168.83842543410501</v>
      </c>
      <c r="G2720" s="77">
        <v>168.83842543410501</v>
      </c>
      <c r="H2720" s="77">
        <v>168.83842543410501</v>
      </c>
      <c r="I2720" s="77">
        <v>168.83842543410501</v>
      </c>
    </row>
    <row r="2721" spans="2:9">
      <c r="B2721" s="76">
        <v>2023.1151130836488</v>
      </c>
      <c r="C2721">
        <v>833.01614216974235</v>
      </c>
      <c r="D2721" s="77">
        <v>138.83602369495705</v>
      </c>
      <c r="E2721" s="77">
        <v>138.83602369495705</v>
      </c>
      <c r="F2721" s="77">
        <v>138.83602369495705</v>
      </c>
      <c r="G2721" s="77">
        <v>138.83602369495705</v>
      </c>
      <c r="H2721" s="77">
        <v>138.83602369495705</v>
      </c>
      <c r="I2721" s="77">
        <v>138.83602369495705</v>
      </c>
    </row>
    <row r="2722" spans="2:9">
      <c r="B2722" s="76">
        <v>2023.4289462445677</v>
      </c>
      <c r="C2722">
        <v>959.2109022398048</v>
      </c>
      <c r="D2722" s="77">
        <v>159.86848370663412</v>
      </c>
      <c r="E2722" s="77">
        <v>159.86848370663412</v>
      </c>
      <c r="F2722" s="77">
        <v>159.86848370663412</v>
      </c>
      <c r="G2722" s="77">
        <v>159.86848370663412</v>
      </c>
      <c r="H2722" s="77">
        <v>159.86848370663412</v>
      </c>
      <c r="I2722" s="77">
        <v>159.86848370663412</v>
      </c>
    </row>
    <row r="2723" spans="2:9">
      <c r="B2723" s="76">
        <v>2022.8659628998248</v>
      </c>
      <c r="C2723">
        <v>826.43313207071867</v>
      </c>
      <c r="D2723" s="77">
        <v>137.73885534511979</v>
      </c>
      <c r="E2723" s="77">
        <v>137.73885534511979</v>
      </c>
      <c r="F2723" s="77">
        <v>137.73885534511979</v>
      </c>
      <c r="G2723" s="77">
        <v>137.73885534511979</v>
      </c>
      <c r="H2723" s="77">
        <v>137.73885534511979</v>
      </c>
      <c r="I2723" s="77">
        <v>137.73885534511979</v>
      </c>
    </row>
    <row r="2724" spans="2:9">
      <c r="B2724" s="76">
        <v>2023.0706479635435</v>
      </c>
      <c r="C2724">
        <v>945.37076060920981</v>
      </c>
      <c r="D2724" s="77">
        <v>157.56179343486829</v>
      </c>
      <c r="E2724" s="77">
        <v>157.56179343486829</v>
      </c>
      <c r="F2724" s="77">
        <v>157.56179343486829</v>
      </c>
      <c r="G2724" s="77">
        <v>157.56179343486829</v>
      </c>
      <c r="H2724" s="77">
        <v>157.56179343486829</v>
      </c>
      <c r="I2724" s="77">
        <v>157.56179343486829</v>
      </c>
    </row>
    <row r="2725" spans="2:9">
      <c r="B2725" s="76">
        <v>2024.5136272003838</v>
      </c>
      <c r="C2725">
        <v>1028.3948878821743</v>
      </c>
      <c r="D2725" s="77">
        <v>171.39914798036239</v>
      </c>
      <c r="E2725" s="77">
        <v>171.39914798036239</v>
      </c>
      <c r="F2725" s="77">
        <v>171.39914798036239</v>
      </c>
      <c r="G2725" s="77">
        <v>171.39914798036239</v>
      </c>
      <c r="H2725" s="77">
        <v>171.39914798036239</v>
      </c>
      <c r="I2725" s="77">
        <v>171.39914798036239</v>
      </c>
    </row>
    <row r="2726" spans="2:9">
      <c r="B2726" s="76">
        <v>2022.6918083515875</v>
      </c>
      <c r="C2726">
        <v>845.47708171858005</v>
      </c>
      <c r="D2726" s="77">
        <v>140.91284695309668</v>
      </c>
      <c r="E2726" s="77">
        <v>140.91284695309668</v>
      </c>
      <c r="F2726" s="77">
        <v>140.91284695309668</v>
      </c>
      <c r="G2726" s="77">
        <v>140.91284695309668</v>
      </c>
      <c r="H2726" s="77">
        <v>140.91284695309668</v>
      </c>
      <c r="I2726" s="77">
        <v>140.91284695309668</v>
      </c>
    </row>
    <row r="2727" spans="2:9">
      <c r="B2727" s="76">
        <v>2022.9493830353056</v>
      </c>
      <c r="C2727">
        <v>887.81871343339458</v>
      </c>
      <c r="D2727" s="77">
        <v>147.96978557223244</v>
      </c>
      <c r="E2727" s="77">
        <v>147.96978557223244</v>
      </c>
      <c r="F2727" s="77">
        <v>147.96978557223244</v>
      </c>
      <c r="G2727" s="77">
        <v>147.96978557223244</v>
      </c>
      <c r="H2727" s="77">
        <v>147.96978557223244</v>
      </c>
      <c r="I2727" s="77">
        <v>147.96978557223244</v>
      </c>
    </row>
    <row r="2728" spans="2:9">
      <c r="B2728" s="76">
        <v>2025.3212761673522</v>
      </c>
      <c r="C2728">
        <v>1223.9061201176378</v>
      </c>
      <c r="D2728" s="77">
        <v>203.98435335293962</v>
      </c>
      <c r="E2728" s="77">
        <v>203.98435335293962</v>
      </c>
      <c r="F2728" s="77">
        <v>203.98435335293962</v>
      </c>
      <c r="G2728" s="77">
        <v>203.98435335293962</v>
      </c>
      <c r="H2728" s="77">
        <v>203.98435335293962</v>
      </c>
      <c r="I2728" s="77">
        <v>203.98435335293962</v>
      </c>
    </row>
    <row r="2729" spans="2:9">
      <c r="B2729" s="76">
        <v>2025.5893977262569</v>
      </c>
      <c r="C2729">
        <v>1192.8196946422258</v>
      </c>
      <c r="D2729" s="77">
        <v>198.80328244037096</v>
      </c>
      <c r="E2729" s="77">
        <v>198.80328244037096</v>
      </c>
      <c r="F2729" s="77">
        <v>198.80328244037096</v>
      </c>
      <c r="G2729" s="77">
        <v>198.80328244037096</v>
      </c>
      <c r="H2729" s="77">
        <v>198.80328244037096</v>
      </c>
      <c r="I2729" s="77">
        <v>198.80328244037096</v>
      </c>
    </row>
    <row r="2730" spans="2:9">
      <c r="B2730" s="76">
        <v>2023.0069962052182</v>
      </c>
      <c r="C2730">
        <v>850.0042804071079</v>
      </c>
      <c r="D2730" s="77">
        <v>141.66738006785133</v>
      </c>
      <c r="E2730" s="77">
        <v>141.66738006785133</v>
      </c>
      <c r="F2730" s="77">
        <v>141.66738006785133</v>
      </c>
      <c r="G2730" s="77">
        <v>141.66738006785133</v>
      </c>
      <c r="H2730" s="77">
        <v>141.66738006785133</v>
      </c>
      <c r="I2730" s="77">
        <v>141.66738006785133</v>
      </c>
    </row>
    <row r="2731" spans="2:9">
      <c r="B2731" s="76">
        <v>2023.5151648269155</v>
      </c>
      <c r="C2731">
        <v>921.11423989811146</v>
      </c>
      <c r="D2731" s="77">
        <v>153.51903998301859</v>
      </c>
      <c r="E2731" s="77">
        <v>153.51903998301859</v>
      </c>
      <c r="F2731" s="77">
        <v>153.51903998301859</v>
      </c>
      <c r="G2731" s="77">
        <v>153.51903998301859</v>
      </c>
      <c r="H2731" s="77">
        <v>153.51903998301859</v>
      </c>
      <c r="I2731" s="77">
        <v>153.51903998301859</v>
      </c>
    </row>
    <row r="2732" spans="2:9">
      <c r="B2732" s="76">
        <v>2023.1168718013644</v>
      </c>
      <c r="C2732">
        <v>876.86772960011569</v>
      </c>
      <c r="D2732" s="77">
        <v>146.14462160001929</v>
      </c>
      <c r="E2732" s="77">
        <v>146.14462160001929</v>
      </c>
      <c r="F2732" s="77">
        <v>146.14462160001929</v>
      </c>
      <c r="G2732" s="77">
        <v>146.14462160001929</v>
      </c>
      <c r="H2732" s="77">
        <v>146.14462160001929</v>
      </c>
      <c r="I2732" s="77">
        <v>146.14462160001929</v>
      </c>
    </row>
    <row r="2733" spans="2:9">
      <c r="B2733" s="76">
        <v>2023.3681578546291</v>
      </c>
      <c r="C2733">
        <v>955.12039462745145</v>
      </c>
      <c r="D2733" s="77">
        <v>159.18673243790857</v>
      </c>
      <c r="E2733" s="77">
        <v>159.18673243790857</v>
      </c>
      <c r="F2733" s="77">
        <v>159.18673243790857</v>
      </c>
      <c r="G2733" s="77">
        <v>159.18673243790857</v>
      </c>
      <c r="H2733" s="77">
        <v>159.18673243790857</v>
      </c>
      <c r="I2733" s="77">
        <v>159.18673243790857</v>
      </c>
    </row>
    <row r="2734" spans="2:9">
      <c r="B2734" s="76">
        <v>2022.97665556786</v>
      </c>
      <c r="C2734">
        <v>851.65977024792858</v>
      </c>
      <c r="D2734" s="77">
        <v>141.94329504132142</v>
      </c>
      <c r="E2734" s="77">
        <v>141.94329504132142</v>
      </c>
      <c r="F2734" s="77">
        <v>141.94329504132142</v>
      </c>
      <c r="G2734" s="77">
        <v>141.94329504132142</v>
      </c>
      <c r="H2734" s="77">
        <v>141.94329504132142</v>
      </c>
      <c r="I2734" s="77">
        <v>141.94329504132142</v>
      </c>
    </row>
    <row r="2735" spans="2:9">
      <c r="B2735" s="76">
        <v>2025.2878477764625</v>
      </c>
      <c r="C2735">
        <v>1170.5605473558744</v>
      </c>
      <c r="D2735" s="77">
        <v>195.09342455931241</v>
      </c>
      <c r="E2735" s="77">
        <v>195.09342455931241</v>
      </c>
      <c r="F2735" s="77">
        <v>195.09342455931241</v>
      </c>
      <c r="G2735" s="77">
        <v>195.09342455931241</v>
      </c>
      <c r="H2735" s="77">
        <v>195.09342455931241</v>
      </c>
      <c r="I2735" s="77">
        <v>195.09342455931241</v>
      </c>
    </row>
    <row r="2736" spans="2:9">
      <c r="B2736" s="76">
        <v>2024.2037552067093</v>
      </c>
      <c r="C2736">
        <v>1001.8956229003455</v>
      </c>
      <c r="D2736" s="77">
        <v>166.98260381672426</v>
      </c>
      <c r="E2736" s="77">
        <v>166.98260381672426</v>
      </c>
      <c r="F2736" s="77">
        <v>166.98260381672426</v>
      </c>
      <c r="G2736" s="77">
        <v>166.98260381672426</v>
      </c>
      <c r="H2736" s="77">
        <v>166.98260381672426</v>
      </c>
      <c r="I2736" s="77">
        <v>166.98260381672426</v>
      </c>
    </row>
    <row r="2737" spans="2:9">
      <c r="B2737" s="76">
        <v>2025.0875998932222</v>
      </c>
      <c r="C2737">
        <v>1112.4271247234801</v>
      </c>
      <c r="D2737" s="77">
        <v>185.4045207872467</v>
      </c>
      <c r="E2737" s="77">
        <v>185.4045207872467</v>
      </c>
      <c r="F2737" s="77">
        <v>185.4045207872467</v>
      </c>
      <c r="G2737" s="77">
        <v>185.4045207872467</v>
      </c>
      <c r="H2737" s="77">
        <v>185.4045207872467</v>
      </c>
      <c r="I2737" s="77">
        <v>185.4045207872467</v>
      </c>
    </row>
    <row r="2738" spans="2:9">
      <c r="B2738" s="76">
        <v>2022.7755661855256</v>
      </c>
      <c r="C2738">
        <v>851.56200220456867</v>
      </c>
      <c r="D2738" s="77">
        <v>141.92700036742812</v>
      </c>
      <c r="E2738" s="77">
        <v>141.92700036742812</v>
      </c>
      <c r="F2738" s="77">
        <v>141.92700036742812</v>
      </c>
      <c r="G2738" s="77">
        <v>141.92700036742812</v>
      </c>
      <c r="H2738" s="77">
        <v>141.92700036742812</v>
      </c>
      <c r="I2738" s="77">
        <v>141.92700036742812</v>
      </c>
    </row>
    <row r="2739" spans="2:9">
      <c r="B2739" s="76">
        <v>2023.2922469833738</v>
      </c>
      <c r="C2739">
        <v>930.01487645082182</v>
      </c>
      <c r="D2739" s="77">
        <v>155.00247940847029</v>
      </c>
      <c r="E2739" s="77">
        <v>155.00247940847029</v>
      </c>
      <c r="F2739" s="77">
        <v>155.00247940847029</v>
      </c>
      <c r="G2739" s="77">
        <v>155.00247940847029</v>
      </c>
      <c r="H2739" s="77">
        <v>155.00247940847029</v>
      </c>
      <c r="I2739" s="77">
        <v>155.00247940847029</v>
      </c>
    </row>
    <row r="2740" spans="2:9">
      <c r="B2740" s="76">
        <v>2022.9836314599779</v>
      </c>
      <c r="C2740">
        <v>814.63613129961971</v>
      </c>
      <c r="D2740" s="77">
        <v>135.77268854993662</v>
      </c>
      <c r="E2740" s="77">
        <v>135.77268854993662</v>
      </c>
      <c r="F2740" s="77">
        <v>135.77268854993662</v>
      </c>
      <c r="G2740" s="77">
        <v>135.77268854993662</v>
      </c>
      <c r="H2740" s="77">
        <v>135.77268854993662</v>
      </c>
      <c r="I2740" s="77">
        <v>135.77268854993662</v>
      </c>
    </row>
    <row r="2741" spans="2:9">
      <c r="B2741" s="76">
        <v>2022.8284809904371</v>
      </c>
      <c r="C2741">
        <v>838.44626884861725</v>
      </c>
      <c r="D2741" s="77">
        <v>139.74104480810288</v>
      </c>
      <c r="E2741" s="77">
        <v>139.74104480810288</v>
      </c>
      <c r="F2741" s="77">
        <v>139.74104480810288</v>
      </c>
      <c r="G2741" s="77">
        <v>139.74104480810288</v>
      </c>
      <c r="H2741" s="77">
        <v>139.74104480810288</v>
      </c>
      <c r="I2741" s="77">
        <v>139.74104480810288</v>
      </c>
    </row>
    <row r="2742" spans="2:9">
      <c r="B2742" s="76">
        <v>2023.0728142029529</v>
      </c>
      <c r="C2742">
        <v>906.73367086161807</v>
      </c>
      <c r="D2742" s="77">
        <v>151.12227847693634</v>
      </c>
      <c r="E2742" s="77">
        <v>151.12227847693634</v>
      </c>
      <c r="F2742" s="77">
        <v>151.12227847693634</v>
      </c>
      <c r="G2742" s="77">
        <v>151.12227847693634</v>
      </c>
      <c r="H2742" s="77">
        <v>151.12227847693634</v>
      </c>
      <c r="I2742" s="77">
        <v>151.12227847693634</v>
      </c>
    </row>
    <row r="2743" spans="2:9">
      <c r="B2743" s="76">
        <v>2023.3392073098819</v>
      </c>
      <c r="C2743">
        <v>963.95420939739608</v>
      </c>
      <c r="D2743" s="77">
        <v>160.65903489956602</v>
      </c>
      <c r="E2743" s="77">
        <v>160.65903489956602</v>
      </c>
      <c r="F2743" s="77">
        <v>160.65903489956602</v>
      </c>
      <c r="G2743" s="77">
        <v>160.65903489956602</v>
      </c>
      <c r="H2743" s="77">
        <v>160.65903489956602</v>
      </c>
      <c r="I2743" s="77">
        <v>160.65903489956602</v>
      </c>
    </row>
    <row r="2744" spans="2:9">
      <c r="B2744" s="76">
        <v>2024.8863553528715</v>
      </c>
      <c r="C2744">
        <v>1090.0906598760987</v>
      </c>
      <c r="D2744" s="77">
        <v>181.68177664601646</v>
      </c>
      <c r="E2744" s="77">
        <v>181.68177664601646</v>
      </c>
      <c r="F2744" s="77">
        <v>181.68177664601646</v>
      </c>
      <c r="G2744" s="77">
        <v>181.68177664601646</v>
      </c>
      <c r="H2744" s="77">
        <v>181.68177664601646</v>
      </c>
      <c r="I2744" s="77">
        <v>181.68177664601646</v>
      </c>
    </row>
    <row r="2745" spans="2:9">
      <c r="B2745" s="76">
        <v>2024.876861554993</v>
      </c>
      <c r="C2745">
        <v>1160.0429400754958</v>
      </c>
      <c r="D2745" s="77">
        <v>193.34049001258265</v>
      </c>
      <c r="E2745" s="77">
        <v>193.34049001258265</v>
      </c>
      <c r="F2745" s="77">
        <v>193.34049001258265</v>
      </c>
      <c r="G2745" s="77">
        <v>193.34049001258265</v>
      </c>
      <c r="H2745" s="77">
        <v>193.34049001258265</v>
      </c>
      <c r="I2745" s="77">
        <v>193.34049001258265</v>
      </c>
    </row>
    <row r="2746" spans="2:9">
      <c r="B2746" s="76">
        <v>2023.0123479849733</v>
      </c>
      <c r="C2746">
        <v>879.68795697364158</v>
      </c>
      <c r="D2746" s="77">
        <v>146.61465949560693</v>
      </c>
      <c r="E2746" s="77">
        <v>146.61465949560693</v>
      </c>
      <c r="F2746" s="77">
        <v>146.61465949560693</v>
      </c>
      <c r="G2746" s="77">
        <v>146.61465949560693</v>
      </c>
      <c r="H2746" s="77">
        <v>146.61465949560693</v>
      </c>
      <c r="I2746" s="77">
        <v>146.61465949560693</v>
      </c>
    </row>
    <row r="2747" spans="2:9">
      <c r="B2747" s="76">
        <v>2023.010381988114</v>
      </c>
      <c r="C2747">
        <v>895.3614756847337</v>
      </c>
      <c r="D2747" s="77">
        <v>149.22691261412228</v>
      </c>
      <c r="E2747" s="77">
        <v>149.22691261412228</v>
      </c>
      <c r="F2747" s="77">
        <v>149.22691261412228</v>
      </c>
      <c r="G2747" s="77">
        <v>149.22691261412228</v>
      </c>
      <c r="H2747" s="77">
        <v>149.22691261412228</v>
      </c>
      <c r="I2747" s="77">
        <v>149.22691261412228</v>
      </c>
    </row>
    <row r="2748" spans="2:9">
      <c r="B2748" s="76">
        <v>2023.730019598408</v>
      </c>
      <c r="C2748">
        <v>1021.7612173626939</v>
      </c>
      <c r="D2748" s="77">
        <v>170.29353622711565</v>
      </c>
      <c r="E2748" s="77">
        <v>170.29353622711565</v>
      </c>
      <c r="F2748" s="77">
        <v>170.29353622711565</v>
      </c>
      <c r="G2748" s="77">
        <v>170.29353622711565</v>
      </c>
      <c r="H2748" s="77">
        <v>170.29353622711565</v>
      </c>
      <c r="I2748" s="77">
        <v>170.29353622711565</v>
      </c>
    </row>
    <row r="2749" spans="2:9">
      <c r="B2749" s="76">
        <v>2022.9261244371053</v>
      </c>
      <c r="C2749">
        <v>865.83520790633247</v>
      </c>
      <c r="D2749" s="77">
        <v>144.30586798438875</v>
      </c>
      <c r="E2749" s="77">
        <v>144.30586798438875</v>
      </c>
      <c r="F2749" s="77">
        <v>144.30586798438875</v>
      </c>
      <c r="G2749" s="77">
        <v>144.30586798438875</v>
      </c>
      <c r="H2749" s="77">
        <v>144.30586798438875</v>
      </c>
      <c r="I2749" s="77">
        <v>144.30586798438875</v>
      </c>
    </row>
    <row r="2750" spans="2:9">
      <c r="B2750" s="76">
        <v>2024.4267892158784</v>
      </c>
      <c r="C2750">
        <v>1067.0950470297194</v>
      </c>
      <c r="D2750" s="77">
        <v>177.84917450495323</v>
      </c>
      <c r="E2750" s="77">
        <v>177.84917450495323</v>
      </c>
      <c r="F2750" s="77">
        <v>177.84917450495323</v>
      </c>
      <c r="G2750" s="77">
        <v>177.84917450495323</v>
      </c>
      <c r="H2750" s="77">
        <v>177.84917450495323</v>
      </c>
      <c r="I2750" s="77">
        <v>177.84917450495323</v>
      </c>
    </row>
    <row r="2751" spans="2:9">
      <c r="B2751" s="76">
        <v>2023.0172089245643</v>
      </c>
      <c r="C2751">
        <v>961.02179913366695</v>
      </c>
      <c r="D2751" s="77">
        <v>160.17029985561115</v>
      </c>
      <c r="E2751" s="77">
        <v>160.17029985561115</v>
      </c>
      <c r="F2751" s="77">
        <v>160.17029985561115</v>
      </c>
      <c r="G2751" s="77">
        <v>160.17029985561115</v>
      </c>
      <c r="H2751" s="77">
        <v>160.17029985561115</v>
      </c>
      <c r="I2751" s="77">
        <v>160.17029985561115</v>
      </c>
    </row>
    <row r="2752" spans="2:9">
      <c r="B2752" s="76">
        <v>2023.0569650679518</v>
      </c>
      <c r="C2752">
        <v>873.94255330219914</v>
      </c>
      <c r="D2752" s="77">
        <v>145.65709221703318</v>
      </c>
      <c r="E2752" s="77">
        <v>145.65709221703318</v>
      </c>
      <c r="F2752" s="77">
        <v>145.65709221703318</v>
      </c>
      <c r="G2752" s="77">
        <v>145.65709221703318</v>
      </c>
      <c r="H2752" s="77">
        <v>145.65709221703318</v>
      </c>
      <c r="I2752" s="77">
        <v>145.65709221703318</v>
      </c>
    </row>
    <row r="2753" spans="2:9">
      <c r="B2753" s="76">
        <v>2022.5850794243313</v>
      </c>
      <c r="C2753">
        <v>800.72684243415586</v>
      </c>
      <c r="D2753" s="77">
        <v>133.45447373902599</v>
      </c>
      <c r="E2753" s="77">
        <v>133.45447373902599</v>
      </c>
      <c r="F2753" s="77">
        <v>133.45447373902599</v>
      </c>
      <c r="G2753" s="77">
        <v>133.45447373902599</v>
      </c>
      <c r="H2753" s="77">
        <v>133.45447373902599</v>
      </c>
      <c r="I2753" s="77">
        <v>133.45447373902599</v>
      </c>
    </row>
    <row r="2754" spans="2:9">
      <c r="B2754" s="76">
        <v>2022.8565444834198</v>
      </c>
      <c r="C2754">
        <v>813.25540085027808</v>
      </c>
      <c r="D2754" s="77">
        <v>135.54256680837969</v>
      </c>
      <c r="E2754" s="77">
        <v>135.54256680837969</v>
      </c>
      <c r="F2754" s="77">
        <v>135.54256680837969</v>
      </c>
      <c r="G2754" s="77">
        <v>135.54256680837969</v>
      </c>
      <c r="H2754" s="77">
        <v>135.54256680837969</v>
      </c>
      <c r="I2754" s="77">
        <v>135.54256680837969</v>
      </c>
    </row>
    <row r="2755" spans="2:9">
      <c r="B2755" s="76">
        <v>2023.1815200774736</v>
      </c>
      <c r="C2755">
        <v>866.18225702859786</v>
      </c>
      <c r="D2755" s="77">
        <v>144.36370950476632</v>
      </c>
      <c r="E2755" s="77">
        <v>144.36370950476632</v>
      </c>
      <c r="F2755" s="77">
        <v>144.36370950476632</v>
      </c>
      <c r="G2755" s="77">
        <v>144.36370950476632</v>
      </c>
      <c r="H2755" s="77">
        <v>144.36370950476632</v>
      </c>
      <c r="I2755" s="77">
        <v>144.36370950476632</v>
      </c>
    </row>
    <row r="2756" spans="2:9">
      <c r="B2756" s="76">
        <v>2023.8606909214616</v>
      </c>
      <c r="C2756">
        <v>1003.0404365812306</v>
      </c>
      <c r="D2756" s="77">
        <v>167.17340609687176</v>
      </c>
      <c r="E2756" s="77">
        <v>167.17340609687176</v>
      </c>
      <c r="F2756" s="77">
        <v>167.17340609687176</v>
      </c>
      <c r="G2756" s="77">
        <v>167.17340609687176</v>
      </c>
      <c r="H2756" s="77">
        <v>167.17340609687176</v>
      </c>
      <c r="I2756" s="77">
        <v>167.17340609687176</v>
      </c>
    </row>
    <row r="2757" spans="2:9">
      <c r="B2757" s="76">
        <v>2024.7539871081194</v>
      </c>
      <c r="C2757">
        <v>1040.9772229797863</v>
      </c>
      <c r="D2757" s="77">
        <v>173.4962038299644</v>
      </c>
      <c r="E2757" s="77">
        <v>173.4962038299644</v>
      </c>
      <c r="F2757" s="77">
        <v>173.4962038299644</v>
      </c>
      <c r="G2757" s="77">
        <v>173.4962038299644</v>
      </c>
      <c r="H2757" s="77">
        <v>173.4962038299644</v>
      </c>
      <c r="I2757" s="77">
        <v>173.4962038299644</v>
      </c>
    </row>
    <row r="2758" spans="2:9">
      <c r="B2758" s="76">
        <v>2023.3500240674025</v>
      </c>
      <c r="C2758">
        <v>907.51810941489111</v>
      </c>
      <c r="D2758" s="77">
        <v>151.25301823581518</v>
      </c>
      <c r="E2758" s="77">
        <v>151.25301823581518</v>
      </c>
      <c r="F2758" s="77">
        <v>151.25301823581518</v>
      </c>
      <c r="G2758" s="77">
        <v>151.25301823581518</v>
      </c>
      <c r="H2758" s="77">
        <v>151.25301823581518</v>
      </c>
      <c r="I2758" s="77">
        <v>151.25301823581518</v>
      </c>
    </row>
    <row r="2759" spans="2:9">
      <c r="B2759" s="76">
        <v>2022.9974080113691</v>
      </c>
      <c r="C2759">
        <v>967.62714044043082</v>
      </c>
      <c r="D2759" s="77">
        <v>161.27119007340514</v>
      </c>
      <c r="E2759" s="77">
        <v>161.27119007340514</v>
      </c>
      <c r="F2759" s="77">
        <v>161.27119007340514</v>
      </c>
      <c r="G2759" s="77">
        <v>161.27119007340514</v>
      </c>
      <c r="H2759" s="77">
        <v>161.27119007340514</v>
      </c>
      <c r="I2759" s="77">
        <v>161.27119007340514</v>
      </c>
    </row>
    <row r="2760" spans="2:9">
      <c r="B2760" s="76">
        <v>2023.2122046141039</v>
      </c>
      <c r="C2760">
        <v>893.15237076031167</v>
      </c>
      <c r="D2760" s="77">
        <v>148.85872846005194</v>
      </c>
      <c r="E2760" s="77">
        <v>148.85872846005194</v>
      </c>
      <c r="F2760" s="77">
        <v>148.85872846005194</v>
      </c>
      <c r="G2760" s="77">
        <v>148.85872846005194</v>
      </c>
      <c r="H2760" s="77">
        <v>148.85872846005194</v>
      </c>
      <c r="I2760" s="77">
        <v>148.85872846005194</v>
      </c>
    </row>
    <row r="2761" spans="2:9">
      <c r="B2761" s="76">
        <v>2024.204498877695</v>
      </c>
      <c r="C2761">
        <v>1029.9870120570083</v>
      </c>
      <c r="D2761" s="77">
        <v>171.66450200950138</v>
      </c>
      <c r="E2761" s="77">
        <v>171.66450200950138</v>
      </c>
      <c r="F2761" s="77">
        <v>171.66450200950138</v>
      </c>
      <c r="G2761" s="77">
        <v>171.66450200950138</v>
      </c>
      <c r="H2761" s="77">
        <v>171.66450200950138</v>
      </c>
      <c r="I2761" s="77">
        <v>171.66450200950138</v>
      </c>
    </row>
    <row r="2762" spans="2:9">
      <c r="B2762" s="76">
        <v>2025.135756616168</v>
      </c>
      <c r="C2762">
        <v>1165.0687124059696</v>
      </c>
      <c r="D2762" s="77">
        <v>194.17811873432825</v>
      </c>
      <c r="E2762" s="77">
        <v>194.17811873432825</v>
      </c>
      <c r="F2762" s="77">
        <v>194.17811873432825</v>
      </c>
      <c r="G2762" s="77">
        <v>194.17811873432825</v>
      </c>
      <c r="H2762" s="77">
        <v>194.17811873432825</v>
      </c>
      <c r="I2762" s="77">
        <v>194.17811873432825</v>
      </c>
    </row>
    <row r="2763" spans="2:9">
      <c r="B2763" s="76">
        <v>2022.8959670629899</v>
      </c>
      <c r="C2763">
        <v>833.47586867154689</v>
      </c>
      <c r="D2763" s="77">
        <v>138.91264477859116</v>
      </c>
      <c r="E2763" s="77">
        <v>138.91264477859116</v>
      </c>
      <c r="F2763" s="77">
        <v>138.91264477859116</v>
      </c>
      <c r="G2763" s="77">
        <v>138.91264477859116</v>
      </c>
      <c r="H2763" s="77">
        <v>138.91264477859116</v>
      </c>
      <c r="I2763" s="77">
        <v>138.91264477859116</v>
      </c>
    </row>
    <row r="2764" spans="2:9">
      <c r="B2764" s="76">
        <v>2024.4735343565046</v>
      </c>
      <c r="C2764">
        <v>1053.3196969347784</v>
      </c>
      <c r="D2764" s="77">
        <v>175.55328282246307</v>
      </c>
      <c r="E2764" s="77">
        <v>175.55328282246307</v>
      </c>
      <c r="F2764" s="77">
        <v>175.55328282246307</v>
      </c>
      <c r="G2764" s="77">
        <v>175.55328282246307</v>
      </c>
      <c r="H2764" s="77">
        <v>175.55328282246307</v>
      </c>
      <c r="I2764" s="77">
        <v>175.55328282246307</v>
      </c>
    </row>
    <row r="2765" spans="2:9">
      <c r="B2765" s="76">
        <v>2023.6321814251764</v>
      </c>
      <c r="C2765">
        <v>926.56869598414471</v>
      </c>
      <c r="D2765" s="77">
        <v>154.42811599735745</v>
      </c>
      <c r="E2765" s="77">
        <v>154.42811599735745</v>
      </c>
      <c r="F2765" s="77">
        <v>154.42811599735745</v>
      </c>
      <c r="G2765" s="77">
        <v>154.42811599735745</v>
      </c>
      <c r="H2765" s="77">
        <v>154.42811599735745</v>
      </c>
      <c r="I2765" s="77">
        <v>154.42811599735745</v>
      </c>
    </row>
    <row r="2766" spans="2:9">
      <c r="B2766" s="76">
        <v>2023.611576737555</v>
      </c>
      <c r="C2766">
        <v>918.61120901165134</v>
      </c>
      <c r="D2766" s="77">
        <v>153.10186816860855</v>
      </c>
      <c r="E2766" s="77">
        <v>153.10186816860855</v>
      </c>
      <c r="F2766" s="77">
        <v>153.10186816860855</v>
      </c>
      <c r="G2766" s="77">
        <v>153.10186816860855</v>
      </c>
      <c r="H2766" s="77">
        <v>153.10186816860855</v>
      </c>
      <c r="I2766" s="77">
        <v>153.10186816860855</v>
      </c>
    </row>
    <row r="2767" spans="2:9">
      <c r="B2767" s="76">
        <v>2023.1580602188387</v>
      </c>
      <c r="C2767">
        <v>909.7138862880912</v>
      </c>
      <c r="D2767" s="77">
        <v>151.6189810480152</v>
      </c>
      <c r="E2767" s="77">
        <v>151.6189810480152</v>
      </c>
      <c r="F2767" s="77">
        <v>151.6189810480152</v>
      </c>
      <c r="G2767" s="77">
        <v>151.6189810480152</v>
      </c>
      <c r="H2767" s="77">
        <v>151.6189810480152</v>
      </c>
      <c r="I2767" s="77">
        <v>151.6189810480152</v>
      </c>
    </row>
    <row r="2768" spans="2:9">
      <c r="B2768" s="76">
        <v>2023.5214251356467</v>
      </c>
      <c r="C2768">
        <v>937.49164805696489</v>
      </c>
      <c r="D2768" s="77">
        <v>156.24860800949415</v>
      </c>
      <c r="E2768" s="77">
        <v>156.24860800949415</v>
      </c>
      <c r="F2768" s="77">
        <v>156.24860800949415</v>
      </c>
      <c r="G2768" s="77">
        <v>156.24860800949415</v>
      </c>
      <c r="H2768" s="77">
        <v>156.24860800949415</v>
      </c>
      <c r="I2768" s="77">
        <v>156.24860800949415</v>
      </c>
    </row>
    <row r="2769" spans="2:9">
      <c r="B2769" s="76">
        <v>2023.2551501139089</v>
      </c>
      <c r="C2769">
        <v>886.98313526440188</v>
      </c>
      <c r="D2769" s="77">
        <v>147.83052254406698</v>
      </c>
      <c r="E2769" s="77">
        <v>147.83052254406698</v>
      </c>
      <c r="F2769" s="77">
        <v>147.83052254406698</v>
      </c>
      <c r="G2769" s="77">
        <v>147.83052254406698</v>
      </c>
      <c r="H2769" s="77">
        <v>147.83052254406698</v>
      </c>
      <c r="I2769" s="77">
        <v>147.83052254406698</v>
      </c>
    </row>
    <row r="2770" spans="2:9">
      <c r="B2770" s="76">
        <v>2023.6296520042563</v>
      </c>
      <c r="C2770">
        <v>960.66517365412324</v>
      </c>
      <c r="D2770" s="77">
        <v>160.1108622756872</v>
      </c>
      <c r="E2770" s="77">
        <v>160.1108622756872</v>
      </c>
      <c r="F2770" s="77">
        <v>160.1108622756872</v>
      </c>
      <c r="G2770" s="77">
        <v>160.1108622756872</v>
      </c>
      <c r="H2770" s="77">
        <v>160.1108622756872</v>
      </c>
      <c r="I2770" s="77">
        <v>160.1108622756872</v>
      </c>
    </row>
    <row r="2771" spans="2:9">
      <c r="B2771" s="76">
        <v>2023.3701791796232</v>
      </c>
      <c r="C2771">
        <v>861.95271456718615</v>
      </c>
      <c r="D2771" s="77">
        <v>143.65878576119769</v>
      </c>
      <c r="E2771" s="77">
        <v>143.65878576119769</v>
      </c>
      <c r="F2771" s="77">
        <v>143.65878576119769</v>
      </c>
      <c r="G2771" s="77">
        <v>143.65878576119769</v>
      </c>
      <c r="H2771" s="77">
        <v>143.65878576119769</v>
      </c>
      <c r="I2771" s="77">
        <v>143.65878576119769</v>
      </c>
    </row>
    <row r="2772" spans="2:9">
      <c r="B2772" s="76">
        <v>2024.5495624695761</v>
      </c>
      <c r="C2772">
        <v>1044.7845760066207</v>
      </c>
      <c r="D2772" s="77">
        <v>174.13076266777011</v>
      </c>
      <c r="E2772" s="77">
        <v>174.13076266777011</v>
      </c>
      <c r="F2772" s="77">
        <v>174.13076266777011</v>
      </c>
      <c r="G2772" s="77">
        <v>174.13076266777011</v>
      </c>
      <c r="H2772" s="77">
        <v>174.13076266777011</v>
      </c>
      <c r="I2772" s="77">
        <v>174.13076266777011</v>
      </c>
    </row>
    <row r="2773" spans="2:9">
      <c r="B2773" s="76">
        <v>2023.0963634322597</v>
      </c>
      <c r="C2773">
        <v>902.99195646123883</v>
      </c>
      <c r="D2773" s="77">
        <v>150.49865941020647</v>
      </c>
      <c r="E2773" s="77">
        <v>150.49865941020647</v>
      </c>
      <c r="F2773" s="77">
        <v>150.49865941020647</v>
      </c>
      <c r="G2773" s="77">
        <v>150.49865941020647</v>
      </c>
      <c r="H2773" s="77">
        <v>150.49865941020647</v>
      </c>
      <c r="I2773" s="77">
        <v>150.49865941020647</v>
      </c>
    </row>
    <row r="2774" spans="2:9">
      <c r="B2774" s="76">
        <v>2023.226672679863</v>
      </c>
      <c r="C2774">
        <v>983.41633558388151</v>
      </c>
      <c r="D2774" s="77">
        <v>163.90272259731358</v>
      </c>
      <c r="E2774" s="77">
        <v>163.90272259731358</v>
      </c>
      <c r="F2774" s="77">
        <v>163.90272259731358</v>
      </c>
      <c r="G2774" s="77">
        <v>163.90272259731358</v>
      </c>
      <c r="H2774" s="77">
        <v>163.90272259731358</v>
      </c>
      <c r="I2774" s="77">
        <v>163.90272259731358</v>
      </c>
    </row>
    <row r="2775" spans="2:9">
      <c r="B2775" s="76">
        <v>2023.0363322822766</v>
      </c>
      <c r="C2775">
        <v>904.79121039613153</v>
      </c>
      <c r="D2775" s="77">
        <v>150.79853506602191</v>
      </c>
      <c r="E2775" s="77">
        <v>150.79853506602191</v>
      </c>
      <c r="F2775" s="77">
        <v>150.79853506602191</v>
      </c>
      <c r="G2775" s="77">
        <v>150.79853506602191</v>
      </c>
      <c r="H2775" s="77">
        <v>150.79853506602191</v>
      </c>
      <c r="I2775" s="77">
        <v>150.79853506602191</v>
      </c>
    </row>
    <row r="2776" spans="2:9">
      <c r="B2776" s="76">
        <v>2022.9710668512437</v>
      </c>
      <c r="C2776">
        <v>888.29106762097751</v>
      </c>
      <c r="D2776" s="77">
        <v>148.04851127016292</v>
      </c>
      <c r="E2776" s="77">
        <v>148.04851127016292</v>
      </c>
      <c r="F2776" s="77">
        <v>148.04851127016292</v>
      </c>
      <c r="G2776" s="77">
        <v>148.04851127016292</v>
      </c>
      <c r="H2776" s="77">
        <v>148.04851127016292</v>
      </c>
      <c r="I2776" s="77">
        <v>148.04851127016292</v>
      </c>
    </row>
    <row r="2777" spans="2:9">
      <c r="B2777" s="76">
        <v>2023.5055345459241</v>
      </c>
      <c r="C2777">
        <v>997.67948500579769</v>
      </c>
      <c r="D2777" s="77">
        <v>166.27991416763294</v>
      </c>
      <c r="E2777" s="77">
        <v>166.27991416763294</v>
      </c>
      <c r="F2777" s="77">
        <v>166.27991416763294</v>
      </c>
      <c r="G2777" s="77">
        <v>166.27991416763294</v>
      </c>
      <c r="H2777" s="77">
        <v>166.27991416763294</v>
      </c>
      <c r="I2777" s="77">
        <v>166.27991416763294</v>
      </c>
    </row>
    <row r="2778" spans="2:9">
      <c r="B2778" s="76">
        <v>2022.6215739008358</v>
      </c>
      <c r="C2778">
        <v>804.66547724503505</v>
      </c>
      <c r="D2778" s="77">
        <v>134.1109128741725</v>
      </c>
      <c r="E2778" s="77">
        <v>134.1109128741725</v>
      </c>
      <c r="F2778" s="77">
        <v>134.1109128741725</v>
      </c>
      <c r="G2778" s="77">
        <v>134.1109128741725</v>
      </c>
      <c r="H2778" s="77">
        <v>134.1109128741725</v>
      </c>
      <c r="I2778" s="77">
        <v>134.1109128741725</v>
      </c>
    </row>
    <row r="2779" spans="2:9">
      <c r="B2779" s="76">
        <v>2022.8123241860656</v>
      </c>
      <c r="C2779">
        <v>878.33850255216328</v>
      </c>
      <c r="D2779" s="77">
        <v>146.38975042536055</v>
      </c>
      <c r="E2779" s="77">
        <v>146.38975042536055</v>
      </c>
      <c r="F2779" s="77">
        <v>146.38975042536055</v>
      </c>
      <c r="G2779" s="77">
        <v>146.38975042536055</v>
      </c>
      <c r="H2779" s="77">
        <v>146.38975042536055</v>
      </c>
      <c r="I2779" s="77">
        <v>146.38975042536055</v>
      </c>
    </row>
    <row r="2780" spans="2:9">
      <c r="B2780" s="76">
        <v>2022.9039765026575</v>
      </c>
      <c r="C2780">
        <v>851.54584043655427</v>
      </c>
      <c r="D2780" s="77">
        <v>141.9243067394257</v>
      </c>
      <c r="E2780" s="77">
        <v>141.9243067394257</v>
      </c>
      <c r="F2780" s="77">
        <v>141.9243067394257</v>
      </c>
      <c r="G2780" s="77">
        <v>141.9243067394257</v>
      </c>
      <c r="H2780" s="77">
        <v>141.9243067394257</v>
      </c>
      <c r="I2780" s="77">
        <v>141.9243067394257</v>
      </c>
    </row>
    <row r="2781" spans="2:9">
      <c r="B2781" s="76">
        <v>2023.2720318231854</v>
      </c>
      <c r="C2781">
        <v>970.24773107812416</v>
      </c>
      <c r="D2781" s="77">
        <v>161.70795517968736</v>
      </c>
      <c r="E2781" s="77">
        <v>161.70795517968736</v>
      </c>
      <c r="F2781" s="77">
        <v>161.70795517968736</v>
      </c>
      <c r="G2781" s="77">
        <v>161.70795517968736</v>
      </c>
      <c r="H2781" s="77">
        <v>161.70795517968736</v>
      </c>
      <c r="I2781" s="77">
        <v>161.70795517968736</v>
      </c>
    </row>
    <row r="2782" spans="2:9">
      <c r="B2782" s="76">
        <v>2022.7948793031101</v>
      </c>
      <c r="C2782">
        <v>859.42838317103451</v>
      </c>
      <c r="D2782" s="77">
        <v>143.23806386183909</v>
      </c>
      <c r="E2782" s="77">
        <v>143.23806386183909</v>
      </c>
      <c r="F2782" s="77">
        <v>143.23806386183909</v>
      </c>
      <c r="G2782" s="77">
        <v>143.23806386183909</v>
      </c>
      <c r="H2782" s="77">
        <v>143.23806386183909</v>
      </c>
      <c r="I2782" s="77">
        <v>143.23806386183909</v>
      </c>
    </row>
    <row r="2783" spans="2:9">
      <c r="B2783" s="76">
        <v>2022.9901507198367</v>
      </c>
      <c r="C2783">
        <v>837.06425735655523</v>
      </c>
      <c r="D2783" s="77">
        <v>139.51070955942586</v>
      </c>
      <c r="E2783" s="77">
        <v>139.51070955942586</v>
      </c>
      <c r="F2783" s="77">
        <v>139.51070955942586</v>
      </c>
      <c r="G2783" s="77">
        <v>139.51070955942586</v>
      </c>
      <c r="H2783" s="77">
        <v>139.51070955942586</v>
      </c>
      <c r="I2783" s="77">
        <v>139.51070955942586</v>
      </c>
    </row>
    <row r="2784" spans="2:9">
      <c r="B2784" s="76">
        <v>2024.8080368171311</v>
      </c>
      <c r="C2784">
        <v>1020.6251840007019</v>
      </c>
      <c r="D2784" s="77">
        <v>170.10419733345032</v>
      </c>
      <c r="E2784" s="77">
        <v>170.10419733345032</v>
      </c>
      <c r="F2784" s="77">
        <v>170.10419733345032</v>
      </c>
      <c r="G2784" s="77">
        <v>170.10419733345032</v>
      </c>
      <c r="H2784" s="77">
        <v>170.10419733345032</v>
      </c>
      <c r="I2784" s="77">
        <v>170.10419733345032</v>
      </c>
    </row>
    <row r="2785" spans="2:9">
      <c r="B2785" s="76">
        <v>2023.0457613807905</v>
      </c>
      <c r="C2785">
        <v>903.69881730402278</v>
      </c>
      <c r="D2785" s="77">
        <v>150.61646955067047</v>
      </c>
      <c r="E2785" s="77">
        <v>150.61646955067047</v>
      </c>
      <c r="F2785" s="77">
        <v>150.61646955067047</v>
      </c>
      <c r="G2785" s="77">
        <v>150.61646955067047</v>
      </c>
      <c r="H2785" s="77">
        <v>150.61646955067047</v>
      </c>
      <c r="I2785" s="77">
        <v>150.61646955067047</v>
      </c>
    </row>
    <row r="2786" spans="2:9">
      <c r="B2786" s="76">
        <v>2023.28156885878</v>
      </c>
      <c r="C2786">
        <v>913.02019976900056</v>
      </c>
      <c r="D2786" s="77">
        <v>152.17003329483342</v>
      </c>
      <c r="E2786" s="77">
        <v>152.17003329483342</v>
      </c>
      <c r="F2786" s="77">
        <v>152.17003329483342</v>
      </c>
      <c r="G2786" s="77">
        <v>152.17003329483342</v>
      </c>
      <c r="H2786" s="77">
        <v>152.17003329483342</v>
      </c>
      <c r="I2786" s="77">
        <v>152.17003329483342</v>
      </c>
    </row>
    <row r="2787" spans="2:9">
      <c r="B2787" s="76">
        <v>2023.1176419015108</v>
      </c>
      <c r="C2787">
        <v>863.72757800927957</v>
      </c>
      <c r="D2787" s="77">
        <v>143.95459633487994</v>
      </c>
      <c r="E2787" s="77">
        <v>143.95459633487994</v>
      </c>
      <c r="F2787" s="77">
        <v>143.95459633487994</v>
      </c>
      <c r="G2787" s="77">
        <v>143.95459633487994</v>
      </c>
      <c r="H2787" s="77">
        <v>143.95459633487994</v>
      </c>
      <c r="I2787" s="77">
        <v>143.95459633487994</v>
      </c>
    </row>
    <row r="2788" spans="2:9">
      <c r="B2788" s="76">
        <v>2022.9565302433905</v>
      </c>
      <c r="C2788">
        <v>855.0136160424064</v>
      </c>
      <c r="D2788" s="77">
        <v>142.50226934040106</v>
      </c>
      <c r="E2788" s="77">
        <v>142.50226934040106</v>
      </c>
      <c r="F2788" s="77">
        <v>142.50226934040106</v>
      </c>
      <c r="G2788" s="77">
        <v>142.50226934040106</v>
      </c>
      <c r="H2788" s="77">
        <v>142.50226934040106</v>
      </c>
      <c r="I2788" s="77">
        <v>142.50226934040106</v>
      </c>
    </row>
    <row r="2789" spans="2:9">
      <c r="B2789" s="76">
        <v>2024.3943644148353</v>
      </c>
      <c r="C2789">
        <v>1062.5452904767385</v>
      </c>
      <c r="D2789" s="77">
        <v>177.09088174612307</v>
      </c>
      <c r="E2789" s="77">
        <v>177.09088174612307</v>
      </c>
      <c r="F2789" s="77">
        <v>177.09088174612307</v>
      </c>
      <c r="G2789" s="77">
        <v>177.09088174612307</v>
      </c>
      <c r="H2789" s="77">
        <v>177.09088174612307</v>
      </c>
      <c r="I2789" s="77">
        <v>177.09088174612307</v>
      </c>
    </row>
    <row r="2790" spans="2:9">
      <c r="B2790" s="76">
        <v>2025.5650012902554</v>
      </c>
      <c r="C2790">
        <v>1200.2890334573046</v>
      </c>
      <c r="D2790" s="77">
        <v>200.04817224288411</v>
      </c>
      <c r="E2790" s="77">
        <v>200.04817224288411</v>
      </c>
      <c r="F2790" s="77">
        <v>200.04817224288411</v>
      </c>
      <c r="G2790" s="77">
        <v>200.04817224288411</v>
      </c>
      <c r="H2790" s="77">
        <v>200.04817224288411</v>
      </c>
      <c r="I2790" s="77">
        <v>200.04817224288411</v>
      </c>
    </row>
    <row r="2791" spans="2:9">
      <c r="B2791" s="76">
        <v>2024.6080056012263</v>
      </c>
      <c r="C2791">
        <v>1092.7464312889406</v>
      </c>
      <c r="D2791" s="77">
        <v>182.12440521482344</v>
      </c>
      <c r="E2791" s="77">
        <v>182.12440521482344</v>
      </c>
      <c r="F2791" s="77">
        <v>182.12440521482344</v>
      </c>
      <c r="G2791" s="77">
        <v>182.12440521482344</v>
      </c>
      <c r="H2791" s="77">
        <v>182.12440521482344</v>
      </c>
      <c r="I2791" s="77">
        <v>182.12440521482344</v>
      </c>
    </row>
    <row r="2792" spans="2:9">
      <c r="B2792" s="76">
        <v>2023.206171164574</v>
      </c>
      <c r="C2792">
        <v>886.44564773384013</v>
      </c>
      <c r="D2792" s="77">
        <v>147.74094128897335</v>
      </c>
      <c r="E2792" s="77">
        <v>147.74094128897335</v>
      </c>
      <c r="F2792" s="77">
        <v>147.74094128897335</v>
      </c>
      <c r="G2792" s="77">
        <v>147.74094128897335</v>
      </c>
      <c r="H2792" s="77">
        <v>147.74094128897335</v>
      </c>
      <c r="I2792" s="77">
        <v>147.74094128897335</v>
      </c>
    </row>
    <row r="2793" spans="2:9">
      <c r="B2793" s="76">
        <v>2023.4915360051955</v>
      </c>
      <c r="C2793">
        <v>1001.1104118953283</v>
      </c>
      <c r="D2793" s="77">
        <v>166.85173531588805</v>
      </c>
      <c r="E2793" s="77">
        <v>166.85173531588805</v>
      </c>
      <c r="F2793" s="77">
        <v>166.85173531588805</v>
      </c>
      <c r="G2793" s="77">
        <v>166.85173531588805</v>
      </c>
      <c r="H2793" s="77">
        <v>166.85173531588805</v>
      </c>
      <c r="I2793" s="77">
        <v>166.85173531588805</v>
      </c>
    </row>
    <row r="2794" spans="2:9">
      <c r="B2794" s="76">
        <v>2023.1460027578803</v>
      </c>
      <c r="C2794">
        <v>934.1760275774983</v>
      </c>
      <c r="D2794" s="77">
        <v>155.69600459624971</v>
      </c>
      <c r="E2794" s="77">
        <v>155.69600459624971</v>
      </c>
      <c r="F2794" s="77">
        <v>155.69600459624971</v>
      </c>
      <c r="G2794" s="77">
        <v>155.69600459624971</v>
      </c>
      <c r="H2794" s="77">
        <v>155.69600459624971</v>
      </c>
      <c r="I2794" s="77">
        <v>155.69600459624971</v>
      </c>
    </row>
    <row r="2795" spans="2:9">
      <c r="B2795" s="76">
        <v>2023.0866898742668</v>
      </c>
      <c r="C2795">
        <v>977.40646314220623</v>
      </c>
      <c r="D2795" s="77">
        <v>162.90107719036772</v>
      </c>
      <c r="E2795" s="77">
        <v>162.90107719036772</v>
      </c>
      <c r="F2795" s="77">
        <v>162.90107719036772</v>
      </c>
      <c r="G2795" s="77">
        <v>162.90107719036772</v>
      </c>
      <c r="H2795" s="77">
        <v>162.90107719036772</v>
      </c>
      <c r="I2795" s="77">
        <v>162.90107719036772</v>
      </c>
    </row>
    <row r="2796" spans="2:9">
      <c r="B2796" s="76">
        <v>2023.0036998206033</v>
      </c>
      <c r="C2796">
        <v>907.99917591694589</v>
      </c>
      <c r="D2796" s="77">
        <v>151.33319598615765</v>
      </c>
      <c r="E2796" s="77">
        <v>151.33319598615765</v>
      </c>
      <c r="F2796" s="77">
        <v>151.33319598615765</v>
      </c>
      <c r="G2796" s="77">
        <v>151.33319598615765</v>
      </c>
      <c r="H2796" s="77">
        <v>151.33319598615765</v>
      </c>
      <c r="I2796" s="77">
        <v>151.33319598615765</v>
      </c>
    </row>
    <row r="2797" spans="2:9">
      <c r="B2797" s="76">
        <v>2022.814952674282</v>
      </c>
      <c r="C2797">
        <v>869.32251010658297</v>
      </c>
      <c r="D2797" s="77">
        <v>144.88708501776384</v>
      </c>
      <c r="E2797" s="77">
        <v>144.88708501776384</v>
      </c>
      <c r="F2797" s="77">
        <v>144.88708501776384</v>
      </c>
      <c r="G2797" s="77">
        <v>144.88708501776384</v>
      </c>
      <c r="H2797" s="77">
        <v>144.88708501776384</v>
      </c>
      <c r="I2797" s="77">
        <v>144.88708501776384</v>
      </c>
    </row>
    <row r="2798" spans="2:9">
      <c r="B2798" s="76">
        <v>2022.9376782380989</v>
      </c>
      <c r="C2798">
        <v>845.07891283767287</v>
      </c>
      <c r="D2798" s="77">
        <v>140.84648547294549</v>
      </c>
      <c r="E2798" s="77">
        <v>140.84648547294549</v>
      </c>
      <c r="F2798" s="77">
        <v>140.84648547294549</v>
      </c>
      <c r="G2798" s="77">
        <v>140.84648547294549</v>
      </c>
      <c r="H2798" s="77">
        <v>140.84648547294549</v>
      </c>
      <c r="I2798" s="77">
        <v>140.84648547294549</v>
      </c>
    </row>
    <row r="2799" spans="2:9">
      <c r="B2799" s="76">
        <v>2023.2226077906537</v>
      </c>
      <c r="C2799">
        <v>906.19951355052535</v>
      </c>
      <c r="D2799" s="77">
        <v>151.0332522584209</v>
      </c>
      <c r="E2799" s="77">
        <v>151.0332522584209</v>
      </c>
      <c r="F2799" s="77">
        <v>151.0332522584209</v>
      </c>
      <c r="G2799" s="77">
        <v>151.0332522584209</v>
      </c>
      <c r="H2799" s="77">
        <v>151.0332522584209</v>
      </c>
      <c r="I2799" s="77">
        <v>151.0332522584209</v>
      </c>
    </row>
    <row r="2800" spans="2:9">
      <c r="B2800" s="76">
        <v>2023.2953782040249</v>
      </c>
      <c r="C2800">
        <v>966.02272560945983</v>
      </c>
      <c r="D2800" s="77">
        <v>161.00378760157665</v>
      </c>
      <c r="E2800" s="77">
        <v>161.00378760157665</v>
      </c>
      <c r="F2800" s="77">
        <v>161.00378760157665</v>
      </c>
      <c r="G2800" s="77">
        <v>161.00378760157665</v>
      </c>
      <c r="H2800" s="77">
        <v>161.00378760157665</v>
      </c>
      <c r="I2800" s="77">
        <v>161.00378760157665</v>
      </c>
    </row>
    <row r="2801" spans="2:9">
      <c r="B2801" s="76">
        <v>2025.124424210816</v>
      </c>
      <c r="C2801">
        <v>1158.3545843425945</v>
      </c>
      <c r="D2801" s="77">
        <v>193.05909739043241</v>
      </c>
      <c r="E2801" s="77">
        <v>193.05909739043241</v>
      </c>
      <c r="F2801" s="77">
        <v>193.05909739043241</v>
      </c>
      <c r="G2801" s="77">
        <v>193.05909739043241</v>
      </c>
      <c r="H2801" s="77">
        <v>193.05909739043241</v>
      </c>
      <c r="I2801" s="77">
        <v>193.05909739043241</v>
      </c>
    </row>
    <row r="2802" spans="2:9">
      <c r="B2802" s="76">
        <v>2023.5034311648847</v>
      </c>
      <c r="C2802">
        <v>963.38398707109684</v>
      </c>
      <c r="D2802" s="77">
        <v>160.5639978451828</v>
      </c>
      <c r="E2802" s="77">
        <v>160.5639978451828</v>
      </c>
      <c r="F2802" s="77">
        <v>160.5639978451828</v>
      </c>
      <c r="G2802" s="77">
        <v>160.5639978451828</v>
      </c>
      <c r="H2802" s="77">
        <v>160.5639978451828</v>
      </c>
      <c r="I2802" s="77">
        <v>160.5639978451828</v>
      </c>
    </row>
    <row r="2803" spans="2:9">
      <c r="B2803" s="76">
        <v>2023.0459007510442</v>
      </c>
      <c r="C2803">
        <v>887.79590723771298</v>
      </c>
      <c r="D2803" s="77">
        <v>147.96598453961883</v>
      </c>
      <c r="E2803" s="77">
        <v>147.96598453961883</v>
      </c>
      <c r="F2803" s="77">
        <v>147.96598453961883</v>
      </c>
      <c r="G2803" s="77">
        <v>147.96598453961883</v>
      </c>
      <c r="H2803" s="77">
        <v>147.96598453961883</v>
      </c>
      <c r="I2803" s="77">
        <v>147.96598453961883</v>
      </c>
    </row>
    <row r="2804" spans="2:9">
      <c r="B2804" s="76">
        <v>2024.950510133122</v>
      </c>
      <c r="C2804">
        <v>1094.9258443886529</v>
      </c>
      <c r="D2804" s="77">
        <v>182.48764073144216</v>
      </c>
      <c r="E2804" s="77">
        <v>182.48764073144216</v>
      </c>
      <c r="F2804" s="77">
        <v>182.48764073144216</v>
      </c>
      <c r="G2804" s="77">
        <v>182.48764073144216</v>
      </c>
      <c r="H2804" s="77">
        <v>182.48764073144216</v>
      </c>
      <c r="I2804" s="77">
        <v>182.48764073144216</v>
      </c>
    </row>
    <row r="2805" spans="2:9">
      <c r="B2805" s="76">
        <v>2025.5255973568328</v>
      </c>
      <c r="C2805">
        <v>1150.4286877724926</v>
      </c>
      <c r="D2805" s="77">
        <v>191.73811462874878</v>
      </c>
      <c r="E2805" s="77">
        <v>191.73811462874878</v>
      </c>
      <c r="F2805" s="77">
        <v>191.73811462874878</v>
      </c>
      <c r="G2805" s="77">
        <v>191.73811462874878</v>
      </c>
      <c r="H2805" s="77">
        <v>191.73811462874878</v>
      </c>
      <c r="I2805" s="77">
        <v>191.73811462874878</v>
      </c>
    </row>
    <row r="2806" spans="2:9">
      <c r="B2806" s="76">
        <v>2024.2916646274043</v>
      </c>
      <c r="C2806">
        <v>1032.2732745206865</v>
      </c>
      <c r="D2806" s="77">
        <v>172.04554575344775</v>
      </c>
      <c r="E2806" s="77">
        <v>172.04554575344775</v>
      </c>
      <c r="F2806" s="77">
        <v>172.04554575344775</v>
      </c>
      <c r="G2806" s="77">
        <v>172.04554575344775</v>
      </c>
      <c r="H2806" s="77">
        <v>172.04554575344775</v>
      </c>
      <c r="I2806" s="77">
        <v>172.04554575344775</v>
      </c>
    </row>
    <row r="2807" spans="2:9">
      <c r="B2807" s="76">
        <v>2023.1625748440558</v>
      </c>
      <c r="C2807">
        <v>885.29501371613617</v>
      </c>
      <c r="D2807" s="77">
        <v>147.54916895268937</v>
      </c>
      <c r="E2807" s="77">
        <v>147.54916895268937</v>
      </c>
      <c r="F2807" s="77">
        <v>147.54916895268937</v>
      </c>
      <c r="G2807" s="77">
        <v>147.54916895268937</v>
      </c>
      <c r="H2807" s="77">
        <v>147.54916895268937</v>
      </c>
      <c r="I2807" s="77">
        <v>147.54916895268937</v>
      </c>
    </row>
    <row r="2808" spans="2:9">
      <c r="B2808" s="76">
        <v>2023.1945218564526</v>
      </c>
      <c r="C2808">
        <v>915.3850146292117</v>
      </c>
      <c r="D2808" s="77">
        <v>152.56416910486863</v>
      </c>
      <c r="E2808" s="77">
        <v>152.56416910486863</v>
      </c>
      <c r="F2808" s="77">
        <v>152.56416910486863</v>
      </c>
      <c r="G2808" s="77">
        <v>152.56416910486863</v>
      </c>
      <c r="H2808" s="77">
        <v>152.56416910486863</v>
      </c>
      <c r="I2808" s="77">
        <v>152.56416910486863</v>
      </c>
    </row>
    <row r="2809" spans="2:9">
      <c r="B2809" s="76">
        <v>2023.1900330830615</v>
      </c>
      <c r="C2809">
        <v>871.96746435985608</v>
      </c>
      <c r="D2809" s="77">
        <v>145.32791072664267</v>
      </c>
      <c r="E2809" s="77">
        <v>145.32791072664267</v>
      </c>
      <c r="F2809" s="77">
        <v>145.32791072664267</v>
      </c>
      <c r="G2809" s="77">
        <v>145.32791072664267</v>
      </c>
      <c r="H2809" s="77">
        <v>145.32791072664267</v>
      </c>
      <c r="I2809" s="77">
        <v>145.32791072664267</v>
      </c>
    </row>
    <row r="2810" spans="2:9">
      <c r="B2810" s="76">
        <v>2023.6698651800696</v>
      </c>
      <c r="C2810">
        <v>944.33361258063769</v>
      </c>
      <c r="D2810" s="77">
        <v>157.38893543010627</v>
      </c>
      <c r="E2810" s="77">
        <v>157.38893543010627</v>
      </c>
      <c r="F2810" s="77">
        <v>157.38893543010627</v>
      </c>
      <c r="G2810" s="77">
        <v>157.38893543010627</v>
      </c>
      <c r="H2810" s="77">
        <v>157.38893543010627</v>
      </c>
      <c r="I2810" s="77">
        <v>157.38893543010627</v>
      </c>
    </row>
    <row r="2811" spans="2:9">
      <c r="B2811" s="76">
        <v>2025.1297053440082</v>
      </c>
      <c r="C2811">
        <v>1250.4688382755455</v>
      </c>
      <c r="D2811" s="77">
        <v>208.41147304592425</v>
      </c>
      <c r="E2811" s="77">
        <v>208.41147304592425</v>
      </c>
      <c r="F2811" s="77">
        <v>208.41147304592425</v>
      </c>
      <c r="G2811" s="77">
        <v>208.41147304592425</v>
      </c>
      <c r="H2811" s="77">
        <v>208.41147304592425</v>
      </c>
      <c r="I2811" s="77">
        <v>208.41147304592425</v>
      </c>
    </row>
    <row r="2812" spans="2:9">
      <c r="B2812" s="76">
        <v>2023.4666303720612</v>
      </c>
      <c r="C2812">
        <v>874.84171662585891</v>
      </c>
      <c r="D2812" s="77">
        <v>145.80695277097649</v>
      </c>
      <c r="E2812" s="77">
        <v>145.80695277097649</v>
      </c>
      <c r="F2812" s="77">
        <v>145.80695277097649</v>
      </c>
      <c r="G2812" s="77">
        <v>145.80695277097649</v>
      </c>
      <c r="H2812" s="77">
        <v>145.80695277097649</v>
      </c>
      <c r="I2812" s="77">
        <v>145.80695277097649</v>
      </c>
    </row>
    <row r="2813" spans="2:9">
      <c r="B2813" s="76">
        <v>2023.178740496455</v>
      </c>
      <c r="C2813">
        <v>920.0064494366967</v>
      </c>
      <c r="D2813" s="77">
        <v>153.33440823944946</v>
      </c>
      <c r="E2813" s="77">
        <v>153.33440823944946</v>
      </c>
      <c r="F2813" s="77">
        <v>153.33440823944946</v>
      </c>
      <c r="G2813" s="77">
        <v>153.33440823944946</v>
      </c>
      <c r="H2813" s="77">
        <v>153.33440823944946</v>
      </c>
      <c r="I2813" s="77">
        <v>153.33440823944946</v>
      </c>
    </row>
    <row r="2814" spans="2:9">
      <c r="B2814" s="76">
        <v>2024.8413852401925</v>
      </c>
      <c r="C2814">
        <v>1001.7626635708</v>
      </c>
      <c r="D2814" s="77">
        <v>166.96044392846667</v>
      </c>
      <c r="E2814" s="77">
        <v>166.96044392846667</v>
      </c>
      <c r="F2814" s="77">
        <v>166.96044392846667</v>
      </c>
      <c r="G2814" s="77">
        <v>166.96044392846667</v>
      </c>
      <c r="H2814" s="77">
        <v>166.96044392846667</v>
      </c>
      <c r="I2814" s="77">
        <v>166.96044392846667</v>
      </c>
    </row>
    <row r="2815" spans="2:9">
      <c r="B2815" s="76">
        <v>2023.0637680430782</v>
      </c>
      <c r="C2815">
        <v>839.65123334843656</v>
      </c>
      <c r="D2815" s="77">
        <v>139.94187222473943</v>
      </c>
      <c r="E2815" s="77">
        <v>139.94187222473943</v>
      </c>
      <c r="F2815" s="77">
        <v>139.94187222473943</v>
      </c>
      <c r="G2815" s="77">
        <v>139.94187222473943</v>
      </c>
      <c r="H2815" s="77">
        <v>139.94187222473943</v>
      </c>
      <c r="I2815" s="77">
        <v>139.94187222473943</v>
      </c>
    </row>
    <row r="2816" spans="2:9">
      <c r="B2816" s="76">
        <v>2022.887885491152</v>
      </c>
      <c r="C2816">
        <v>862.04254587893797</v>
      </c>
      <c r="D2816" s="77">
        <v>143.67375764648966</v>
      </c>
      <c r="E2816" s="77">
        <v>143.67375764648966</v>
      </c>
      <c r="F2816" s="77">
        <v>143.67375764648966</v>
      </c>
      <c r="G2816" s="77">
        <v>143.67375764648966</v>
      </c>
      <c r="H2816" s="77">
        <v>143.67375764648966</v>
      </c>
      <c r="I2816" s="77">
        <v>143.67375764648966</v>
      </c>
    </row>
    <row r="2817" spans="2:9">
      <c r="B2817" s="76">
        <v>2024.7297419984477</v>
      </c>
      <c r="C2817">
        <v>1132.2521258038364</v>
      </c>
      <c r="D2817" s="77">
        <v>188.70868763397274</v>
      </c>
      <c r="E2817" s="77">
        <v>188.70868763397274</v>
      </c>
      <c r="F2817" s="77">
        <v>188.70868763397274</v>
      </c>
      <c r="G2817" s="77">
        <v>188.70868763397274</v>
      </c>
      <c r="H2817" s="77">
        <v>188.70868763397274</v>
      </c>
      <c r="I2817" s="77">
        <v>188.70868763397274</v>
      </c>
    </row>
    <row r="2818" spans="2:9">
      <c r="B2818" s="76">
        <v>2023.7801565348364</v>
      </c>
      <c r="C2818">
        <v>1045.9793078129767</v>
      </c>
      <c r="D2818" s="77">
        <v>174.32988463549611</v>
      </c>
      <c r="E2818" s="77">
        <v>174.32988463549611</v>
      </c>
      <c r="F2818" s="77">
        <v>174.32988463549611</v>
      </c>
      <c r="G2818" s="77">
        <v>174.32988463549611</v>
      </c>
      <c r="H2818" s="77">
        <v>174.32988463549611</v>
      </c>
      <c r="I2818" s="77">
        <v>174.32988463549611</v>
      </c>
    </row>
    <row r="2819" spans="2:9">
      <c r="B2819" s="76">
        <v>2022.8027276518028</v>
      </c>
      <c r="C2819">
        <v>889.51032238462574</v>
      </c>
      <c r="D2819" s="77">
        <v>148.25172039743762</v>
      </c>
      <c r="E2819" s="77">
        <v>148.25172039743762</v>
      </c>
      <c r="F2819" s="77">
        <v>148.25172039743762</v>
      </c>
      <c r="G2819" s="77">
        <v>148.25172039743762</v>
      </c>
      <c r="H2819" s="77">
        <v>148.25172039743762</v>
      </c>
      <c r="I2819" s="77">
        <v>148.25172039743762</v>
      </c>
    </row>
    <row r="2820" spans="2:9">
      <c r="B2820" s="76">
        <v>2024.8366849865677</v>
      </c>
      <c r="C2820">
        <v>1087.7133422661818</v>
      </c>
      <c r="D2820" s="77">
        <v>181.28555704436363</v>
      </c>
      <c r="E2820" s="77">
        <v>181.28555704436363</v>
      </c>
      <c r="F2820" s="77">
        <v>181.28555704436363</v>
      </c>
      <c r="G2820" s="77">
        <v>181.28555704436363</v>
      </c>
      <c r="H2820" s="77">
        <v>181.28555704436363</v>
      </c>
      <c r="I2820" s="77">
        <v>181.28555704436363</v>
      </c>
    </row>
    <row r="2821" spans="2:9">
      <c r="B2821" s="76">
        <v>2024.6696331165765</v>
      </c>
      <c r="C2821">
        <v>1126.2968229472472</v>
      </c>
      <c r="D2821" s="77">
        <v>187.71613715787453</v>
      </c>
      <c r="E2821" s="77">
        <v>187.71613715787453</v>
      </c>
      <c r="F2821" s="77">
        <v>187.71613715787453</v>
      </c>
      <c r="G2821" s="77">
        <v>187.71613715787453</v>
      </c>
      <c r="H2821" s="77">
        <v>187.71613715787453</v>
      </c>
      <c r="I2821" s="77">
        <v>187.71613715787453</v>
      </c>
    </row>
    <row r="2822" spans="2:9">
      <c r="B2822" s="76">
        <v>2025.3652569180699</v>
      </c>
      <c r="C2822">
        <v>1171.1372964883567</v>
      </c>
      <c r="D2822" s="77">
        <v>195.18954941472612</v>
      </c>
      <c r="E2822" s="77">
        <v>195.18954941472612</v>
      </c>
      <c r="F2822" s="77">
        <v>195.18954941472612</v>
      </c>
      <c r="G2822" s="77">
        <v>195.18954941472612</v>
      </c>
      <c r="H2822" s="77">
        <v>195.18954941472612</v>
      </c>
      <c r="I2822" s="77">
        <v>195.18954941472612</v>
      </c>
    </row>
    <row r="2823" spans="2:9">
      <c r="B2823" s="76">
        <v>2022.7655551300475</v>
      </c>
      <c r="C2823">
        <v>847.06415288188407</v>
      </c>
      <c r="D2823" s="77">
        <v>141.17735881364734</v>
      </c>
      <c r="E2823" s="77">
        <v>141.17735881364734</v>
      </c>
      <c r="F2823" s="77">
        <v>141.17735881364734</v>
      </c>
      <c r="G2823" s="77">
        <v>141.17735881364734</v>
      </c>
      <c r="H2823" s="77">
        <v>141.17735881364734</v>
      </c>
      <c r="I2823" s="77">
        <v>141.17735881364734</v>
      </c>
    </row>
    <row r="2824" spans="2:9">
      <c r="B2824" s="76">
        <v>2024.7198326434493</v>
      </c>
      <c r="C2824">
        <v>1079.9788547494895</v>
      </c>
      <c r="D2824" s="77">
        <v>179.99647579158159</v>
      </c>
      <c r="E2824" s="77">
        <v>179.99647579158159</v>
      </c>
      <c r="F2824" s="77">
        <v>179.99647579158159</v>
      </c>
      <c r="G2824" s="77">
        <v>179.99647579158159</v>
      </c>
      <c r="H2824" s="77">
        <v>179.99647579158159</v>
      </c>
      <c r="I2824" s="77">
        <v>179.99647579158159</v>
      </c>
    </row>
    <row r="2825" spans="2:9">
      <c r="B2825" s="76">
        <v>2025.1353043554432</v>
      </c>
      <c r="C2825">
        <v>1085.9436965098598</v>
      </c>
      <c r="D2825" s="77">
        <v>180.99061608497664</v>
      </c>
      <c r="E2825" s="77">
        <v>180.99061608497664</v>
      </c>
      <c r="F2825" s="77">
        <v>180.99061608497664</v>
      </c>
      <c r="G2825" s="77">
        <v>180.99061608497664</v>
      </c>
      <c r="H2825" s="77">
        <v>180.99061608497664</v>
      </c>
      <c r="I2825" s="77">
        <v>180.99061608497664</v>
      </c>
    </row>
    <row r="2826" spans="2:9">
      <c r="B2826" s="76">
        <v>2025.4377903004997</v>
      </c>
      <c r="C2826">
        <v>1182.3579852154351</v>
      </c>
      <c r="D2826" s="77">
        <v>197.05966420257252</v>
      </c>
      <c r="E2826" s="77">
        <v>197.05966420257252</v>
      </c>
      <c r="F2826" s="77">
        <v>197.05966420257252</v>
      </c>
      <c r="G2826" s="77">
        <v>197.05966420257252</v>
      </c>
      <c r="H2826" s="77">
        <v>197.05966420257252</v>
      </c>
      <c r="I2826" s="77">
        <v>197.05966420257252</v>
      </c>
    </row>
    <row r="2827" spans="2:9">
      <c r="B2827" s="76">
        <v>2022.8563454500779</v>
      </c>
      <c r="C2827">
        <v>886.27017834680191</v>
      </c>
      <c r="D2827" s="77">
        <v>147.71169639113364</v>
      </c>
      <c r="E2827" s="77">
        <v>147.71169639113364</v>
      </c>
      <c r="F2827" s="77">
        <v>147.71169639113364</v>
      </c>
      <c r="G2827" s="77">
        <v>147.71169639113364</v>
      </c>
      <c r="H2827" s="77">
        <v>147.71169639113364</v>
      </c>
      <c r="I2827" s="77">
        <v>147.71169639113364</v>
      </c>
    </row>
    <row r="2828" spans="2:9">
      <c r="B2828" s="76">
        <v>2022.9435077333003</v>
      </c>
      <c r="C2828">
        <v>836.43863727911241</v>
      </c>
      <c r="D2828" s="77">
        <v>139.40643954651873</v>
      </c>
      <c r="E2828" s="77">
        <v>139.40643954651873</v>
      </c>
      <c r="F2828" s="77">
        <v>139.40643954651873</v>
      </c>
      <c r="G2828" s="77">
        <v>139.40643954651873</v>
      </c>
      <c r="H2828" s="77">
        <v>139.40643954651873</v>
      </c>
      <c r="I2828" s="77">
        <v>139.40643954651873</v>
      </c>
    </row>
    <row r="2829" spans="2:9">
      <c r="B2829" s="76">
        <v>2022.8504444163507</v>
      </c>
      <c r="C2829">
        <v>866.05912831686237</v>
      </c>
      <c r="D2829" s="77">
        <v>144.3431880528104</v>
      </c>
      <c r="E2829" s="77">
        <v>144.3431880528104</v>
      </c>
      <c r="F2829" s="77">
        <v>144.3431880528104</v>
      </c>
      <c r="G2829" s="77">
        <v>144.3431880528104</v>
      </c>
      <c r="H2829" s="77">
        <v>144.3431880528104</v>
      </c>
      <c r="I2829" s="77">
        <v>144.3431880528104</v>
      </c>
    </row>
    <row r="2830" spans="2:9">
      <c r="B2830" s="76">
        <v>2023.5955600571688</v>
      </c>
      <c r="C2830">
        <v>940.18596314950742</v>
      </c>
      <c r="D2830" s="77">
        <v>156.69766052491789</v>
      </c>
      <c r="E2830" s="77">
        <v>156.69766052491789</v>
      </c>
      <c r="F2830" s="77">
        <v>156.69766052491789</v>
      </c>
      <c r="G2830" s="77">
        <v>156.69766052491789</v>
      </c>
      <c r="H2830" s="77">
        <v>156.69766052491789</v>
      </c>
      <c r="I2830" s="77">
        <v>156.69766052491789</v>
      </c>
    </row>
    <row r="2831" spans="2:9">
      <c r="B2831" s="76">
        <v>2024.8394023544922</v>
      </c>
      <c r="C2831">
        <v>1120.7342820718384</v>
      </c>
      <c r="D2831" s="77">
        <v>186.78904701197305</v>
      </c>
      <c r="E2831" s="77">
        <v>186.78904701197305</v>
      </c>
      <c r="F2831" s="77">
        <v>186.78904701197305</v>
      </c>
      <c r="G2831" s="77">
        <v>186.78904701197305</v>
      </c>
      <c r="H2831" s="77">
        <v>186.78904701197305</v>
      </c>
      <c r="I2831" s="77">
        <v>186.78904701197305</v>
      </c>
    </row>
    <row r="2832" spans="2:9">
      <c r="B2832" s="76">
        <v>2022.7329264622831</v>
      </c>
      <c r="C2832">
        <v>839.58707445918719</v>
      </c>
      <c r="D2832" s="77">
        <v>139.93117907653121</v>
      </c>
      <c r="E2832" s="77">
        <v>139.93117907653121</v>
      </c>
      <c r="F2832" s="77">
        <v>139.93117907653121</v>
      </c>
      <c r="G2832" s="77">
        <v>139.93117907653121</v>
      </c>
      <c r="H2832" s="77">
        <v>139.93117907653121</v>
      </c>
      <c r="I2832" s="77">
        <v>139.93117907653121</v>
      </c>
    </row>
    <row r="2833" spans="2:9">
      <c r="B2833" s="76">
        <v>2023.0514621179718</v>
      </c>
      <c r="C2833">
        <v>853.83130054569108</v>
      </c>
      <c r="D2833" s="77">
        <v>142.30521675761517</v>
      </c>
      <c r="E2833" s="77">
        <v>142.30521675761517</v>
      </c>
      <c r="F2833" s="77">
        <v>142.30521675761517</v>
      </c>
      <c r="G2833" s="77">
        <v>142.30521675761517</v>
      </c>
      <c r="H2833" s="77">
        <v>142.30521675761517</v>
      </c>
      <c r="I2833" s="77">
        <v>142.30521675761517</v>
      </c>
    </row>
    <row r="2834" spans="2:9">
      <c r="B2834" s="76">
        <v>2023.5111921159173</v>
      </c>
      <c r="C2834">
        <v>942.04821889471509</v>
      </c>
      <c r="D2834" s="77">
        <v>157.00803648245252</v>
      </c>
      <c r="E2834" s="77">
        <v>157.00803648245252</v>
      </c>
      <c r="F2834" s="77">
        <v>157.00803648245252</v>
      </c>
      <c r="G2834" s="77">
        <v>157.00803648245252</v>
      </c>
      <c r="H2834" s="77">
        <v>157.00803648245252</v>
      </c>
      <c r="I2834" s="77">
        <v>157.00803648245252</v>
      </c>
    </row>
    <row r="2835" spans="2:9">
      <c r="B2835" s="76">
        <v>2023.2128772819563</v>
      </c>
      <c r="C2835">
        <v>856.69960809662632</v>
      </c>
      <c r="D2835" s="77">
        <v>142.78326801610439</v>
      </c>
      <c r="E2835" s="77">
        <v>142.78326801610439</v>
      </c>
      <c r="F2835" s="77">
        <v>142.78326801610439</v>
      </c>
      <c r="G2835" s="77">
        <v>142.78326801610439</v>
      </c>
      <c r="H2835" s="77">
        <v>142.78326801610439</v>
      </c>
      <c r="I2835" s="77">
        <v>142.78326801610439</v>
      </c>
    </row>
    <row r="2836" spans="2:9">
      <c r="B2836" s="76">
        <v>2023.0771248405956</v>
      </c>
      <c r="C2836">
        <v>905.32745440126223</v>
      </c>
      <c r="D2836" s="77">
        <v>150.88790906687703</v>
      </c>
      <c r="E2836" s="77">
        <v>150.88790906687703</v>
      </c>
      <c r="F2836" s="77">
        <v>150.88790906687703</v>
      </c>
      <c r="G2836" s="77">
        <v>150.88790906687703</v>
      </c>
      <c r="H2836" s="77">
        <v>150.88790906687703</v>
      </c>
      <c r="I2836" s="77">
        <v>150.88790906687703</v>
      </c>
    </row>
    <row r="2837" spans="2:9">
      <c r="B2837" s="76">
        <v>2023.4848223730694</v>
      </c>
      <c r="C2837">
        <v>962.84022303766517</v>
      </c>
      <c r="D2837" s="77">
        <v>160.47337050627752</v>
      </c>
      <c r="E2837" s="77">
        <v>160.47337050627752</v>
      </c>
      <c r="F2837" s="77">
        <v>160.47337050627752</v>
      </c>
      <c r="G2837" s="77">
        <v>160.47337050627752</v>
      </c>
      <c r="H2837" s="77">
        <v>160.47337050627752</v>
      </c>
      <c r="I2837" s="77">
        <v>160.47337050627752</v>
      </c>
    </row>
    <row r="2838" spans="2:9">
      <c r="B2838" s="76">
        <v>2023.3121613715157</v>
      </c>
      <c r="C2838">
        <v>897.36370126785425</v>
      </c>
      <c r="D2838" s="77">
        <v>149.56061687797572</v>
      </c>
      <c r="E2838" s="77">
        <v>149.56061687797572</v>
      </c>
      <c r="F2838" s="77">
        <v>149.56061687797572</v>
      </c>
      <c r="G2838" s="77">
        <v>149.56061687797572</v>
      </c>
      <c r="H2838" s="77">
        <v>149.56061687797572</v>
      </c>
      <c r="I2838" s="77">
        <v>149.56061687797572</v>
      </c>
    </row>
    <row r="2839" spans="2:9">
      <c r="B2839" s="76">
        <v>2023.0704882045145</v>
      </c>
      <c r="C2839">
        <v>907.49588987437789</v>
      </c>
      <c r="D2839" s="77">
        <v>151.24931497906297</v>
      </c>
      <c r="E2839" s="77">
        <v>151.24931497906297</v>
      </c>
      <c r="F2839" s="77">
        <v>151.24931497906297</v>
      </c>
      <c r="G2839" s="77">
        <v>151.24931497906297</v>
      </c>
      <c r="H2839" s="77">
        <v>151.24931497906297</v>
      </c>
      <c r="I2839" s="77">
        <v>151.24931497906297</v>
      </c>
    </row>
    <row r="2840" spans="2:9">
      <c r="B2840" s="76">
        <v>2024.6367256026742</v>
      </c>
      <c r="C2840">
        <v>1096.3584453943263</v>
      </c>
      <c r="D2840" s="77">
        <v>182.72640756572105</v>
      </c>
      <c r="E2840" s="77">
        <v>182.72640756572105</v>
      </c>
      <c r="F2840" s="77">
        <v>182.72640756572105</v>
      </c>
      <c r="G2840" s="77">
        <v>182.72640756572105</v>
      </c>
      <c r="H2840" s="77">
        <v>182.72640756572105</v>
      </c>
      <c r="I2840" s="77">
        <v>182.72640756572105</v>
      </c>
    </row>
    <row r="2841" spans="2:9">
      <c r="B2841" s="76">
        <v>2023.859277021568</v>
      </c>
      <c r="C2841">
        <v>998.7699719469673</v>
      </c>
      <c r="D2841" s="77">
        <v>166.46166199116121</v>
      </c>
      <c r="E2841" s="77">
        <v>166.46166199116121</v>
      </c>
      <c r="F2841" s="77">
        <v>166.46166199116121</v>
      </c>
      <c r="G2841" s="77">
        <v>166.46166199116121</v>
      </c>
      <c r="H2841" s="77">
        <v>166.46166199116121</v>
      </c>
      <c r="I2841" s="77">
        <v>166.46166199116121</v>
      </c>
    </row>
    <row r="2842" spans="2:9">
      <c r="B2842" s="76">
        <v>2023.313558607015</v>
      </c>
      <c r="C2842">
        <v>923.883551028836</v>
      </c>
      <c r="D2842" s="77">
        <v>153.98059183813933</v>
      </c>
      <c r="E2842" s="77">
        <v>153.98059183813933</v>
      </c>
      <c r="F2842" s="77">
        <v>153.98059183813933</v>
      </c>
      <c r="G2842" s="77">
        <v>153.98059183813933</v>
      </c>
      <c r="H2842" s="77">
        <v>153.98059183813933</v>
      </c>
      <c r="I2842" s="77">
        <v>153.98059183813933</v>
      </c>
    </row>
    <row r="2843" spans="2:9">
      <c r="B2843" s="76">
        <v>2025.0862031453332</v>
      </c>
      <c r="C2843">
        <v>1087.6911712511344</v>
      </c>
      <c r="D2843" s="77">
        <v>181.28186187518907</v>
      </c>
      <c r="E2843" s="77">
        <v>181.28186187518907</v>
      </c>
      <c r="F2843" s="77">
        <v>181.28186187518907</v>
      </c>
      <c r="G2843" s="77">
        <v>181.28186187518907</v>
      </c>
      <c r="H2843" s="77">
        <v>181.28186187518907</v>
      </c>
      <c r="I2843" s="77">
        <v>181.28186187518907</v>
      </c>
    </row>
    <row r="2844" spans="2:9">
      <c r="B2844" s="76">
        <v>2023.2001708507644</v>
      </c>
      <c r="C2844">
        <v>872.37675897421173</v>
      </c>
      <c r="D2844" s="77">
        <v>145.39612649570196</v>
      </c>
      <c r="E2844" s="77">
        <v>145.39612649570196</v>
      </c>
      <c r="F2844" s="77">
        <v>145.39612649570196</v>
      </c>
      <c r="G2844" s="77">
        <v>145.39612649570196</v>
      </c>
      <c r="H2844" s="77">
        <v>145.39612649570196</v>
      </c>
      <c r="I2844" s="77">
        <v>145.39612649570196</v>
      </c>
    </row>
    <row r="2845" spans="2:9">
      <c r="B2845" s="76">
        <v>2024.6910291079585</v>
      </c>
      <c r="C2845">
        <v>1070.339244728475</v>
      </c>
      <c r="D2845" s="77">
        <v>178.3898741214125</v>
      </c>
      <c r="E2845" s="77">
        <v>178.3898741214125</v>
      </c>
      <c r="F2845" s="77">
        <v>178.3898741214125</v>
      </c>
      <c r="G2845" s="77">
        <v>178.3898741214125</v>
      </c>
      <c r="H2845" s="77">
        <v>178.3898741214125</v>
      </c>
      <c r="I2845" s="77">
        <v>178.3898741214125</v>
      </c>
    </row>
    <row r="2846" spans="2:9">
      <c r="B2846" s="76">
        <v>2023.218409653181</v>
      </c>
      <c r="C2846">
        <v>874.2285842732698</v>
      </c>
      <c r="D2846" s="77">
        <v>145.70476404554498</v>
      </c>
      <c r="E2846" s="77">
        <v>145.70476404554498</v>
      </c>
      <c r="F2846" s="77">
        <v>145.70476404554498</v>
      </c>
      <c r="G2846" s="77">
        <v>145.70476404554498</v>
      </c>
      <c r="H2846" s="77">
        <v>145.70476404554498</v>
      </c>
      <c r="I2846" s="77">
        <v>145.70476404554498</v>
      </c>
    </row>
    <row r="2847" spans="2:9">
      <c r="B2847" s="76">
        <v>2023.8254417748653</v>
      </c>
      <c r="C2847">
        <v>995.00175615680428</v>
      </c>
      <c r="D2847" s="77">
        <v>165.83362602613406</v>
      </c>
      <c r="E2847" s="77">
        <v>165.83362602613406</v>
      </c>
      <c r="F2847" s="77">
        <v>165.83362602613406</v>
      </c>
      <c r="G2847" s="77">
        <v>165.83362602613406</v>
      </c>
      <c r="H2847" s="77">
        <v>165.83362602613406</v>
      </c>
      <c r="I2847" s="77">
        <v>165.83362602613406</v>
      </c>
    </row>
    <row r="2848" spans="2:9">
      <c r="B2848" s="76">
        <v>2022.9369812641849</v>
      </c>
      <c r="C2848">
        <v>871.63218356779578</v>
      </c>
      <c r="D2848" s="77">
        <v>145.27203059463264</v>
      </c>
      <c r="E2848" s="77">
        <v>145.27203059463264</v>
      </c>
      <c r="F2848" s="77">
        <v>145.27203059463264</v>
      </c>
      <c r="G2848" s="77">
        <v>145.27203059463264</v>
      </c>
      <c r="H2848" s="77">
        <v>145.27203059463264</v>
      </c>
      <c r="I2848" s="77">
        <v>145.27203059463264</v>
      </c>
    </row>
    <row r="2849" spans="2:9">
      <c r="B2849" s="76">
        <v>2023.8703732266849</v>
      </c>
      <c r="C2849">
        <v>1005.6471848923602</v>
      </c>
      <c r="D2849" s="77">
        <v>167.60786414872669</v>
      </c>
      <c r="E2849" s="77">
        <v>167.60786414872669</v>
      </c>
      <c r="F2849" s="77">
        <v>167.60786414872669</v>
      </c>
      <c r="G2849" s="77">
        <v>167.60786414872669</v>
      </c>
      <c r="H2849" s="77">
        <v>167.60786414872669</v>
      </c>
      <c r="I2849" s="77">
        <v>167.60786414872669</v>
      </c>
    </row>
    <row r="2850" spans="2:9">
      <c r="B2850" s="76">
        <v>2023.2656827230517</v>
      </c>
      <c r="C2850">
        <v>840.14546090247154</v>
      </c>
      <c r="D2850" s="77">
        <v>140.02424348374527</v>
      </c>
      <c r="E2850" s="77">
        <v>140.02424348374527</v>
      </c>
      <c r="F2850" s="77">
        <v>140.02424348374527</v>
      </c>
      <c r="G2850" s="77">
        <v>140.02424348374527</v>
      </c>
      <c r="H2850" s="77">
        <v>140.02424348374527</v>
      </c>
      <c r="I2850" s="77">
        <v>140.02424348374527</v>
      </c>
    </row>
    <row r="2851" spans="2:9">
      <c r="B2851" s="76">
        <v>2023.0888291817294</v>
      </c>
      <c r="C2851">
        <v>891.01954953203153</v>
      </c>
      <c r="D2851" s="77">
        <v>148.50325825533858</v>
      </c>
      <c r="E2851" s="77">
        <v>148.50325825533858</v>
      </c>
      <c r="F2851" s="77">
        <v>148.50325825533858</v>
      </c>
      <c r="G2851" s="77">
        <v>148.50325825533858</v>
      </c>
      <c r="H2851" s="77">
        <v>148.50325825533858</v>
      </c>
      <c r="I2851" s="77">
        <v>148.50325825533858</v>
      </c>
    </row>
    <row r="2852" spans="2:9">
      <c r="B2852" s="76">
        <v>2022.6588825809613</v>
      </c>
      <c r="C2852">
        <v>843.44752160559756</v>
      </c>
      <c r="D2852" s="77">
        <v>140.57458693426625</v>
      </c>
      <c r="E2852" s="77">
        <v>140.57458693426625</v>
      </c>
      <c r="F2852" s="77">
        <v>140.57458693426625</v>
      </c>
      <c r="G2852" s="77">
        <v>140.57458693426625</v>
      </c>
      <c r="H2852" s="77">
        <v>140.57458693426625</v>
      </c>
      <c r="I2852" s="77">
        <v>140.57458693426625</v>
      </c>
    </row>
    <row r="2853" spans="2:9">
      <c r="B2853" s="76">
        <v>2024.6532747826705</v>
      </c>
      <c r="C2853">
        <v>1072.1779995126819</v>
      </c>
      <c r="D2853" s="77">
        <v>178.69633325211365</v>
      </c>
      <c r="E2853" s="77">
        <v>178.69633325211365</v>
      </c>
      <c r="F2853" s="77">
        <v>178.69633325211365</v>
      </c>
      <c r="G2853" s="77">
        <v>178.69633325211365</v>
      </c>
      <c r="H2853" s="77">
        <v>178.69633325211365</v>
      </c>
      <c r="I2853" s="77">
        <v>178.69633325211365</v>
      </c>
    </row>
    <row r="2854" spans="2:9">
      <c r="B2854" s="76">
        <v>2025.1362208327816</v>
      </c>
      <c r="C2854">
        <v>1161.4851177219587</v>
      </c>
      <c r="D2854" s="77">
        <v>193.58085295365979</v>
      </c>
      <c r="E2854" s="77">
        <v>193.58085295365979</v>
      </c>
      <c r="F2854" s="77">
        <v>193.58085295365979</v>
      </c>
      <c r="G2854" s="77">
        <v>193.58085295365979</v>
      </c>
      <c r="H2854" s="77">
        <v>193.58085295365979</v>
      </c>
      <c r="I2854" s="77">
        <v>193.58085295365979</v>
      </c>
    </row>
    <row r="2855" spans="2:9">
      <c r="B2855" s="76">
        <v>2022.8634871479746</v>
      </c>
      <c r="C2855">
        <v>859.45661843452331</v>
      </c>
      <c r="D2855" s="77">
        <v>143.24276973908721</v>
      </c>
      <c r="E2855" s="77">
        <v>143.24276973908721</v>
      </c>
      <c r="F2855" s="77">
        <v>143.24276973908721</v>
      </c>
      <c r="G2855" s="77">
        <v>143.24276973908721</v>
      </c>
      <c r="H2855" s="77">
        <v>143.24276973908721</v>
      </c>
      <c r="I2855" s="77">
        <v>143.24276973908721</v>
      </c>
    </row>
    <row r="2856" spans="2:9">
      <c r="B2856" s="76">
        <v>2023.2406185133559</v>
      </c>
      <c r="C2856">
        <v>951.31488336669577</v>
      </c>
      <c r="D2856" s="77">
        <v>158.55248056111597</v>
      </c>
      <c r="E2856" s="77">
        <v>158.55248056111597</v>
      </c>
      <c r="F2856" s="77">
        <v>158.55248056111597</v>
      </c>
      <c r="G2856" s="77">
        <v>158.55248056111597</v>
      </c>
      <c r="H2856" s="77">
        <v>158.55248056111597</v>
      </c>
      <c r="I2856" s="77">
        <v>158.55248056111597</v>
      </c>
    </row>
    <row r="2857" spans="2:9">
      <c r="B2857" s="76">
        <v>2024.793027771402</v>
      </c>
      <c r="C2857">
        <v>1136.1377227731871</v>
      </c>
      <c r="D2857" s="77">
        <v>189.35628712886452</v>
      </c>
      <c r="E2857" s="77">
        <v>189.35628712886452</v>
      </c>
      <c r="F2857" s="77">
        <v>189.35628712886452</v>
      </c>
      <c r="G2857" s="77">
        <v>189.35628712886452</v>
      </c>
      <c r="H2857" s="77">
        <v>189.35628712886452</v>
      </c>
      <c r="I2857" s="77">
        <v>189.35628712886452</v>
      </c>
    </row>
    <row r="2858" spans="2:9">
      <c r="B2858" s="76">
        <v>2023.0635261508503</v>
      </c>
      <c r="C2858">
        <v>1002.3540787875701</v>
      </c>
      <c r="D2858" s="77">
        <v>167.05901313126168</v>
      </c>
      <c r="E2858" s="77">
        <v>167.05901313126168</v>
      </c>
      <c r="F2858" s="77">
        <v>167.05901313126168</v>
      </c>
      <c r="G2858" s="77">
        <v>167.05901313126168</v>
      </c>
      <c r="H2858" s="77">
        <v>167.05901313126168</v>
      </c>
      <c r="I2858" s="77">
        <v>167.05901313126168</v>
      </c>
    </row>
    <row r="2859" spans="2:9">
      <c r="B2859" s="76">
        <v>2023.4727580466624</v>
      </c>
      <c r="C2859">
        <v>953.80288729722326</v>
      </c>
      <c r="D2859" s="77">
        <v>158.96714788287053</v>
      </c>
      <c r="E2859" s="77">
        <v>158.96714788287053</v>
      </c>
      <c r="F2859" s="77">
        <v>158.96714788287053</v>
      </c>
      <c r="G2859" s="77">
        <v>158.96714788287053</v>
      </c>
      <c r="H2859" s="77">
        <v>158.96714788287053</v>
      </c>
      <c r="I2859" s="77">
        <v>158.96714788287053</v>
      </c>
    </row>
    <row r="2860" spans="2:9">
      <c r="B2860" s="76">
        <v>2023.997549173931</v>
      </c>
      <c r="C2860">
        <v>1040.260104819846</v>
      </c>
      <c r="D2860" s="77">
        <v>173.37668413664099</v>
      </c>
      <c r="E2860" s="77">
        <v>173.37668413664099</v>
      </c>
      <c r="F2860" s="77">
        <v>173.37668413664099</v>
      </c>
      <c r="G2860" s="77">
        <v>173.37668413664099</v>
      </c>
      <c r="H2860" s="77">
        <v>173.37668413664099</v>
      </c>
      <c r="I2860" s="77">
        <v>173.37668413664099</v>
      </c>
    </row>
    <row r="2861" spans="2:9">
      <c r="B2861" s="76">
        <v>2024.7483080024829</v>
      </c>
      <c r="C2861">
        <v>1096.5240229289711</v>
      </c>
      <c r="D2861" s="77">
        <v>182.75400382149519</v>
      </c>
      <c r="E2861" s="77">
        <v>182.75400382149519</v>
      </c>
      <c r="F2861" s="77">
        <v>182.75400382149519</v>
      </c>
      <c r="G2861" s="77">
        <v>182.75400382149519</v>
      </c>
      <c r="H2861" s="77">
        <v>182.75400382149519</v>
      </c>
      <c r="I2861" s="77">
        <v>182.75400382149519</v>
      </c>
    </row>
    <row r="2862" spans="2:9">
      <c r="B2862" s="76">
        <v>2022.967936919664</v>
      </c>
      <c r="C2862">
        <v>919.36547835073407</v>
      </c>
      <c r="D2862" s="77">
        <v>153.22757972512235</v>
      </c>
      <c r="E2862" s="77">
        <v>153.22757972512235</v>
      </c>
      <c r="F2862" s="77">
        <v>153.22757972512235</v>
      </c>
      <c r="G2862" s="77">
        <v>153.22757972512235</v>
      </c>
      <c r="H2862" s="77">
        <v>153.22757972512235</v>
      </c>
      <c r="I2862" s="77">
        <v>153.22757972512235</v>
      </c>
    </row>
    <row r="2863" spans="2:9">
      <c r="B2863" s="76">
        <v>2023.0353825832763</v>
      </c>
      <c r="C2863">
        <v>925.98333728485488</v>
      </c>
      <c r="D2863" s="77">
        <v>154.33055621414249</v>
      </c>
      <c r="E2863" s="77">
        <v>154.33055621414249</v>
      </c>
      <c r="F2863" s="77">
        <v>154.33055621414249</v>
      </c>
      <c r="G2863" s="77">
        <v>154.33055621414249</v>
      </c>
      <c r="H2863" s="77">
        <v>154.33055621414249</v>
      </c>
      <c r="I2863" s="77">
        <v>154.33055621414249</v>
      </c>
    </row>
    <row r="2864" spans="2:9">
      <c r="B2864" s="76">
        <v>2022.9534876892151</v>
      </c>
      <c r="C2864">
        <v>824.6513657107638</v>
      </c>
      <c r="D2864" s="77">
        <v>137.44189428512729</v>
      </c>
      <c r="E2864" s="77">
        <v>137.44189428512729</v>
      </c>
      <c r="F2864" s="77">
        <v>137.44189428512729</v>
      </c>
      <c r="G2864" s="77">
        <v>137.44189428512729</v>
      </c>
      <c r="H2864" s="77">
        <v>137.44189428512729</v>
      </c>
      <c r="I2864" s="77">
        <v>137.44189428512729</v>
      </c>
    </row>
    <row r="2865" spans="2:9">
      <c r="B2865" s="76">
        <v>2022.9032694059035</v>
      </c>
      <c r="C2865">
        <v>935.23574537888123</v>
      </c>
      <c r="D2865" s="77">
        <v>155.87262422981354</v>
      </c>
      <c r="E2865" s="77">
        <v>155.87262422981354</v>
      </c>
      <c r="F2865" s="77">
        <v>155.87262422981354</v>
      </c>
      <c r="G2865" s="77">
        <v>155.87262422981354</v>
      </c>
      <c r="H2865" s="77">
        <v>155.87262422981354</v>
      </c>
      <c r="I2865" s="77">
        <v>155.87262422981354</v>
      </c>
    </row>
    <row r="2866" spans="2:9">
      <c r="B2866" s="76">
        <v>2023.9995538829498</v>
      </c>
      <c r="C2866">
        <v>1024.4694611096829</v>
      </c>
      <c r="D2866" s="77">
        <v>170.74491018494714</v>
      </c>
      <c r="E2866" s="77">
        <v>170.74491018494714</v>
      </c>
      <c r="F2866" s="77">
        <v>170.74491018494714</v>
      </c>
      <c r="G2866" s="77">
        <v>170.74491018494714</v>
      </c>
      <c r="H2866" s="77">
        <v>170.74491018494714</v>
      </c>
      <c r="I2866" s="77">
        <v>170.74491018494714</v>
      </c>
    </row>
    <row r="2867" spans="2:9">
      <c r="B2867" s="76">
        <v>2023.8095188940351</v>
      </c>
      <c r="C2867">
        <v>954.05708329010952</v>
      </c>
      <c r="D2867" s="77">
        <v>159.00951388168491</v>
      </c>
      <c r="E2867" s="77">
        <v>159.00951388168491</v>
      </c>
      <c r="F2867" s="77">
        <v>159.00951388168491</v>
      </c>
      <c r="G2867" s="77">
        <v>159.00951388168491</v>
      </c>
      <c r="H2867" s="77">
        <v>159.00951388168491</v>
      </c>
      <c r="I2867" s="77">
        <v>159.00951388168491</v>
      </c>
    </row>
    <row r="2868" spans="2:9">
      <c r="B2868" s="76">
        <v>2024.6349563808121</v>
      </c>
      <c r="C2868">
        <v>1116.4291712826018</v>
      </c>
      <c r="D2868" s="77">
        <v>186.07152854710031</v>
      </c>
      <c r="E2868" s="77">
        <v>186.07152854710031</v>
      </c>
      <c r="F2868" s="77">
        <v>186.07152854710031</v>
      </c>
      <c r="G2868" s="77">
        <v>186.07152854710031</v>
      </c>
      <c r="H2868" s="77">
        <v>186.07152854710031</v>
      </c>
      <c r="I2868" s="77">
        <v>186.07152854710031</v>
      </c>
    </row>
    <row r="2869" spans="2:9">
      <c r="B2869" s="76">
        <v>2024.9622035413556</v>
      </c>
      <c r="C2869">
        <v>1138.4043164338727</v>
      </c>
      <c r="D2869" s="77">
        <v>189.73405273897879</v>
      </c>
      <c r="E2869" s="77">
        <v>189.73405273897879</v>
      </c>
      <c r="F2869" s="77">
        <v>189.73405273897879</v>
      </c>
      <c r="G2869" s="77">
        <v>189.73405273897879</v>
      </c>
      <c r="H2869" s="77">
        <v>189.73405273897879</v>
      </c>
      <c r="I2869" s="77">
        <v>189.73405273897879</v>
      </c>
    </row>
    <row r="2870" spans="2:9">
      <c r="B2870" s="76">
        <v>2023.4750288837195</v>
      </c>
      <c r="C2870">
        <v>967.27220153419842</v>
      </c>
      <c r="D2870" s="77">
        <v>161.21203358903307</v>
      </c>
      <c r="E2870" s="77">
        <v>161.21203358903307</v>
      </c>
      <c r="F2870" s="77">
        <v>161.21203358903307</v>
      </c>
      <c r="G2870" s="77">
        <v>161.21203358903307</v>
      </c>
      <c r="H2870" s="77">
        <v>161.21203358903307</v>
      </c>
      <c r="I2870" s="77">
        <v>161.21203358903307</v>
      </c>
    </row>
    <row r="2871" spans="2:9">
      <c r="B2871" s="76">
        <v>2022.6494881424328</v>
      </c>
      <c r="C2871">
        <v>809.99625477488792</v>
      </c>
      <c r="D2871" s="77">
        <v>134.99937579581464</v>
      </c>
      <c r="E2871" s="77">
        <v>134.99937579581464</v>
      </c>
      <c r="F2871" s="77">
        <v>134.99937579581464</v>
      </c>
      <c r="G2871" s="77">
        <v>134.99937579581464</v>
      </c>
      <c r="H2871" s="77">
        <v>134.99937579581464</v>
      </c>
      <c r="I2871" s="77">
        <v>134.99937579581464</v>
      </c>
    </row>
    <row r="2872" spans="2:9">
      <c r="B2872" s="76">
        <v>2024.7073878626647</v>
      </c>
      <c r="C2872">
        <v>1127.1795112177499</v>
      </c>
      <c r="D2872" s="77">
        <v>187.86325186962497</v>
      </c>
      <c r="E2872" s="77">
        <v>187.86325186962497</v>
      </c>
      <c r="F2872" s="77">
        <v>187.86325186962497</v>
      </c>
      <c r="G2872" s="77">
        <v>187.86325186962497</v>
      </c>
      <c r="H2872" s="77">
        <v>187.86325186962497</v>
      </c>
      <c r="I2872" s="77">
        <v>187.86325186962497</v>
      </c>
    </row>
    <row r="2873" spans="2:9">
      <c r="B2873" s="76">
        <v>2022.8864333927181</v>
      </c>
      <c r="C2873">
        <v>861.33225160569737</v>
      </c>
      <c r="D2873" s="77">
        <v>143.55537526761623</v>
      </c>
      <c r="E2873" s="77">
        <v>143.55537526761623</v>
      </c>
      <c r="F2873" s="77">
        <v>143.55537526761623</v>
      </c>
      <c r="G2873" s="77">
        <v>143.55537526761623</v>
      </c>
      <c r="H2873" s="77">
        <v>143.55537526761623</v>
      </c>
      <c r="I2873" s="77">
        <v>143.55537526761623</v>
      </c>
    </row>
    <row r="2874" spans="2:9">
      <c r="B2874" s="76">
        <v>2022.9701304378561</v>
      </c>
      <c r="C2874">
        <v>871.40991960791825</v>
      </c>
      <c r="D2874" s="77">
        <v>145.23498660131972</v>
      </c>
      <c r="E2874" s="77">
        <v>145.23498660131972</v>
      </c>
      <c r="F2874" s="77">
        <v>145.23498660131972</v>
      </c>
      <c r="G2874" s="77">
        <v>145.23498660131972</v>
      </c>
      <c r="H2874" s="77">
        <v>145.23498660131972</v>
      </c>
      <c r="I2874" s="77">
        <v>145.23498660131972</v>
      </c>
    </row>
    <row r="2875" spans="2:9">
      <c r="B2875" s="76">
        <v>2025.4549031366746</v>
      </c>
      <c r="C2875">
        <v>1243.823853176882</v>
      </c>
      <c r="D2875" s="77">
        <v>207.30397552948034</v>
      </c>
      <c r="E2875" s="77">
        <v>207.30397552948034</v>
      </c>
      <c r="F2875" s="77">
        <v>207.30397552948034</v>
      </c>
      <c r="G2875" s="77">
        <v>207.30397552948034</v>
      </c>
      <c r="H2875" s="77">
        <v>207.30397552948034</v>
      </c>
      <c r="I2875" s="77">
        <v>207.30397552948034</v>
      </c>
    </row>
    <row r="2876" spans="2:9">
      <c r="B2876" s="76">
        <v>2022.9333211483595</v>
      </c>
      <c r="C2876">
        <v>875.72428196737701</v>
      </c>
      <c r="D2876" s="77">
        <v>145.95404699456284</v>
      </c>
      <c r="E2876" s="77">
        <v>145.95404699456284</v>
      </c>
      <c r="F2876" s="77">
        <v>145.95404699456284</v>
      </c>
      <c r="G2876" s="77">
        <v>145.95404699456284</v>
      </c>
      <c r="H2876" s="77">
        <v>145.95404699456284</v>
      </c>
      <c r="I2876" s="77">
        <v>145.95404699456284</v>
      </c>
    </row>
    <row r="2877" spans="2:9">
      <c r="B2877" s="76">
        <v>2024.9533864348284</v>
      </c>
      <c r="C2877">
        <v>1089.0697541796051</v>
      </c>
      <c r="D2877" s="77">
        <v>181.51162569660085</v>
      </c>
      <c r="E2877" s="77">
        <v>181.51162569660085</v>
      </c>
      <c r="F2877" s="77">
        <v>181.51162569660085</v>
      </c>
      <c r="G2877" s="77">
        <v>181.51162569660085</v>
      </c>
      <c r="H2877" s="77">
        <v>181.51162569660085</v>
      </c>
      <c r="I2877" s="77">
        <v>181.51162569660085</v>
      </c>
    </row>
    <row r="2878" spans="2:9">
      <c r="B2878" s="76">
        <v>2023.1485603512288</v>
      </c>
      <c r="C2878">
        <v>919.04756245630972</v>
      </c>
      <c r="D2878" s="77">
        <v>153.17459374271829</v>
      </c>
      <c r="E2878" s="77">
        <v>153.17459374271829</v>
      </c>
      <c r="F2878" s="77">
        <v>153.17459374271829</v>
      </c>
      <c r="G2878" s="77">
        <v>153.17459374271829</v>
      </c>
      <c r="H2878" s="77">
        <v>153.17459374271829</v>
      </c>
      <c r="I2878" s="77">
        <v>153.17459374271829</v>
      </c>
    </row>
    <row r="2879" spans="2:9">
      <c r="B2879" s="76">
        <v>2022.8972989569359</v>
      </c>
      <c r="C2879">
        <v>922.01680623976119</v>
      </c>
      <c r="D2879" s="77">
        <v>153.66946770662688</v>
      </c>
      <c r="E2879" s="77">
        <v>153.66946770662688</v>
      </c>
      <c r="F2879" s="77">
        <v>153.66946770662688</v>
      </c>
      <c r="G2879" s="77">
        <v>153.66946770662688</v>
      </c>
      <c r="H2879" s="77">
        <v>153.66946770662688</v>
      </c>
      <c r="I2879" s="77">
        <v>153.66946770662688</v>
      </c>
    </row>
    <row r="2880" spans="2:9">
      <c r="B2880" s="76">
        <v>2024.1330959622571</v>
      </c>
      <c r="C2880">
        <v>1021.0594725728561</v>
      </c>
      <c r="D2880" s="77">
        <v>170.17657876214267</v>
      </c>
      <c r="E2880" s="77">
        <v>170.17657876214267</v>
      </c>
      <c r="F2880" s="77">
        <v>170.17657876214267</v>
      </c>
      <c r="G2880" s="77">
        <v>170.17657876214267</v>
      </c>
      <c r="H2880" s="77">
        <v>170.17657876214267</v>
      </c>
      <c r="I2880" s="77">
        <v>170.17657876214267</v>
      </c>
    </row>
    <row r="2881" spans="2:9">
      <c r="B2881" s="76">
        <v>2023.428338489734</v>
      </c>
      <c r="C2881">
        <v>888.44177206028269</v>
      </c>
      <c r="D2881" s="77">
        <v>148.07362867671378</v>
      </c>
      <c r="E2881" s="77">
        <v>148.07362867671378</v>
      </c>
      <c r="F2881" s="77">
        <v>148.07362867671378</v>
      </c>
      <c r="G2881" s="77">
        <v>148.07362867671378</v>
      </c>
      <c r="H2881" s="77">
        <v>148.07362867671378</v>
      </c>
      <c r="I2881" s="77">
        <v>148.07362867671378</v>
      </c>
    </row>
    <row r="2882" spans="2:9">
      <c r="B2882" s="76">
        <v>2023.0123166659132</v>
      </c>
      <c r="C2882">
        <v>867.47468032572715</v>
      </c>
      <c r="D2882" s="77">
        <v>144.57911338762119</v>
      </c>
      <c r="E2882" s="77">
        <v>144.57911338762119</v>
      </c>
      <c r="F2882" s="77">
        <v>144.57911338762119</v>
      </c>
      <c r="G2882" s="77">
        <v>144.57911338762119</v>
      </c>
      <c r="H2882" s="77">
        <v>144.57911338762119</v>
      </c>
      <c r="I2882" s="77">
        <v>144.57911338762119</v>
      </c>
    </row>
    <row r="2883" spans="2:9">
      <c r="B2883" s="76">
        <v>2023.3259182361758</v>
      </c>
      <c r="C2883">
        <v>890.48093100664391</v>
      </c>
      <c r="D2883" s="77">
        <v>148.41348850110731</v>
      </c>
      <c r="E2883" s="77">
        <v>148.41348850110731</v>
      </c>
      <c r="F2883" s="77">
        <v>148.41348850110731</v>
      </c>
      <c r="G2883" s="77">
        <v>148.41348850110731</v>
      </c>
      <c r="H2883" s="77">
        <v>148.41348850110731</v>
      </c>
      <c r="I2883" s="77">
        <v>148.41348850110731</v>
      </c>
    </row>
    <row r="2884" spans="2:9">
      <c r="B2884" s="76">
        <v>2022.827491539332</v>
      </c>
      <c r="C2884">
        <v>862.17359216115426</v>
      </c>
      <c r="D2884" s="77">
        <v>143.69559869352571</v>
      </c>
      <c r="E2884" s="77">
        <v>143.69559869352571</v>
      </c>
      <c r="F2884" s="77">
        <v>143.69559869352571</v>
      </c>
      <c r="G2884" s="77">
        <v>143.69559869352571</v>
      </c>
      <c r="H2884" s="77">
        <v>143.69559869352571</v>
      </c>
      <c r="I2884" s="77">
        <v>143.69559869352571</v>
      </c>
    </row>
    <row r="2885" spans="2:9">
      <c r="B2885" s="76">
        <v>2024.7428439026883</v>
      </c>
      <c r="C2885">
        <v>1124.2567004197729</v>
      </c>
      <c r="D2885" s="77">
        <v>187.3761167366288</v>
      </c>
      <c r="E2885" s="77">
        <v>187.3761167366288</v>
      </c>
      <c r="F2885" s="77">
        <v>187.3761167366288</v>
      </c>
      <c r="G2885" s="77">
        <v>187.3761167366288</v>
      </c>
      <c r="H2885" s="77">
        <v>187.3761167366288</v>
      </c>
      <c r="I2885" s="77">
        <v>187.3761167366288</v>
      </c>
    </row>
    <row r="2886" spans="2:9">
      <c r="B2886" s="76">
        <v>2023.324690066522</v>
      </c>
      <c r="C2886">
        <v>985.97302412397164</v>
      </c>
      <c r="D2886" s="77">
        <v>164.32883735399528</v>
      </c>
      <c r="E2886" s="77">
        <v>164.32883735399528</v>
      </c>
      <c r="F2886" s="77">
        <v>164.32883735399528</v>
      </c>
      <c r="G2886" s="77">
        <v>164.32883735399528</v>
      </c>
      <c r="H2886" s="77">
        <v>164.32883735399528</v>
      </c>
      <c r="I2886" s="77">
        <v>164.32883735399528</v>
      </c>
    </row>
    <row r="2887" spans="2:9">
      <c r="B2887" s="76">
        <v>2023.5198210768081</v>
      </c>
      <c r="C2887">
        <v>950.03087020689202</v>
      </c>
      <c r="D2887" s="77">
        <v>158.33847836781533</v>
      </c>
      <c r="E2887" s="77">
        <v>158.33847836781533</v>
      </c>
      <c r="F2887" s="77">
        <v>158.33847836781533</v>
      </c>
      <c r="G2887" s="77">
        <v>158.33847836781533</v>
      </c>
      <c r="H2887" s="77">
        <v>158.33847836781533</v>
      </c>
      <c r="I2887" s="77">
        <v>158.33847836781533</v>
      </c>
    </row>
    <row r="2888" spans="2:9">
      <c r="B2888" s="76">
        <v>2023.2321881867788</v>
      </c>
      <c r="C2888">
        <v>929.16852156686366</v>
      </c>
      <c r="D2888" s="77">
        <v>154.86142026114393</v>
      </c>
      <c r="E2888" s="77">
        <v>154.86142026114393</v>
      </c>
      <c r="F2888" s="77">
        <v>154.86142026114393</v>
      </c>
      <c r="G2888" s="77">
        <v>154.86142026114393</v>
      </c>
      <c r="H2888" s="77">
        <v>154.86142026114393</v>
      </c>
      <c r="I2888" s="77">
        <v>154.86142026114393</v>
      </c>
    </row>
    <row r="2889" spans="2:9">
      <c r="B2889" s="76">
        <v>2023.9389302767324</v>
      </c>
      <c r="C2889">
        <v>946.72022933482219</v>
      </c>
      <c r="D2889" s="77">
        <v>157.78670488913704</v>
      </c>
      <c r="E2889" s="77">
        <v>157.78670488913704</v>
      </c>
      <c r="F2889" s="77">
        <v>157.78670488913704</v>
      </c>
      <c r="G2889" s="77">
        <v>157.78670488913704</v>
      </c>
      <c r="H2889" s="77">
        <v>157.78670488913704</v>
      </c>
      <c r="I2889" s="77">
        <v>157.78670488913704</v>
      </c>
    </row>
    <row r="2890" spans="2:9">
      <c r="B2890" s="76">
        <v>2024.2989535783306</v>
      </c>
      <c r="C2890">
        <v>1145.1302433700826</v>
      </c>
      <c r="D2890" s="77">
        <v>190.85504056168043</v>
      </c>
      <c r="E2890" s="77">
        <v>190.85504056168043</v>
      </c>
      <c r="F2890" s="77">
        <v>190.85504056168043</v>
      </c>
      <c r="G2890" s="77">
        <v>190.85504056168043</v>
      </c>
      <c r="H2890" s="77">
        <v>190.85504056168043</v>
      </c>
      <c r="I2890" s="77">
        <v>190.85504056168043</v>
      </c>
    </row>
    <row r="2891" spans="2:9">
      <c r="B2891" s="76">
        <v>2024.7422208130381</v>
      </c>
      <c r="C2891">
        <v>1108.5839722656215</v>
      </c>
      <c r="D2891" s="77">
        <v>184.76399537760358</v>
      </c>
      <c r="E2891" s="77">
        <v>184.76399537760358</v>
      </c>
      <c r="F2891" s="77">
        <v>184.76399537760358</v>
      </c>
      <c r="G2891" s="77">
        <v>184.76399537760358</v>
      </c>
      <c r="H2891" s="77">
        <v>184.76399537760358</v>
      </c>
      <c r="I2891" s="77">
        <v>184.76399537760358</v>
      </c>
    </row>
    <row r="2892" spans="2:9">
      <c r="B2892" s="76">
        <v>2023.0011285992132</v>
      </c>
      <c r="C2892">
        <v>874.74613031904926</v>
      </c>
      <c r="D2892" s="77">
        <v>145.79102171984155</v>
      </c>
      <c r="E2892" s="77">
        <v>145.79102171984155</v>
      </c>
      <c r="F2892" s="77">
        <v>145.79102171984155</v>
      </c>
      <c r="G2892" s="77">
        <v>145.79102171984155</v>
      </c>
      <c r="H2892" s="77">
        <v>145.79102171984155</v>
      </c>
      <c r="I2892" s="77">
        <v>145.79102171984155</v>
      </c>
    </row>
    <row r="2893" spans="2:9">
      <c r="B2893" s="76">
        <v>2023.5157902275305</v>
      </c>
      <c r="C2893">
        <v>1005.8217063500665</v>
      </c>
      <c r="D2893" s="77">
        <v>167.63695105834441</v>
      </c>
      <c r="E2893" s="77">
        <v>167.63695105834441</v>
      </c>
      <c r="F2893" s="77">
        <v>167.63695105834441</v>
      </c>
      <c r="G2893" s="77">
        <v>167.63695105834441</v>
      </c>
      <c r="H2893" s="77">
        <v>167.63695105834441</v>
      </c>
      <c r="I2893" s="77">
        <v>167.63695105834441</v>
      </c>
    </row>
    <row r="2894" spans="2:9">
      <c r="B2894" s="76">
        <v>2023.7992532381356</v>
      </c>
      <c r="C2894">
        <v>990.67206270257066</v>
      </c>
      <c r="D2894" s="77">
        <v>165.11201045042844</v>
      </c>
      <c r="E2894" s="77">
        <v>165.11201045042844</v>
      </c>
      <c r="F2894" s="77">
        <v>165.11201045042844</v>
      </c>
      <c r="G2894" s="77">
        <v>165.11201045042844</v>
      </c>
      <c r="H2894" s="77">
        <v>165.11201045042844</v>
      </c>
      <c r="I2894" s="77">
        <v>165.11201045042844</v>
      </c>
    </row>
    <row r="2895" spans="2:9">
      <c r="B2895" s="76">
        <v>2022.9517133431139</v>
      </c>
      <c r="C2895">
        <v>804.18855975467045</v>
      </c>
      <c r="D2895" s="77">
        <v>134.03142662577841</v>
      </c>
      <c r="E2895" s="77">
        <v>134.03142662577841</v>
      </c>
      <c r="F2895" s="77">
        <v>134.03142662577841</v>
      </c>
      <c r="G2895" s="77">
        <v>134.03142662577841</v>
      </c>
      <c r="H2895" s="77">
        <v>134.03142662577841</v>
      </c>
      <c r="I2895" s="77">
        <v>134.03142662577841</v>
      </c>
    </row>
    <row r="2896" spans="2:9">
      <c r="B2896" s="76">
        <v>2024.4691720326464</v>
      </c>
      <c r="C2896">
        <v>1011.9003592303067</v>
      </c>
      <c r="D2896" s="77">
        <v>168.65005987171779</v>
      </c>
      <c r="E2896" s="77">
        <v>168.65005987171779</v>
      </c>
      <c r="F2896" s="77">
        <v>168.65005987171779</v>
      </c>
      <c r="G2896" s="77">
        <v>168.65005987171779</v>
      </c>
      <c r="H2896" s="77">
        <v>168.65005987171779</v>
      </c>
      <c r="I2896" s="77">
        <v>168.65005987171779</v>
      </c>
    </row>
    <row r="2897" spans="2:9">
      <c r="B2897" s="76">
        <v>2024.3161185849799</v>
      </c>
      <c r="C2897">
        <v>1041.7738140974159</v>
      </c>
      <c r="D2897" s="77">
        <v>173.62896901623597</v>
      </c>
      <c r="E2897" s="77">
        <v>173.62896901623597</v>
      </c>
      <c r="F2897" s="77">
        <v>173.62896901623597</v>
      </c>
      <c r="G2897" s="77">
        <v>173.62896901623597</v>
      </c>
      <c r="H2897" s="77">
        <v>173.62896901623597</v>
      </c>
      <c r="I2897" s="77">
        <v>173.62896901623597</v>
      </c>
    </row>
    <row r="2898" spans="2:9">
      <c r="B2898" s="76">
        <v>2024.5619880300089</v>
      </c>
      <c r="C2898">
        <v>1104.5538092102468</v>
      </c>
      <c r="D2898" s="77">
        <v>184.09230153504112</v>
      </c>
      <c r="E2898" s="77">
        <v>184.09230153504112</v>
      </c>
      <c r="F2898" s="77">
        <v>184.09230153504112</v>
      </c>
      <c r="G2898" s="77">
        <v>184.09230153504112</v>
      </c>
      <c r="H2898" s="77">
        <v>184.09230153504112</v>
      </c>
      <c r="I2898" s="77">
        <v>184.09230153504112</v>
      </c>
    </row>
    <row r="2899" spans="2:9">
      <c r="B2899" s="76">
        <v>2023.9142373033324</v>
      </c>
      <c r="C2899">
        <v>974.16973633640544</v>
      </c>
      <c r="D2899" s="77">
        <v>162.36162272273424</v>
      </c>
      <c r="E2899" s="77">
        <v>162.36162272273424</v>
      </c>
      <c r="F2899" s="77">
        <v>162.36162272273424</v>
      </c>
      <c r="G2899" s="77">
        <v>162.36162272273424</v>
      </c>
      <c r="H2899" s="77">
        <v>162.36162272273424</v>
      </c>
      <c r="I2899" s="77">
        <v>162.36162272273424</v>
      </c>
    </row>
    <row r="2900" spans="2:9">
      <c r="B2900" s="76">
        <v>2023.6965232172467</v>
      </c>
      <c r="C2900">
        <v>982.77513641410223</v>
      </c>
      <c r="D2900" s="77">
        <v>163.79585606901705</v>
      </c>
      <c r="E2900" s="77">
        <v>163.79585606901705</v>
      </c>
      <c r="F2900" s="77">
        <v>163.79585606901705</v>
      </c>
      <c r="G2900" s="77">
        <v>163.79585606901705</v>
      </c>
      <c r="H2900" s="77">
        <v>163.79585606901705</v>
      </c>
      <c r="I2900" s="77">
        <v>163.79585606901705</v>
      </c>
    </row>
    <row r="2901" spans="2:9">
      <c r="B2901" s="76">
        <v>2025.8593300470588</v>
      </c>
      <c r="C2901">
        <v>1207.6435463669734</v>
      </c>
      <c r="D2901" s="77">
        <v>201.27392439449557</v>
      </c>
      <c r="E2901" s="77">
        <v>201.27392439449557</v>
      </c>
      <c r="F2901" s="77">
        <v>201.27392439449557</v>
      </c>
      <c r="G2901" s="77">
        <v>201.27392439449557</v>
      </c>
      <c r="H2901" s="77">
        <v>201.27392439449557</v>
      </c>
      <c r="I2901" s="77">
        <v>201.27392439449557</v>
      </c>
    </row>
    <row r="2902" spans="2:9">
      <c r="B2902" s="76">
        <v>2022.7893571905843</v>
      </c>
      <c r="C2902">
        <v>877.24242385520154</v>
      </c>
      <c r="D2902" s="77">
        <v>146.20707064253358</v>
      </c>
      <c r="E2902" s="77">
        <v>146.20707064253358</v>
      </c>
      <c r="F2902" s="77">
        <v>146.20707064253358</v>
      </c>
      <c r="G2902" s="77">
        <v>146.20707064253358</v>
      </c>
      <c r="H2902" s="77">
        <v>146.20707064253358</v>
      </c>
      <c r="I2902" s="77">
        <v>146.20707064253358</v>
      </c>
    </row>
    <row r="2903" spans="2:9">
      <c r="B2903" s="76">
        <v>2022.9873035045446</v>
      </c>
      <c r="C2903">
        <v>901.77125150665063</v>
      </c>
      <c r="D2903" s="77">
        <v>150.29520858444178</v>
      </c>
      <c r="E2903" s="77">
        <v>150.29520858444178</v>
      </c>
      <c r="F2903" s="77">
        <v>150.29520858444178</v>
      </c>
      <c r="G2903" s="77">
        <v>150.29520858444178</v>
      </c>
      <c r="H2903" s="77">
        <v>150.29520858444178</v>
      </c>
      <c r="I2903" s="77">
        <v>150.29520858444178</v>
      </c>
    </row>
    <row r="2904" spans="2:9">
      <c r="B2904" s="76">
        <v>2023.399816191795</v>
      </c>
      <c r="C2904">
        <v>975.93562689737394</v>
      </c>
      <c r="D2904" s="77">
        <v>162.655937816229</v>
      </c>
      <c r="E2904" s="77">
        <v>162.655937816229</v>
      </c>
      <c r="F2904" s="77">
        <v>162.655937816229</v>
      </c>
      <c r="G2904" s="77">
        <v>162.655937816229</v>
      </c>
      <c r="H2904" s="77">
        <v>162.655937816229</v>
      </c>
      <c r="I2904" s="77">
        <v>162.655937816229</v>
      </c>
    </row>
    <row r="2905" spans="2:9">
      <c r="B2905" s="76">
        <v>2023.3432536110436</v>
      </c>
      <c r="C2905">
        <v>928.1390002481786</v>
      </c>
      <c r="D2905" s="77">
        <v>154.68983337469643</v>
      </c>
      <c r="E2905" s="77">
        <v>154.68983337469643</v>
      </c>
      <c r="F2905" s="77">
        <v>154.68983337469643</v>
      </c>
      <c r="G2905" s="77">
        <v>154.68983337469643</v>
      </c>
      <c r="H2905" s="77">
        <v>154.68983337469643</v>
      </c>
      <c r="I2905" s="77">
        <v>154.68983337469643</v>
      </c>
    </row>
    <row r="2906" spans="2:9">
      <c r="B2906" s="76">
        <v>2023.3301598765963</v>
      </c>
      <c r="C2906">
        <v>893.50568574571844</v>
      </c>
      <c r="D2906" s="77">
        <v>148.91761429095308</v>
      </c>
      <c r="E2906" s="77">
        <v>148.91761429095308</v>
      </c>
      <c r="F2906" s="77">
        <v>148.91761429095308</v>
      </c>
      <c r="G2906" s="77">
        <v>148.91761429095308</v>
      </c>
      <c r="H2906" s="77">
        <v>148.91761429095308</v>
      </c>
      <c r="I2906" s="77">
        <v>148.91761429095308</v>
      </c>
    </row>
    <row r="2907" spans="2:9">
      <c r="B2907" s="76">
        <v>2025.1145497515508</v>
      </c>
      <c r="C2907">
        <v>1163.0843485557489</v>
      </c>
      <c r="D2907" s="77">
        <v>193.84739142595814</v>
      </c>
      <c r="E2907" s="77">
        <v>193.84739142595814</v>
      </c>
      <c r="F2907" s="77">
        <v>193.84739142595814</v>
      </c>
      <c r="G2907" s="77">
        <v>193.84739142595814</v>
      </c>
      <c r="H2907" s="77">
        <v>193.84739142595814</v>
      </c>
      <c r="I2907" s="77">
        <v>193.84739142595814</v>
      </c>
    </row>
    <row r="2908" spans="2:9">
      <c r="B2908" s="76">
        <v>2022.7910487054485</v>
      </c>
      <c r="C2908">
        <v>846.18327753611402</v>
      </c>
      <c r="D2908" s="77">
        <v>141.03054625601899</v>
      </c>
      <c r="E2908" s="77">
        <v>141.03054625601899</v>
      </c>
      <c r="F2908" s="77">
        <v>141.03054625601899</v>
      </c>
      <c r="G2908" s="77">
        <v>141.03054625601899</v>
      </c>
      <c r="H2908" s="77">
        <v>141.03054625601899</v>
      </c>
      <c r="I2908" s="77">
        <v>141.03054625601899</v>
      </c>
    </row>
    <row r="2909" spans="2:9">
      <c r="B2909" s="76">
        <v>2024.6451774763414</v>
      </c>
      <c r="C2909">
        <v>1084.0128122184183</v>
      </c>
      <c r="D2909" s="77">
        <v>180.66880203640304</v>
      </c>
      <c r="E2909" s="77">
        <v>180.66880203640304</v>
      </c>
      <c r="F2909" s="77">
        <v>180.66880203640304</v>
      </c>
      <c r="G2909" s="77">
        <v>180.66880203640304</v>
      </c>
      <c r="H2909" s="77">
        <v>180.66880203640304</v>
      </c>
      <c r="I2909" s="77">
        <v>180.66880203640304</v>
      </c>
    </row>
    <row r="2910" spans="2:9">
      <c r="B2910" s="76">
        <v>2023.0224076168527</v>
      </c>
      <c r="C2910">
        <v>928.22227926673793</v>
      </c>
      <c r="D2910" s="77">
        <v>154.70371321112299</v>
      </c>
      <c r="E2910" s="77">
        <v>154.70371321112299</v>
      </c>
      <c r="F2910" s="77">
        <v>154.70371321112299</v>
      </c>
      <c r="G2910" s="77">
        <v>154.70371321112299</v>
      </c>
      <c r="H2910" s="77">
        <v>154.70371321112299</v>
      </c>
      <c r="I2910" s="77">
        <v>154.70371321112299</v>
      </c>
    </row>
    <row r="2911" spans="2:9">
      <c r="B2911" s="76">
        <v>2024.7569590485609</v>
      </c>
      <c r="C2911">
        <v>1158.5277180756848</v>
      </c>
      <c r="D2911" s="77">
        <v>193.08795301261412</v>
      </c>
      <c r="E2911" s="77">
        <v>193.08795301261412</v>
      </c>
      <c r="F2911" s="77">
        <v>193.08795301261412</v>
      </c>
      <c r="G2911" s="77">
        <v>193.08795301261412</v>
      </c>
      <c r="H2911" s="77">
        <v>193.08795301261412</v>
      </c>
      <c r="I2911" s="77">
        <v>193.08795301261412</v>
      </c>
    </row>
    <row r="2912" spans="2:9">
      <c r="B2912" s="76">
        <v>2023.1118624352753</v>
      </c>
      <c r="C2912">
        <v>902.16829777899807</v>
      </c>
      <c r="D2912" s="77">
        <v>150.36138296316634</v>
      </c>
      <c r="E2912" s="77">
        <v>150.36138296316634</v>
      </c>
      <c r="F2912" s="77">
        <v>150.36138296316634</v>
      </c>
      <c r="G2912" s="77">
        <v>150.36138296316634</v>
      </c>
      <c r="H2912" s="77">
        <v>150.36138296316634</v>
      </c>
      <c r="I2912" s="77">
        <v>150.36138296316634</v>
      </c>
    </row>
    <row r="2913" spans="2:9">
      <c r="B2913" s="76">
        <v>2023.358245249264</v>
      </c>
      <c r="C2913">
        <v>983.28466317278435</v>
      </c>
      <c r="D2913" s="77">
        <v>163.88077719546405</v>
      </c>
      <c r="E2913" s="77">
        <v>163.88077719546405</v>
      </c>
      <c r="F2913" s="77">
        <v>163.88077719546405</v>
      </c>
      <c r="G2913" s="77">
        <v>163.88077719546405</v>
      </c>
      <c r="H2913" s="77">
        <v>163.88077719546405</v>
      </c>
      <c r="I2913" s="77">
        <v>163.88077719546405</v>
      </c>
    </row>
    <row r="2914" spans="2:9">
      <c r="B2914" s="76">
        <v>2023.3322400419345</v>
      </c>
      <c r="C2914">
        <v>910.31681792686186</v>
      </c>
      <c r="D2914" s="77">
        <v>151.71946965447697</v>
      </c>
      <c r="E2914" s="77">
        <v>151.71946965447697</v>
      </c>
      <c r="F2914" s="77">
        <v>151.71946965447697</v>
      </c>
      <c r="G2914" s="77">
        <v>151.71946965447697</v>
      </c>
      <c r="H2914" s="77">
        <v>151.71946965447697</v>
      </c>
      <c r="I2914" s="77">
        <v>151.71946965447697</v>
      </c>
    </row>
    <row r="2915" spans="2:9">
      <c r="B2915" s="76">
        <v>2025.4909997453021</v>
      </c>
      <c r="C2915">
        <v>1186.9497249143794</v>
      </c>
      <c r="D2915" s="77">
        <v>197.82495415239657</v>
      </c>
      <c r="E2915" s="77">
        <v>197.82495415239657</v>
      </c>
      <c r="F2915" s="77">
        <v>197.82495415239657</v>
      </c>
      <c r="G2915" s="77">
        <v>197.82495415239657</v>
      </c>
      <c r="H2915" s="77">
        <v>197.82495415239657</v>
      </c>
      <c r="I2915" s="77">
        <v>197.82495415239657</v>
      </c>
    </row>
    <row r="2916" spans="2:9">
      <c r="B2916" s="76">
        <v>2022.8190833626318</v>
      </c>
      <c r="C2916">
        <v>941.44600173437254</v>
      </c>
      <c r="D2916" s="77">
        <v>156.90766695572876</v>
      </c>
      <c r="E2916" s="77">
        <v>156.90766695572876</v>
      </c>
      <c r="F2916" s="77">
        <v>156.90766695572876</v>
      </c>
      <c r="G2916" s="77">
        <v>156.90766695572876</v>
      </c>
      <c r="H2916" s="77">
        <v>156.90766695572876</v>
      </c>
      <c r="I2916" s="77">
        <v>156.90766695572876</v>
      </c>
    </row>
    <row r="2917" spans="2:9">
      <c r="B2917" s="76">
        <v>2023.3979977959232</v>
      </c>
      <c r="C2917">
        <v>936.03063557767416</v>
      </c>
      <c r="D2917" s="77">
        <v>156.00510592961237</v>
      </c>
      <c r="E2917" s="77">
        <v>156.00510592961237</v>
      </c>
      <c r="F2917" s="77">
        <v>156.00510592961237</v>
      </c>
      <c r="G2917" s="77">
        <v>156.00510592961237</v>
      </c>
      <c r="H2917" s="77">
        <v>156.00510592961237</v>
      </c>
      <c r="I2917" s="77">
        <v>156.00510592961237</v>
      </c>
    </row>
    <row r="2918" spans="2:9">
      <c r="B2918" s="76">
        <v>2025.3517661528065</v>
      </c>
      <c r="C2918">
        <v>1153.02617760716</v>
      </c>
      <c r="D2918" s="77">
        <v>192.17102960119334</v>
      </c>
      <c r="E2918" s="77">
        <v>192.17102960119334</v>
      </c>
      <c r="F2918" s="77">
        <v>192.17102960119334</v>
      </c>
      <c r="G2918" s="77">
        <v>192.17102960119334</v>
      </c>
      <c r="H2918" s="77">
        <v>192.17102960119334</v>
      </c>
      <c r="I2918" s="77">
        <v>192.17102960119334</v>
      </c>
    </row>
    <row r="2919" spans="2:9">
      <c r="B2919" s="76">
        <v>2023.1940368692647</v>
      </c>
      <c r="C2919">
        <v>901.6289975465055</v>
      </c>
      <c r="D2919" s="77">
        <v>150.27149959108425</v>
      </c>
      <c r="E2919" s="77">
        <v>150.27149959108425</v>
      </c>
      <c r="F2919" s="77">
        <v>150.27149959108425</v>
      </c>
      <c r="G2919" s="77">
        <v>150.27149959108425</v>
      </c>
      <c r="H2919" s="77">
        <v>150.27149959108425</v>
      </c>
      <c r="I2919" s="77">
        <v>150.27149959108425</v>
      </c>
    </row>
    <row r="2920" spans="2:9">
      <c r="B2920" s="76">
        <v>2024.3764447295052</v>
      </c>
      <c r="C2920">
        <v>1086.6917133372867</v>
      </c>
      <c r="D2920" s="77">
        <v>181.11528555621445</v>
      </c>
      <c r="E2920" s="77">
        <v>181.11528555621445</v>
      </c>
      <c r="F2920" s="77">
        <v>181.11528555621445</v>
      </c>
      <c r="G2920" s="77">
        <v>181.11528555621445</v>
      </c>
      <c r="H2920" s="77">
        <v>181.11528555621445</v>
      </c>
      <c r="I2920" s="77">
        <v>181.11528555621445</v>
      </c>
    </row>
    <row r="2921" spans="2:9">
      <c r="B2921" s="76">
        <v>2023.5605406959992</v>
      </c>
      <c r="C2921">
        <v>962.01792995415997</v>
      </c>
      <c r="D2921" s="77">
        <v>160.33632165902665</v>
      </c>
      <c r="E2921" s="77">
        <v>160.33632165902665</v>
      </c>
      <c r="F2921" s="77">
        <v>160.33632165902665</v>
      </c>
      <c r="G2921" s="77">
        <v>160.33632165902665</v>
      </c>
      <c r="H2921" s="77">
        <v>160.33632165902665</v>
      </c>
      <c r="I2921" s="77">
        <v>160.33632165902665</v>
      </c>
    </row>
    <row r="2922" spans="2:9">
      <c r="B2922" s="76">
        <v>2023.7291689988956</v>
      </c>
      <c r="C2922">
        <v>907.69616918588747</v>
      </c>
      <c r="D2922" s="77">
        <v>151.28269486431458</v>
      </c>
      <c r="E2922" s="77">
        <v>151.28269486431458</v>
      </c>
      <c r="F2922" s="77">
        <v>151.28269486431458</v>
      </c>
      <c r="G2922" s="77">
        <v>151.28269486431458</v>
      </c>
      <c r="H2922" s="77">
        <v>151.28269486431458</v>
      </c>
      <c r="I2922" s="77">
        <v>151.28269486431458</v>
      </c>
    </row>
    <row r="2923" spans="2:9">
      <c r="B2923" s="76">
        <v>2024.320964895365</v>
      </c>
      <c r="C2923">
        <v>1005.3504708859243</v>
      </c>
      <c r="D2923" s="77">
        <v>167.55841181432072</v>
      </c>
      <c r="E2923" s="77">
        <v>167.55841181432072</v>
      </c>
      <c r="F2923" s="77">
        <v>167.55841181432072</v>
      </c>
      <c r="G2923" s="77">
        <v>167.55841181432072</v>
      </c>
      <c r="H2923" s="77">
        <v>167.55841181432072</v>
      </c>
      <c r="I2923" s="77">
        <v>167.55841181432072</v>
      </c>
    </row>
    <row r="2924" spans="2:9">
      <c r="B2924" s="76">
        <v>2022.9074780193016</v>
      </c>
      <c r="C2924">
        <v>905.96792883947785</v>
      </c>
      <c r="D2924" s="77">
        <v>150.99465480657963</v>
      </c>
      <c r="E2924" s="77">
        <v>150.99465480657963</v>
      </c>
      <c r="F2924" s="77">
        <v>150.99465480657963</v>
      </c>
      <c r="G2924" s="77">
        <v>150.99465480657963</v>
      </c>
      <c r="H2924" s="77">
        <v>150.99465480657963</v>
      </c>
      <c r="I2924" s="77">
        <v>150.99465480657963</v>
      </c>
    </row>
    <row r="2925" spans="2:9">
      <c r="B2925" s="76">
        <v>2023.5346131686188</v>
      </c>
      <c r="C2925">
        <v>924.19043603319278</v>
      </c>
      <c r="D2925" s="77">
        <v>154.03173933886546</v>
      </c>
      <c r="E2925" s="77">
        <v>154.03173933886546</v>
      </c>
      <c r="F2925" s="77">
        <v>154.03173933886546</v>
      </c>
      <c r="G2925" s="77">
        <v>154.03173933886546</v>
      </c>
      <c r="H2925" s="77">
        <v>154.03173933886546</v>
      </c>
      <c r="I2925" s="77">
        <v>154.03173933886546</v>
      </c>
    </row>
    <row r="2926" spans="2:9">
      <c r="B2926" s="76">
        <v>2023.0882894285219</v>
      </c>
      <c r="C2926">
        <v>909.59107781854016</v>
      </c>
      <c r="D2926" s="77">
        <v>151.59851296975668</v>
      </c>
      <c r="E2926" s="77">
        <v>151.59851296975668</v>
      </c>
      <c r="F2926" s="77">
        <v>151.59851296975668</v>
      </c>
      <c r="G2926" s="77">
        <v>151.59851296975668</v>
      </c>
      <c r="H2926" s="77">
        <v>151.59851296975668</v>
      </c>
      <c r="I2926" s="77">
        <v>151.59851296975668</v>
      </c>
    </row>
    <row r="2927" spans="2:9">
      <c r="B2927" s="76">
        <v>2022.8440475972163</v>
      </c>
      <c r="C2927">
        <v>843.31813050118592</v>
      </c>
      <c r="D2927" s="77">
        <v>140.55302175019764</v>
      </c>
      <c r="E2927" s="77">
        <v>140.55302175019764</v>
      </c>
      <c r="F2927" s="77">
        <v>140.55302175019764</v>
      </c>
      <c r="G2927" s="77">
        <v>140.55302175019764</v>
      </c>
      <c r="H2927" s="77">
        <v>140.55302175019764</v>
      </c>
      <c r="I2927" s="77">
        <v>140.55302175019764</v>
      </c>
    </row>
    <row r="2928" spans="2:9">
      <c r="B2928" s="76">
        <v>2023.3328043173731</v>
      </c>
      <c r="C2928">
        <v>919.38065919397957</v>
      </c>
      <c r="D2928" s="77">
        <v>153.23010986566325</v>
      </c>
      <c r="E2928" s="77">
        <v>153.23010986566325</v>
      </c>
      <c r="F2928" s="77">
        <v>153.23010986566325</v>
      </c>
      <c r="G2928" s="77">
        <v>153.23010986566325</v>
      </c>
      <c r="H2928" s="77">
        <v>153.23010986566325</v>
      </c>
      <c r="I2928" s="77">
        <v>153.23010986566325</v>
      </c>
    </row>
    <row r="2929" spans="2:9">
      <c r="B2929" s="76">
        <v>2024.577141197075</v>
      </c>
      <c r="C2929">
        <v>986.8751611750555</v>
      </c>
      <c r="D2929" s="77">
        <v>164.47919352917592</v>
      </c>
      <c r="E2929" s="77">
        <v>164.47919352917592</v>
      </c>
      <c r="F2929" s="77">
        <v>164.47919352917592</v>
      </c>
      <c r="G2929" s="77">
        <v>164.47919352917592</v>
      </c>
      <c r="H2929" s="77">
        <v>164.47919352917592</v>
      </c>
      <c r="I2929" s="77">
        <v>164.47919352917592</v>
      </c>
    </row>
    <row r="2930" spans="2:9">
      <c r="B2930" s="76">
        <v>2023.3400477153696</v>
      </c>
      <c r="C2930">
        <v>949.10646853484241</v>
      </c>
      <c r="D2930" s="77">
        <v>158.18441142247374</v>
      </c>
      <c r="E2930" s="77">
        <v>158.18441142247374</v>
      </c>
      <c r="F2930" s="77">
        <v>158.18441142247374</v>
      </c>
      <c r="G2930" s="77">
        <v>158.18441142247374</v>
      </c>
      <c r="H2930" s="77">
        <v>158.18441142247374</v>
      </c>
      <c r="I2930" s="77">
        <v>158.18441142247374</v>
      </c>
    </row>
    <row r="2931" spans="2:9">
      <c r="B2931" s="76">
        <v>2023.1849219435915</v>
      </c>
      <c r="C2931">
        <v>938.91047747632251</v>
      </c>
      <c r="D2931" s="77">
        <v>156.48507957938708</v>
      </c>
      <c r="E2931" s="77">
        <v>156.48507957938708</v>
      </c>
      <c r="F2931" s="77">
        <v>156.48507957938708</v>
      </c>
      <c r="G2931" s="77">
        <v>156.48507957938708</v>
      </c>
      <c r="H2931" s="77">
        <v>156.48507957938708</v>
      </c>
      <c r="I2931" s="77">
        <v>156.48507957938708</v>
      </c>
    </row>
    <row r="2932" spans="2:9">
      <c r="B2932" s="76">
        <v>2022.8393554879406</v>
      </c>
      <c r="C2932">
        <v>929.33849940608366</v>
      </c>
      <c r="D2932" s="77">
        <v>154.88974990101394</v>
      </c>
      <c r="E2932" s="77">
        <v>154.88974990101394</v>
      </c>
      <c r="F2932" s="77">
        <v>154.88974990101394</v>
      </c>
      <c r="G2932" s="77">
        <v>154.88974990101394</v>
      </c>
      <c r="H2932" s="77">
        <v>154.88974990101394</v>
      </c>
      <c r="I2932" s="77">
        <v>154.88974990101394</v>
      </c>
    </row>
    <row r="2933" spans="2:9">
      <c r="B2933" s="76">
        <v>2023.1371220210885</v>
      </c>
      <c r="C2933">
        <v>969.66462063641268</v>
      </c>
      <c r="D2933" s="77">
        <v>161.61077010606877</v>
      </c>
      <c r="E2933" s="77">
        <v>161.61077010606877</v>
      </c>
      <c r="F2933" s="77">
        <v>161.61077010606877</v>
      </c>
      <c r="G2933" s="77">
        <v>161.61077010606877</v>
      </c>
      <c r="H2933" s="77">
        <v>161.61077010606877</v>
      </c>
      <c r="I2933" s="77">
        <v>161.61077010606877</v>
      </c>
    </row>
    <row r="2934" spans="2:9">
      <c r="B2934" s="76">
        <v>2023.4500617560768</v>
      </c>
      <c r="C2934">
        <v>1001.716128398265</v>
      </c>
      <c r="D2934" s="77">
        <v>166.9526880663775</v>
      </c>
      <c r="E2934" s="77">
        <v>166.9526880663775</v>
      </c>
      <c r="F2934" s="77">
        <v>166.9526880663775</v>
      </c>
      <c r="G2934" s="77">
        <v>166.9526880663775</v>
      </c>
      <c r="H2934" s="77">
        <v>166.9526880663775</v>
      </c>
      <c r="I2934" s="77">
        <v>166.9526880663775</v>
      </c>
    </row>
    <row r="2935" spans="2:9">
      <c r="B2935" s="76">
        <v>2024.6397862430508</v>
      </c>
      <c r="C2935">
        <v>1129.8184354037289</v>
      </c>
      <c r="D2935" s="77">
        <v>188.30307256728815</v>
      </c>
      <c r="E2935" s="77">
        <v>188.30307256728815</v>
      </c>
      <c r="F2935" s="77">
        <v>188.30307256728815</v>
      </c>
      <c r="G2935" s="77">
        <v>188.30307256728815</v>
      </c>
      <c r="H2935" s="77">
        <v>188.30307256728815</v>
      </c>
      <c r="I2935" s="77">
        <v>188.30307256728815</v>
      </c>
    </row>
    <row r="2936" spans="2:9">
      <c r="B2936" s="76">
        <v>2023.6605338600032</v>
      </c>
      <c r="C2936">
        <v>1042.1957295338148</v>
      </c>
      <c r="D2936" s="77">
        <v>173.69928825563579</v>
      </c>
      <c r="E2936" s="77">
        <v>173.69928825563579</v>
      </c>
      <c r="F2936" s="77">
        <v>173.69928825563579</v>
      </c>
      <c r="G2936" s="77">
        <v>173.69928825563579</v>
      </c>
      <c r="H2936" s="77">
        <v>173.69928825563579</v>
      </c>
      <c r="I2936" s="77">
        <v>173.69928825563579</v>
      </c>
    </row>
    <row r="2937" spans="2:9">
      <c r="B2937" s="76">
        <v>2023.0872407813363</v>
      </c>
      <c r="C2937">
        <v>929.0819974167938</v>
      </c>
      <c r="D2937" s="77">
        <v>154.84699956946562</v>
      </c>
      <c r="E2937" s="77">
        <v>154.84699956946562</v>
      </c>
      <c r="F2937" s="77">
        <v>154.84699956946562</v>
      </c>
      <c r="G2937" s="77">
        <v>154.84699956946562</v>
      </c>
      <c r="H2937" s="77">
        <v>154.84699956946562</v>
      </c>
      <c r="I2937" s="77">
        <v>154.84699956946562</v>
      </c>
    </row>
    <row r="2938" spans="2:9">
      <c r="B2938" s="76">
        <v>2022.8885594469034</v>
      </c>
      <c r="C2938">
        <v>872.79582781984698</v>
      </c>
      <c r="D2938" s="77">
        <v>145.46597130330784</v>
      </c>
      <c r="E2938" s="77">
        <v>145.46597130330784</v>
      </c>
      <c r="F2938" s="77">
        <v>145.46597130330784</v>
      </c>
      <c r="G2938" s="77">
        <v>145.46597130330784</v>
      </c>
      <c r="H2938" s="77">
        <v>145.46597130330784</v>
      </c>
      <c r="I2938" s="77">
        <v>145.46597130330784</v>
      </c>
    </row>
    <row r="2939" spans="2:9">
      <c r="B2939" s="76">
        <v>2023.1305702120862</v>
      </c>
      <c r="C2939">
        <v>882.8426246265891</v>
      </c>
      <c r="D2939" s="77">
        <v>147.14043743776486</v>
      </c>
      <c r="E2939" s="77">
        <v>147.14043743776486</v>
      </c>
      <c r="F2939" s="77">
        <v>147.14043743776486</v>
      </c>
      <c r="G2939" s="77">
        <v>147.14043743776486</v>
      </c>
      <c r="H2939" s="77">
        <v>147.14043743776486</v>
      </c>
      <c r="I2939" s="77">
        <v>147.14043743776486</v>
      </c>
    </row>
    <row r="2940" spans="2:9">
      <c r="B2940" s="76">
        <v>2024.7564990493186</v>
      </c>
      <c r="C2940">
        <v>1111.5557135650433</v>
      </c>
      <c r="D2940" s="77">
        <v>185.25928559417389</v>
      </c>
      <c r="E2940" s="77">
        <v>185.25928559417389</v>
      </c>
      <c r="F2940" s="77">
        <v>185.25928559417389</v>
      </c>
      <c r="G2940" s="77">
        <v>185.25928559417389</v>
      </c>
      <c r="H2940" s="77">
        <v>185.25928559417389</v>
      </c>
      <c r="I2940" s="77">
        <v>185.25928559417389</v>
      </c>
    </row>
    <row r="2941" spans="2:9">
      <c r="B2941" s="76">
        <v>2023.313231768288</v>
      </c>
      <c r="C2941">
        <v>883.35304792883107</v>
      </c>
      <c r="D2941" s="77">
        <v>147.2255079881385</v>
      </c>
      <c r="E2941" s="77">
        <v>147.2255079881385</v>
      </c>
      <c r="F2941" s="77">
        <v>147.2255079881385</v>
      </c>
      <c r="G2941" s="77">
        <v>147.2255079881385</v>
      </c>
      <c r="H2941" s="77">
        <v>147.2255079881385</v>
      </c>
      <c r="I2941" s="77">
        <v>147.2255079881385</v>
      </c>
    </row>
    <row r="2942" spans="2:9">
      <c r="B2942" s="76">
        <v>2024.5559430124611</v>
      </c>
      <c r="C2942">
        <v>1116.204592676557</v>
      </c>
      <c r="D2942" s="77">
        <v>186.03409877942616</v>
      </c>
      <c r="E2942" s="77">
        <v>186.03409877942616</v>
      </c>
      <c r="F2942" s="77">
        <v>186.03409877942616</v>
      </c>
      <c r="G2942" s="77">
        <v>186.03409877942616</v>
      </c>
      <c r="H2942" s="77">
        <v>186.03409877942616</v>
      </c>
      <c r="I2942" s="77">
        <v>186.03409877942616</v>
      </c>
    </row>
    <row r="2943" spans="2:9">
      <c r="B2943" s="76">
        <v>2022.8344991278805</v>
      </c>
      <c r="C2943">
        <v>869.40309688592959</v>
      </c>
      <c r="D2943" s="77">
        <v>144.90051614765494</v>
      </c>
      <c r="E2943" s="77">
        <v>144.90051614765494</v>
      </c>
      <c r="F2943" s="77">
        <v>144.90051614765494</v>
      </c>
      <c r="G2943" s="77">
        <v>144.90051614765494</v>
      </c>
      <c r="H2943" s="77">
        <v>144.90051614765494</v>
      </c>
      <c r="I2943" s="77">
        <v>144.90051614765494</v>
      </c>
    </row>
    <row r="2944" spans="2:9">
      <c r="B2944" s="76">
        <v>2025.1093368117577</v>
      </c>
      <c r="C2944">
        <v>1068.7675429735466</v>
      </c>
      <c r="D2944" s="77">
        <v>178.12792382892442</v>
      </c>
      <c r="E2944" s="77">
        <v>178.12792382892442</v>
      </c>
      <c r="F2944" s="77">
        <v>178.12792382892442</v>
      </c>
      <c r="G2944" s="77">
        <v>178.12792382892442</v>
      </c>
      <c r="H2944" s="77">
        <v>178.12792382892442</v>
      </c>
      <c r="I2944" s="77">
        <v>178.12792382892442</v>
      </c>
    </row>
    <row r="2945" spans="2:9">
      <c r="B2945" s="76">
        <v>2024.6254394479085</v>
      </c>
      <c r="C2945">
        <v>1064.4563902550826</v>
      </c>
      <c r="D2945" s="77">
        <v>177.4093983758471</v>
      </c>
      <c r="E2945" s="77">
        <v>177.4093983758471</v>
      </c>
      <c r="F2945" s="77">
        <v>177.4093983758471</v>
      </c>
      <c r="G2945" s="77">
        <v>177.4093983758471</v>
      </c>
      <c r="H2945" s="77">
        <v>177.4093983758471</v>
      </c>
      <c r="I2945" s="77">
        <v>177.4093983758471</v>
      </c>
    </row>
    <row r="2946" spans="2:9">
      <c r="B2946" s="76">
        <v>2024.6464613051178</v>
      </c>
      <c r="C2946">
        <v>1002.1192932075345</v>
      </c>
      <c r="D2946" s="77">
        <v>167.01988220125574</v>
      </c>
      <c r="E2946" s="77">
        <v>167.01988220125574</v>
      </c>
      <c r="F2946" s="77">
        <v>167.01988220125574</v>
      </c>
      <c r="G2946" s="77">
        <v>167.01988220125574</v>
      </c>
      <c r="H2946" s="77">
        <v>167.01988220125574</v>
      </c>
      <c r="I2946" s="77">
        <v>167.01988220125574</v>
      </c>
    </row>
    <row r="2947" spans="2:9">
      <c r="B2947" s="76">
        <v>2023.4506573043057</v>
      </c>
      <c r="C2947">
        <v>953.23333535337906</v>
      </c>
      <c r="D2947" s="77">
        <v>158.87222255889651</v>
      </c>
      <c r="E2947" s="77">
        <v>158.87222255889651</v>
      </c>
      <c r="F2947" s="77">
        <v>158.87222255889651</v>
      </c>
      <c r="G2947" s="77">
        <v>158.87222255889651</v>
      </c>
      <c r="H2947" s="77">
        <v>158.87222255889651</v>
      </c>
      <c r="I2947" s="77">
        <v>158.87222255889651</v>
      </c>
    </row>
    <row r="2948" spans="2:9">
      <c r="B2948" s="76">
        <v>2023.8024638935383</v>
      </c>
      <c r="C2948">
        <v>1028.0435860402304</v>
      </c>
      <c r="D2948" s="77">
        <v>171.34059767337172</v>
      </c>
      <c r="E2948" s="77">
        <v>171.34059767337172</v>
      </c>
      <c r="F2948" s="77">
        <v>171.34059767337172</v>
      </c>
      <c r="G2948" s="77">
        <v>171.34059767337172</v>
      </c>
      <c r="H2948" s="77">
        <v>171.34059767337172</v>
      </c>
      <c r="I2948" s="77">
        <v>171.34059767337172</v>
      </c>
    </row>
    <row r="2949" spans="2:9">
      <c r="B2949" s="76">
        <v>2024.7526076582174</v>
      </c>
      <c r="C2949">
        <v>1048.7647393915413</v>
      </c>
      <c r="D2949" s="77">
        <v>174.79412323192355</v>
      </c>
      <c r="E2949" s="77">
        <v>174.79412323192355</v>
      </c>
      <c r="F2949" s="77">
        <v>174.79412323192355</v>
      </c>
      <c r="G2949" s="77">
        <v>174.79412323192355</v>
      </c>
      <c r="H2949" s="77">
        <v>174.79412323192355</v>
      </c>
      <c r="I2949" s="77">
        <v>174.79412323192355</v>
      </c>
    </row>
    <row r="2950" spans="2:9">
      <c r="B2950" s="76">
        <v>2022.7441254388334</v>
      </c>
      <c r="C2950">
        <v>899.16040726730444</v>
      </c>
      <c r="D2950" s="77">
        <v>149.86006787788406</v>
      </c>
      <c r="E2950" s="77">
        <v>149.86006787788406</v>
      </c>
      <c r="F2950" s="77">
        <v>149.86006787788406</v>
      </c>
      <c r="G2950" s="77">
        <v>149.86006787788406</v>
      </c>
      <c r="H2950" s="77">
        <v>149.86006787788406</v>
      </c>
      <c r="I2950" s="77">
        <v>149.86006787788406</v>
      </c>
    </row>
    <row r="2951" spans="2:9">
      <c r="B2951" s="76">
        <v>2022.6110662548369</v>
      </c>
      <c r="C2951">
        <v>827.52505436457386</v>
      </c>
      <c r="D2951" s="77">
        <v>137.92084239409564</v>
      </c>
      <c r="E2951" s="77">
        <v>137.92084239409564</v>
      </c>
      <c r="F2951" s="77">
        <v>137.92084239409564</v>
      </c>
      <c r="G2951" s="77">
        <v>137.92084239409564</v>
      </c>
      <c r="H2951" s="77">
        <v>137.92084239409564</v>
      </c>
      <c r="I2951" s="77">
        <v>137.92084239409564</v>
      </c>
    </row>
    <row r="2952" spans="2:9">
      <c r="B2952" s="76">
        <v>2023.2997997862785</v>
      </c>
      <c r="C2952">
        <v>875.73090182427529</v>
      </c>
      <c r="D2952" s="77">
        <v>145.95515030404587</v>
      </c>
      <c r="E2952" s="77">
        <v>145.95515030404587</v>
      </c>
      <c r="F2952" s="77">
        <v>145.95515030404587</v>
      </c>
      <c r="G2952" s="77">
        <v>145.95515030404587</v>
      </c>
      <c r="H2952" s="77">
        <v>145.95515030404587</v>
      </c>
      <c r="I2952" s="77">
        <v>145.95515030404587</v>
      </c>
    </row>
    <row r="2953" spans="2:9">
      <c r="B2953" s="76">
        <v>2022.8731510241907</v>
      </c>
      <c r="C2953">
        <v>913.20019997008183</v>
      </c>
      <c r="D2953" s="77">
        <v>152.20003332834696</v>
      </c>
      <c r="E2953" s="77">
        <v>152.20003332834696</v>
      </c>
      <c r="F2953" s="77">
        <v>152.20003332834696</v>
      </c>
      <c r="G2953" s="77">
        <v>152.20003332834696</v>
      </c>
      <c r="H2953" s="77">
        <v>152.20003332834696</v>
      </c>
      <c r="I2953" s="77">
        <v>152.20003332834696</v>
      </c>
    </row>
    <row r="2954" spans="2:9">
      <c r="B2954" s="76">
        <v>2023.1301456779318</v>
      </c>
      <c r="C2954">
        <v>884.96528476355036</v>
      </c>
      <c r="D2954" s="77">
        <v>147.4942141272584</v>
      </c>
      <c r="E2954" s="77">
        <v>147.4942141272584</v>
      </c>
      <c r="F2954" s="77">
        <v>147.4942141272584</v>
      </c>
      <c r="G2954" s="77">
        <v>147.4942141272584</v>
      </c>
      <c r="H2954" s="77">
        <v>147.4942141272584</v>
      </c>
      <c r="I2954" s="77">
        <v>147.4942141272584</v>
      </c>
    </row>
    <row r="2955" spans="2:9">
      <c r="B2955" s="76">
        <v>2023.1477618165584</v>
      </c>
      <c r="C2955">
        <v>845.37026756243813</v>
      </c>
      <c r="D2955" s="77">
        <v>140.8950445937397</v>
      </c>
      <c r="E2955" s="77">
        <v>140.8950445937397</v>
      </c>
      <c r="F2955" s="77">
        <v>140.8950445937397</v>
      </c>
      <c r="G2955" s="77">
        <v>140.8950445937397</v>
      </c>
      <c r="H2955" s="77">
        <v>140.8950445937397</v>
      </c>
      <c r="I2955" s="77">
        <v>140.8950445937397</v>
      </c>
    </row>
    <row r="2956" spans="2:9">
      <c r="B2956" s="76">
        <v>2023.1237201360591</v>
      </c>
      <c r="C2956">
        <v>854.33820709107067</v>
      </c>
      <c r="D2956" s="77">
        <v>142.38970118184511</v>
      </c>
      <c r="E2956" s="77">
        <v>142.38970118184511</v>
      </c>
      <c r="F2956" s="77">
        <v>142.38970118184511</v>
      </c>
      <c r="G2956" s="77">
        <v>142.38970118184511</v>
      </c>
      <c r="H2956" s="77">
        <v>142.38970118184511</v>
      </c>
      <c r="I2956" s="77">
        <v>142.38970118184511</v>
      </c>
    </row>
    <row r="2957" spans="2:9">
      <c r="B2957" s="76">
        <v>2023.3718701564881</v>
      </c>
      <c r="C2957">
        <v>911.60957920782459</v>
      </c>
      <c r="D2957" s="77">
        <v>151.93492986797077</v>
      </c>
      <c r="E2957" s="77">
        <v>151.93492986797077</v>
      </c>
      <c r="F2957" s="77">
        <v>151.93492986797077</v>
      </c>
      <c r="G2957" s="77">
        <v>151.93492986797077</v>
      </c>
      <c r="H2957" s="77">
        <v>151.93492986797077</v>
      </c>
      <c r="I2957" s="77">
        <v>151.93492986797077</v>
      </c>
    </row>
    <row r="2958" spans="2:9">
      <c r="B2958" s="76">
        <v>2023.5312115470385</v>
      </c>
      <c r="C2958">
        <v>906.12030537946202</v>
      </c>
      <c r="D2958" s="77">
        <v>151.020050896577</v>
      </c>
      <c r="E2958" s="77">
        <v>151.020050896577</v>
      </c>
      <c r="F2958" s="77">
        <v>151.020050896577</v>
      </c>
      <c r="G2958" s="77">
        <v>151.020050896577</v>
      </c>
      <c r="H2958" s="77">
        <v>151.020050896577</v>
      </c>
      <c r="I2958" s="77">
        <v>151.020050896577</v>
      </c>
    </row>
    <row r="2959" spans="2:9">
      <c r="B2959" s="76">
        <v>2023.3409132122877</v>
      </c>
      <c r="C2959">
        <v>880.8924162500706</v>
      </c>
      <c r="D2959" s="77">
        <v>146.81540270834509</v>
      </c>
      <c r="E2959" s="77">
        <v>146.81540270834509</v>
      </c>
      <c r="F2959" s="77">
        <v>146.81540270834509</v>
      </c>
      <c r="G2959" s="77">
        <v>146.81540270834509</v>
      </c>
      <c r="H2959" s="77">
        <v>146.81540270834509</v>
      </c>
      <c r="I2959" s="77">
        <v>146.81540270834509</v>
      </c>
    </row>
    <row r="2960" spans="2:9">
      <c r="B2960" s="76">
        <v>2023.1226973259652</v>
      </c>
      <c r="C2960">
        <v>880.62508666193594</v>
      </c>
      <c r="D2960" s="77">
        <v>146.77084777698931</v>
      </c>
      <c r="E2960" s="77">
        <v>146.77084777698931</v>
      </c>
      <c r="F2960" s="77">
        <v>146.77084777698931</v>
      </c>
      <c r="G2960" s="77">
        <v>146.77084777698931</v>
      </c>
      <c r="H2960" s="77">
        <v>146.77084777698931</v>
      </c>
      <c r="I2960" s="77">
        <v>146.77084777698931</v>
      </c>
    </row>
    <row r="2961" spans="2:9">
      <c r="B2961" s="76">
        <v>2025.2880697755008</v>
      </c>
      <c r="C2961">
        <v>1203.3215648382186</v>
      </c>
      <c r="D2961" s="77">
        <v>200.55359413970311</v>
      </c>
      <c r="E2961" s="77">
        <v>200.55359413970311</v>
      </c>
      <c r="F2961" s="77">
        <v>200.55359413970311</v>
      </c>
      <c r="G2961" s="77">
        <v>200.55359413970311</v>
      </c>
      <c r="H2961" s="77">
        <v>200.55359413970311</v>
      </c>
      <c r="I2961" s="77">
        <v>200.55359413970311</v>
      </c>
    </row>
    <row r="2962" spans="2:9">
      <c r="B2962" s="76">
        <v>2022.8212075754482</v>
      </c>
      <c r="C2962">
        <v>860.88688552409872</v>
      </c>
      <c r="D2962" s="77">
        <v>143.4811475873498</v>
      </c>
      <c r="E2962" s="77">
        <v>143.4811475873498</v>
      </c>
      <c r="F2962" s="77">
        <v>143.4811475873498</v>
      </c>
      <c r="G2962" s="77">
        <v>143.4811475873498</v>
      </c>
      <c r="H2962" s="77">
        <v>143.4811475873498</v>
      </c>
      <c r="I2962" s="77">
        <v>143.4811475873498</v>
      </c>
    </row>
    <row r="2963" spans="2:9">
      <c r="B2963" s="76">
        <v>2023.6721474374901</v>
      </c>
      <c r="C2963">
        <v>922.96117409277372</v>
      </c>
      <c r="D2963" s="77">
        <v>153.82686234879563</v>
      </c>
      <c r="E2963" s="77">
        <v>153.82686234879563</v>
      </c>
      <c r="F2963" s="77">
        <v>153.82686234879563</v>
      </c>
      <c r="G2963" s="77">
        <v>153.82686234879563</v>
      </c>
      <c r="H2963" s="77">
        <v>153.82686234879563</v>
      </c>
      <c r="I2963" s="77">
        <v>153.82686234879563</v>
      </c>
    </row>
    <row r="2964" spans="2:9">
      <c r="B2964" s="76">
        <v>2023.2407272290516</v>
      </c>
      <c r="C2964">
        <v>979.42561026974408</v>
      </c>
      <c r="D2964" s="77">
        <v>163.23760171162402</v>
      </c>
      <c r="E2964" s="77">
        <v>163.23760171162402</v>
      </c>
      <c r="F2964" s="77">
        <v>163.23760171162402</v>
      </c>
      <c r="G2964" s="77">
        <v>163.23760171162402</v>
      </c>
      <c r="H2964" s="77">
        <v>163.23760171162402</v>
      </c>
      <c r="I2964" s="77">
        <v>163.23760171162402</v>
      </c>
    </row>
    <row r="2965" spans="2:9">
      <c r="B2965" s="76">
        <v>2022.8170327728458</v>
      </c>
      <c r="C2965">
        <v>890.11676463796459</v>
      </c>
      <c r="D2965" s="77">
        <v>148.35279410632742</v>
      </c>
      <c r="E2965" s="77">
        <v>148.35279410632742</v>
      </c>
      <c r="F2965" s="77">
        <v>148.35279410632742</v>
      </c>
      <c r="G2965" s="77">
        <v>148.35279410632742</v>
      </c>
      <c r="H2965" s="77">
        <v>148.35279410632742</v>
      </c>
      <c r="I2965" s="77">
        <v>148.35279410632742</v>
      </c>
    </row>
    <row r="2966" spans="2:9">
      <c r="B2966" s="76">
        <v>2023.3158768159478</v>
      </c>
      <c r="C2966">
        <v>871.59837524802106</v>
      </c>
      <c r="D2966" s="77">
        <v>145.26639587467017</v>
      </c>
      <c r="E2966" s="77">
        <v>145.26639587467017</v>
      </c>
      <c r="F2966" s="77">
        <v>145.26639587467017</v>
      </c>
      <c r="G2966" s="77">
        <v>145.26639587467017</v>
      </c>
      <c r="H2966" s="77">
        <v>145.26639587467017</v>
      </c>
      <c r="I2966" s="77">
        <v>145.26639587467017</v>
      </c>
    </row>
    <row r="2967" spans="2:9">
      <c r="B2967" s="76">
        <v>2023.3935322152497</v>
      </c>
      <c r="C2967">
        <v>924.73293592618177</v>
      </c>
      <c r="D2967" s="77">
        <v>154.12215598769697</v>
      </c>
      <c r="E2967" s="77">
        <v>154.12215598769697</v>
      </c>
      <c r="F2967" s="77">
        <v>154.12215598769697</v>
      </c>
      <c r="G2967" s="77">
        <v>154.12215598769697</v>
      </c>
      <c r="H2967" s="77">
        <v>154.12215598769697</v>
      </c>
      <c r="I2967" s="77">
        <v>154.12215598769697</v>
      </c>
    </row>
    <row r="2968" spans="2:9">
      <c r="B2968" s="76">
        <v>2024.4814302602488</v>
      </c>
      <c r="C2968">
        <v>1041.0564056434732</v>
      </c>
      <c r="D2968" s="77">
        <v>173.50940094057887</v>
      </c>
      <c r="E2968" s="77">
        <v>173.50940094057887</v>
      </c>
      <c r="F2968" s="77">
        <v>173.50940094057887</v>
      </c>
      <c r="G2968" s="77">
        <v>173.50940094057887</v>
      </c>
      <c r="H2968" s="77">
        <v>173.50940094057887</v>
      </c>
      <c r="I2968" s="77">
        <v>173.50940094057887</v>
      </c>
    </row>
    <row r="2969" spans="2:9">
      <c r="B2969" s="76">
        <v>2023.7697001107276</v>
      </c>
      <c r="C2969">
        <v>917.01808701426205</v>
      </c>
      <c r="D2969" s="77">
        <v>152.83634783571034</v>
      </c>
      <c r="E2969" s="77">
        <v>152.83634783571034</v>
      </c>
      <c r="F2969" s="77">
        <v>152.83634783571034</v>
      </c>
      <c r="G2969" s="77">
        <v>152.83634783571034</v>
      </c>
      <c r="H2969" s="77">
        <v>152.83634783571034</v>
      </c>
      <c r="I2969" s="77">
        <v>152.83634783571034</v>
      </c>
    </row>
    <row r="2970" spans="2:9">
      <c r="B2970" s="76">
        <v>2023.1336615121893</v>
      </c>
      <c r="C2970">
        <v>883.92324875093891</v>
      </c>
      <c r="D2970" s="77">
        <v>147.32054145848983</v>
      </c>
      <c r="E2970" s="77">
        <v>147.32054145848983</v>
      </c>
      <c r="F2970" s="77">
        <v>147.32054145848983</v>
      </c>
      <c r="G2970" s="77">
        <v>147.32054145848983</v>
      </c>
      <c r="H2970" s="77">
        <v>147.32054145848983</v>
      </c>
      <c r="I2970" s="77">
        <v>147.32054145848983</v>
      </c>
    </row>
    <row r="2971" spans="2:9">
      <c r="B2971" s="76">
        <v>2022.8875762008054</v>
      </c>
      <c r="C2971">
        <v>893.60043044026031</v>
      </c>
      <c r="D2971" s="77">
        <v>148.93340507337672</v>
      </c>
      <c r="E2971" s="77">
        <v>148.93340507337672</v>
      </c>
      <c r="F2971" s="77">
        <v>148.93340507337672</v>
      </c>
      <c r="G2971" s="77">
        <v>148.93340507337672</v>
      </c>
      <c r="H2971" s="77">
        <v>148.93340507337672</v>
      </c>
      <c r="I2971" s="77">
        <v>148.93340507337672</v>
      </c>
    </row>
    <row r="2972" spans="2:9">
      <c r="B2972" s="76">
        <v>2023.2851749356764</v>
      </c>
      <c r="C2972">
        <v>898.30155292296672</v>
      </c>
      <c r="D2972" s="77">
        <v>149.71692548716112</v>
      </c>
      <c r="E2972" s="77">
        <v>149.71692548716112</v>
      </c>
      <c r="F2972" s="77">
        <v>149.71692548716112</v>
      </c>
      <c r="G2972" s="77">
        <v>149.71692548716112</v>
      </c>
      <c r="H2972" s="77">
        <v>149.71692548716112</v>
      </c>
      <c r="I2972" s="77">
        <v>149.71692548716112</v>
      </c>
    </row>
    <row r="2973" spans="2:9">
      <c r="B2973" s="76">
        <v>2023.2206652092557</v>
      </c>
      <c r="C2973">
        <v>895.84970967262586</v>
      </c>
      <c r="D2973" s="77">
        <v>149.30828494543763</v>
      </c>
      <c r="E2973" s="77">
        <v>149.30828494543763</v>
      </c>
      <c r="F2973" s="77">
        <v>149.30828494543763</v>
      </c>
      <c r="G2973" s="77">
        <v>149.30828494543763</v>
      </c>
      <c r="H2973" s="77">
        <v>149.30828494543763</v>
      </c>
      <c r="I2973" s="77">
        <v>149.30828494543763</v>
      </c>
    </row>
    <row r="2974" spans="2:9">
      <c r="B2974" s="76">
        <v>2023.441629073046</v>
      </c>
      <c r="C2974">
        <v>954.1788155948791</v>
      </c>
      <c r="D2974" s="77">
        <v>159.02980259914651</v>
      </c>
      <c r="E2974" s="77">
        <v>159.02980259914651</v>
      </c>
      <c r="F2974" s="77">
        <v>159.02980259914651</v>
      </c>
      <c r="G2974" s="77">
        <v>159.02980259914651</v>
      </c>
      <c r="H2974" s="77">
        <v>159.02980259914651</v>
      </c>
      <c r="I2974" s="77">
        <v>159.02980259914651</v>
      </c>
    </row>
    <row r="2975" spans="2:9">
      <c r="B2975" s="76">
        <v>2022.9939977991608</v>
      </c>
      <c r="C2975">
        <v>862.78724032992727</v>
      </c>
      <c r="D2975" s="77">
        <v>143.79787338832122</v>
      </c>
      <c r="E2975" s="77">
        <v>143.79787338832122</v>
      </c>
      <c r="F2975" s="77">
        <v>143.79787338832122</v>
      </c>
      <c r="G2975" s="77">
        <v>143.79787338832122</v>
      </c>
      <c r="H2975" s="77">
        <v>143.79787338832122</v>
      </c>
      <c r="I2975" s="77">
        <v>143.79787338832122</v>
      </c>
    </row>
    <row r="2976" spans="2:9">
      <c r="B2976" s="76">
        <v>2023.6993529029894</v>
      </c>
      <c r="C2976">
        <v>931.98670720847542</v>
      </c>
      <c r="D2976" s="77">
        <v>155.33111786807925</v>
      </c>
      <c r="E2976" s="77">
        <v>155.33111786807925</v>
      </c>
      <c r="F2976" s="77">
        <v>155.33111786807925</v>
      </c>
      <c r="G2976" s="77">
        <v>155.33111786807925</v>
      </c>
      <c r="H2976" s="77">
        <v>155.33111786807925</v>
      </c>
      <c r="I2976" s="77">
        <v>155.33111786807925</v>
      </c>
    </row>
    <row r="2977" spans="2:9">
      <c r="B2977" s="76">
        <v>2022.7751817982282</v>
      </c>
      <c r="C2977">
        <v>865.94532885311844</v>
      </c>
      <c r="D2977" s="77">
        <v>144.32422147551975</v>
      </c>
      <c r="E2977" s="77">
        <v>144.32422147551975</v>
      </c>
      <c r="F2977" s="77">
        <v>144.32422147551975</v>
      </c>
      <c r="G2977" s="77">
        <v>144.32422147551975</v>
      </c>
      <c r="H2977" s="77">
        <v>144.32422147551975</v>
      </c>
      <c r="I2977" s="77">
        <v>144.32422147551975</v>
      </c>
    </row>
    <row r="2978" spans="2:9">
      <c r="B2978" s="76">
        <v>2023.234088661716</v>
      </c>
      <c r="C2978">
        <v>875.32426496176458</v>
      </c>
      <c r="D2978" s="77">
        <v>145.88737749362744</v>
      </c>
      <c r="E2978" s="77">
        <v>145.88737749362744</v>
      </c>
      <c r="F2978" s="77">
        <v>145.88737749362744</v>
      </c>
      <c r="G2978" s="77">
        <v>145.88737749362744</v>
      </c>
      <c r="H2978" s="77">
        <v>145.88737749362744</v>
      </c>
      <c r="I2978" s="77">
        <v>145.88737749362744</v>
      </c>
    </row>
    <row r="2979" spans="2:9">
      <c r="B2979" s="76">
        <v>2022.8538483506534</v>
      </c>
      <c r="C2979">
        <v>849.19142130410671</v>
      </c>
      <c r="D2979" s="77">
        <v>141.53190355068446</v>
      </c>
      <c r="E2979" s="77">
        <v>141.53190355068446</v>
      </c>
      <c r="F2979" s="77">
        <v>141.53190355068446</v>
      </c>
      <c r="G2979" s="77">
        <v>141.53190355068446</v>
      </c>
      <c r="H2979" s="77">
        <v>141.53190355068446</v>
      </c>
      <c r="I2979" s="77">
        <v>141.53190355068446</v>
      </c>
    </row>
    <row r="2980" spans="2:9">
      <c r="B2980" s="76">
        <v>2024.8648462075994</v>
      </c>
      <c r="C2980">
        <v>1099.3355905418184</v>
      </c>
      <c r="D2980" s="77">
        <v>183.22259842363641</v>
      </c>
      <c r="E2980" s="77">
        <v>183.22259842363641</v>
      </c>
      <c r="F2980" s="77">
        <v>183.22259842363641</v>
      </c>
      <c r="G2980" s="77">
        <v>183.22259842363641</v>
      </c>
      <c r="H2980" s="77">
        <v>183.22259842363641</v>
      </c>
      <c r="I2980" s="77">
        <v>183.22259842363641</v>
      </c>
    </row>
    <row r="2981" spans="2:9">
      <c r="B2981" s="76">
        <v>2024.7288219719208</v>
      </c>
      <c r="C2981">
        <v>1123.6829151502657</v>
      </c>
      <c r="D2981" s="77">
        <v>187.2804858583776</v>
      </c>
      <c r="E2981" s="77">
        <v>187.2804858583776</v>
      </c>
      <c r="F2981" s="77">
        <v>187.2804858583776</v>
      </c>
      <c r="G2981" s="77">
        <v>187.2804858583776</v>
      </c>
      <c r="H2981" s="77">
        <v>187.2804858583776</v>
      </c>
      <c r="I2981" s="77">
        <v>187.2804858583776</v>
      </c>
    </row>
    <row r="2982" spans="2:9">
      <c r="B2982" s="76">
        <v>2023.1691215643782</v>
      </c>
      <c r="C2982">
        <v>993.86720808385394</v>
      </c>
      <c r="D2982" s="77">
        <v>165.64453468064232</v>
      </c>
      <c r="E2982" s="77">
        <v>165.64453468064232</v>
      </c>
      <c r="F2982" s="77">
        <v>165.64453468064232</v>
      </c>
      <c r="G2982" s="77">
        <v>165.64453468064232</v>
      </c>
      <c r="H2982" s="77">
        <v>165.64453468064232</v>
      </c>
      <c r="I2982" s="77">
        <v>165.64453468064232</v>
      </c>
    </row>
    <row r="2983" spans="2:9">
      <c r="B2983" s="76">
        <v>2024.9304368645214</v>
      </c>
      <c r="C2983">
        <v>1145.5968468046965</v>
      </c>
      <c r="D2983" s="77">
        <v>190.93280780078274</v>
      </c>
      <c r="E2983" s="77">
        <v>190.93280780078274</v>
      </c>
      <c r="F2983" s="77">
        <v>190.93280780078274</v>
      </c>
      <c r="G2983" s="77">
        <v>190.93280780078274</v>
      </c>
      <c r="H2983" s="77">
        <v>190.93280780078274</v>
      </c>
      <c r="I2983" s="77">
        <v>190.93280780078274</v>
      </c>
    </row>
    <row r="2984" spans="2:9">
      <c r="B2984" s="76">
        <v>2023.4364240964476</v>
      </c>
      <c r="C2984">
        <v>977.04313147262599</v>
      </c>
      <c r="D2984" s="77">
        <v>162.84052191210432</v>
      </c>
      <c r="E2984" s="77">
        <v>162.84052191210432</v>
      </c>
      <c r="F2984" s="77">
        <v>162.84052191210432</v>
      </c>
      <c r="G2984" s="77">
        <v>162.84052191210432</v>
      </c>
      <c r="H2984" s="77">
        <v>162.84052191210432</v>
      </c>
      <c r="I2984" s="77">
        <v>162.84052191210432</v>
      </c>
    </row>
    <row r="2985" spans="2:9">
      <c r="B2985" s="76">
        <v>2025.6065889826691</v>
      </c>
      <c r="C2985">
        <v>1292.059466523626</v>
      </c>
      <c r="D2985" s="77">
        <v>215.34324442060435</v>
      </c>
      <c r="E2985" s="77">
        <v>215.34324442060435</v>
      </c>
      <c r="F2985" s="77">
        <v>215.34324442060435</v>
      </c>
      <c r="G2985" s="77">
        <v>215.34324442060435</v>
      </c>
      <c r="H2985" s="77">
        <v>215.34324442060435</v>
      </c>
      <c r="I2985" s="77">
        <v>215.34324442060435</v>
      </c>
    </row>
    <row r="2986" spans="2:9">
      <c r="B2986" s="76">
        <v>2025.1851613342938</v>
      </c>
      <c r="C2986">
        <v>1096.6449552006575</v>
      </c>
      <c r="D2986" s="77">
        <v>182.77415920010958</v>
      </c>
      <c r="E2986" s="77">
        <v>182.77415920010958</v>
      </c>
      <c r="F2986" s="77">
        <v>182.77415920010958</v>
      </c>
      <c r="G2986" s="77">
        <v>182.77415920010958</v>
      </c>
      <c r="H2986" s="77">
        <v>182.77415920010958</v>
      </c>
      <c r="I2986" s="77">
        <v>182.77415920010958</v>
      </c>
    </row>
    <row r="2987" spans="2:9">
      <c r="B2987" s="76">
        <v>2023.6286459959881</v>
      </c>
      <c r="C2987">
        <v>1014.003385152816</v>
      </c>
      <c r="D2987" s="77">
        <v>169.00056419213601</v>
      </c>
      <c r="E2987" s="77">
        <v>169.00056419213601</v>
      </c>
      <c r="F2987" s="77">
        <v>169.00056419213601</v>
      </c>
      <c r="G2987" s="77">
        <v>169.00056419213601</v>
      </c>
      <c r="H2987" s="77">
        <v>169.00056419213601</v>
      </c>
      <c r="I2987" s="77">
        <v>169.00056419213601</v>
      </c>
    </row>
    <row r="2988" spans="2:9">
      <c r="B2988" s="76">
        <v>2023.2606847406387</v>
      </c>
      <c r="C2988">
        <v>952.86864065626844</v>
      </c>
      <c r="D2988" s="77">
        <v>158.81144010937808</v>
      </c>
      <c r="E2988" s="77">
        <v>158.81144010937808</v>
      </c>
      <c r="F2988" s="77">
        <v>158.81144010937808</v>
      </c>
      <c r="G2988" s="77">
        <v>158.81144010937808</v>
      </c>
      <c r="H2988" s="77">
        <v>158.81144010937808</v>
      </c>
      <c r="I2988" s="77">
        <v>158.81144010937808</v>
      </c>
    </row>
    <row r="2989" spans="2:9">
      <c r="B2989" s="76">
        <v>2023.0161567074151</v>
      </c>
      <c r="C2989">
        <v>857.88129640259433</v>
      </c>
      <c r="D2989" s="77">
        <v>142.98021606709906</v>
      </c>
      <c r="E2989" s="77">
        <v>142.98021606709906</v>
      </c>
      <c r="F2989" s="77">
        <v>142.98021606709906</v>
      </c>
      <c r="G2989" s="77">
        <v>142.98021606709906</v>
      </c>
      <c r="H2989" s="77">
        <v>142.98021606709906</v>
      </c>
      <c r="I2989" s="77">
        <v>142.98021606709906</v>
      </c>
    </row>
    <row r="2990" spans="2:9">
      <c r="B2990" s="76">
        <v>2023.1649769412816</v>
      </c>
      <c r="C2990">
        <v>940.50792781229325</v>
      </c>
      <c r="D2990" s="77">
        <v>156.75132130204886</v>
      </c>
      <c r="E2990" s="77">
        <v>156.75132130204886</v>
      </c>
      <c r="F2990" s="77">
        <v>156.75132130204886</v>
      </c>
      <c r="G2990" s="77">
        <v>156.75132130204886</v>
      </c>
      <c r="H2990" s="77">
        <v>156.75132130204886</v>
      </c>
      <c r="I2990" s="77">
        <v>156.75132130204886</v>
      </c>
    </row>
    <row r="2991" spans="2:9">
      <c r="B2991" s="76">
        <v>2023.5121434889111</v>
      </c>
      <c r="C2991">
        <v>936.81814080036031</v>
      </c>
      <c r="D2991" s="77">
        <v>156.13635680006004</v>
      </c>
      <c r="E2991" s="77">
        <v>156.13635680006004</v>
      </c>
      <c r="F2991" s="77">
        <v>156.13635680006004</v>
      </c>
      <c r="G2991" s="77">
        <v>156.13635680006004</v>
      </c>
      <c r="H2991" s="77">
        <v>156.13635680006004</v>
      </c>
      <c r="I2991" s="77">
        <v>156.13635680006004</v>
      </c>
    </row>
    <row r="2992" spans="2:9">
      <c r="B2992" s="76">
        <v>2022.926755709298</v>
      </c>
      <c r="C2992">
        <v>882.62068254522262</v>
      </c>
      <c r="D2992" s="77">
        <v>147.10344709087045</v>
      </c>
      <c r="E2992" s="77">
        <v>147.10344709087045</v>
      </c>
      <c r="F2992" s="77">
        <v>147.10344709087045</v>
      </c>
      <c r="G2992" s="77">
        <v>147.10344709087045</v>
      </c>
      <c r="H2992" s="77">
        <v>147.10344709087045</v>
      </c>
      <c r="I2992" s="77">
        <v>147.10344709087045</v>
      </c>
    </row>
    <row r="2993" spans="2:9">
      <c r="B2993" s="76">
        <v>2022.9495499655468</v>
      </c>
      <c r="C2993">
        <v>922.4823086850555</v>
      </c>
      <c r="D2993" s="77">
        <v>153.74705144750925</v>
      </c>
      <c r="E2993" s="77">
        <v>153.74705144750925</v>
      </c>
      <c r="F2993" s="77">
        <v>153.74705144750925</v>
      </c>
      <c r="G2993" s="77">
        <v>153.74705144750925</v>
      </c>
      <c r="H2993" s="77">
        <v>153.74705144750925</v>
      </c>
      <c r="I2993" s="77">
        <v>153.74705144750925</v>
      </c>
    </row>
    <row r="2994" spans="2:9">
      <c r="B2994" s="76">
        <v>2022.9990868698674</v>
      </c>
      <c r="C2994">
        <v>850.77032194753167</v>
      </c>
      <c r="D2994" s="77">
        <v>141.79505365792195</v>
      </c>
      <c r="E2994" s="77">
        <v>141.79505365792195</v>
      </c>
      <c r="F2994" s="77">
        <v>141.79505365792195</v>
      </c>
      <c r="G2994" s="77">
        <v>141.79505365792195</v>
      </c>
      <c r="H2994" s="77">
        <v>141.79505365792195</v>
      </c>
      <c r="I2994" s="77">
        <v>141.79505365792195</v>
      </c>
    </row>
    <row r="2995" spans="2:9">
      <c r="B2995" s="76">
        <v>2024.6970635458745</v>
      </c>
      <c r="C2995">
        <v>1074.93641407226</v>
      </c>
      <c r="D2995" s="77">
        <v>179.15606901204333</v>
      </c>
      <c r="E2995" s="77">
        <v>179.15606901204333</v>
      </c>
      <c r="F2995" s="77">
        <v>179.15606901204333</v>
      </c>
      <c r="G2995" s="77">
        <v>179.15606901204333</v>
      </c>
      <c r="H2995" s="77">
        <v>179.15606901204333</v>
      </c>
      <c r="I2995" s="77">
        <v>179.15606901204333</v>
      </c>
    </row>
    <row r="2996" spans="2:9">
      <c r="B2996" s="76">
        <v>2023.0351970189738</v>
      </c>
      <c r="C2996">
        <v>897.89562853841198</v>
      </c>
      <c r="D2996" s="77">
        <v>149.64927142306865</v>
      </c>
      <c r="E2996" s="77">
        <v>149.64927142306865</v>
      </c>
      <c r="F2996" s="77">
        <v>149.64927142306865</v>
      </c>
      <c r="G2996" s="77">
        <v>149.64927142306865</v>
      </c>
      <c r="H2996" s="77">
        <v>149.64927142306865</v>
      </c>
      <c r="I2996" s="77">
        <v>149.64927142306865</v>
      </c>
    </row>
    <row r="2997" spans="2:9">
      <c r="B2997" s="76">
        <v>2022.8576523031427</v>
      </c>
      <c r="C2997">
        <v>850.16480460736364</v>
      </c>
      <c r="D2997" s="77">
        <v>141.69413410122726</v>
      </c>
      <c r="E2997" s="77">
        <v>141.69413410122726</v>
      </c>
      <c r="F2997" s="77">
        <v>141.69413410122726</v>
      </c>
      <c r="G2997" s="77">
        <v>141.69413410122726</v>
      </c>
      <c r="H2997" s="77">
        <v>141.69413410122726</v>
      </c>
      <c r="I2997" s="77">
        <v>141.69413410122726</v>
      </c>
    </row>
    <row r="2998" spans="2:9">
      <c r="B2998" s="76">
        <v>2023.4272133658205</v>
      </c>
      <c r="C2998">
        <v>904.89920937704755</v>
      </c>
      <c r="D2998" s="77">
        <v>150.8165348961746</v>
      </c>
      <c r="E2998" s="77">
        <v>150.8165348961746</v>
      </c>
      <c r="F2998" s="77">
        <v>150.8165348961746</v>
      </c>
      <c r="G2998" s="77">
        <v>150.8165348961746</v>
      </c>
      <c r="H2998" s="77">
        <v>150.8165348961746</v>
      </c>
      <c r="I2998" s="77">
        <v>150.8165348961746</v>
      </c>
    </row>
    <row r="2999" spans="2:9">
      <c r="B2999" s="76">
        <v>2024.6542832637974</v>
      </c>
      <c r="C2999">
        <v>1172.4984531788432</v>
      </c>
      <c r="D2999" s="77">
        <v>195.41640886314053</v>
      </c>
      <c r="E2999" s="77">
        <v>195.41640886314053</v>
      </c>
      <c r="F2999" s="77">
        <v>195.41640886314053</v>
      </c>
      <c r="G2999" s="77">
        <v>195.41640886314053</v>
      </c>
      <c r="H2999" s="77">
        <v>195.41640886314053</v>
      </c>
      <c r="I2999" s="77">
        <v>195.41640886314053</v>
      </c>
    </row>
    <row r="3000" spans="2:9">
      <c r="B3000" s="76">
        <v>2023.0939681736527</v>
      </c>
      <c r="C3000">
        <v>914.32022600455241</v>
      </c>
      <c r="D3000" s="77">
        <v>152.38670433409206</v>
      </c>
      <c r="E3000" s="77">
        <v>152.38670433409206</v>
      </c>
      <c r="F3000" s="77">
        <v>152.38670433409206</v>
      </c>
      <c r="G3000" s="77">
        <v>152.38670433409206</v>
      </c>
      <c r="H3000" s="77">
        <v>152.38670433409206</v>
      </c>
      <c r="I3000" s="77">
        <v>152.38670433409206</v>
      </c>
    </row>
    <row r="3001" spans="2:9">
      <c r="B3001" s="76">
        <v>2022.6371958837321</v>
      </c>
      <c r="C3001">
        <v>813.47992371528642</v>
      </c>
      <c r="D3001" s="77">
        <v>135.57998728588106</v>
      </c>
      <c r="E3001" s="77">
        <v>135.57998728588106</v>
      </c>
      <c r="F3001" s="77">
        <v>135.57998728588106</v>
      </c>
      <c r="G3001" s="77">
        <v>135.57998728588106</v>
      </c>
      <c r="H3001" s="77">
        <v>135.57998728588106</v>
      </c>
      <c r="I3001" s="77">
        <v>135.57998728588106</v>
      </c>
    </row>
    <row r="3002" spans="2:9">
      <c r="B3002" s="76">
        <v>2023.837018868802</v>
      </c>
      <c r="C3002">
        <v>988.73929431083138</v>
      </c>
      <c r="D3002" s="77">
        <v>164.78988238513855</v>
      </c>
      <c r="E3002" s="77">
        <v>164.78988238513855</v>
      </c>
      <c r="F3002" s="77">
        <v>164.78988238513855</v>
      </c>
      <c r="G3002" s="77">
        <v>164.78988238513855</v>
      </c>
      <c r="H3002" s="77">
        <v>164.78988238513855</v>
      </c>
      <c r="I3002" s="77">
        <v>164.78988238513855</v>
      </c>
    </row>
    <row r="3003" spans="2:9">
      <c r="B3003" s="76">
        <v>2023.201377018057</v>
      </c>
      <c r="C3003">
        <v>874.81169119259687</v>
      </c>
      <c r="D3003" s="77">
        <v>145.80194853209949</v>
      </c>
      <c r="E3003" s="77">
        <v>145.80194853209949</v>
      </c>
      <c r="F3003" s="77">
        <v>145.80194853209949</v>
      </c>
      <c r="G3003" s="77">
        <v>145.80194853209949</v>
      </c>
      <c r="H3003" s="77">
        <v>145.80194853209949</v>
      </c>
      <c r="I3003" s="77">
        <v>145.80194853209949</v>
      </c>
    </row>
    <row r="3004" spans="2:9">
      <c r="B3004" s="76">
        <v>2022.5690532811132</v>
      </c>
      <c r="C3004">
        <v>864.68972842501807</v>
      </c>
      <c r="D3004" s="77">
        <v>144.11495473750301</v>
      </c>
      <c r="E3004" s="77">
        <v>144.11495473750301</v>
      </c>
      <c r="F3004" s="77">
        <v>144.11495473750301</v>
      </c>
      <c r="G3004" s="77">
        <v>144.11495473750301</v>
      </c>
      <c r="H3004" s="77">
        <v>144.11495473750301</v>
      </c>
      <c r="I3004" s="77">
        <v>144.11495473750301</v>
      </c>
    </row>
    <row r="3005" spans="2:9">
      <c r="B3005" s="76">
        <v>2024.9007206876524</v>
      </c>
      <c r="C3005">
        <v>1136.9385334127178</v>
      </c>
      <c r="D3005" s="77">
        <v>189.48975556878631</v>
      </c>
      <c r="E3005" s="77">
        <v>189.48975556878631</v>
      </c>
      <c r="F3005" s="77">
        <v>189.48975556878631</v>
      </c>
      <c r="G3005" s="77">
        <v>189.48975556878631</v>
      </c>
      <c r="H3005" s="77">
        <v>189.48975556878631</v>
      </c>
      <c r="I3005" s="77">
        <v>189.48975556878631</v>
      </c>
    </row>
    <row r="3006" spans="2:9">
      <c r="B3006" s="76">
        <v>2024.2191269762345</v>
      </c>
      <c r="C3006">
        <v>1002.9626203463852</v>
      </c>
      <c r="D3006" s="77">
        <v>167.16043672439753</v>
      </c>
      <c r="E3006" s="77">
        <v>167.16043672439753</v>
      </c>
      <c r="F3006" s="77">
        <v>167.16043672439753</v>
      </c>
      <c r="G3006" s="77">
        <v>167.16043672439753</v>
      </c>
      <c r="H3006" s="77">
        <v>167.16043672439753</v>
      </c>
      <c r="I3006" s="77">
        <v>167.16043672439753</v>
      </c>
    </row>
    <row r="3007" spans="2:9">
      <c r="B3007" s="76">
        <v>2024.5480667982424</v>
      </c>
      <c r="C3007">
        <v>1080.0642756913369</v>
      </c>
      <c r="D3007" s="77">
        <v>180.01071261522281</v>
      </c>
      <c r="E3007" s="77">
        <v>180.01071261522281</v>
      </c>
      <c r="F3007" s="77">
        <v>180.01071261522281</v>
      </c>
      <c r="G3007" s="77">
        <v>180.01071261522281</v>
      </c>
      <c r="H3007" s="77">
        <v>180.01071261522281</v>
      </c>
      <c r="I3007" s="77">
        <v>180.01071261522281</v>
      </c>
    </row>
    <row r="3008" spans="2:9">
      <c r="B3008" s="76">
        <v>2025.2472579819805</v>
      </c>
      <c r="C3008">
        <v>1165.7556374971418</v>
      </c>
      <c r="D3008" s="77">
        <v>194.29260624952363</v>
      </c>
      <c r="E3008" s="77">
        <v>194.29260624952363</v>
      </c>
      <c r="F3008" s="77">
        <v>194.29260624952363</v>
      </c>
      <c r="G3008" s="77">
        <v>194.29260624952363</v>
      </c>
      <c r="H3008" s="77">
        <v>194.29260624952363</v>
      </c>
      <c r="I3008" s="77">
        <v>194.29260624952363</v>
      </c>
    </row>
    <row r="3009" spans="2:9">
      <c r="B3009" s="76">
        <v>2023.108919095303</v>
      </c>
      <c r="C3009">
        <v>881.496751648393</v>
      </c>
      <c r="D3009" s="77">
        <v>146.91612527473217</v>
      </c>
      <c r="E3009" s="77">
        <v>146.91612527473217</v>
      </c>
      <c r="F3009" s="77">
        <v>146.91612527473217</v>
      </c>
      <c r="G3009" s="77">
        <v>146.91612527473217</v>
      </c>
      <c r="H3009" s="77">
        <v>146.91612527473217</v>
      </c>
      <c r="I3009" s="77">
        <v>146.91612527473217</v>
      </c>
    </row>
    <row r="3010" spans="2:9">
      <c r="B3010" s="76">
        <v>2022.7521013412543</v>
      </c>
      <c r="C3010">
        <v>908.13023654558231</v>
      </c>
      <c r="D3010" s="77">
        <v>151.35503942426371</v>
      </c>
      <c r="E3010" s="77">
        <v>151.35503942426371</v>
      </c>
      <c r="F3010" s="77">
        <v>151.35503942426371</v>
      </c>
      <c r="G3010" s="77">
        <v>151.35503942426371</v>
      </c>
      <c r="H3010" s="77">
        <v>151.35503942426371</v>
      </c>
      <c r="I3010" s="77">
        <v>151.35503942426371</v>
      </c>
    </row>
    <row r="3011" spans="2:9">
      <c r="B3011" s="76">
        <v>2023.2450282591483</v>
      </c>
      <c r="C3011">
        <v>943.84708173567162</v>
      </c>
      <c r="D3011" s="77">
        <v>157.30784695594528</v>
      </c>
      <c r="E3011" s="77">
        <v>157.30784695594528</v>
      </c>
      <c r="F3011" s="77">
        <v>157.30784695594528</v>
      </c>
      <c r="G3011" s="77">
        <v>157.30784695594528</v>
      </c>
      <c r="H3011" s="77">
        <v>157.30784695594528</v>
      </c>
      <c r="I3011" s="77">
        <v>157.30784695594528</v>
      </c>
    </row>
    <row r="3012" spans="2:9">
      <c r="B3012" s="76">
        <v>2023.3424410941257</v>
      </c>
      <c r="C3012">
        <v>973.34477890756375</v>
      </c>
      <c r="D3012" s="77">
        <v>162.22412981792729</v>
      </c>
      <c r="E3012" s="77">
        <v>162.22412981792729</v>
      </c>
      <c r="F3012" s="77">
        <v>162.22412981792729</v>
      </c>
      <c r="G3012" s="77">
        <v>162.22412981792729</v>
      </c>
      <c r="H3012" s="77">
        <v>162.22412981792729</v>
      </c>
      <c r="I3012" s="77">
        <v>162.22412981792729</v>
      </c>
    </row>
    <row r="3013" spans="2:9">
      <c r="B3013" s="76">
        <v>2022.9635442125357</v>
      </c>
      <c r="C3013">
        <v>825.66290579547524</v>
      </c>
      <c r="D3013" s="77">
        <v>137.61048429924588</v>
      </c>
      <c r="E3013" s="77">
        <v>137.61048429924588</v>
      </c>
      <c r="F3013" s="77">
        <v>137.61048429924588</v>
      </c>
      <c r="G3013" s="77">
        <v>137.61048429924588</v>
      </c>
      <c r="H3013" s="77">
        <v>137.61048429924588</v>
      </c>
      <c r="I3013" s="77">
        <v>137.61048429924588</v>
      </c>
    </row>
    <row r="3014" spans="2:9">
      <c r="B3014" s="76">
        <v>2022.6645672698191</v>
      </c>
      <c r="C3014">
        <v>825.10351311024579</v>
      </c>
      <c r="D3014" s="77">
        <v>137.51725218504097</v>
      </c>
      <c r="E3014" s="77">
        <v>137.51725218504097</v>
      </c>
      <c r="F3014" s="77">
        <v>137.51725218504097</v>
      </c>
      <c r="G3014" s="77">
        <v>137.51725218504097</v>
      </c>
      <c r="H3014" s="77">
        <v>137.51725218504097</v>
      </c>
      <c r="I3014" s="77">
        <v>137.51725218504097</v>
      </c>
    </row>
    <row r="3015" spans="2:9">
      <c r="B3015" s="76">
        <v>2023.1006956084009</v>
      </c>
      <c r="C3015">
        <v>968.11444662910537</v>
      </c>
      <c r="D3015" s="77">
        <v>161.35240777151756</v>
      </c>
      <c r="E3015" s="77">
        <v>161.35240777151756</v>
      </c>
      <c r="F3015" s="77">
        <v>161.35240777151756</v>
      </c>
      <c r="G3015" s="77">
        <v>161.35240777151756</v>
      </c>
      <c r="H3015" s="77">
        <v>161.35240777151756</v>
      </c>
      <c r="I3015" s="77">
        <v>161.35240777151756</v>
      </c>
    </row>
    <row r="3016" spans="2:9">
      <c r="B3016" s="76">
        <v>2024.3748784985903</v>
      </c>
      <c r="C3016">
        <v>954.23881851037572</v>
      </c>
      <c r="D3016" s="77">
        <v>159.03980308506263</v>
      </c>
      <c r="E3016" s="77">
        <v>159.03980308506263</v>
      </c>
      <c r="F3016" s="77">
        <v>159.03980308506263</v>
      </c>
      <c r="G3016" s="77">
        <v>159.03980308506263</v>
      </c>
      <c r="H3016" s="77">
        <v>159.03980308506263</v>
      </c>
      <c r="I3016" s="77">
        <v>159.03980308506263</v>
      </c>
    </row>
    <row r="3017" spans="2:9">
      <c r="B3017" s="76">
        <v>2023.6145418799424</v>
      </c>
      <c r="C3017">
        <v>948.2029899668313</v>
      </c>
      <c r="D3017" s="77">
        <v>158.03383166113855</v>
      </c>
      <c r="E3017" s="77">
        <v>158.03383166113855</v>
      </c>
      <c r="F3017" s="77">
        <v>158.03383166113855</v>
      </c>
      <c r="G3017" s="77">
        <v>158.03383166113855</v>
      </c>
      <c r="H3017" s="77">
        <v>158.03383166113855</v>
      </c>
      <c r="I3017" s="77">
        <v>158.03383166113855</v>
      </c>
    </row>
    <row r="3018" spans="2:9">
      <c r="B3018" s="76">
        <v>2023.1283254052489</v>
      </c>
      <c r="C3018">
        <v>917.9033519465396</v>
      </c>
      <c r="D3018" s="77">
        <v>152.98389199108993</v>
      </c>
      <c r="E3018" s="77">
        <v>152.98389199108993</v>
      </c>
      <c r="F3018" s="77">
        <v>152.98389199108993</v>
      </c>
      <c r="G3018" s="77">
        <v>152.98389199108993</v>
      </c>
      <c r="H3018" s="77">
        <v>152.98389199108993</v>
      </c>
      <c r="I3018" s="77">
        <v>152.98389199108993</v>
      </c>
    </row>
    <row r="3019" spans="2:9">
      <c r="B3019" s="76">
        <v>2024.6089033542744</v>
      </c>
      <c r="C3019">
        <v>1048.2645739531558</v>
      </c>
      <c r="D3019" s="77">
        <v>174.71076232552596</v>
      </c>
      <c r="E3019" s="77">
        <v>174.71076232552596</v>
      </c>
      <c r="F3019" s="77">
        <v>174.71076232552596</v>
      </c>
      <c r="G3019" s="77">
        <v>174.71076232552596</v>
      </c>
      <c r="H3019" s="77">
        <v>174.71076232552596</v>
      </c>
      <c r="I3019" s="77">
        <v>174.71076232552596</v>
      </c>
    </row>
    <row r="3020" spans="2:9">
      <c r="B3020" s="76">
        <v>2023.2966916460457</v>
      </c>
      <c r="C3020">
        <v>896.24598374355298</v>
      </c>
      <c r="D3020" s="77">
        <v>149.37433062392549</v>
      </c>
      <c r="E3020" s="77">
        <v>149.37433062392549</v>
      </c>
      <c r="F3020" s="77">
        <v>149.37433062392549</v>
      </c>
      <c r="G3020" s="77">
        <v>149.37433062392549</v>
      </c>
      <c r="H3020" s="77">
        <v>149.37433062392549</v>
      </c>
      <c r="I3020" s="77">
        <v>149.37433062392549</v>
      </c>
    </row>
    <row r="3021" spans="2:9">
      <c r="B3021" s="76">
        <v>2022.9764894099583</v>
      </c>
      <c r="C3021">
        <v>878.65207362948263</v>
      </c>
      <c r="D3021" s="77">
        <v>146.44201227158044</v>
      </c>
      <c r="E3021" s="77">
        <v>146.44201227158044</v>
      </c>
      <c r="F3021" s="77">
        <v>146.44201227158044</v>
      </c>
      <c r="G3021" s="77">
        <v>146.44201227158044</v>
      </c>
      <c r="H3021" s="77">
        <v>146.44201227158044</v>
      </c>
      <c r="I3021" s="77">
        <v>146.44201227158044</v>
      </c>
    </row>
    <row r="3022" spans="2:9">
      <c r="B3022" s="76">
        <v>2023.344979725307</v>
      </c>
      <c r="C3022">
        <v>950.28880122208454</v>
      </c>
      <c r="D3022" s="77">
        <v>158.38146687034742</v>
      </c>
      <c r="E3022" s="77">
        <v>158.38146687034742</v>
      </c>
      <c r="F3022" s="77">
        <v>158.38146687034742</v>
      </c>
      <c r="G3022" s="77">
        <v>158.38146687034742</v>
      </c>
      <c r="H3022" s="77">
        <v>158.38146687034742</v>
      </c>
      <c r="I3022" s="77">
        <v>158.38146687034742</v>
      </c>
    </row>
    <row r="3023" spans="2:9">
      <c r="B3023" s="76">
        <v>2024.5553933706867</v>
      </c>
      <c r="C3023">
        <v>1137.6119091190089</v>
      </c>
      <c r="D3023" s="77">
        <v>189.60198485316815</v>
      </c>
      <c r="E3023" s="77">
        <v>189.60198485316815</v>
      </c>
      <c r="F3023" s="77">
        <v>189.60198485316815</v>
      </c>
      <c r="G3023" s="77">
        <v>189.60198485316815</v>
      </c>
      <c r="H3023" s="77">
        <v>189.60198485316815</v>
      </c>
      <c r="I3023" s="77">
        <v>189.60198485316815</v>
      </c>
    </row>
    <row r="3024" spans="2:9">
      <c r="B3024" s="76">
        <v>2023.0923564587874</v>
      </c>
      <c r="C3024">
        <v>892.80818397480652</v>
      </c>
      <c r="D3024" s="77">
        <v>148.8013639958011</v>
      </c>
      <c r="E3024" s="77">
        <v>148.8013639958011</v>
      </c>
      <c r="F3024" s="77">
        <v>148.8013639958011</v>
      </c>
      <c r="G3024" s="77">
        <v>148.8013639958011</v>
      </c>
      <c r="H3024" s="77">
        <v>148.8013639958011</v>
      </c>
      <c r="I3024" s="77">
        <v>148.8013639958011</v>
      </c>
    </row>
    <row r="3025" spans="2:9">
      <c r="B3025" s="76">
        <v>2023.0306149558999</v>
      </c>
      <c r="C3025">
        <v>861.66796620858133</v>
      </c>
      <c r="D3025" s="77">
        <v>143.61132770143021</v>
      </c>
      <c r="E3025" s="77">
        <v>143.61132770143021</v>
      </c>
      <c r="F3025" s="77">
        <v>143.61132770143021</v>
      </c>
      <c r="G3025" s="77">
        <v>143.61132770143021</v>
      </c>
      <c r="H3025" s="77">
        <v>143.61132770143021</v>
      </c>
      <c r="I3025" s="77">
        <v>143.61132770143021</v>
      </c>
    </row>
    <row r="3026" spans="2:9">
      <c r="B3026" s="76">
        <v>2024.8784405234744</v>
      </c>
      <c r="C3026">
        <v>1120.9317268897862</v>
      </c>
      <c r="D3026" s="77">
        <v>186.82195448163102</v>
      </c>
      <c r="E3026" s="77">
        <v>186.82195448163102</v>
      </c>
      <c r="F3026" s="77">
        <v>186.82195448163102</v>
      </c>
      <c r="G3026" s="77">
        <v>186.82195448163102</v>
      </c>
      <c r="H3026" s="77">
        <v>186.82195448163102</v>
      </c>
      <c r="I3026" s="77">
        <v>186.82195448163102</v>
      </c>
    </row>
    <row r="3027" spans="2:9">
      <c r="B3027" s="76">
        <v>2024.412219577461</v>
      </c>
      <c r="C3027">
        <v>1063.5612205718662</v>
      </c>
      <c r="D3027" s="77">
        <v>177.26020342864436</v>
      </c>
      <c r="E3027" s="77">
        <v>177.26020342864436</v>
      </c>
      <c r="F3027" s="77">
        <v>177.26020342864436</v>
      </c>
      <c r="G3027" s="77">
        <v>177.26020342864436</v>
      </c>
      <c r="H3027" s="77">
        <v>177.26020342864436</v>
      </c>
      <c r="I3027" s="77">
        <v>177.26020342864436</v>
      </c>
    </row>
    <row r="3028" spans="2:9">
      <c r="B3028" s="76">
        <v>2022.973055466498</v>
      </c>
      <c r="C3028">
        <v>867.76615739912359</v>
      </c>
      <c r="D3028" s="77">
        <v>144.62769289985394</v>
      </c>
      <c r="E3028" s="77">
        <v>144.62769289985394</v>
      </c>
      <c r="F3028" s="77">
        <v>144.62769289985394</v>
      </c>
      <c r="G3028" s="77">
        <v>144.62769289985394</v>
      </c>
      <c r="H3028" s="77">
        <v>144.62769289985394</v>
      </c>
      <c r="I3028" s="77">
        <v>144.62769289985394</v>
      </c>
    </row>
    <row r="3029" spans="2:9">
      <c r="B3029" s="76">
        <v>2023.0604764632101</v>
      </c>
      <c r="C3029">
        <v>905.90381351803569</v>
      </c>
      <c r="D3029" s="77">
        <v>150.98396891967261</v>
      </c>
      <c r="E3029" s="77">
        <v>150.98396891967261</v>
      </c>
      <c r="F3029" s="77">
        <v>150.98396891967261</v>
      </c>
      <c r="G3029" s="77">
        <v>150.98396891967261</v>
      </c>
      <c r="H3029" s="77">
        <v>150.98396891967261</v>
      </c>
      <c r="I3029" s="77">
        <v>150.98396891967261</v>
      </c>
    </row>
    <row r="3030" spans="2:9">
      <c r="B3030" s="76">
        <v>2023.1397731594334</v>
      </c>
      <c r="C3030">
        <v>901.21892949106541</v>
      </c>
      <c r="D3030" s="77">
        <v>150.20315491517758</v>
      </c>
      <c r="E3030" s="77">
        <v>150.20315491517758</v>
      </c>
      <c r="F3030" s="77">
        <v>150.20315491517758</v>
      </c>
      <c r="G3030" s="77">
        <v>150.20315491517758</v>
      </c>
      <c r="H3030" s="77">
        <v>150.20315491517758</v>
      </c>
      <c r="I3030" s="77">
        <v>150.20315491517758</v>
      </c>
    </row>
    <row r="3031" spans="2:9">
      <c r="B3031" s="76">
        <v>2024.9156676065311</v>
      </c>
      <c r="C3031">
        <v>1146.9277316928633</v>
      </c>
      <c r="D3031" s="77">
        <v>191.15462194881056</v>
      </c>
      <c r="E3031" s="77">
        <v>191.15462194881056</v>
      </c>
      <c r="F3031" s="77">
        <v>191.15462194881056</v>
      </c>
      <c r="G3031" s="77">
        <v>191.15462194881056</v>
      </c>
      <c r="H3031" s="77">
        <v>191.15462194881056</v>
      </c>
      <c r="I3031" s="77">
        <v>191.15462194881056</v>
      </c>
    </row>
    <row r="3032" spans="2:9">
      <c r="B3032" s="76">
        <v>2023.4840005811061</v>
      </c>
      <c r="C3032">
        <v>929.76506599032803</v>
      </c>
      <c r="D3032" s="77">
        <v>154.96084433172135</v>
      </c>
      <c r="E3032" s="77">
        <v>154.96084433172135</v>
      </c>
      <c r="F3032" s="77">
        <v>154.96084433172135</v>
      </c>
      <c r="G3032" s="77">
        <v>154.96084433172135</v>
      </c>
      <c r="H3032" s="77">
        <v>154.96084433172135</v>
      </c>
      <c r="I3032" s="77">
        <v>154.96084433172135</v>
      </c>
    </row>
    <row r="3033" spans="2:9">
      <c r="B3033" s="76">
        <v>2025.0670814088328</v>
      </c>
      <c r="C3033">
        <v>1104.8401168644689</v>
      </c>
      <c r="D3033" s="77">
        <v>184.14001947741147</v>
      </c>
      <c r="E3033" s="77">
        <v>184.14001947741147</v>
      </c>
      <c r="F3033" s="77">
        <v>184.14001947741147</v>
      </c>
      <c r="G3033" s="77">
        <v>184.14001947741147</v>
      </c>
      <c r="H3033" s="77">
        <v>184.14001947741147</v>
      </c>
      <c r="I3033" s="77">
        <v>184.14001947741147</v>
      </c>
    </row>
    <row r="3034" spans="2:9">
      <c r="B3034" s="76">
        <v>2023.0856745704871</v>
      </c>
      <c r="C3034">
        <v>914.17002872466958</v>
      </c>
      <c r="D3034" s="77">
        <v>152.36167145411159</v>
      </c>
      <c r="E3034" s="77">
        <v>152.36167145411159</v>
      </c>
      <c r="F3034" s="77">
        <v>152.36167145411159</v>
      </c>
      <c r="G3034" s="77">
        <v>152.36167145411159</v>
      </c>
      <c r="H3034" s="77">
        <v>152.36167145411159</v>
      </c>
      <c r="I3034" s="77">
        <v>152.36167145411159</v>
      </c>
    </row>
    <row r="3035" spans="2:9">
      <c r="B3035" s="76">
        <v>2023.0334269443763</v>
      </c>
      <c r="C3035">
        <v>907.19791099036843</v>
      </c>
      <c r="D3035" s="77">
        <v>151.19965183172806</v>
      </c>
      <c r="E3035" s="77">
        <v>151.19965183172806</v>
      </c>
      <c r="F3035" s="77">
        <v>151.19965183172806</v>
      </c>
      <c r="G3035" s="77">
        <v>151.19965183172806</v>
      </c>
      <c r="H3035" s="77">
        <v>151.19965183172806</v>
      </c>
      <c r="I3035" s="77">
        <v>151.19965183172806</v>
      </c>
    </row>
    <row r="3036" spans="2:9">
      <c r="B3036" s="76">
        <v>2023.1564131055072</v>
      </c>
      <c r="C3036">
        <v>896.30796524184404</v>
      </c>
      <c r="D3036" s="77">
        <v>149.38466087364068</v>
      </c>
      <c r="E3036" s="77">
        <v>149.38466087364068</v>
      </c>
      <c r="F3036" s="77">
        <v>149.38466087364068</v>
      </c>
      <c r="G3036" s="77">
        <v>149.38466087364068</v>
      </c>
      <c r="H3036" s="77">
        <v>149.38466087364068</v>
      </c>
      <c r="I3036" s="77">
        <v>149.38466087364068</v>
      </c>
    </row>
    <row r="3037" spans="2:9">
      <c r="B3037" s="76">
        <v>2023.055213291437</v>
      </c>
      <c r="C3037">
        <v>890.66949212386282</v>
      </c>
      <c r="D3037" s="77">
        <v>148.44491535397714</v>
      </c>
      <c r="E3037" s="77">
        <v>148.44491535397714</v>
      </c>
      <c r="F3037" s="77">
        <v>148.44491535397714</v>
      </c>
      <c r="G3037" s="77">
        <v>148.44491535397714</v>
      </c>
      <c r="H3037" s="77">
        <v>148.44491535397714</v>
      </c>
      <c r="I3037" s="77">
        <v>148.44491535397714</v>
      </c>
    </row>
    <row r="3038" spans="2:9">
      <c r="B3038" s="76">
        <v>2023.2260794875685</v>
      </c>
      <c r="C3038">
        <v>960.54442807124565</v>
      </c>
      <c r="D3038" s="77">
        <v>160.09073801187427</v>
      </c>
      <c r="E3038" s="77">
        <v>160.09073801187427</v>
      </c>
      <c r="F3038" s="77">
        <v>160.09073801187427</v>
      </c>
      <c r="G3038" s="77">
        <v>160.09073801187427</v>
      </c>
      <c r="H3038" s="77">
        <v>160.09073801187427</v>
      </c>
      <c r="I3038" s="77">
        <v>160.09073801187427</v>
      </c>
    </row>
    <row r="3039" spans="2:9">
      <c r="B3039" s="76">
        <v>2023.0760808801406</v>
      </c>
      <c r="C3039">
        <v>905.86033079625201</v>
      </c>
      <c r="D3039" s="77">
        <v>150.97672179937533</v>
      </c>
      <c r="E3039" s="77">
        <v>150.97672179937533</v>
      </c>
      <c r="F3039" s="77">
        <v>150.97672179937533</v>
      </c>
      <c r="G3039" s="77">
        <v>150.97672179937533</v>
      </c>
      <c r="H3039" s="77">
        <v>150.97672179937533</v>
      </c>
      <c r="I3039" s="77">
        <v>150.97672179937533</v>
      </c>
    </row>
    <row r="3040" spans="2:9">
      <c r="B3040" s="76">
        <v>2022.9976973398202</v>
      </c>
      <c r="C3040">
        <v>879.61761251185396</v>
      </c>
      <c r="D3040" s="77">
        <v>146.60293541864232</v>
      </c>
      <c r="E3040" s="77">
        <v>146.60293541864232</v>
      </c>
      <c r="F3040" s="77">
        <v>146.60293541864232</v>
      </c>
      <c r="G3040" s="77">
        <v>146.60293541864232</v>
      </c>
      <c r="H3040" s="77">
        <v>146.60293541864232</v>
      </c>
      <c r="I3040" s="77">
        <v>146.60293541864232</v>
      </c>
    </row>
    <row r="3041" spans="2:9">
      <c r="B3041" s="76">
        <v>2023.0610779024069</v>
      </c>
      <c r="C3041">
        <v>830.67537526478998</v>
      </c>
      <c r="D3041" s="77">
        <v>138.44589587746501</v>
      </c>
      <c r="E3041" s="77">
        <v>138.44589587746501</v>
      </c>
      <c r="F3041" s="77">
        <v>138.44589587746501</v>
      </c>
      <c r="G3041" s="77">
        <v>138.44589587746501</v>
      </c>
      <c r="H3041" s="77">
        <v>138.44589587746501</v>
      </c>
      <c r="I3041" s="77">
        <v>138.44589587746501</v>
      </c>
    </row>
    <row r="3042" spans="2:9">
      <c r="B3042" s="76">
        <v>2022.7172403885279</v>
      </c>
      <c r="C3042">
        <v>885.5632036991301</v>
      </c>
      <c r="D3042" s="77">
        <v>147.59386728318836</v>
      </c>
      <c r="E3042" s="77">
        <v>147.59386728318836</v>
      </c>
      <c r="F3042" s="77">
        <v>147.59386728318836</v>
      </c>
      <c r="G3042" s="77">
        <v>147.59386728318836</v>
      </c>
      <c r="H3042" s="77">
        <v>147.59386728318836</v>
      </c>
      <c r="I3042" s="77">
        <v>147.59386728318836</v>
      </c>
    </row>
    <row r="3043" spans="2:9">
      <c r="B3043" s="76">
        <v>2025.3589443113053</v>
      </c>
      <c r="C3043">
        <v>1265.7778044850675</v>
      </c>
      <c r="D3043" s="77">
        <v>210.96296741417791</v>
      </c>
      <c r="E3043" s="77">
        <v>210.96296741417791</v>
      </c>
      <c r="F3043" s="77">
        <v>210.96296741417791</v>
      </c>
      <c r="G3043" s="77">
        <v>210.96296741417791</v>
      </c>
      <c r="H3043" s="77">
        <v>210.96296741417791</v>
      </c>
      <c r="I3043" s="77">
        <v>210.96296741417791</v>
      </c>
    </row>
    <row r="3044" spans="2:9">
      <c r="B3044" s="76">
        <v>2024.9705558298347</v>
      </c>
      <c r="C3044">
        <v>1069.6538152773051</v>
      </c>
      <c r="D3044" s="77">
        <v>178.27563587955083</v>
      </c>
      <c r="E3044" s="77">
        <v>178.27563587955083</v>
      </c>
      <c r="F3044" s="77">
        <v>178.27563587955083</v>
      </c>
      <c r="G3044" s="77">
        <v>178.27563587955083</v>
      </c>
      <c r="H3044" s="77">
        <v>178.27563587955083</v>
      </c>
      <c r="I3044" s="77">
        <v>178.27563587955083</v>
      </c>
    </row>
    <row r="3045" spans="2:9">
      <c r="B3045" s="76">
        <v>2023.2902463716212</v>
      </c>
      <c r="C3045">
        <v>927.89705338144518</v>
      </c>
      <c r="D3045" s="77">
        <v>154.64950889690752</v>
      </c>
      <c r="E3045" s="77">
        <v>154.64950889690752</v>
      </c>
      <c r="F3045" s="77">
        <v>154.64950889690752</v>
      </c>
      <c r="G3045" s="77">
        <v>154.64950889690752</v>
      </c>
      <c r="H3045" s="77">
        <v>154.64950889690752</v>
      </c>
      <c r="I3045" s="77">
        <v>154.64950889690752</v>
      </c>
    </row>
    <row r="3046" spans="2:9">
      <c r="B3046" s="76">
        <v>2025.0538599935426</v>
      </c>
      <c r="C3046">
        <v>1175.414795627873</v>
      </c>
      <c r="D3046" s="77">
        <v>195.90246593797883</v>
      </c>
      <c r="E3046" s="77">
        <v>195.90246593797883</v>
      </c>
      <c r="F3046" s="77">
        <v>195.90246593797883</v>
      </c>
      <c r="G3046" s="77">
        <v>195.90246593797883</v>
      </c>
      <c r="H3046" s="77">
        <v>195.90246593797883</v>
      </c>
      <c r="I3046" s="77">
        <v>195.90246593797883</v>
      </c>
    </row>
    <row r="3047" spans="2:9">
      <c r="B3047" s="76">
        <v>2024.6416018991565</v>
      </c>
      <c r="C3047">
        <v>1075.283417166032</v>
      </c>
      <c r="D3047" s="77">
        <v>179.21390286100532</v>
      </c>
      <c r="E3047" s="77">
        <v>179.21390286100532</v>
      </c>
      <c r="F3047" s="77">
        <v>179.21390286100532</v>
      </c>
      <c r="G3047" s="77">
        <v>179.21390286100532</v>
      </c>
      <c r="H3047" s="77">
        <v>179.21390286100532</v>
      </c>
      <c r="I3047" s="77">
        <v>179.21390286100532</v>
      </c>
    </row>
    <row r="3048" spans="2:9">
      <c r="B3048" s="76">
        <v>2022.914566961746</v>
      </c>
      <c r="C3048">
        <v>837.52799310308899</v>
      </c>
      <c r="D3048" s="77">
        <v>139.58799885051482</v>
      </c>
      <c r="E3048" s="77">
        <v>139.58799885051482</v>
      </c>
      <c r="F3048" s="77">
        <v>139.58799885051482</v>
      </c>
      <c r="G3048" s="77">
        <v>139.58799885051482</v>
      </c>
      <c r="H3048" s="77">
        <v>139.58799885051482</v>
      </c>
      <c r="I3048" s="77">
        <v>139.58799885051482</v>
      </c>
    </row>
    <row r="3049" spans="2:9">
      <c r="B3049" s="76">
        <v>2024.9118169640276</v>
      </c>
      <c r="C3049">
        <v>1085.868033936772</v>
      </c>
      <c r="D3049" s="77">
        <v>180.97800565612866</v>
      </c>
      <c r="E3049" s="77">
        <v>180.97800565612866</v>
      </c>
      <c r="F3049" s="77">
        <v>180.97800565612866</v>
      </c>
      <c r="G3049" s="77">
        <v>180.97800565612866</v>
      </c>
      <c r="H3049" s="77">
        <v>180.97800565612866</v>
      </c>
      <c r="I3049" s="77">
        <v>180.97800565612866</v>
      </c>
    </row>
    <row r="3050" spans="2:9">
      <c r="B3050" s="76">
        <v>2025.4069815089433</v>
      </c>
      <c r="C3050">
        <v>1128.1556603184827</v>
      </c>
      <c r="D3050" s="77">
        <v>188.02594338641379</v>
      </c>
      <c r="E3050" s="77">
        <v>188.02594338641379</v>
      </c>
      <c r="F3050" s="77">
        <v>188.02594338641379</v>
      </c>
      <c r="G3050" s="77">
        <v>188.02594338641379</v>
      </c>
      <c r="H3050" s="77">
        <v>188.02594338641379</v>
      </c>
      <c r="I3050" s="77">
        <v>188.02594338641379</v>
      </c>
    </row>
    <row r="3051" spans="2:9">
      <c r="B3051" s="76">
        <v>2022.5935156075925</v>
      </c>
      <c r="C3051">
        <v>805.49571957885917</v>
      </c>
      <c r="D3051" s="77">
        <v>134.24928659647654</v>
      </c>
      <c r="E3051" s="77">
        <v>134.24928659647654</v>
      </c>
      <c r="F3051" s="77">
        <v>134.24928659647654</v>
      </c>
      <c r="G3051" s="77">
        <v>134.24928659647654</v>
      </c>
      <c r="H3051" s="77">
        <v>134.24928659647654</v>
      </c>
      <c r="I3051" s="77">
        <v>134.24928659647654</v>
      </c>
    </row>
    <row r="3052" spans="2:9">
      <c r="B3052" s="76">
        <v>2023.37650689004</v>
      </c>
      <c r="C3052">
        <v>949.1515326745473</v>
      </c>
      <c r="D3052" s="77">
        <v>158.19192211242455</v>
      </c>
      <c r="E3052" s="77">
        <v>158.19192211242455</v>
      </c>
      <c r="F3052" s="77">
        <v>158.19192211242455</v>
      </c>
      <c r="G3052" s="77">
        <v>158.19192211242455</v>
      </c>
      <c r="H3052" s="77">
        <v>158.19192211242455</v>
      </c>
      <c r="I3052" s="77">
        <v>158.19192211242455</v>
      </c>
    </row>
    <row r="3053" spans="2:9">
      <c r="B3053" s="76">
        <v>2023.2997703979702</v>
      </c>
      <c r="C3053">
        <v>900.69610949871446</v>
      </c>
      <c r="D3053" s="77">
        <v>150.11601824978575</v>
      </c>
      <c r="E3053" s="77">
        <v>150.11601824978575</v>
      </c>
      <c r="F3053" s="77">
        <v>150.11601824978575</v>
      </c>
      <c r="G3053" s="77">
        <v>150.11601824978575</v>
      </c>
      <c r="H3053" s="77">
        <v>150.11601824978575</v>
      </c>
      <c r="I3053" s="77">
        <v>150.11601824978575</v>
      </c>
    </row>
    <row r="3054" spans="2:9">
      <c r="B3054" s="76">
        <v>2024.4935630032073</v>
      </c>
      <c r="C3054">
        <v>1056.2807283783316</v>
      </c>
      <c r="D3054" s="77">
        <v>176.04678806305526</v>
      </c>
      <c r="E3054" s="77">
        <v>176.04678806305526</v>
      </c>
      <c r="F3054" s="77">
        <v>176.04678806305526</v>
      </c>
      <c r="G3054" s="77">
        <v>176.04678806305526</v>
      </c>
      <c r="H3054" s="77">
        <v>176.04678806305526</v>
      </c>
      <c r="I3054" s="77">
        <v>176.04678806305526</v>
      </c>
    </row>
    <row r="3055" spans="2:9">
      <c r="B3055" s="76">
        <v>2023.5555368605326</v>
      </c>
      <c r="C3055">
        <v>910.52569291122154</v>
      </c>
      <c r="D3055" s="77">
        <v>151.75428215187026</v>
      </c>
      <c r="E3055" s="77">
        <v>151.75428215187026</v>
      </c>
      <c r="F3055" s="77">
        <v>151.75428215187026</v>
      </c>
      <c r="G3055" s="77">
        <v>151.75428215187026</v>
      </c>
      <c r="H3055" s="77">
        <v>151.75428215187026</v>
      </c>
      <c r="I3055" s="77">
        <v>151.75428215187026</v>
      </c>
    </row>
    <row r="3056" spans="2:9">
      <c r="B3056" s="76">
        <v>2023.3149345621935</v>
      </c>
      <c r="C3056">
        <v>858.10275346457092</v>
      </c>
      <c r="D3056" s="77">
        <v>143.01712557742849</v>
      </c>
      <c r="E3056" s="77">
        <v>143.01712557742849</v>
      </c>
      <c r="F3056" s="77">
        <v>143.01712557742849</v>
      </c>
      <c r="G3056" s="77">
        <v>143.01712557742849</v>
      </c>
      <c r="H3056" s="77">
        <v>143.01712557742849</v>
      </c>
      <c r="I3056" s="77">
        <v>143.01712557742849</v>
      </c>
    </row>
    <row r="3057" spans="2:9">
      <c r="B3057" s="76">
        <v>2025.4140610151692</v>
      </c>
      <c r="C3057">
        <v>1171.1660955910468</v>
      </c>
      <c r="D3057" s="77">
        <v>195.19434926517445</v>
      </c>
      <c r="E3057" s="77">
        <v>195.19434926517445</v>
      </c>
      <c r="F3057" s="77">
        <v>195.19434926517445</v>
      </c>
      <c r="G3057" s="77">
        <v>195.19434926517445</v>
      </c>
      <c r="H3057" s="77">
        <v>195.19434926517445</v>
      </c>
      <c r="I3057" s="77">
        <v>195.19434926517445</v>
      </c>
    </row>
    <row r="3058" spans="2:9">
      <c r="B3058" s="76">
        <v>2024.4841966129113</v>
      </c>
      <c r="C3058">
        <v>1114.4926989368475</v>
      </c>
      <c r="D3058" s="77">
        <v>185.74878315614126</v>
      </c>
      <c r="E3058" s="77">
        <v>185.74878315614126</v>
      </c>
      <c r="F3058" s="77">
        <v>185.74878315614126</v>
      </c>
      <c r="G3058" s="77">
        <v>185.74878315614126</v>
      </c>
      <c r="H3058" s="77">
        <v>185.74878315614126</v>
      </c>
      <c r="I3058" s="77">
        <v>185.74878315614126</v>
      </c>
    </row>
    <row r="3059" spans="2:9">
      <c r="B3059" s="76">
        <v>2025.1100952460461</v>
      </c>
      <c r="C3059">
        <v>1144.7731966111323</v>
      </c>
      <c r="D3059" s="77">
        <v>190.79553276852207</v>
      </c>
      <c r="E3059" s="77">
        <v>190.79553276852207</v>
      </c>
      <c r="F3059" s="77">
        <v>190.79553276852207</v>
      </c>
      <c r="G3059" s="77">
        <v>190.79553276852207</v>
      </c>
      <c r="H3059" s="77">
        <v>190.79553276852207</v>
      </c>
      <c r="I3059" s="77">
        <v>190.79553276852207</v>
      </c>
    </row>
    <row r="3060" spans="2:9">
      <c r="B3060" s="76">
        <v>2023.7806350096837</v>
      </c>
      <c r="C3060">
        <v>1043.7651422256715</v>
      </c>
      <c r="D3060" s="77">
        <v>173.96085703761193</v>
      </c>
      <c r="E3060" s="77">
        <v>173.96085703761193</v>
      </c>
      <c r="F3060" s="77">
        <v>173.96085703761193</v>
      </c>
      <c r="G3060" s="77">
        <v>173.96085703761193</v>
      </c>
      <c r="H3060" s="77">
        <v>173.96085703761193</v>
      </c>
      <c r="I3060" s="77">
        <v>173.96085703761193</v>
      </c>
    </row>
    <row r="3061" spans="2:9">
      <c r="B3061" s="76">
        <v>2023.4787505772097</v>
      </c>
      <c r="C3061">
        <v>962.11162844391106</v>
      </c>
      <c r="D3061" s="77">
        <v>160.35193807398517</v>
      </c>
      <c r="E3061" s="77">
        <v>160.35193807398517</v>
      </c>
      <c r="F3061" s="77">
        <v>160.35193807398517</v>
      </c>
      <c r="G3061" s="77">
        <v>160.35193807398517</v>
      </c>
      <c r="H3061" s="77">
        <v>160.35193807398517</v>
      </c>
      <c r="I3061" s="77">
        <v>160.35193807398517</v>
      </c>
    </row>
    <row r="3062" spans="2:9">
      <c r="B3062" s="76">
        <v>2023.183968733694</v>
      </c>
      <c r="C3062">
        <v>979.20549813373168</v>
      </c>
      <c r="D3062" s="77">
        <v>163.20091635562196</v>
      </c>
      <c r="E3062" s="77">
        <v>163.20091635562196</v>
      </c>
      <c r="F3062" s="77">
        <v>163.20091635562196</v>
      </c>
      <c r="G3062" s="77">
        <v>163.20091635562196</v>
      </c>
      <c r="H3062" s="77">
        <v>163.20091635562196</v>
      </c>
      <c r="I3062" s="77">
        <v>163.20091635562196</v>
      </c>
    </row>
    <row r="3063" spans="2:9">
      <c r="B3063" s="76">
        <v>2025.7614105412179</v>
      </c>
      <c r="C3063">
        <v>1294.4345610915814</v>
      </c>
      <c r="D3063" s="77">
        <v>215.73909351526356</v>
      </c>
      <c r="E3063" s="77">
        <v>215.73909351526356</v>
      </c>
      <c r="F3063" s="77">
        <v>215.73909351526356</v>
      </c>
      <c r="G3063" s="77">
        <v>215.73909351526356</v>
      </c>
      <c r="H3063" s="77">
        <v>215.73909351526356</v>
      </c>
      <c r="I3063" s="77">
        <v>215.73909351526356</v>
      </c>
    </row>
    <row r="3064" spans="2:9">
      <c r="B3064" s="76">
        <v>2024.4843103416842</v>
      </c>
      <c r="C3064">
        <v>1106.3256129335969</v>
      </c>
      <c r="D3064" s="77">
        <v>184.38760215559947</v>
      </c>
      <c r="E3064" s="77">
        <v>184.38760215559947</v>
      </c>
      <c r="F3064" s="77">
        <v>184.38760215559947</v>
      </c>
      <c r="G3064" s="77">
        <v>184.38760215559947</v>
      </c>
      <c r="H3064" s="77">
        <v>184.38760215559947</v>
      </c>
      <c r="I3064" s="77">
        <v>184.38760215559947</v>
      </c>
    </row>
    <row r="3065" spans="2:9">
      <c r="B3065" s="76">
        <v>2024.8408644162928</v>
      </c>
      <c r="C3065">
        <v>1080.626515508653</v>
      </c>
      <c r="D3065" s="77">
        <v>180.10441925144218</v>
      </c>
      <c r="E3065" s="77">
        <v>180.10441925144218</v>
      </c>
      <c r="F3065" s="77">
        <v>180.10441925144218</v>
      </c>
      <c r="G3065" s="77">
        <v>180.10441925144218</v>
      </c>
      <c r="H3065" s="77">
        <v>180.10441925144218</v>
      </c>
      <c r="I3065" s="77">
        <v>180.10441925144218</v>
      </c>
    </row>
    <row r="3066" spans="2:9">
      <c r="B3066" s="76">
        <v>2024.2526145591376</v>
      </c>
      <c r="C3066">
        <v>1021.7684404394386</v>
      </c>
      <c r="D3066" s="77">
        <v>170.29474007323975</v>
      </c>
      <c r="E3066" s="77">
        <v>170.29474007323975</v>
      </c>
      <c r="F3066" s="77">
        <v>170.29474007323975</v>
      </c>
      <c r="G3066" s="77">
        <v>170.29474007323975</v>
      </c>
      <c r="H3066" s="77">
        <v>170.29474007323975</v>
      </c>
      <c r="I3066" s="77">
        <v>170.29474007323975</v>
      </c>
    </row>
    <row r="3067" spans="2:9">
      <c r="B3067" s="76">
        <v>2024.4562972640917</v>
      </c>
      <c r="C3067">
        <v>1064.9661319672357</v>
      </c>
      <c r="D3067" s="77">
        <v>177.49435532787263</v>
      </c>
      <c r="E3067" s="77">
        <v>177.49435532787263</v>
      </c>
      <c r="F3067" s="77">
        <v>177.49435532787263</v>
      </c>
      <c r="G3067" s="77">
        <v>177.49435532787263</v>
      </c>
      <c r="H3067" s="77">
        <v>177.49435532787263</v>
      </c>
      <c r="I3067" s="77">
        <v>177.49435532787263</v>
      </c>
    </row>
    <row r="3068" spans="2:9">
      <c r="B3068" s="76">
        <v>2022.6940122477017</v>
      </c>
      <c r="C3068">
        <v>819.84622968415511</v>
      </c>
      <c r="D3068" s="77">
        <v>136.64103828069253</v>
      </c>
      <c r="E3068" s="77">
        <v>136.64103828069253</v>
      </c>
      <c r="F3068" s="77">
        <v>136.64103828069253</v>
      </c>
      <c r="G3068" s="77">
        <v>136.64103828069253</v>
      </c>
      <c r="H3068" s="77">
        <v>136.64103828069253</v>
      </c>
      <c r="I3068" s="77">
        <v>136.64103828069253</v>
      </c>
    </row>
    <row r="3069" spans="2:9">
      <c r="B3069" s="76">
        <v>2023.2422100154904</v>
      </c>
      <c r="C3069">
        <v>916.25848647829832</v>
      </c>
      <c r="D3069" s="77">
        <v>152.70974774638304</v>
      </c>
      <c r="E3069" s="77">
        <v>152.70974774638304</v>
      </c>
      <c r="F3069" s="77">
        <v>152.70974774638304</v>
      </c>
      <c r="G3069" s="77">
        <v>152.70974774638304</v>
      </c>
      <c r="H3069" s="77">
        <v>152.70974774638304</v>
      </c>
      <c r="I3069" s="77">
        <v>152.70974774638304</v>
      </c>
    </row>
    <row r="3070" spans="2:9">
      <c r="B3070" s="76">
        <v>2024.6490093488358</v>
      </c>
      <c r="C3070">
        <v>1081.5091219160176</v>
      </c>
      <c r="D3070" s="77">
        <v>180.25152031933627</v>
      </c>
      <c r="E3070" s="77">
        <v>180.25152031933627</v>
      </c>
      <c r="F3070" s="77">
        <v>180.25152031933627</v>
      </c>
      <c r="G3070" s="77">
        <v>180.25152031933627</v>
      </c>
      <c r="H3070" s="77">
        <v>180.25152031933627</v>
      </c>
      <c r="I3070" s="77">
        <v>180.25152031933627</v>
      </c>
    </row>
    <row r="3071" spans="2:9">
      <c r="B3071" s="76">
        <v>2025.1344580139466</v>
      </c>
      <c r="C3071">
        <v>1087.8012274739212</v>
      </c>
      <c r="D3071" s="77">
        <v>181.30020457898686</v>
      </c>
      <c r="E3071" s="77">
        <v>181.30020457898686</v>
      </c>
      <c r="F3071" s="77">
        <v>181.30020457898686</v>
      </c>
      <c r="G3071" s="77">
        <v>181.30020457898686</v>
      </c>
      <c r="H3071" s="77">
        <v>181.30020457898686</v>
      </c>
      <c r="I3071" s="77">
        <v>181.30020457898686</v>
      </c>
    </row>
    <row r="3072" spans="2:9">
      <c r="B3072" s="76">
        <v>2022.8821217522604</v>
      </c>
      <c r="C3072">
        <v>906.65004209644712</v>
      </c>
      <c r="D3072" s="77">
        <v>151.10834034940785</v>
      </c>
      <c r="E3072" s="77">
        <v>151.10834034940785</v>
      </c>
      <c r="F3072" s="77">
        <v>151.10834034940785</v>
      </c>
      <c r="G3072" s="77">
        <v>151.10834034940785</v>
      </c>
      <c r="H3072" s="77">
        <v>151.10834034940785</v>
      </c>
      <c r="I3072" s="77">
        <v>151.10834034940785</v>
      </c>
    </row>
    <row r="3073" spans="2:9">
      <c r="B3073" s="76">
        <v>2023.2468371788066</v>
      </c>
      <c r="C3073">
        <v>955.30936128593339</v>
      </c>
      <c r="D3073" s="77">
        <v>159.21822688098891</v>
      </c>
      <c r="E3073" s="77">
        <v>159.21822688098891</v>
      </c>
      <c r="F3073" s="77">
        <v>159.21822688098891</v>
      </c>
      <c r="G3073" s="77">
        <v>159.21822688098891</v>
      </c>
      <c r="H3073" s="77">
        <v>159.21822688098891</v>
      </c>
      <c r="I3073" s="77">
        <v>159.21822688098891</v>
      </c>
    </row>
    <row r="3074" spans="2:9">
      <c r="B3074" s="76">
        <v>2023.2751148056493</v>
      </c>
      <c r="C3074">
        <v>882.51648947395654</v>
      </c>
      <c r="D3074" s="77">
        <v>147.08608157899275</v>
      </c>
      <c r="E3074" s="77">
        <v>147.08608157899275</v>
      </c>
      <c r="F3074" s="77">
        <v>147.08608157899275</v>
      </c>
      <c r="G3074" s="77">
        <v>147.08608157899275</v>
      </c>
      <c r="H3074" s="77">
        <v>147.08608157899275</v>
      </c>
      <c r="I3074" s="77">
        <v>147.08608157899275</v>
      </c>
    </row>
    <row r="3075" spans="2:9">
      <c r="B3075" s="76">
        <v>2023.1930974391696</v>
      </c>
      <c r="C3075">
        <v>914.81036819273686</v>
      </c>
      <c r="D3075" s="77">
        <v>152.46839469878947</v>
      </c>
      <c r="E3075" s="77">
        <v>152.46839469878947</v>
      </c>
      <c r="F3075" s="77">
        <v>152.46839469878947</v>
      </c>
      <c r="G3075" s="77">
        <v>152.46839469878947</v>
      </c>
      <c r="H3075" s="77">
        <v>152.46839469878947</v>
      </c>
      <c r="I3075" s="77">
        <v>152.46839469878947</v>
      </c>
    </row>
    <row r="3076" spans="2:9">
      <c r="B3076" s="76">
        <v>2024.7391921440019</v>
      </c>
      <c r="C3076">
        <v>1109.5940635512632</v>
      </c>
      <c r="D3076" s="77">
        <v>184.93234392521052</v>
      </c>
      <c r="E3076" s="77">
        <v>184.93234392521052</v>
      </c>
      <c r="F3076" s="77">
        <v>184.93234392521052</v>
      </c>
      <c r="G3076" s="77">
        <v>184.93234392521052</v>
      </c>
      <c r="H3076" s="77">
        <v>184.93234392521052</v>
      </c>
      <c r="I3076" s="77">
        <v>184.93234392521052</v>
      </c>
    </row>
    <row r="3077" spans="2:9">
      <c r="B3077" s="76">
        <v>2022.8666660091717</v>
      </c>
      <c r="C3077">
        <v>883.71814249030058</v>
      </c>
      <c r="D3077" s="77">
        <v>147.28635708171677</v>
      </c>
      <c r="E3077" s="77">
        <v>147.28635708171677</v>
      </c>
      <c r="F3077" s="77">
        <v>147.28635708171677</v>
      </c>
      <c r="G3077" s="77">
        <v>147.28635708171677</v>
      </c>
      <c r="H3077" s="77">
        <v>147.28635708171677</v>
      </c>
      <c r="I3077" s="77">
        <v>147.28635708171677</v>
      </c>
    </row>
    <row r="3078" spans="2:9">
      <c r="B3078" s="76">
        <v>2023.2259952112145</v>
      </c>
      <c r="C3078">
        <v>969.99024031901592</v>
      </c>
      <c r="D3078" s="77">
        <v>161.66504005316932</v>
      </c>
      <c r="E3078" s="77">
        <v>161.66504005316932</v>
      </c>
      <c r="F3078" s="77">
        <v>161.66504005316932</v>
      </c>
      <c r="G3078" s="77">
        <v>161.66504005316932</v>
      </c>
      <c r="H3078" s="77">
        <v>161.66504005316932</v>
      </c>
      <c r="I3078" s="77">
        <v>161.66504005316932</v>
      </c>
    </row>
    <row r="3079" spans="2:9">
      <c r="B3079" s="76">
        <v>2022.9563565550341</v>
      </c>
      <c r="C3079">
        <v>884.69866529640638</v>
      </c>
      <c r="D3079" s="77">
        <v>147.44977754940106</v>
      </c>
      <c r="E3079" s="77">
        <v>147.44977754940106</v>
      </c>
      <c r="F3079" s="77">
        <v>147.44977754940106</v>
      </c>
      <c r="G3079" s="77">
        <v>147.44977754940106</v>
      </c>
      <c r="H3079" s="77">
        <v>147.44977754940106</v>
      </c>
      <c r="I3079" s="77">
        <v>147.44977754940106</v>
      </c>
    </row>
    <row r="3080" spans="2:9">
      <c r="B3080" s="76">
        <v>2022.9893630034019</v>
      </c>
      <c r="C3080">
        <v>900.66731045136532</v>
      </c>
      <c r="D3080" s="77">
        <v>150.11121840856089</v>
      </c>
      <c r="E3080" s="77">
        <v>150.11121840856089</v>
      </c>
      <c r="F3080" s="77">
        <v>150.11121840856089</v>
      </c>
      <c r="G3080" s="77">
        <v>150.11121840856089</v>
      </c>
      <c r="H3080" s="77">
        <v>150.11121840856089</v>
      </c>
      <c r="I3080" s="77">
        <v>150.11121840856089</v>
      </c>
    </row>
    <row r="3081" spans="2:9">
      <c r="B3081" s="76">
        <v>2023.5491230216826</v>
      </c>
      <c r="C3081">
        <v>913.31093789105375</v>
      </c>
      <c r="D3081" s="77">
        <v>152.21848964850895</v>
      </c>
      <c r="E3081" s="77">
        <v>152.21848964850895</v>
      </c>
      <c r="F3081" s="77">
        <v>152.21848964850895</v>
      </c>
      <c r="G3081" s="77">
        <v>152.21848964850895</v>
      </c>
      <c r="H3081" s="77">
        <v>152.21848964850895</v>
      </c>
      <c r="I3081" s="77">
        <v>152.21848964850895</v>
      </c>
    </row>
    <row r="3082" spans="2:9">
      <c r="B3082" s="76">
        <v>2022.6403872752633</v>
      </c>
      <c r="C3082">
        <v>885.85294534032437</v>
      </c>
      <c r="D3082" s="77">
        <v>147.64215755672072</v>
      </c>
      <c r="E3082" s="77">
        <v>147.64215755672072</v>
      </c>
      <c r="F3082" s="77">
        <v>147.64215755672072</v>
      </c>
      <c r="G3082" s="77">
        <v>147.64215755672072</v>
      </c>
      <c r="H3082" s="77">
        <v>147.64215755672072</v>
      </c>
      <c r="I3082" s="77">
        <v>147.64215755672072</v>
      </c>
    </row>
    <row r="3083" spans="2:9">
      <c r="B3083" s="76">
        <v>2024.6835967407887</v>
      </c>
      <c r="C3083">
        <v>1050.3091627862782</v>
      </c>
      <c r="D3083" s="77">
        <v>175.05152713104636</v>
      </c>
      <c r="E3083" s="77">
        <v>175.05152713104636</v>
      </c>
      <c r="F3083" s="77">
        <v>175.05152713104636</v>
      </c>
      <c r="G3083" s="77">
        <v>175.05152713104636</v>
      </c>
      <c r="H3083" s="77">
        <v>175.05152713104636</v>
      </c>
      <c r="I3083" s="77">
        <v>175.05152713104636</v>
      </c>
    </row>
    <row r="3084" spans="2:9">
      <c r="B3084" s="76">
        <v>2024.4864079666731</v>
      </c>
      <c r="C3084">
        <v>1026.7135936970692</v>
      </c>
      <c r="D3084" s="77">
        <v>171.11893228284487</v>
      </c>
      <c r="E3084" s="77">
        <v>171.11893228284487</v>
      </c>
      <c r="F3084" s="77">
        <v>171.11893228284487</v>
      </c>
      <c r="G3084" s="77">
        <v>171.11893228284487</v>
      </c>
      <c r="H3084" s="77">
        <v>171.11893228284487</v>
      </c>
      <c r="I3084" s="77">
        <v>171.11893228284487</v>
      </c>
    </row>
    <row r="3085" spans="2:9">
      <c r="B3085" s="76">
        <v>2023.4837221163</v>
      </c>
      <c r="C3085">
        <v>1008.4405991710697</v>
      </c>
      <c r="D3085" s="77">
        <v>168.0734331951783</v>
      </c>
      <c r="E3085" s="77">
        <v>168.0734331951783</v>
      </c>
      <c r="F3085" s="77">
        <v>168.0734331951783</v>
      </c>
      <c r="G3085" s="77">
        <v>168.0734331951783</v>
      </c>
      <c r="H3085" s="77">
        <v>168.0734331951783</v>
      </c>
      <c r="I3085" s="77">
        <v>168.0734331951783</v>
      </c>
    </row>
    <row r="3086" spans="2:9">
      <c r="B3086" s="76">
        <v>2022.9748343768269</v>
      </c>
      <c r="C3086">
        <v>860.29899327099497</v>
      </c>
      <c r="D3086" s="77">
        <v>143.38316554516584</v>
      </c>
      <c r="E3086" s="77">
        <v>143.38316554516584</v>
      </c>
      <c r="F3086" s="77">
        <v>143.38316554516584</v>
      </c>
      <c r="G3086" s="77">
        <v>143.38316554516584</v>
      </c>
      <c r="H3086" s="77">
        <v>143.38316554516584</v>
      </c>
      <c r="I3086" s="77">
        <v>143.38316554516584</v>
      </c>
    </row>
    <row r="3087" spans="2:9">
      <c r="B3087" s="76">
        <v>2026.0457436840077</v>
      </c>
      <c r="C3087">
        <v>1269.1626749304048</v>
      </c>
      <c r="D3087" s="77">
        <v>211.5271124884008</v>
      </c>
      <c r="E3087" s="77">
        <v>211.5271124884008</v>
      </c>
      <c r="F3087" s="77">
        <v>211.5271124884008</v>
      </c>
      <c r="G3087" s="77">
        <v>211.5271124884008</v>
      </c>
      <c r="H3087" s="77">
        <v>211.5271124884008</v>
      </c>
      <c r="I3087" s="77">
        <v>211.5271124884008</v>
      </c>
    </row>
    <row r="3088" spans="2:9">
      <c r="B3088" s="76">
        <v>2023.5033618637208</v>
      </c>
      <c r="C3088">
        <v>903.96611951058708</v>
      </c>
      <c r="D3088" s="77">
        <v>150.66101991843118</v>
      </c>
      <c r="E3088" s="77">
        <v>150.66101991843118</v>
      </c>
      <c r="F3088" s="77">
        <v>150.66101991843118</v>
      </c>
      <c r="G3088" s="77">
        <v>150.66101991843118</v>
      </c>
      <c r="H3088" s="77">
        <v>150.66101991843118</v>
      </c>
      <c r="I3088" s="77">
        <v>150.66101991843118</v>
      </c>
    </row>
    <row r="3089" spans="2:9">
      <c r="B3089" s="76">
        <v>2024.2737774507386</v>
      </c>
      <c r="C3089">
        <v>1025.2432377490611</v>
      </c>
      <c r="D3089" s="77">
        <v>170.87387295817686</v>
      </c>
      <c r="E3089" s="77">
        <v>170.87387295817686</v>
      </c>
      <c r="F3089" s="77">
        <v>170.87387295817686</v>
      </c>
      <c r="G3089" s="77">
        <v>170.87387295817686</v>
      </c>
      <c r="H3089" s="77">
        <v>170.87387295817686</v>
      </c>
      <c r="I3089" s="77">
        <v>170.87387295817686</v>
      </c>
    </row>
    <row r="3090" spans="2:9">
      <c r="B3090" s="76">
        <v>2022.9553119171535</v>
      </c>
      <c r="C3090">
        <v>875.04575584492488</v>
      </c>
      <c r="D3090" s="77">
        <v>145.84095930748748</v>
      </c>
      <c r="E3090" s="77">
        <v>145.84095930748748</v>
      </c>
      <c r="F3090" s="77">
        <v>145.84095930748748</v>
      </c>
      <c r="G3090" s="77">
        <v>145.84095930748748</v>
      </c>
      <c r="H3090" s="77">
        <v>145.84095930748748</v>
      </c>
      <c r="I3090" s="77">
        <v>145.84095930748748</v>
      </c>
    </row>
    <row r="3091" spans="2:9">
      <c r="B3091" s="76">
        <v>2023.1387430933546</v>
      </c>
      <c r="C3091">
        <v>873.31317332899039</v>
      </c>
      <c r="D3091" s="77">
        <v>145.55219555483174</v>
      </c>
      <c r="E3091" s="77">
        <v>145.55219555483174</v>
      </c>
      <c r="F3091" s="77">
        <v>145.55219555483174</v>
      </c>
      <c r="G3091" s="77">
        <v>145.55219555483174</v>
      </c>
      <c r="H3091" s="77">
        <v>145.55219555483174</v>
      </c>
      <c r="I3091" s="77">
        <v>145.55219555483174</v>
      </c>
    </row>
    <row r="3092" spans="2:9">
      <c r="B3092" s="76">
        <v>2025.2393898930832</v>
      </c>
      <c r="C3092">
        <v>1195.8772375083443</v>
      </c>
      <c r="D3092" s="77">
        <v>199.31287291805737</v>
      </c>
      <c r="E3092" s="77">
        <v>199.31287291805737</v>
      </c>
      <c r="F3092" s="77">
        <v>199.31287291805737</v>
      </c>
      <c r="G3092" s="77">
        <v>199.31287291805737</v>
      </c>
      <c r="H3092" s="77">
        <v>199.31287291805737</v>
      </c>
      <c r="I3092" s="77">
        <v>199.31287291805737</v>
      </c>
    </row>
    <row r="3093" spans="2:9">
      <c r="B3093" s="76">
        <v>2024.125757149096</v>
      </c>
      <c r="C3093">
        <v>1029.9015715528669</v>
      </c>
      <c r="D3093" s="77">
        <v>171.65026192547782</v>
      </c>
      <c r="E3093" s="77">
        <v>171.65026192547782</v>
      </c>
      <c r="F3093" s="77">
        <v>171.65026192547782</v>
      </c>
      <c r="G3093" s="77">
        <v>171.65026192547782</v>
      </c>
      <c r="H3093" s="77">
        <v>171.65026192547782</v>
      </c>
      <c r="I3093" s="77">
        <v>171.65026192547782</v>
      </c>
    </row>
    <row r="3094" spans="2:9">
      <c r="B3094" s="76">
        <v>2023.217444652226</v>
      </c>
      <c r="C3094">
        <v>931.34157877310975</v>
      </c>
      <c r="D3094" s="77">
        <v>155.22359646218496</v>
      </c>
      <c r="E3094" s="77">
        <v>155.22359646218496</v>
      </c>
      <c r="F3094" s="77">
        <v>155.22359646218496</v>
      </c>
      <c r="G3094" s="77">
        <v>155.22359646218496</v>
      </c>
      <c r="H3094" s="77">
        <v>155.22359646218496</v>
      </c>
      <c r="I3094" s="77">
        <v>155.22359646218496</v>
      </c>
    </row>
    <row r="3095" spans="2:9">
      <c r="B3095" s="76">
        <v>2022.7380960564387</v>
      </c>
      <c r="C3095">
        <v>844.71142247638238</v>
      </c>
      <c r="D3095" s="77">
        <v>140.78523707939706</v>
      </c>
      <c r="E3095" s="77">
        <v>140.78523707939706</v>
      </c>
      <c r="F3095" s="77">
        <v>140.78523707939706</v>
      </c>
      <c r="G3095" s="77">
        <v>140.78523707939706</v>
      </c>
      <c r="H3095" s="77">
        <v>140.78523707939706</v>
      </c>
      <c r="I3095" s="77">
        <v>140.78523707939706</v>
      </c>
    </row>
    <row r="3096" spans="2:9">
      <c r="B3096" s="76">
        <v>2023.3180798531328</v>
      </c>
      <c r="C3096">
        <v>948.91141372879224</v>
      </c>
      <c r="D3096" s="77">
        <v>158.15190228813205</v>
      </c>
      <c r="E3096" s="77">
        <v>158.15190228813205</v>
      </c>
      <c r="F3096" s="77">
        <v>158.15190228813205</v>
      </c>
      <c r="G3096" s="77">
        <v>158.15190228813205</v>
      </c>
      <c r="H3096" s="77">
        <v>158.15190228813205</v>
      </c>
      <c r="I3096" s="77">
        <v>158.15190228813205</v>
      </c>
    </row>
    <row r="3097" spans="2:9">
      <c r="B3097" s="76">
        <v>2025.8265352776341</v>
      </c>
      <c r="C3097">
        <v>1358.8272787618239</v>
      </c>
      <c r="D3097" s="77">
        <v>226.47121312697064</v>
      </c>
      <c r="E3097" s="77">
        <v>226.47121312697064</v>
      </c>
      <c r="F3097" s="77">
        <v>226.47121312697064</v>
      </c>
      <c r="G3097" s="77">
        <v>226.47121312697064</v>
      </c>
      <c r="H3097" s="77">
        <v>226.47121312697064</v>
      </c>
      <c r="I3097" s="77">
        <v>226.47121312697064</v>
      </c>
    </row>
    <row r="3098" spans="2:9">
      <c r="B3098" s="76">
        <v>2023.0465881952875</v>
      </c>
      <c r="C3098">
        <v>944.54645590889095</v>
      </c>
      <c r="D3098" s="77">
        <v>157.42440931814849</v>
      </c>
      <c r="E3098" s="77">
        <v>157.42440931814849</v>
      </c>
      <c r="F3098" s="77">
        <v>157.42440931814849</v>
      </c>
      <c r="G3098" s="77">
        <v>157.42440931814849</v>
      </c>
      <c r="H3098" s="77">
        <v>157.42440931814849</v>
      </c>
      <c r="I3098" s="77">
        <v>157.42440931814849</v>
      </c>
    </row>
    <row r="3099" spans="2:9">
      <c r="B3099" s="76">
        <v>2023.2426071031771</v>
      </c>
      <c r="C3099">
        <v>922.76367157092102</v>
      </c>
      <c r="D3099" s="77">
        <v>153.79394526182017</v>
      </c>
      <c r="E3099" s="77">
        <v>153.79394526182017</v>
      </c>
      <c r="F3099" s="77">
        <v>153.79394526182017</v>
      </c>
      <c r="G3099" s="77">
        <v>153.79394526182017</v>
      </c>
      <c r="H3099" s="77">
        <v>153.79394526182017</v>
      </c>
      <c r="I3099" s="77">
        <v>153.79394526182017</v>
      </c>
    </row>
    <row r="3100" spans="2:9">
      <c r="B3100" s="76">
        <v>2024.5452302323581</v>
      </c>
      <c r="C3100">
        <v>1097.6503791510324</v>
      </c>
      <c r="D3100" s="77">
        <v>182.9417298585054</v>
      </c>
      <c r="E3100" s="77">
        <v>182.9417298585054</v>
      </c>
      <c r="F3100" s="77">
        <v>182.9417298585054</v>
      </c>
      <c r="G3100" s="77">
        <v>182.9417298585054</v>
      </c>
      <c r="H3100" s="77">
        <v>182.9417298585054</v>
      </c>
      <c r="I3100" s="77">
        <v>182.9417298585054</v>
      </c>
    </row>
    <row r="3101" spans="2:9">
      <c r="B3101" s="76">
        <v>2023.075031211356</v>
      </c>
      <c r="C3101">
        <v>942.37193432829918</v>
      </c>
      <c r="D3101" s="77">
        <v>157.06198905471652</v>
      </c>
      <c r="E3101" s="77">
        <v>157.06198905471652</v>
      </c>
      <c r="F3101" s="77">
        <v>157.06198905471652</v>
      </c>
      <c r="G3101" s="77">
        <v>157.06198905471652</v>
      </c>
      <c r="H3101" s="77">
        <v>157.06198905471652</v>
      </c>
      <c r="I3101" s="77">
        <v>157.06198905471652</v>
      </c>
    </row>
    <row r="3102" spans="2:9">
      <c r="B3102" s="76">
        <v>2023.2302459813793</v>
      </c>
      <c r="C3102">
        <v>937.30374036999251</v>
      </c>
      <c r="D3102" s="77">
        <v>156.21729006166541</v>
      </c>
      <c r="E3102" s="77">
        <v>156.21729006166541</v>
      </c>
      <c r="F3102" s="77">
        <v>156.21729006166541</v>
      </c>
      <c r="G3102" s="77">
        <v>156.21729006166541</v>
      </c>
      <c r="H3102" s="77">
        <v>156.21729006166541</v>
      </c>
      <c r="I3102" s="77">
        <v>156.21729006166541</v>
      </c>
    </row>
    <row r="3103" spans="2:9">
      <c r="B3103" s="76">
        <v>2023.1830468394257</v>
      </c>
      <c r="C3103">
        <v>892.70517385113874</v>
      </c>
      <c r="D3103" s="77">
        <v>148.78419564185646</v>
      </c>
      <c r="E3103" s="77">
        <v>148.78419564185646</v>
      </c>
      <c r="F3103" s="77">
        <v>148.78419564185646</v>
      </c>
      <c r="G3103" s="77">
        <v>148.78419564185646</v>
      </c>
      <c r="H3103" s="77">
        <v>148.78419564185646</v>
      </c>
      <c r="I3103" s="77">
        <v>148.78419564185646</v>
      </c>
    </row>
    <row r="3104" spans="2:9">
      <c r="B3104" s="76">
        <v>2024.3286704009774</v>
      </c>
      <c r="C3104">
        <v>973.51837626024076</v>
      </c>
      <c r="D3104" s="77">
        <v>162.25306271004013</v>
      </c>
      <c r="E3104" s="77">
        <v>162.25306271004013</v>
      </c>
      <c r="F3104" s="77">
        <v>162.25306271004013</v>
      </c>
      <c r="G3104" s="77">
        <v>162.25306271004013</v>
      </c>
      <c r="H3104" s="77">
        <v>162.25306271004013</v>
      </c>
      <c r="I3104" s="77">
        <v>162.25306271004013</v>
      </c>
    </row>
    <row r="3105" spans="2:9">
      <c r="B3105" s="76">
        <v>2022.8337528399857</v>
      </c>
      <c r="C3105">
        <v>903.31664545996057</v>
      </c>
      <c r="D3105" s="77">
        <v>150.55277424332675</v>
      </c>
      <c r="E3105" s="77">
        <v>150.55277424332675</v>
      </c>
      <c r="F3105" s="77">
        <v>150.55277424332675</v>
      </c>
      <c r="G3105" s="77">
        <v>150.55277424332675</v>
      </c>
      <c r="H3105" s="77">
        <v>150.55277424332675</v>
      </c>
      <c r="I3105" s="77">
        <v>150.55277424332675</v>
      </c>
    </row>
    <row r="3106" spans="2:9">
      <c r="B3106" s="76">
        <v>2024.7201533353143</v>
      </c>
      <c r="C3106">
        <v>1064.2050736185147</v>
      </c>
      <c r="D3106" s="77">
        <v>177.36751226975244</v>
      </c>
      <c r="E3106" s="77">
        <v>177.36751226975244</v>
      </c>
      <c r="F3106" s="77">
        <v>177.36751226975244</v>
      </c>
      <c r="G3106" s="77">
        <v>177.36751226975244</v>
      </c>
      <c r="H3106" s="77">
        <v>177.36751226975244</v>
      </c>
      <c r="I3106" s="77">
        <v>177.36751226975244</v>
      </c>
    </row>
    <row r="3107" spans="2:9">
      <c r="B3107" s="76">
        <v>2022.5800295747072</v>
      </c>
      <c r="C3107">
        <v>805.99678473631377</v>
      </c>
      <c r="D3107" s="77">
        <v>134.3327974560523</v>
      </c>
      <c r="E3107" s="77">
        <v>134.3327974560523</v>
      </c>
      <c r="F3107" s="77">
        <v>134.3327974560523</v>
      </c>
      <c r="G3107" s="77">
        <v>134.3327974560523</v>
      </c>
      <c r="H3107" s="77">
        <v>134.3327974560523</v>
      </c>
      <c r="I3107" s="77">
        <v>134.3327974560523</v>
      </c>
    </row>
    <row r="3108" spans="2:9">
      <c r="B3108" s="76">
        <v>2022.8047773959806</v>
      </c>
      <c r="C3108">
        <v>860.47291377894351</v>
      </c>
      <c r="D3108" s="77">
        <v>143.41215229649058</v>
      </c>
      <c r="E3108" s="77">
        <v>143.41215229649058</v>
      </c>
      <c r="F3108" s="77">
        <v>143.41215229649058</v>
      </c>
      <c r="G3108" s="77">
        <v>143.41215229649058</v>
      </c>
      <c r="H3108" s="77">
        <v>143.41215229649058</v>
      </c>
      <c r="I3108" s="77">
        <v>143.41215229649058</v>
      </c>
    </row>
    <row r="3109" spans="2:9">
      <c r="B3109" s="76">
        <v>2023.3446017824006</v>
      </c>
      <c r="C3109">
        <v>983.54894987268176</v>
      </c>
      <c r="D3109" s="77">
        <v>163.92482497878029</v>
      </c>
      <c r="E3109" s="77">
        <v>163.92482497878029</v>
      </c>
      <c r="F3109" s="77">
        <v>163.92482497878029</v>
      </c>
      <c r="G3109" s="77">
        <v>163.92482497878029</v>
      </c>
      <c r="H3109" s="77">
        <v>163.92482497878029</v>
      </c>
      <c r="I3109" s="77">
        <v>163.92482497878029</v>
      </c>
    </row>
    <row r="3110" spans="2:9">
      <c r="B3110" s="76">
        <v>2023.099954159843</v>
      </c>
      <c r="C3110">
        <v>888.78347771265601</v>
      </c>
      <c r="D3110" s="77">
        <v>148.13057961877601</v>
      </c>
      <c r="E3110" s="77">
        <v>148.13057961877601</v>
      </c>
      <c r="F3110" s="77">
        <v>148.13057961877601</v>
      </c>
      <c r="G3110" s="77">
        <v>148.13057961877601</v>
      </c>
      <c r="H3110" s="77">
        <v>148.13057961877601</v>
      </c>
      <c r="I3110" s="77">
        <v>148.13057961877601</v>
      </c>
    </row>
    <row r="3111" spans="2:9">
      <c r="B3111" s="76">
        <v>2023.4146491337963</v>
      </c>
      <c r="C3111">
        <v>955.21095205363758</v>
      </c>
      <c r="D3111" s="77">
        <v>159.20182534227294</v>
      </c>
      <c r="E3111" s="77">
        <v>159.20182534227294</v>
      </c>
      <c r="F3111" s="77">
        <v>159.20182534227294</v>
      </c>
      <c r="G3111" s="77">
        <v>159.20182534227294</v>
      </c>
      <c r="H3111" s="77">
        <v>159.20182534227294</v>
      </c>
      <c r="I3111" s="77">
        <v>159.20182534227294</v>
      </c>
    </row>
    <row r="3112" spans="2:9">
      <c r="B3112" s="76">
        <v>2024.3823091434033</v>
      </c>
      <c r="C3112">
        <v>1006.5164277273348</v>
      </c>
      <c r="D3112" s="77">
        <v>167.75273795455578</v>
      </c>
      <c r="E3112" s="77">
        <v>167.75273795455578</v>
      </c>
      <c r="F3112" s="77">
        <v>167.75273795455578</v>
      </c>
      <c r="G3112" s="77">
        <v>167.75273795455578</v>
      </c>
      <c r="H3112" s="77">
        <v>167.75273795455578</v>
      </c>
      <c r="I3112" s="77">
        <v>167.75273795455578</v>
      </c>
    </row>
    <row r="3113" spans="2:9">
      <c r="B3113" s="76">
        <v>2022.9481458226903</v>
      </c>
      <c r="C3113">
        <v>825.77466762436177</v>
      </c>
      <c r="D3113" s="77">
        <v>137.62911127072695</v>
      </c>
      <c r="E3113" s="77">
        <v>137.62911127072695</v>
      </c>
      <c r="F3113" s="77">
        <v>137.62911127072695</v>
      </c>
      <c r="G3113" s="77">
        <v>137.62911127072695</v>
      </c>
      <c r="H3113" s="77">
        <v>137.62911127072695</v>
      </c>
      <c r="I3113" s="77">
        <v>137.62911127072695</v>
      </c>
    </row>
    <row r="3114" spans="2:9">
      <c r="B3114" s="76">
        <v>2024.940603791754</v>
      </c>
      <c r="C3114">
        <v>1177.9507541152507</v>
      </c>
      <c r="D3114" s="77">
        <v>196.32512568587512</v>
      </c>
      <c r="E3114" s="77">
        <v>196.32512568587512</v>
      </c>
      <c r="F3114" s="77">
        <v>196.32512568587512</v>
      </c>
      <c r="G3114" s="77">
        <v>196.32512568587512</v>
      </c>
      <c r="H3114" s="77">
        <v>196.32512568587512</v>
      </c>
      <c r="I3114" s="77">
        <v>196.32512568587512</v>
      </c>
    </row>
    <row r="3115" spans="2:9">
      <c r="B3115" s="76">
        <v>2023.3841290354771</v>
      </c>
      <c r="C3115">
        <v>936.50261895622725</v>
      </c>
      <c r="D3115" s="77">
        <v>156.08376982603787</v>
      </c>
      <c r="E3115" s="77">
        <v>156.08376982603787</v>
      </c>
      <c r="F3115" s="77">
        <v>156.08376982603787</v>
      </c>
      <c r="G3115" s="77">
        <v>156.08376982603787</v>
      </c>
      <c r="H3115" s="77">
        <v>156.08376982603787</v>
      </c>
      <c r="I3115" s="77">
        <v>156.08376982603787</v>
      </c>
    </row>
    <row r="3116" spans="2:9">
      <c r="B3116" s="76">
        <v>2023.6501413322089</v>
      </c>
      <c r="C3116">
        <v>969.13263600499374</v>
      </c>
      <c r="D3116" s="77">
        <v>161.52210600083228</v>
      </c>
      <c r="E3116" s="77">
        <v>161.52210600083228</v>
      </c>
      <c r="F3116" s="77">
        <v>161.52210600083228</v>
      </c>
      <c r="G3116" s="77">
        <v>161.52210600083228</v>
      </c>
      <c r="H3116" s="77">
        <v>161.52210600083228</v>
      </c>
      <c r="I3116" s="77">
        <v>161.52210600083228</v>
      </c>
    </row>
    <row r="3117" spans="2:9">
      <c r="B3117" s="76">
        <v>2023.18107052087</v>
      </c>
      <c r="C3117">
        <v>896.0960404939201</v>
      </c>
      <c r="D3117" s="77">
        <v>149.34934008232003</v>
      </c>
      <c r="E3117" s="77">
        <v>149.34934008232003</v>
      </c>
      <c r="F3117" s="77">
        <v>149.34934008232003</v>
      </c>
      <c r="G3117" s="77">
        <v>149.34934008232003</v>
      </c>
      <c r="H3117" s="77">
        <v>149.34934008232003</v>
      </c>
      <c r="I3117" s="77">
        <v>149.34934008232003</v>
      </c>
    </row>
    <row r="3118" spans="2:9">
      <c r="B3118" s="76">
        <v>2025.1801284712562</v>
      </c>
      <c r="C3118">
        <v>1204.9079506237533</v>
      </c>
      <c r="D3118" s="77">
        <v>200.81799177062555</v>
      </c>
      <c r="E3118" s="77">
        <v>200.81799177062555</v>
      </c>
      <c r="F3118" s="77">
        <v>200.81799177062555</v>
      </c>
      <c r="G3118" s="77">
        <v>200.81799177062555</v>
      </c>
      <c r="H3118" s="77">
        <v>200.81799177062555</v>
      </c>
      <c r="I3118" s="77">
        <v>200.81799177062555</v>
      </c>
    </row>
    <row r="3119" spans="2:9">
      <c r="B3119" s="76">
        <v>2023.2372124787978</v>
      </c>
      <c r="C3119">
        <v>946.09060342145187</v>
      </c>
      <c r="D3119" s="77">
        <v>157.68176723690866</v>
      </c>
      <c r="E3119" s="77">
        <v>157.68176723690866</v>
      </c>
      <c r="F3119" s="77">
        <v>157.68176723690866</v>
      </c>
      <c r="G3119" s="77">
        <v>157.68176723690866</v>
      </c>
      <c r="H3119" s="77">
        <v>157.68176723690866</v>
      </c>
      <c r="I3119" s="77">
        <v>157.68176723690866</v>
      </c>
    </row>
    <row r="3120" spans="2:9">
      <c r="B3120" s="76">
        <v>2024.8713807600238</v>
      </c>
      <c r="C3120">
        <v>1098.1690446857162</v>
      </c>
      <c r="D3120" s="77">
        <v>183.02817411428603</v>
      </c>
      <c r="E3120" s="77">
        <v>183.02817411428603</v>
      </c>
      <c r="F3120" s="77">
        <v>183.02817411428603</v>
      </c>
      <c r="G3120" s="77">
        <v>183.02817411428603</v>
      </c>
      <c r="H3120" s="77">
        <v>183.02817411428603</v>
      </c>
      <c r="I3120" s="77">
        <v>183.02817411428603</v>
      </c>
    </row>
    <row r="3121" spans="2:9">
      <c r="B3121" s="76">
        <v>2022.7069870610637</v>
      </c>
      <c r="C3121">
        <v>795.85133247641875</v>
      </c>
      <c r="D3121" s="77">
        <v>132.64188874606978</v>
      </c>
      <c r="E3121" s="77">
        <v>132.64188874606978</v>
      </c>
      <c r="F3121" s="77">
        <v>132.64188874606978</v>
      </c>
      <c r="G3121" s="77">
        <v>132.64188874606978</v>
      </c>
      <c r="H3121" s="77">
        <v>132.64188874606978</v>
      </c>
      <c r="I3121" s="77">
        <v>132.64188874606978</v>
      </c>
    </row>
    <row r="3122" spans="2:9">
      <c r="B3122" s="76">
        <v>2024.8845574079564</v>
      </c>
      <c r="C3122">
        <v>1122.0732477560475</v>
      </c>
      <c r="D3122" s="77">
        <v>187.01220795934125</v>
      </c>
      <c r="E3122" s="77">
        <v>187.01220795934125</v>
      </c>
      <c r="F3122" s="77">
        <v>187.01220795934125</v>
      </c>
      <c r="G3122" s="77">
        <v>187.01220795934125</v>
      </c>
      <c r="H3122" s="77">
        <v>187.01220795934125</v>
      </c>
      <c r="I3122" s="77">
        <v>187.01220795934125</v>
      </c>
    </row>
    <row r="3123" spans="2:9">
      <c r="B3123" s="76">
        <v>2024.2060441137364</v>
      </c>
      <c r="C3123">
        <v>1010.5087241485356</v>
      </c>
      <c r="D3123" s="77">
        <v>168.41812069142262</v>
      </c>
      <c r="E3123" s="77">
        <v>168.41812069142262</v>
      </c>
      <c r="F3123" s="77">
        <v>168.41812069142262</v>
      </c>
      <c r="G3123" s="77">
        <v>168.41812069142262</v>
      </c>
      <c r="H3123" s="77">
        <v>168.41812069142262</v>
      </c>
      <c r="I3123" s="77">
        <v>168.41812069142262</v>
      </c>
    </row>
    <row r="3124" spans="2:9">
      <c r="B3124" s="76">
        <v>2023.2280659686687</v>
      </c>
      <c r="C3124">
        <v>948.93395991501711</v>
      </c>
      <c r="D3124" s="77">
        <v>158.15565998583619</v>
      </c>
      <c r="E3124" s="77">
        <v>158.15565998583619</v>
      </c>
      <c r="F3124" s="77">
        <v>158.15565998583619</v>
      </c>
      <c r="G3124" s="77">
        <v>158.15565998583619</v>
      </c>
      <c r="H3124" s="77">
        <v>158.15565998583619</v>
      </c>
      <c r="I3124" s="77">
        <v>158.15565998583619</v>
      </c>
    </row>
    <row r="3125" spans="2:9">
      <c r="B3125" s="76">
        <v>2025.3460077917532</v>
      </c>
      <c r="C3125">
        <v>1226.3794712674182</v>
      </c>
      <c r="D3125" s="77">
        <v>204.39657854456971</v>
      </c>
      <c r="E3125" s="77">
        <v>204.39657854456971</v>
      </c>
      <c r="F3125" s="77">
        <v>204.39657854456971</v>
      </c>
      <c r="G3125" s="77">
        <v>204.39657854456971</v>
      </c>
      <c r="H3125" s="77">
        <v>204.39657854456971</v>
      </c>
      <c r="I3125" s="77">
        <v>204.39657854456971</v>
      </c>
    </row>
    <row r="3126" spans="2:9">
      <c r="B3126" s="76">
        <v>2023.0494599312781</v>
      </c>
      <c r="C3126">
        <v>885.59726112087583</v>
      </c>
      <c r="D3126" s="77">
        <v>147.59954352014597</v>
      </c>
      <c r="E3126" s="77">
        <v>147.59954352014597</v>
      </c>
      <c r="F3126" s="77">
        <v>147.59954352014597</v>
      </c>
      <c r="G3126" s="77">
        <v>147.59954352014597</v>
      </c>
      <c r="H3126" s="77">
        <v>147.59954352014597</v>
      </c>
      <c r="I3126" s="77">
        <v>147.59954352014597</v>
      </c>
    </row>
    <row r="3127" spans="2:9">
      <c r="B3127" s="76">
        <v>2022.9000195553531</v>
      </c>
      <c r="C3127">
        <v>838.13469402455689</v>
      </c>
      <c r="D3127" s="77">
        <v>139.68911567075949</v>
      </c>
      <c r="E3127" s="77">
        <v>139.68911567075949</v>
      </c>
      <c r="F3127" s="77">
        <v>139.68911567075949</v>
      </c>
      <c r="G3127" s="77">
        <v>139.68911567075949</v>
      </c>
      <c r="H3127" s="77">
        <v>139.68911567075949</v>
      </c>
      <c r="I3127" s="77">
        <v>139.68911567075949</v>
      </c>
    </row>
    <row r="3128" spans="2:9">
      <c r="B3128" s="76">
        <v>2023.0069809782849</v>
      </c>
      <c r="C3128">
        <v>863.95167513965964</v>
      </c>
      <c r="D3128" s="77">
        <v>143.99194585660993</v>
      </c>
      <c r="E3128" s="77">
        <v>143.99194585660993</v>
      </c>
      <c r="F3128" s="77">
        <v>143.99194585660993</v>
      </c>
      <c r="G3128" s="77">
        <v>143.99194585660993</v>
      </c>
      <c r="H3128" s="77">
        <v>143.99194585660993</v>
      </c>
      <c r="I3128" s="77">
        <v>143.99194585660993</v>
      </c>
    </row>
    <row r="3129" spans="2:9">
      <c r="B3129" s="76">
        <v>2024.8580909772706</v>
      </c>
      <c r="C3129">
        <v>1049.0794155576039</v>
      </c>
      <c r="D3129" s="77">
        <v>174.84656925960064</v>
      </c>
      <c r="E3129" s="77">
        <v>174.84656925960064</v>
      </c>
      <c r="F3129" s="77">
        <v>174.84656925960064</v>
      </c>
      <c r="G3129" s="77">
        <v>174.84656925960064</v>
      </c>
      <c r="H3129" s="77">
        <v>174.84656925960064</v>
      </c>
      <c r="I3129" s="77">
        <v>174.84656925960064</v>
      </c>
    </row>
    <row r="3130" spans="2:9">
      <c r="B3130" s="76">
        <v>2024.5864893049616</v>
      </c>
      <c r="C3130">
        <v>1080.5079085497237</v>
      </c>
      <c r="D3130" s="77">
        <v>180.08465142495393</v>
      </c>
      <c r="E3130" s="77">
        <v>180.08465142495393</v>
      </c>
      <c r="F3130" s="77">
        <v>180.08465142495393</v>
      </c>
      <c r="G3130" s="77">
        <v>180.08465142495393</v>
      </c>
      <c r="H3130" s="77">
        <v>180.08465142495393</v>
      </c>
      <c r="I3130" s="77">
        <v>180.08465142495393</v>
      </c>
    </row>
    <row r="3131" spans="2:9">
      <c r="B3131" s="76">
        <v>2023.0591970746623</v>
      </c>
      <c r="C3131">
        <v>919.07429040833199</v>
      </c>
      <c r="D3131" s="77">
        <v>153.17904840138866</v>
      </c>
      <c r="E3131" s="77">
        <v>153.17904840138866</v>
      </c>
      <c r="F3131" s="77">
        <v>153.17904840138866</v>
      </c>
      <c r="G3131" s="77">
        <v>153.17904840138866</v>
      </c>
      <c r="H3131" s="77">
        <v>153.17904840138866</v>
      </c>
      <c r="I3131" s="77">
        <v>153.17904840138866</v>
      </c>
    </row>
    <row r="3132" spans="2:9">
      <c r="B3132" s="76">
        <v>2023.0348464628307</v>
      </c>
      <c r="C3132">
        <v>984.55020748838695</v>
      </c>
      <c r="D3132" s="77">
        <v>164.09170124806448</v>
      </c>
      <c r="E3132" s="77">
        <v>164.09170124806448</v>
      </c>
      <c r="F3132" s="77">
        <v>164.09170124806448</v>
      </c>
      <c r="G3132" s="77">
        <v>164.09170124806448</v>
      </c>
      <c r="H3132" s="77">
        <v>164.09170124806448</v>
      </c>
      <c r="I3132" s="77">
        <v>164.09170124806448</v>
      </c>
    </row>
    <row r="3133" spans="2:9">
      <c r="B3133" s="76">
        <v>2024.893572456202</v>
      </c>
      <c r="C3133">
        <v>1169.998645895952</v>
      </c>
      <c r="D3133" s="77">
        <v>194.999774315992</v>
      </c>
      <c r="E3133" s="77">
        <v>194.999774315992</v>
      </c>
      <c r="F3133" s="77">
        <v>194.999774315992</v>
      </c>
      <c r="G3133" s="77">
        <v>194.999774315992</v>
      </c>
      <c r="H3133" s="77">
        <v>194.999774315992</v>
      </c>
      <c r="I3133" s="77">
        <v>194.999774315992</v>
      </c>
    </row>
    <row r="3134" spans="2:9">
      <c r="B3134" s="76">
        <v>2023.4789518327209</v>
      </c>
      <c r="C3134">
        <v>968.20570249389527</v>
      </c>
      <c r="D3134" s="77">
        <v>161.36761708231589</v>
      </c>
      <c r="E3134" s="77">
        <v>161.36761708231589</v>
      </c>
      <c r="F3134" s="77">
        <v>161.36761708231589</v>
      </c>
      <c r="G3134" s="77">
        <v>161.36761708231589</v>
      </c>
      <c r="H3134" s="77">
        <v>161.36761708231589</v>
      </c>
      <c r="I3134" s="77">
        <v>161.36761708231589</v>
      </c>
    </row>
    <row r="3135" spans="2:9">
      <c r="B3135" s="76">
        <v>2023.239190344286</v>
      </c>
      <c r="C3135">
        <v>1011.0425363159912</v>
      </c>
      <c r="D3135" s="77">
        <v>168.50708938599854</v>
      </c>
      <c r="E3135" s="77">
        <v>168.50708938599854</v>
      </c>
      <c r="F3135" s="77">
        <v>168.50708938599854</v>
      </c>
      <c r="G3135" s="77">
        <v>168.50708938599854</v>
      </c>
      <c r="H3135" s="77">
        <v>168.50708938599854</v>
      </c>
      <c r="I3135" s="77">
        <v>168.50708938599854</v>
      </c>
    </row>
    <row r="3136" spans="2:9">
      <c r="B3136" s="76">
        <v>2023.2335580391068</v>
      </c>
      <c r="C3136">
        <v>938.9419123633121</v>
      </c>
      <c r="D3136" s="77">
        <v>156.49031872721869</v>
      </c>
      <c r="E3136" s="77">
        <v>156.49031872721869</v>
      </c>
      <c r="F3136" s="77">
        <v>156.49031872721869</v>
      </c>
      <c r="G3136" s="77">
        <v>156.49031872721869</v>
      </c>
      <c r="H3136" s="77">
        <v>156.49031872721869</v>
      </c>
      <c r="I3136" s="77">
        <v>156.49031872721869</v>
      </c>
    </row>
    <row r="3137" spans="2:9">
      <c r="B3137" s="76">
        <v>2024.8614294716626</v>
      </c>
      <c r="C3137">
        <v>1128.4685686876601</v>
      </c>
      <c r="D3137" s="77">
        <v>188.07809478127669</v>
      </c>
      <c r="E3137" s="77">
        <v>188.07809478127669</v>
      </c>
      <c r="F3137" s="77">
        <v>188.07809478127669</v>
      </c>
      <c r="G3137" s="77">
        <v>188.07809478127669</v>
      </c>
      <c r="H3137" s="77">
        <v>188.07809478127669</v>
      </c>
      <c r="I3137" s="77">
        <v>188.07809478127669</v>
      </c>
    </row>
    <row r="3138" spans="2:9">
      <c r="B3138" s="76">
        <v>2023.2627100972732</v>
      </c>
      <c r="C3138">
        <v>882.5505213308943</v>
      </c>
      <c r="D3138" s="77">
        <v>147.09175355514904</v>
      </c>
      <c r="E3138" s="77">
        <v>147.09175355514904</v>
      </c>
      <c r="F3138" s="77">
        <v>147.09175355514904</v>
      </c>
      <c r="G3138" s="77">
        <v>147.09175355514904</v>
      </c>
      <c r="H3138" s="77">
        <v>147.09175355514904</v>
      </c>
      <c r="I3138" s="77">
        <v>147.09175355514904</v>
      </c>
    </row>
    <row r="3139" spans="2:9">
      <c r="B3139" s="76">
        <v>2023.217201345313</v>
      </c>
      <c r="C3139">
        <v>885.35787164069745</v>
      </c>
      <c r="D3139" s="77">
        <v>147.55964527344958</v>
      </c>
      <c r="E3139" s="77">
        <v>147.55964527344958</v>
      </c>
      <c r="F3139" s="77">
        <v>147.55964527344958</v>
      </c>
      <c r="G3139" s="77">
        <v>147.55964527344958</v>
      </c>
      <c r="H3139" s="77">
        <v>147.55964527344958</v>
      </c>
      <c r="I3139" s="77">
        <v>147.55964527344958</v>
      </c>
    </row>
    <row r="3140" spans="2:9">
      <c r="B3140" s="76">
        <v>2022.8967399911421</v>
      </c>
      <c r="C3140">
        <v>843.88658841948882</v>
      </c>
      <c r="D3140" s="77">
        <v>140.64776473658148</v>
      </c>
      <c r="E3140" s="77">
        <v>140.64776473658148</v>
      </c>
      <c r="F3140" s="77">
        <v>140.64776473658148</v>
      </c>
      <c r="G3140" s="77">
        <v>140.64776473658148</v>
      </c>
      <c r="H3140" s="77">
        <v>140.64776473658148</v>
      </c>
      <c r="I3140" s="77">
        <v>140.64776473658148</v>
      </c>
    </row>
    <row r="3141" spans="2:9">
      <c r="B3141" s="76">
        <v>2023.6845740898596</v>
      </c>
      <c r="C3141">
        <v>936.55579390980063</v>
      </c>
      <c r="D3141" s="77">
        <v>156.0926323183001</v>
      </c>
      <c r="E3141" s="77">
        <v>156.0926323183001</v>
      </c>
      <c r="F3141" s="77">
        <v>156.0926323183001</v>
      </c>
      <c r="G3141" s="77">
        <v>156.0926323183001</v>
      </c>
      <c r="H3141" s="77">
        <v>156.0926323183001</v>
      </c>
      <c r="I3141" s="77">
        <v>156.0926323183001</v>
      </c>
    </row>
    <row r="3142" spans="2:9">
      <c r="B3142" s="76">
        <v>2022.7379266209443</v>
      </c>
      <c r="C3142">
        <v>838.5163168957115</v>
      </c>
      <c r="D3142" s="77">
        <v>139.75271948261857</v>
      </c>
      <c r="E3142" s="77">
        <v>139.75271948261857</v>
      </c>
      <c r="F3142" s="77">
        <v>139.75271948261857</v>
      </c>
      <c r="G3142" s="77">
        <v>139.75271948261857</v>
      </c>
      <c r="H3142" s="77">
        <v>139.75271948261857</v>
      </c>
      <c r="I3142" s="77">
        <v>139.75271948261857</v>
      </c>
    </row>
    <row r="3143" spans="2:9">
      <c r="B3143" s="76">
        <v>2022.9899025857399</v>
      </c>
      <c r="C3143">
        <v>875.38944219960342</v>
      </c>
      <c r="D3143" s="77">
        <v>145.89824036660056</v>
      </c>
      <c r="E3143" s="77">
        <v>145.89824036660056</v>
      </c>
      <c r="F3143" s="77">
        <v>145.89824036660056</v>
      </c>
      <c r="G3143" s="77">
        <v>145.89824036660056</v>
      </c>
      <c r="H3143" s="77">
        <v>145.89824036660056</v>
      </c>
      <c r="I3143" s="77">
        <v>145.89824036660056</v>
      </c>
    </row>
    <row r="3144" spans="2:9">
      <c r="B3144" s="76">
        <v>2023.1180339184566</v>
      </c>
      <c r="C3144">
        <v>906.0769968222387</v>
      </c>
      <c r="D3144" s="77">
        <v>151.01283280370646</v>
      </c>
      <c r="E3144" s="77">
        <v>151.01283280370646</v>
      </c>
      <c r="F3144" s="77">
        <v>151.01283280370646</v>
      </c>
      <c r="G3144" s="77">
        <v>151.01283280370646</v>
      </c>
      <c r="H3144" s="77">
        <v>151.01283280370646</v>
      </c>
      <c r="I3144" s="77">
        <v>151.01283280370646</v>
      </c>
    </row>
    <row r="3145" spans="2:9">
      <c r="B3145" s="76">
        <v>2022.9075456667695</v>
      </c>
      <c r="C3145">
        <v>857.4912706615296</v>
      </c>
      <c r="D3145" s="77">
        <v>142.91521177692161</v>
      </c>
      <c r="E3145" s="77">
        <v>142.91521177692161</v>
      </c>
      <c r="F3145" s="77">
        <v>142.91521177692161</v>
      </c>
      <c r="G3145" s="77">
        <v>142.91521177692161</v>
      </c>
      <c r="H3145" s="77">
        <v>142.91521177692161</v>
      </c>
      <c r="I3145" s="77">
        <v>142.91521177692161</v>
      </c>
    </row>
    <row r="3146" spans="2:9">
      <c r="B3146" s="76">
        <v>2024.6558421255781</v>
      </c>
      <c r="C3146">
        <v>1072.211629024443</v>
      </c>
      <c r="D3146" s="77">
        <v>178.7019381707405</v>
      </c>
      <c r="E3146" s="77">
        <v>178.7019381707405</v>
      </c>
      <c r="F3146" s="77">
        <v>178.7019381707405</v>
      </c>
      <c r="G3146" s="77">
        <v>178.7019381707405</v>
      </c>
      <c r="H3146" s="77">
        <v>178.7019381707405</v>
      </c>
      <c r="I3146" s="77">
        <v>178.7019381707405</v>
      </c>
    </row>
    <row r="3147" spans="2:9">
      <c r="B3147" s="76">
        <v>2023.1083291127838</v>
      </c>
      <c r="C3147">
        <v>873.06170885977781</v>
      </c>
      <c r="D3147" s="77">
        <v>145.51028480996297</v>
      </c>
      <c r="E3147" s="77">
        <v>145.51028480996297</v>
      </c>
      <c r="F3147" s="77">
        <v>145.51028480996297</v>
      </c>
      <c r="G3147" s="77">
        <v>145.51028480996297</v>
      </c>
      <c r="H3147" s="77">
        <v>145.51028480996297</v>
      </c>
      <c r="I3147" s="77">
        <v>145.51028480996297</v>
      </c>
    </row>
    <row r="3148" spans="2:9">
      <c r="B3148" s="76">
        <v>2022.8193252444257</v>
      </c>
      <c r="C3148">
        <v>861.88238961767433</v>
      </c>
      <c r="D3148" s="77">
        <v>143.64706493627907</v>
      </c>
      <c r="E3148" s="77">
        <v>143.64706493627907</v>
      </c>
      <c r="F3148" s="77">
        <v>143.64706493627907</v>
      </c>
      <c r="G3148" s="77">
        <v>143.64706493627907</v>
      </c>
      <c r="H3148" s="77">
        <v>143.64706493627907</v>
      </c>
      <c r="I3148" s="77">
        <v>143.64706493627907</v>
      </c>
    </row>
    <row r="3149" spans="2:9">
      <c r="B3149" s="76">
        <v>2025.0362337084073</v>
      </c>
      <c r="C3149">
        <v>1205.8920719881924</v>
      </c>
      <c r="D3149" s="77">
        <v>200.98201199803205</v>
      </c>
      <c r="E3149" s="77">
        <v>200.98201199803205</v>
      </c>
      <c r="F3149" s="77">
        <v>200.98201199803205</v>
      </c>
      <c r="G3149" s="77">
        <v>200.98201199803205</v>
      </c>
      <c r="H3149" s="77">
        <v>200.98201199803205</v>
      </c>
      <c r="I3149" s="77">
        <v>200.98201199803205</v>
      </c>
    </row>
    <row r="3150" spans="2:9">
      <c r="B3150" s="76">
        <v>2023.4420008942836</v>
      </c>
      <c r="C3150">
        <v>938.36966316524251</v>
      </c>
      <c r="D3150" s="77">
        <v>156.39494386087375</v>
      </c>
      <c r="E3150" s="77">
        <v>156.39494386087375</v>
      </c>
      <c r="F3150" s="77">
        <v>156.39494386087375</v>
      </c>
      <c r="G3150" s="77">
        <v>156.39494386087375</v>
      </c>
      <c r="H3150" s="77">
        <v>156.39494386087375</v>
      </c>
      <c r="I3150" s="77">
        <v>156.39494386087375</v>
      </c>
    </row>
    <row r="3151" spans="2:9">
      <c r="B3151" s="76">
        <v>2023.4544128766145</v>
      </c>
      <c r="C3151">
        <v>919.7402864511846</v>
      </c>
      <c r="D3151" s="77">
        <v>153.2900477418641</v>
      </c>
      <c r="E3151" s="77">
        <v>153.2900477418641</v>
      </c>
      <c r="F3151" s="77">
        <v>153.2900477418641</v>
      </c>
      <c r="G3151" s="77">
        <v>153.2900477418641</v>
      </c>
      <c r="H3151" s="77">
        <v>153.2900477418641</v>
      </c>
      <c r="I3151" s="77">
        <v>153.2900477418641</v>
      </c>
    </row>
    <row r="3152" spans="2:9">
      <c r="B3152" s="76">
        <v>2023.0265704677588</v>
      </c>
      <c r="C3152">
        <v>917.76189024986206</v>
      </c>
      <c r="D3152" s="77">
        <v>152.96031504164367</v>
      </c>
      <c r="E3152" s="77">
        <v>152.96031504164367</v>
      </c>
      <c r="F3152" s="77">
        <v>152.96031504164367</v>
      </c>
      <c r="G3152" s="77">
        <v>152.96031504164367</v>
      </c>
      <c r="H3152" s="77">
        <v>152.96031504164367</v>
      </c>
      <c r="I3152" s="77">
        <v>152.96031504164367</v>
      </c>
    </row>
    <row r="3153" spans="2:9">
      <c r="B3153" s="76">
        <v>2023.1995198997054</v>
      </c>
      <c r="C3153">
        <v>914.0621257114924</v>
      </c>
      <c r="D3153" s="77">
        <v>152.34368761858207</v>
      </c>
      <c r="E3153" s="77">
        <v>152.34368761858207</v>
      </c>
      <c r="F3153" s="77">
        <v>152.34368761858207</v>
      </c>
      <c r="G3153" s="77">
        <v>152.34368761858207</v>
      </c>
      <c r="H3153" s="77">
        <v>152.34368761858207</v>
      </c>
      <c r="I3153" s="77">
        <v>152.34368761858207</v>
      </c>
    </row>
    <row r="3154" spans="2:9">
      <c r="B3154" s="76">
        <v>2023.0638954143153</v>
      </c>
      <c r="C3154">
        <v>940.92196197977034</v>
      </c>
      <c r="D3154" s="77">
        <v>156.82032699662838</v>
      </c>
      <c r="E3154" s="77">
        <v>156.82032699662838</v>
      </c>
      <c r="F3154" s="77">
        <v>156.82032699662838</v>
      </c>
      <c r="G3154" s="77">
        <v>156.82032699662838</v>
      </c>
      <c r="H3154" s="77">
        <v>156.82032699662838</v>
      </c>
      <c r="I3154" s="77">
        <v>156.82032699662838</v>
      </c>
    </row>
    <row r="3155" spans="2:9">
      <c r="B3155" s="76">
        <v>2023.2926022807453</v>
      </c>
      <c r="C3155">
        <v>985.80942896302645</v>
      </c>
      <c r="D3155" s="77">
        <v>164.30157149383774</v>
      </c>
      <c r="E3155" s="77">
        <v>164.30157149383774</v>
      </c>
      <c r="F3155" s="77">
        <v>164.30157149383774</v>
      </c>
      <c r="G3155" s="77">
        <v>164.30157149383774</v>
      </c>
      <c r="H3155" s="77">
        <v>164.30157149383774</v>
      </c>
      <c r="I3155" s="77">
        <v>164.30157149383774</v>
      </c>
    </row>
    <row r="3156" spans="2:9">
      <c r="B3156" s="76">
        <v>2023.1307405005264</v>
      </c>
      <c r="C3156">
        <v>874.0204625047329</v>
      </c>
      <c r="D3156" s="77">
        <v>145.67007708412214</v>
      </c>
      <c r="E3156" s="77">
        <v>145.67007708412214</v>
      </c>
      <c r="F3156" s="77">
        <v>145.67007708412214</v>
      </c>
      <c r="G3156" s="77">
        <v>145.67007708412214</v>
      </c>
      <c r="H3156" s="77">
        <v>145.67007708412214</v>
      </c>
      <c r="I3156" s="77">
        <v>145.67007708412214</v>
      </c>
    </row>
    <row r="3157" spans="2:9">
      <c r="B3157" s="76">
        <v>2023.1192088645835</v>
      </c>
      <c r="C3157">
        <v>936.9045495664592</v>
      </c>
      <c r="D3157" s="77">
        <v>156.15075826107653</v>
      </c>
      <c r="E3157" s="77">
        <v>156.15075826107653</v>
      </c>
      <c r="F3157" s="77">
        <v>156.15075826107653</v>
      </c>
      <c r="G3157" s="77">
        <v>156.15075826107653</v>
      </c>
      <c r="H3157" s="77">
        <v>156.15075826107653</v>
      </c>
      <c r="I3157" s="77">
        <v>156.15075826107653</v>
      </c>
    </row>
    <row r="3158" spans="2:9">
      <c r="B3158" s="76">
        <v>2023.3873155908789</v>
      </c>
      <c r="C3158">
        <v>940.22702697566331</v>
      </c>
      <c r="D3158" s="77">
        <v>156.70450449594389</v>
      </c>
      <c r="E3158" s="77">
        <v>156.70450449594389</v>
      </c>
      <c r="F3158" s="77">
        <v>156.70450449594389</v>
      </c>
      <c r="G3158" s="77">
        <v>156.70450449594389</v>
      </c>
      <c r="H3158" s="77">
        <v>156.70450449594389</v>
      </c>
      <c r="I3158" s="77">
        <v>156.70450449594389</v>
      </c>
    </row>
    <row r="3159" spans="2:9">
      <c r="B3159" s="76">
        <v>2023.0126331719089</v>
      </c>
      <c r="C3159">
        <v>961.38289202948727</v>
      </c>
      <c r="D3159" s="77">
        <v>160.23048200491453</v>
      </c>
      <c r="E3159" s="77">
        <v>160.23048200491453</v>
      </c>
      <c r="F3159" s="77">
        <v>160.23048200491453</v>
      </c>
      <c r="G3159" s="77">
        <v>160.23048200491453</v>
      </c>
      <c r="H3159" s="77">
        <v>160.23048200491453</v>
      </c>
      <c r="I3159" s="77">
        <v>160.23048200491453</v>
      </c>
    </row>
    <row r="3160" spans="2:9">
      <c r="B3160" s="76">
        <v>2023.0731836729981</v>
      </c>
      <c r="C3160">
        <v>852.59580482150193</v>
      </c>
      <c r="D3160" s="77">
        <v>142.09930080358365</v>
      </c>
      <c r="E3160" s="77">
        <v>142.09930080358365</v>
      </c>
      <c r="F3160" s="77">
        <v>142.09930080358365</v>
      </c>
      <c r="G3160" s="77">
        <v>142.09930080358365</v>
      </c>
      <c r="H3160" s="77">
        <v>142.09930080358365</v>
      </c>
      <c r="I3160" s="77">
        <v>142.09930080358365</v>
      </c>
    </row>
    <row r="3161" spans="2:9">
      <c r="B3161" s="76">
        <v>2023.3281480523008</v>
      </c>
      <c r="C3161">
        <v>910.80219977163927</v>
      </c>
      <c r="D3161" s="77">
        <v>151.80036662860655</v>
      </c>
      <c r="E3161" s="77">
        <v>151.80036662860655</v>
      </c>
      <c r="F3161" s="77">
        <v>151.80036662860655</v>
      </c>
      <c r="G3161" s="77">
        <v>151.80036662860655</v>
      </c>
      <c r="H3161" s="77">
        <v>151.80036662860655</v>
      </c>
      <c r="I3161" s="77">
        <v>151.80036662860655</v>
      </c>
    </row>
    <row r="3162" spans="2:9">
      <c r="B3162" s="76">
        <v>2022.7932813311686</v>
      </c>
      <c r="C3162">
        <v>874.88678365928058</v>
      </c>
      <c r="D3162" s="77">
        <v>145.81446394321344</v>
      </c>
      <c r="E3162" s="77">
        <v>145.81446394321344</v>
      </c>
      <c r="F3162" s="77">
        <v>145.81446394321344</v>
      </c>
      <c r="G3162" s="77">
        <v>145.81446394321344</v>
      </c>
      <c r="H3162" s="77">
        <v>145.81446394321344</v>
      </c>
      <c r="I3162" s="77">
        <v>145.81446394321344</v>
      </c>
    </row>
    <row r="3163" spans="2:9">
      <c r="B3163" s="76">
        <v>2024.9955048431329</v>
      </c>
      <c r="C3163">
        <v>1170.1399297397643</v>
      </c>
      <c r="D3163" s="77">
        <v>195.02332162329404</v>
      </c>
      <c r="E3163" s="77">
        <v>195.02332162329404</v>
      </c>
      <c r="F3163" s="77">
        <v>195.02332162329404</v>
      </c>
      <c r="G3163" s="77">
        <v>195.02332162329404</v>
      </c>
      <c r="H3163" s="77">
        <v>195.02332162329404</v>
      </c>
      <c r="I3163" s="77">
        <v>195.02332162329404</v>
      </c>
    </row>
    <row r="3164" spans="2:9">
      <c r="B3164" s="76">
        <v>2023.3578424519019</v>
      </c>
      <c r="C3164">
        <v>919.71352917927561</v>
      </c>
      <c r="D3164" s="77">
        <v>153.28558819654594</v>
      </c>
      <c r="E3164" s="77">
        <v>153.28558819654594</v>
      </c>
      <c r="F3164" s="77">
        <v>153.28558819654594</v>
      </c>
      <c r="G3164" s="77">
        <v>153.28558819654594</v>
      </c>
      <c r="H3164" s="77">
        <v>153.28558819654594</v>
      </c>
      <c r="I3164" s="77">
        <v>153.28558819654594</v>
      </c>
    </row>
    <row r="3165" spans="2:9">
      <c r="B3165" s="76">
        <v>2022.8294356067508</v>
      </c>
      <c r="C3165">
        <v>885.09590240618047</v>
      </c>
      <c r="D3165" s="77">
        <v>147.5159837343634</v>
      </c>
      <c r="E3165" s="77">
        <v>147.5159837343634</v>
      </c>
      <c r="F3165" s="77">
        <v>147.5159837343634</v>
      </c>
      <c r="G3165" s="77">
        <v>147.5159837343634</v>
      </c>
      <c r="H3165" s="77">
        <v>147.5159837343634</v>
      </c>
      <c r="I3165" s="77">
        <v>147.5159837343634</v>
      </c>
    </row>
    <row r="3166" spans="2:9">
      <c r="B3166" s="76">
        <v>2023.1252624198598</v>
      </c>
      <c r="C3166">
        <v>857.03881149925871</v>
      </c>
      <c r="D3166" s="77">
        <v>142.83980191654311</v>
      </c>
      <c r="E3166" s="77">
        <v>142.83980191654311</v>
      </c>
      <c r="F3166" s="77">
        <v>142.83980191654311</v>
      </c>
      <c r="G3166" s="77">
        <v>142.83980191654311</v>
      </c>
      <c r="H3166" s="77">
        <v>142.83980191654311</v>
      </c>
      <c r="I3166" s="77">
        <v>142.83980191654311</v>
      </c>
    </row>
    <row r="3167" spans="2:9">
      <c r="B3167" s="76">
        <v>2023.1394744269203</v>
      </c>
      <c r="C3167">
        <v>918.33410383100943</v>
      </c>
      <c r="D3167" s="77">
        <v>153.0556839718349</v>
      </c>
      <c r="E3167" s="77">
        <v>153.0556839718349</v>
      </c>
      <c r="F3167" s="77">
        <v>153.0556839718349</v>
      </c>
      <c r="G3167" s="77">
        <v>153.0556839718349</v>
      </c>
      <c r="H3167" s="77">
        <v>153.0556839718349</v>
      </c>
      <c r="I3167" s="77">
        <v>153.0556839718349</v>
      </c>
    </row>
    <row r="3168" spans="2:9">
      <c r="B3168" s="76">
        <v>2023.6487271036738</v>
      </c>
      <c r="C3168">
        <v>931.11891377638528</v>
      </c>
      <c r="D3168" s="77">
        <v>155.18648562939754</v>
      </c>
      <c r="E3168" s="77">
        <v>155.18648562939754</v>
      </c>
      <c r="F3168" s="77">
        <v>155.18648562939754</v>
      </c>
      <c r="G3168" s="77">
        <v>155.18648562939754</v>
      </c>
      <c r="H3168" s="77">
        <v>155.18648562939754</v>
      </c>
      <c r="I3168" s="77">
        <v>155.18648562939754</v>
      </c>
    </row>
    <row r="3169" spans="2:9">
      <c r="B3169" s="76">
        <v>2023.5137942056801</v>
      </c>
      <c r="C3169">
        <v>954.54951022524062</v>
      </c>
      <c r="D3169" s="77">
        <v>159.09158503754011</v>
      </c>
      <c r="E3169" s="77">
        <v>159.09158503754011</v>
      </c>
      <c r="F3169" s="77">
        <v>159.09158503754011</v>
      </c>
      <c r="G3169" s="77">
        <v>159.09158503754011</v>
      </c>
      <c r="H3169" s="77">
        <v>159.09158503754011</v>
      </c>
      <c r="I3169" s="77">
        <v>159.09158503754011</v>
      </c>
    </row>
    <row r="3170" spans="2:9">
      <c r="B3170" s="76">
        <v>2023.0383899445467</v>
      </c>
      <c r="C3170">
        <v>914.86133906487623</v>
      </c>
      <c r="D3170" s="77">
        <v>152.47688984414603</v>
      </c>
      <c r="E3170" s="77">
        <v>152.47688984414603</v>
      </c>
      <c r="F3170" s="77">
        <v>152.47688984414603</v>
      </c>
      <c r="G3170" s="77">
        <v>152.47688984414603</v>
      </c>
      <c r="H3170" s="77">
        <v>152.47688984414603</v>
      </c>
      <c r="I3170" s="77">
        <v>152.47688984414603</v>
      </c>
    </row>
    <row r="3171" spans="2:9">
      <c r="B3171" s="76">
        <v>2023.2812200317942</v>
      </c>
      <c r="C3171">
        <v>879.36184242938316</v>
      </c>
      <c r="D3171" s="77">
        <v>146.56030707156387</v>
      </c>
      <c r="E3171" s="77">
        <v>146.56030707156387</v>
      </c>
      <c r="F3171" s="77">
        <v>146.56030707156387</v>
      </c>
      <c r="G3171" s="77">
        <v>146.56030707156387</v>
      </c>
      <c r="H3171" s="77">
        <v>146.56030707156387</v>
      </c>
      <c r="I3171" s="77">
        <v>146.56030707156387</v>
      </c>
    </row>
    <row r="3172" spans="2:9">
      <c r="B3172" s="76">
        <v>2023.2377473921697</v>
      </c>
      <c r="C3172">
        <v>965.93362113715034</v>
      </c>
      <c r="D3172" s="77">
        <v>160.98893685619171</v>
      </c>
      <c r="E3172" s="77">
        <v>160.98893685619171</v>
      </c>
      <c r="F3172" s="77">
        <v>160.98893685619171</v>
      </c>
      <c r="G3172" s="77">
        <v>160.98893685619171</v>
      </c>
      <c r="H3172" s="77">
        <v>160.98893685619171</v>
      </c>
      <c r="I3172" s="77">
        <v>160.98893685619171</v>
      </c>
    </row>
    <row r="3173" spans="2:9">
      <c r="B3173" s="76">
        <v>2024.4848551512707</v>
      </c>
      <c r="C3173">
        <v>1073.2411048443535</v>
      </c>
      <c r="D3173" s="77">
        <v>178.8735174740589</v>
      </c>
      <c r="E3173" s="77">
        <v>178.8735174740589</v>
      </c>
      <c r="F3173" s="77">
        <v>178.8735174740589</v>
      </c>
      <c r="G3173" s="77">
        <v>178.8735174740589</v>
      </c>
      <c r="H3173" s="77">
        <v>178.8735174740589</v>
      </c>
      <c r="I3173" s="77">
        <v>178.8735174740589</v>
      </c>
    </row>
    <row r="3174" spans="2:9">
      <c r="B3174" s="76">
        <v>2023.018573436867</v>
      </c>
      <c r="C3174">
        <v>885.38498209756972</v>
      </c>
      <c r="D3174" s="77">
        <v>147.5641636829283</v>
      </c>
      <c r="E3174" s="77">
        <v>147.5641636829283</v>
      </c>
      <c r="F3174" s="77">
        <v>147.5641636829283</v>
      </c>
      <c r="G3174" s="77">
        <v>147.5641636829283</v>
      </c>
      <c r="H3174" s="77">
        <v>147.5641636829283</v>
      </c>
      <c r="I3174" s="77">
        <v>147.5641636829283</v>
      </c>
    </row>
    <row r="3175" spans="2:9">
      <c r="B3175" s="76">
        <v>2024.6379528295768</v>
      </c>
      <c r="C3175">
        <v>1151.9059173905946</v>
      </c>
      <c r="D3175" s="77">
        <v>191.9843195650991</v>
      </c>
      <c r="E3175" s="77">
        <v>191.9843195650991</v>
      </c>
      <c r="F3175" s="77">
        <v>191.9843195650991</v>
      </c>
      <c r="G3175" s="77">
        <v>191.9843195650991</v>
      </c>
      <c r="H3175" s="77">
        <v>191.9843195650991</v>
      </c>
      <c r="I3175" s="77">
        <v>191.9843195650991</v>
      </c>
    </row>
    <row r="3176" spans="2:9">
      <c r="B3176" s="76">
        <v>2025.1005705083473</v>
      </c>
      <c r="C3176">
        <v>1159.4491248704219</v>
      </c>
      <c r="D3176" s="77">
        <v>193.24152081173699</v>
      </c>
      <c r="E3176" s="77">
        <v>193.24152081173699</v>
      </c>
      <c r="F3176" s="77">
        <v>193.24152081173699</v>
      </c>
      <c r="G3176" s="77">
        <v>193.24152081173699</v>
      </c>
      <c r="H3176" s="77">
        <v>193.24152081173699</v>
      </c>
      <c r="I3176" s="77">
        <v>193.24152081173699</v>
      </c>
    </row>
    <row r="3177" spans="2:9">
      <c r="B3177" s="76">
        <v>2024.6614331144958</v>
      </c>
      <c r="C3177">
        <v>1057.8439955535423</v>
      </c>
      <c r="D3177" s="77">
        <v>176.30733259225704</v>
      </c>
      <c r="E3177" s="77">
        <v>176.30733259225704</v>
      </c>
      <c r="F3177" s="77">
        <v>176.30733259225704</v>
      </c>
      <c r="G3177" s="77">
        <v>176.30733259225704</v>
      </c>
      <c r="H3177" s="77">
        <v>176.30733259225704</v>
      </c>
      <c r="I3177" s="77">
        <v>176.30733259225704</v>
      </c>
    </row>
    <row r="3178" spans="2:9">
      <c r="B3178" s="76">
        <v>2024.9718240653483</v>
      </c>
      <c r="C3178">
        <v>1158.1166011146656</v>
      </c>
      <c r="D3178" s="77">
        <v>193.01943351911095</v>
      </c>
      <c r="E3178" s="77">
        <v>193.01943351911095</v>
      </c>
      <c r="F3178" s="77">
        <v>193.01943351911095</v>
      </c>
      <c r="G3178" s="77">
        <v>193.01943351911095</v>
      </c>
      <c r="H3178" s="77">
        <v>193.01943351911095</v>
      </c>
      <c r="I3178" s="77">
        <v>193.01943351911095</v>
      </c>
    </row>
    <row r="3179" spans="2:9">
      <c r="B3179" s="76">
        <v>2023.2026425911661</v>
      </c>
      <c r="C3179">
        <v>885.5447534497024</v>
      </c>
      <c r="D3179" s="77">
        <v>147.59079224161707</v>
      </c>
      <c r="E3179" s="77">
        <v>147.59079224161707</v>
      </c>
      <c r="F3179" s="77">
        <v>147.59079224161707</v>
      </c>
      <c r="G3179" s="77">
        <v>147.59079224161707</v>
      </c>
      <c r="H3179" s="77">
        <v>147.59079224161707</v>
      </c>
      <c r="I3179" s="77">
        <v>147.59079224161707</v>
      </c>
    </row>
    <row r="3180" spans="2:9">
      <c r="B3180" s="76">
        <v>2024.9535179171917</v>
      </c>
      <c r="C3180">
        <v>1082.0194374819205</v>
      </c>
      <c r="D3180" s="77">
        <v>180.33657291365341</v>
      </c>
      <c r="E3180" s="77">
        <v>180.33657291365341</v>
      </c>
      <c r="F3180" s="77">
        <v>180.33657291365341</v>
      </c>
      <c r="G3180" s="77">
        <v>180.33657291365341</v>
      </c>
      <c r="H3180" s="77">
        <v>180.33657291365341</v>
      </c>
      <c r="I3180" s="77">
        <v>180.33657291365341</v>
      </c>
    </row>
    <row r="3181" spans="2:9">
      <c r="B3181" s="76">
        <v>2025.3452740528369</v>
      </c>
      <c r="C3181">
        <v>1157.3886803476537</v>
      </c>
      <c r="D3181" s="77">
        <v>192.89811339127561</v>
      </c>
      <c r="E3181" s="77">
        <v>192.89811339127561</v>
      </c>
      <c r="F3181" s="77">
        <v>192.89811339127561</v>
      </c>
      <c r="G3181" s="77">
        <v>192.89811339127561</v>
      </c>
      <c r="H3181" s="77">
        <v>192.89811339127561</v>
      </c>
      <c r="I3181" s="77">
        <v>192.89811339127561</v>
      </c>
    </row>
    <row r="3182" spans="2:9">
      <c r="B3182" s="76">
        <v>2023.0279013837737</v>
      </c>
      <c r="C3182">
        <v>947.21845429400503</v>
      </c>
      <c r="D3182" s="77">
        <v>157.86974238233418</v>
      </c>
      <c r="E3182" s="77">
        <v>157.86974238233418</v>
      </c>
      <c r="F3182" s="77">
        <v>157.86974238233418</v>
      </c>
      <c r="G3182" s="77">
        <v>157.86974238233418</v>
      </c>
      <c r="H3182" s="77">
        <v>157.86974238233418</v>
      </c>
      <c r="I3182" s="77">
        <v>157.86974238233418</v>
      </c>
    </row>
    <row r="3183" spans="2:9">
      <c r="B3183" s="76">
        <v>2023.4924798503489</v>
      </c>
      <c r="C3183">
        <v>888.76734233839136</v>
      </c>
      <c r="D3183" s="77">
        <v>148.1278903897319</v>
      </c>
      <c r="E3183" s="77">
        <v>148.1278903897319</v>
      </c>
      <c r="F3183" s="77">
        <v>148.1278903897319</v>
      </c>
      <c r="G3183" s="77">
        <v>148.1278903897319</v>
      </c>
      <c r="H3183" s="77">
        <v>148.1278903897319</v>
      </c>
      <c r="I3183" s="77">
        <v>148.1278903897319</v>
      </c>
    </row>
    <row r="3184" spans="2:9">
      <c r="B3184" s="76">
        <v>2023.494402668018</v>
      </c>
      <c r="C3184">
        <v>918.83929814006535</v>
      </c>
      <c r="D3184" s="77">
        <v>153.13988302334423</v>
      </c>
      <c r="E3184" s="77">
        <v>153.13988302334423</v>
      </c>
      <c r="F3184" s="77">
        <v>153.13988302334423</v>
      </c>
      <c r="G3184" s="77">
        <v>153.13988302334423</v>
      </c>
      <c r="H3184" s="77">
        <v>153.13988302334423</v>
      </c>
      <c r="I3184" s="77">
        <v>153.13988302334423</v>
      </c>
    </row>
    <row r="3185" spans="2:9">
      <c r="B3185" s="76">
        <v>2023.0527579222387</v>
      </c>
      <c r="C3185">
        <v>923.28187358441323</v>
      </c>
      <c r="D3185" s="77">
        <v>153.88031226406886</v>
      </c>
      <c r="E3185" s="77">
        <v>153.88031226406886</v>
      </c>
      <c r="F3185" s="77">
        <v>153.88031226406886</v>
      </c>
      <c r="G3185" s="77">
        <v>153.88031226406886</v>
      </c>
      <c r="H3185" s="77">
        <v>153.88031226406886</v>
      </c>
      <c r="I3185" s="77">
        <v>153.88031226406886</v>
      </c>
    </row>
    <row r="3186" spans="2:9">
      <c r="B3186" s="76">
        <v>2025.2002044719547</v>
      </c>
      <c r="C3186">
        <v>1161.6385487004131</v>
      </c>
      <c r="D3186" s="77">
        <v>193.60642478340219</v>
      </c>
      <c r="E3186" s="77">
        <v>193.60642478340219</v>
      </c>
      <c r="F3186" s="77">
        <v>193.60642478340219</v>
      </c>
      <c r="G3186" s="77">
        <v>193.60642478340219</v>
      </c>
      <c r="H3186" s="77">
        <v>193.60642478340219</v>
      </c>
      <c r="I3186" s="77">
        <v>193.60642478340219</v>
      </c>
    </row>
    <row r="3187" spans="2:9">
      <c r="B3187" s="76">
        <v>2024.5563888358495</v>
      </c>
      <c r="C3187">
        <v>1044.8893061392209</v>
      </c>
      <c r="D3187" s="77">
        <v>174.14821768987017</v>
      </c>
      <c r="E3187" s="77">
        <v>174.14821768987017</v>
      </c>
      <c r="F3187" s="77">
        <v>174.14821768987017</v>
      </c>
      <c r="G3187" s="77">
        <v>174.14821768987017</v>
      </c>
      <c r="H3187" s="77">
        <v>174.14821768987017</v>
      </c>
      <c r="I3187" s="77">
        <v>174.14821768987017</v>
      </c>
    </row>
    <row r="3188" spans="2:9">
      <c r="B3188" s="76">
        <v>2023.0578070911261</v>
      </c>
      <c r="C3188">
        <v>911.26783036852601</v>
      </c>
      <c r="D3188" s="77">
        <v>151.87797172808766</v>
      </c>
      <c r="E3188" s="77">
        <v>151.87797172808766</v>
      </c>
      <c r="F3188" s="77">
        <v>151.87797172808766</v>
      </c>
      <c r="G3188" s="77">
        <v>151.87797172808766</v>
      </c>
      <c r="H3188" s="77">
        <v>151.87797172808766</v>
      </c>
      <c r="I3188" s="77">
        <v>151.87797172808766</v>
      </c>
    </row>
    <row r="3189" spans="2:9">
      <c r="B3189" s="76">
        <v>2023.729447192178</v>
      </c>
      <c r="C3189">
        <v>969.22548738750572</v>
      </c>
      <c r="D3189" s="77">
        <v>161.53758123125095</v>
      </c>
      <c r="E3189" s="77">
        <v>161.53758123125095</v>
      </c>
      <c r="F3189" s="77">
        <v>161.53758123125095</v>
      </c>
      <c r="G3189" s="77">
        <v>161.53758123125095</v>
      </c>
      <c r="H3189" s="77">
        <v>161.53758123125095</v>
      </c>
      <c r="I3189" s="77">
        <v>161.53758123125095</v>
      </c>
    </row>
    <row r="3190" spans="2:9">
      <c r="B3190" s="76">
        <v>2023.0288295010967</v>
      </c>
      <c r="C3190">
        <v>846.36706834351912</v>
      </c>
      <c r="D3190" s="77">
        <v>141.06117805725319</v>
      </c>
      <c r="E3190" s="77">
        <v>141.06117805725319</v>
      </c>
      <c r="F3190" s="77">
        <v>141.06117805725319</v>
      </c>
      <c r="G3190" s="77">
        <v>141.06117805725319</v>
      </c>
      <c r="H3190" s="77">
        <v>141.06117805725319</v>
      </c>
      <c r="I3190" s="77">
        <v>141.06117805725319</v>
      </c>
    </row>
    <row r="3191" spans="2:9">
      <c r="B3191" s="76">
        <v>2023.1736735778563</v>
      </c>
      <c r="C3191">
        <v>915.62731670241385</v>
      </c>
      <c r="D3191" s="77">
        <v>152.60455278373564</v>
      </c>
      <c r="E3191" s="77">
        <v>152.60455278373564</v>
      </c>
      <c r="F3191" s="77">
        <v>152.60455278373564</v>
      </c>
      <c r="G3191" s="77">
        <v>152.60455278373564</v>
      </c>
      <c r="H3191" s="77">
        <v>152.60455278373564</v>
      </c>
      <c r="I3191" s="77">
        <v>152.60455278373564</v>
      </c>
    </row>
    <row r="3192" spans="2:9">
      <c r="B3192" s="76">
        <v>2022.8547904487486</v>
      </c>
      <c r="C3192">
        <v>823.73690855948121</v>
      </c>
      <c r="D3192" s="77">
        <v>137.28948475991353</v>
      </c>
      <c r="E3192" s="77">
        <v>137.28948475991353</v>
      </c>
      <c r="F3192" s="77">
        <v>137.28948475991353</v>
      </c>
      <c r="G3192" s="77">
        <v>137.28948475991353</v>
      </c>
      <c r="H3192" s="77">
        <v>137.28948475991353</v>
      </c>
      <c r="I3192" s="77">
        <v>137.28948475991353</v>
      </c>
    </row>
    <row r="3193" spans="2:9">
      <c r="B3193" s="76">
        <v>2024.6805957511031</v>
      </c>
      <c r="C3193">
        <v>1116.9396181619663</v>
      </c>
      <c r="D3193" s="77">
        <v>186.15660302699439</v>
      </c>
      <c r="E3193" s="77">
        <v>186.15660302699439</v>
      </c>
      <c r="F3193" s="77">
        <v>186.15660302699439</v>
      </c>
      <c r="G3193" s="77">
        <v>186.15660302699439</v>
      </c>
      <c r="H3193" s="77">
        <v>186.15660302699439</v>
      </c>
      <c r="I3193" s="77">
        <v>186.15660302699439</v>
      </c>
    </row>
    <row r="3194" spans="2:9">
      <c r="B3194" s="76">
        <v>2023.196322372565</v>
      </c>
      <c r="C3194">
        <v>958.42921227982686</v>
      </c>
      <c r="D3194" s="77">
        <v>159.73820204663781</v>
      </c>
      <c r="E3194" s="77">
        <v>159.73820204663781</v>
      </c>
      <c r="F3194" s="77">
        <v>159.73820204663781</v>
      </c>
      <c r="G3194" s="77">
        <v>159.73820204663781</v>
      </c>
      <c r="H3194" s="77">
        <v>159.73820204663781</v>
      </c>
      <c r="I3194" s="77">
        <v>159.73820204663781</v>
      </c>
    </row>
    <row r="3195" spans="2:9">
      <c r="B3195" s="76">
        <v>2022.9893663049361</v>
      </c>
      <c r="C3195">
        <v>863.68801541299933</v>
      </c>
      <c r="D3195" s="77">
        <v>143.94800256883323</v>
      </c>
      <c r="E3195" s="77">
        <v>143.94800256883323</v>
      </c>
      <c r="F3195" s="77">
        <v>143.94800256883323</v>
      </c>
      <c r="G3195" s="77">
        <v>143.94800256883323</v>
      </c>
      <c r="H3195" s="77">
        <v>143.94800256883323</v>
      </c>
      <c r="I3195" s="77">
        <v>143.94800256883323</v>
      </c>
    </row>
    <row r="3196" spans="2:9">
      <c r="B3196" s="76">
        <v>2024.792505794926</v>
      </c>
      <c r="C3196">
        <v>1069.0710843276604</v>
      </c>
      <c r="D3196" s="77">
        <v>178.17851405461008</v>
      </c>
      <c r="E3196" s="77">
        <v>178.17851405461008</v>
      </c>
      <c r="F3196" s="77">
        <v>178.17851405461008</v>
      </c>
      <c r="G3196" s="77">
        <v>178.17851405461008</v>
      </c>
      <c r="H3196" s="77">
        <v>178.17851405461008</v>
      </c>
      <c r="I3196" s="77">
        <v>178.17851405461008</v>
      </c>
    </row>
    <row r="3197" spans="2:9">
      <c r="B3197" s="76">
        <v>2024.894917490893</v>
      </c>
      <c r="C3197">
        <v>1173.2324507398009</v>
      </c>
      <c r="D3197" s="77">
        <v>195.53874178996682</v>
      </c>
      <c r="E3197" s="77">
        <v>195.53874178996682</v>
      </c>
      <c r="F3197" s="77">
        <v>195.53874178996682</v>
      </c>
      <c r="G3197" s="77">
        <v>195.53874178996682</v>
      </c>
      <c r="H3197" s="77">
        <v>195.53874178996682</v>
      </c>
      <c r="I3197" s="77">
        <v>195.53874178996682</v>
      </c>
    </row>
    <row r="3198" spans="2:9">
      <c r="B3198" s="76">
        <v>2023.3768793113645</v>
      </c>
      <c r="C3198">
        <v>929.43881772385862</v>
      </c>
      <c r="D3198" s="77">
        <v>154.90646962064309</v>
      </c>
      <c r="E3198" s="77">
        <v>154.90646962064309</v>
      </c>
      <c r="F3198" s="77">
        <v>154.90646962064309</v>
      </c>
      <c r="G3198" s="77">
        <v>154.90646962064309</v>
      </c>
      <c r="H3198" s="77">
        <v>154.90646962064309</v>
      </c>
      <c r="I3198" s="77">
        <v>154.90646962064309</v>
      </c>
    </row>
    <row r="3199" spans="2:9">
      <c r="B3199" s="76">
        <v>2022.9427972095752</v>
      </c>
      <c r="C3199">
        <v>844.90403674276081</v>
      </c>
      <c r="D3199" s="77">
        <v>140.81733945712679</v>
      </c>
      <c r="E3199" s="77">
        <v>140.81733945712679</v>
      </c>
      <c r="F3199" s="77">
        <v>140.81733945712679</v>
      </c>
      <c r="G3199" s="77">
        <v>140.81733945712679</v>
      </c>
      <c r="H3199" s="77">
        <v>140.81733945712679</v>
      </c>
      <c r="I3199" s="77">
        <v>140.81733945712679</v>
      </c>
    </row>
    <row r="3200" spans="2:9">
      <c r="B3200" s="76">
        <v>2022.994530893111</v>
      </c>
      <c r="C3200">
        <v>849.96909286501045</v>
      </c>
      <c r="D3200" s="77">
        <v>141.66151547750175</v>
      </c>
      <c r="E3200" s="77">
        <v>141.66151547750175</v>
      </c>
      <c r="F3200" s="77">
        <v>141.66151547750175</v>
      </c>
      <c r="G3200" s="77">
        <v>141.66151547750175</v>
      </c>
      <c r="H3200" s="77">
        <v>141.66151547750175</v>
      </c>
      <c r="I3200" s="77">
        <v>141.66151547750175</v>
      </c>
    </row>
    <row r="3201" spans="2:9">
      <c r="B3201" s="76">
        <v>2023.3028170308166</v>
      </c>
      <c r="C3201">
        <v>982.51780259225382</v>
      </c>
      <c r="D3201" s="77">
        <v>163.75296709870898</v>
      </c>
      <c r="E3201" s="77">
        <v>163.75296709870898</v>
      </c>
      <c r="F3201" s="77">
        <v>163.75296709870898</v>
      </c>
      <c r="G3201" s="77">
        <v>163.75296709870898</v>
      </c>
      <c r="H3201" s="77">
        <v>163.75296709870898</v>
      </c>
      <c r="I3201" s="77">
        <v>163.75296709870898</v>
      </c>
    </row>
    <row r="3202" spans="2:9">
      <c r="B3202" s="76">
        <v>2023.540781382957</v>
      </c>
      <c r="C3202">
        <v>925.38232265872045</v>
      </c>
      <c r="D3202" s="77">
        <v>154.23038710978673</v>
      </c>
      <c r="E3202" s="77">
        <v>154.23038710978673</v>
      </c>
      <c r="F3202" s="77">
        <v>154.23038710978673</v>
      </c>
      <c r="G3202" s="77">
        <v>154.23038710978673</v>
      </c>
      <c r="H3202" s="77">
        <v>154.23038710978673</v>
      </c>
      <c r="I3202" s="77">
        <v>154.23038710978673</v>
      </c>
    </row>
    <row r="3203" spans="2:9">
      <c r="B3203" s="76">
        <v>2022.7571210568844</v>
      </c>
      <c r="C3203">
        <v>802.58678186194777</v>
      </c>
      <c r="D3203" s="77">
        <v>133.76446364365796</v>
      </c>
      <c r="E3203" s="77">
        <v>133.76446364365796</v>
      </c>
      <c r="F3203" s="77">
        <v>133.76446364365796</v>
      </c>
      <c r="G3203" s="77">
        <v>133.76446364365796</v>
      </c>
      <c r="H3203" s="77">
        <v>133.76446364365796</v>
      </c>
      <c r="I3203" s="77">
        <v>133.76446364365796</v>
      </c>
    </row>
    <row r="3204" spans="2:9">
      <c r="B3204" s="76">
        <v>2022.7803466886473</v>
      </c>
      <c r="C3204">
        <v>855.17905565213641</v>
      </c>
      <c r="D3204" s="77">
        <v>142.52984260868939</v>
      </c>
      <c r="E3204" s="77">
        <v>142.52984260868939</v>
      </c>
      <c r="F3204" s="77">
        <v>142.52984260868939</v>
      </c>
      <c r="G3204" s="77">
        <v>142.52984260868939</v>
      </c>
      <c r="H3204" s="77">
        <v>142.52984260868939</v>
      </c>
      <c r="I3204" s="77">
        <v>142.52984260868939</v>
      </c>
    </row>
    <row r="3205" spans="2:9">
      <c r="B3205" s="76">
        <v>2024.526749677314</v>
      </c>
      <c r="C3205">
        <v>1053.9353705614385</v>
      </c>
      <c r="D3205" s="77">
        <v>175.65589509357309</v>
      </c>
      <c r="E3205" s="77">
        <v>175.65589509357309</v>
      </c>
      <c r="F3205" s="77">
        <v>175.65589509357309</v>
      </c>
      <c r="G3205" s="77">
        <v>175.65589509357309</v>
      </c>
      <c r="H3205" s="77">
        <v>175.65589509357309</v>
      </c>
      <c r="I3205" s="77">
        <v>175.65589509357309</v>
      </c>
    </row>
    <row r="3206" spans="2:9">
      <c r="B3206" s="76">
        <v>2022.7190324421085</v>
      </c>
      <c r="C3206">
        <v>876.3709077885818</v>
      </c>
      <c r="D3206" s="77">
        <v>146.06181796476363</v>
      </c>
      <c r="E3206" s="77">
        <v>146.06181796476363</v>
      </c>
      <c r="F3206" s="77">
        <v>146.06181796476363</v>
      </c>
      <c r="G3206" s="77">
        <v>146.06181796476363</v>
      </c>
      <c r="H3206" s="77">
        <v>146.06181796476363</v>
      </c>
      <c r="I3206" s="77">
        <v>146.06181796476363</v>
      </c>
    </row>
    <row r="3207" spans="2:9">
      <c r="B3207" s="76">
        <v>2023.1438214374541</v>
      </c>
      <c r="C3207">
        <v>910.71433261506479</v>
      </c>
      <c r="D3207" s="77">
        <v>151.78572210251079</v>
      </c>
      <c r="E3207" s="77">
        <v>151.78572210251079</v>
      </c>
      <c r="F3207" s="77">
        <v>151.78572210251079</v>
      </c>
      <c r="G3207" s="77">
        <v>151.78572210251079</v>
      </c>
      <c r="H3207" s="77">
        <v>151.78572210251079</v>
      </c>
      <c r="I3207" s="77">
        <v>151.78572210251079</v>
      </c>
    </row>
    <row r="3208" spans="2:9">
      <c r="B3208" s="76">
        <v>2025.1125583413962</v>
      </c>
      <c r="C3208">
        <v>1146.9830096537585</v>
      </c>
      <c r="D3208" s="77">
        <v>191.16383494229308</v>
      </c>
      <c r="E3208" s="77">
        <v>191.16383494229308</v>
      </c>
      <c r="F3208" s="77">
        <v>191.16383494229308</v>
      </c>
      <c r="G3208" s="77">
        <v>191.16383494229308</v>
      </c>
      <c r="H3208" s="77">
        <v>191.16383494229308</v>
      </c>
      <c r="I3208" s="77">
        <v>191.16383494229308</v>
      </c>
    </row>
    <row r="3209" spans="2:9">
      <c r="B3209" s="76">
        <v>2023.043617200628</v>
      </c>
      <c r="C3209">
        <v>820.81672967020381</v>
      </c>
      <c r="D3209" s="77">
        <v>136.8027882783673</v>
      </c>
      <c r="E3209" s="77">
        <v>136.8027882783673</v>
      </c>
      <c r="F3209" s="77">
        <v>136.8027882783673</v>
      </c>
      <c r="G3209" s="77">
        <v>136.8027882783673</v>
      </c>
      <c r="H3209" s="77">
        <v>136.8027882783673</v>
      </c>
      <c r="I3209" s="77">
        <v>136.8027882783673</v>
      </c>
    </row>
    <row r="3210" spans="2:9">
      <c r="B3210" s="76">
        <v>2022.9684216561795</v>
      </c>
      <c r="C3210">
        <v>835.36145691752336</v>
      </c>
      <c r="D3210" s="77">
        <v>139.2269094862539</v>
      </c>
      <c r="E3210" s="77">
        <v>139.2269094862539</v>
      </c>
      <c r="F3210" s="77">
        <v>139.2269094862539</v>
      </c>
      <c r="G3210" s="77">
        <v>139.2269094862539</v>
      </c>
      <c r="H3210" s="77">
        <v>139.2269094862539</v>
      </c>
      <c r="I3210" s="77">
        <v>139.2269094862539</v>
      </c>
    </row>
    <row r="3211" spans="2:9">
      <c r="B3211" s="76">
        <v>2025.0086160551534</v>
      </c>
      <c r="C3211">
        <v>1174.9506924478244</v>
      </c>
      <c r="D3211" s="77">
        <v>195.82511540797074</v>
      </c>
      <c r="E3211" s="77">
        <v>195.82511540797074</v>
      </c>
      <c r="F3211" s="77">
        <v>195.82511540797074</v>
      </c>
      <c r="G3211" s="77">
        <v>195.82511540797074</v>
      </c>
      <c r="H3211" s="77">
        <v>195.82511540797074</v>
      </c>
      <c r="I3211" s="77">
        <v>195.82511540797074</v>
      </c>
    </row>
    <row r="3212" spans="2:9">
      <c r="B3212" s="76">
        <v>2024.9944948744792</v>
      </c>
      <c r="C3212">
        <v>1162.6877433899188</v>
      </c>
      <c r="D3212" s="77">
        <v>193.78129056498645</v>
      </c>
      <c r="E3212" s="77">
        <v>193.78129056498645</v>
      </c>
      <c r="F3212" s="77">
        <v>193.78129056498645</v>
      </c>
      <c r="G3212" s="77">
        <v>193.78129056498645</v>
      </c>
      <c r="H3212" s="77">
        <v>193.78129056498645</v>
      </c>
      <c r="I3212" s="77">
        <v>193.78129056498645</v>
      </c>
    </row>
    <row r="3213" spans="2:9">
      <c r="B3213" s="76">
        <v>2023.1509766600141</v>
      </c>
      <c r="C3213">
        <v>929.99758143269253</v>
      </c>
      <c r="D3213" s="77">
        <v>154.99959690544875</v>
      </c>
      <c r="E3213" s="77">
        <v>154.99959690544875</v>
      </c>
      <c r="F3213" s="77">
        <v>154.99959690544875</v>
      </c>
      <c r="G3213" s="77">
        <v>154.99959690544875</v>
      </c>
      <c r="H3213" s="77">
        <v>154.99959690544875</v>
      </c>
      <c r="I3213" s="77">
        <v>154.99959690544875</v>
      </c>
    </row>
    <row r="3214" spans="2:9">
      <c r="B3214" s="76">
        <v>2024.3885398564848</v>
      </c>
      <c r="C3214">
        <v>1093.0944037311228</v>
      </c>
      <c r="D3214" s="77">
        <v>182.18240062185382</v>
      </c>
      <c r="E3214" s="77">
        <v>182.18240062185382</v>
      </c>
      <c r="F3214" s="77">
        <v>182.18240062185382</v>
      </c>
      <c r="G3214" s="77">
        <v>182.18240062185382</v>
      </c>
      <c r="H3214" s="77">
        <v>182.18240062185382</v>
      </c>
      <c r="I3214" s="77">
        <v>182.18240062185382</v>
      </c>
    </row>
    <row r="3215" spans="2:9">
      <c r="B3215" s="76">
        <v>2024.2503644596336</v>
      </c>
      <c r="C3215">
        <v>1056.3215078659832</v>
      </c>
      <c r="D3215" s="77">
        <v>176.05358464433053</v>
      </c>
      <c r="E3215" s="77">
        <v>176.05358464433053</v>
      </c>
      <c r="F3215" s="77">
        <v>176.05358464433053</v>
      </c>
      <c r="G3215" s="77">
        <v>176.05358464433053</v>
      </c>
      <c r="H3215" s="77">
        <v>176.05358464433053</v>
      </c>
      <c r="I3215" s="77">
        <v>176.05358464433053</v>
      </c>
    </row>
    <row r="3216" spans="2:9">
      <c r="B3216" s="76">
        <v>2022.8592236068059</v>
      </c>
      <c r="C3216">
        <v>912.56686687115769</v>
      </c>
      <c r="D3216" s="77">
        <v>152.0944778118596</v>
      </c>
      <c r="E3216" s="77">
        <v>152.0944778118596</v>
      </c>
      <c r="F3216" s="77">
        <v>152.0944778118596</v>
      </c>
      <c r="G3216" s="77">
        <v>152.0944778118596</v>
      </c>
      <c r="H3216" s="77">
        <v>152.0944778118596</v>
      </c>
      <c r="I3216" s="77">
        <v>152.0944778118596</v>
      </c>
    </row>
    <row r="3217" spans="2:9">
      <c r="B3217" s="76">
        <v>2024.5915306565996</v>
      </c>
      <c r="C3217">
        <v>1052.7812619776132</v>
      </c>
      <c r="D3217" s="77">
        <v>175.46354366293554</v>
      </c>
      <c r="E3217" s="77">
        <v>175.46354366293554</v>
      </c>
      <c r="F3217" s="77">
        <v>175.46354366293554</v>
      </c>
      <c r="G3217" s="77">
        <v>175.46354366293554</v>
      </c>
      <c r="H3217" s="77">
        <v>175.46354366293554</v>
      </c>
      <c r="I3217" s="77">
        <v>175.46354366293554</v>
      </c>
    </row>
    <row r="3218" spans="2:9">
      <c r="B3218" s="76">
        <v>2023.0322925880778</v>
      </c>
      <c r="C3218">
        <v>888.22000768297767</v>
      </c>
      <c r="D3218" s="77">
        <v>148.03666794716295</v>
      </c>
      <c r="E3218" s="77">
        <v>148.03666794716295</v>
      </c>
      <c r="F3218" s="77">
        <v>148.03666794716295</v>
      </c>
      <c r="G3218" s="77">
        <v>148.03666794716295</v>
      </c>
      <c r="H3218" s="77">
        <v>148.03666794716295</v>
      </c>
      <c r="I3218" s="77">
        <v>148.03666794716295</v>
      </c>
    </row>
    <row r="3219" spans="2:9">
      <c r="B3219" s="76">
        <v>2022.9546423608626</v>
      </c>
      <c r="C3219">
        <v>859.00048114961373</v>
      </c>
      <c r="D3219" s="77">
        <v>143.16674685826897</v>
      </c>
      <c r="E3219" s="77">
        <v>143.16674685826897</v>
      </c>
      <c r="F3219" s="77">
        <v>143.16674685826897</v>
      </c>
      <c r="G3219" s="77">
        <v>143.16674685826897</v>
      </c>
      <c r="H3219" s="77">
        <v>143.16674685826897</v>
      </c>
      <c r="I3219" s="77">
        <v>143.16674685826897</v>
      </c>
    </row>
    <row r="3220" spans="2:9">
      <c r="B3220" s="76">
        <v>2024.9515715016685</v>
      </c>
      <c r="C3220">
        <v>1084.8293490626299</v>
      </c>
      <c r="D3220" s="77">
        <v>180.80489151043832</v>
      </c>
      <c r="E3220" s="77">
        <v>180.80489151043832</v>
      </c>
      <c r="F3220" s="77">
        <v>180.80489151043832</v>
      </c>
      <c r="G3220" s="77">
        <v>180.80489151043832</v>
      </c>
      <c r="H3220" s="77">
        <v>180.80489151043832</v>
      </c>
      <c r="I3220" s="77">
        <v>180.80489151043832</v>
      </c>
    </row>
    <row r="3221" spans="2:9">
      <c r="B3221" s="76">
        <v>2022.6860249299248</v>
      </c>
      <c r="C3221">
        <v>886.12566832567882</v>
      </c>
      <c r="D3221" s="77">
        <v>147.68761138761315</v>
      </c>
      <c r="E3221" s="77">
        <v>147.68761138761315</v>
      </c>
      <c r="F3221" s="77">
        <v>147.68761138761315</v>
      </c>
      <c r="G3221" s="77">
        <v>147.68761138761315</v>
      </c>
      <c r="H3221" s="77">
        <v>147.68761138761315</v>
      </c>
      <c r="I3221" s="77">
        <v>147.68761138761315</v>
      </c>
    </row>
    <row r="3222" spans="2:9">
      <c r="B3222" s="76">
        <v>2024.4576904139549</v>
      </c>
      <c r="C3222">
        <v>1051.0487564515652</v>
      </c>
      <c r="D3222" s="77">
        <v>175.17479274192752</v>
      </c>
      <c r="E3222" s="77">
        <v>175.17479274192752</v>
      </c>
      <c r="F3222" s="77">
        <v>175.17479274192752</v>
      </c>
      <c r="G3222" s="77">
        <v>175.17479274192752</v>
      </c>
      <c r="H3222" s="77">
        <v>175.17479274192752</v>
      </c>
      <c r="I3222" s="77">
        <v>175.17479274192752</v>
      </c>
    </row>
    <row r="3223" spans="2:9">
      <c r="B3223" s="76">
        <v>2022.8157833016671</v>
      </c>
      <c r="C3223">
        <v>836.18304281238022</v>
      </c>
      <c r="D3223" s="77">
        <v>139.36384046873005</v>
      </c>
      <c r="E3223" s="77">
        <v>139.36384046873005</v>
      </c>
      <c r="F3223" s="77">
        <v>139.36384046873005</v>
      </c>
      <c r="G3223" s="77">
        <v>139.36384046873005</v>
      </c>
      <c r="H3223" s="77">
        <v>139.36384046873005</v>
      </c>
      <c r="I3223" s="77">
        <v>139.36384046873005</v>
      </c>
    </row>
    <row r="3224" spans="2:9">
      <c r="B3224" s="76">
        <v>2023.2145442148101</v>
      </c>
      <c r="C3224">
        <v>929.01683985070156</v>
      </c>
      <c r="D3224" s="77">
        <v>154.83613997511694</v>
      </c>
      <c r="E3224" s="77">
        <v>154.83613997511694</v>
      </c>
      <c r="F3224" s="77">
        <v>154.83613997511694</v>
      </c>
      <c r="G3224" s="77">
        <v>154.83613997511694</v>
      </c>
      <c r="H3224" s="77">
        <v>154.83613997511694</v>
      </c>
      <c r="I3224" s="77">
        <v>154.83613997511694</v>
      </c>
    </row>
    <row r="3225" spans="2:9">
      <c r="B3225" s="76">
        <v>2023.2104530834604</v>
      </c>
      <c r="C3225">
        <v>1025.0008003871708</v>
      </c>
      <c r="D3225" s="77">
        <v>170.83346673119513</v>
      </c>
      <c r="E3225" s="77">
        <v>170.83346673119513</v>
      </c>
      <c r="F3225" s="77">
        <v>170.83346673119513</v>
      </c>
      <c r="G3225" s="77">
        <v>170.83346673119513</v>
      </c>
      <c r="H3225" s="77">
        <v>170.83346673119513</v>
      </c>
      <c r="I3225" s="77">
        <v>170.83346673119513</v>
      </c>
    </row>
    <row r="3226" spans="2:9">
      <c r="B3226" s="76">
        <v>2023.3553125104361</v>
      </c>
      <c r="C3226">
        <v>936.82285248806136</v>
      </c>
      <c r="D3226" s="77">
        <v>156.13714208134357</v>
      </c>
      <c r="E3226" s="77">
        <v>156.13714208134357</v>
      </c>
      <c r="F3226" s="77">
        <v>156.13714208134357</v>
      </c>
      <c r="G3226" s="77">
        <v>156.13714208134357</v>
      </c>
      <c r="H3226" s="77">
        <v>156.13714208134357</v>
      </c>
      <c r="I3226" s="77">
        <v>156.13714208134357</v>
      </c>
    </row>
    <row r="3227" spans="2:9">
      <c r="B3227" s="76">
        <v>2025.1415500351818</v>
      </c>
      <c r="C3227">
        <v>1172.2467111922172</v>
      </c>
      <c r="D3227" s="77">
        <v>195.37445186536954</v>
      </c>
      <c r="E3227" s="77">
        <v>195.37445186536954</v>
      </c>
      <c r="F3227" s="77">
        <v>195.37445186536954</v>
      </c>
      <c r="G3227" s="77">
        <v>195.37445186536954</v>
      </c>
      <c r="H3227" s="77">
        <v>195.37445186536954</v>
      </c>
      <c r="I3227" s="77">
        <v>195.37445186536954</v>
      </c>
    </row>
    <row r="3228" spans="2:9">
      <c r="B3228" s="76">
        <v>2023.0747466465145</v>
      </c>
      <c r="C3228">
        <v>881.84404328479206</v>
      </c>
      <c r="D3228" s="77">
        <v>146.974007214132</v>
      </c>
      <c r="E3228" s="77">
        <v>146.974007214132</v>
      </c>
      <c r="F3228" s="77">
        <v>146.974007214132</v>
      </c>
      <c r="G3228" s="77">
        <v>146.974007214132</v>
      </c>
      <c r="H3228" s="77">
        <v>146.974007214132</v>
      </c>
      <c r="I3228" s="77">
        <v>146.974007214132</v>
      </c>
    </row>
    <row r="3229" spans="2:9">
      <c r="B3229" s="76">
        <v>2024.6945073599472</v>
      </c>
      <c r="C3229">
        <v>1055.4928883335892</v>
      </c>
      <c r="D3229" s="77">
        <v>175.91548138893154</v>
      </c>
      <c r="E3229" s="77">
        <v>175.91548138893154</v>
      </c>
      <c r="F3229" s="77">
        <v>175.91548138893154</v>
      </c>
      <c r="G3229" s="77">
        <v>175.91548138893154</v>
      </c>
      <c r="H3229" s="77">
        <v>175.91548138893154</v>
      </c>
      <c r="I3229" s="77">
        <v>175.91548138893154</v>
      </c>
    </row>
    <row r="3230" spans="2:9">
      <c r="B3230" s="76">
        <v>2024.6303309546447</v>
      </c>
      <c r="C3230">
        <v>1077.4618654386659</v>
      </c>
      <c r="D3230" s="77">
        <v>179.57697757311098</v>
      </c>
      <c r="E3230" s="77">
        <v>179.57697757311098</v>
      </c>
      <c r="F3230" s="77">
        <v>179.57697757311098</v>
      </c>
      <c r="G3230" s="77">
        <v>179.57697757311098</v>
      </c>
      <c r="H3230" s="77">
        <v>179.57697757311098</v>
      </c>
      <c r="I3230" s="77">
        <v>179.57697757311098</v>
      </c>
    </row>
    <row r="3231" spans="2:9">
      <c r="B3231" s="76">
        <v>2024.5717613527902</v>
      </c>
      <c r="C3231">
        <v>1020.3308069953067</v>
      </c>
      <c r="D3231" s="77">
        <v>170.05513449921779</v>
      </c>
      <c r="E3231" s="77">
        <v>170.05513449921779</v>
      </c>
      <c r="F3231" s="77">
        <v>170.05513449921779</v>
      </c>
      <c r="G3231" s="77">
        <v>170.05513449921779</v>
      </c>
      <c r="H3231" s="77">
        <v>170.05513449921779</v>
      </c>
      <c r="I3231" s="77">
        <v>170.05513449921779</v>
      </c>
    </row>
    <row r="3232" spans="2:9">
      <c r="B3232" s="76">
        <v>2025.8916180433448</v>
      </c>
      <c r="C3232">
        <v>1317.909435670148</v>
      </c>
      <c r="D3232" s="77">
        <v>219.65157261169134</v>
      </c>
      <c r="E3232" s="77">
        <v>219.65157261169134</v>
      </c>
      <c r="F3232" s="77">
        <v>219.65157261169134</v>
      </c>
      <c r="G3232" s="77">
        <v>219.65157261169134</v>
      </c>
      <c r="H3232" s="77">
        <v>219.65157261169134</v>
      </c>
      <c r="I3232" s="77">
        <v>219.65157261169134</v>
      </c>
    </row>
    <row r="3233" spans="2:9">
      <c r="B3233" s="76">
        <v>2023.3178088001343</v>
      </c>
      <c r="C3233">
        <v>920.70124918711724</v>
      </c>
      <c r="D3233" s="77">
        <v>153.45020819785287</v>
      </c>
      <c r="E3233" s="77">
        <v>153.45020819785287</v>
      </c>
      <c r="F3233" s="77">
        <v>153.45020819785287</v>
      </c>
      <c r="G3233" s="77">
        <v>153.45020819785287</v>
      </c>
      <c r="H3233" s="77">
        <v>153.45020819785287</v>
      </c>
      <c r="I3233" s="77">
        <v>153.45020819785287</v>
      </c>
    </row>
    <row r="3234" spans="2:9">
      <c r="B3234" s="76">
        <v>2023.0049447109855</v>
      </c>
      <c r="C3234">
        <v>838.85293329055924</v>
      </c>
      <c r="D3234" s="77">
        <v>139.80882221509322</v>
      </c>
      <c r="E3234" s="77">
        <v>139.80882221509322</v>
      </c>
      <c r="F3234" s="77">
        <v>139.80882221509322</v>
      </c>
      <c r="G3234" s="77">
        <v>139.80882221509322</v>
      </c>
      <c r="H3234" s="77">
        <v>139.80882221509322</v>
      </c>
      <c r="I3234" s="77">
        <v>139.80882221509322</v>
      </c>
    </row>
    <row r="3235" spans="2:9">
      <c r="B3235" s="76">
        <v>2023.690084506668</v>
      </c>
      <c r="C3235">
        <v>986.45797150922385</v>
      </c>
      <c r="D3235" s="77">
        <v>164.40966191820397</v>
      </c>
      <c r="E3235" s="77">
        <v>164.40966191820397</v>
      </c>
      <c r="F3235" s="77">
        <v>164.40966191820397</v>
      </c>
      <c r="G3235" s="77">
        <v>164.40966191820397</v>
      </c>
      <c r="H3235" s="77">
        <v>164.40966191820397</v>
      </c>
      <c r="I3235" s="77">
        <v>164.40966191820397</v>
      </c>
    </row>
    <row r="3236" spans="2:9">
      <c r="B3236" s="76">
        <v>2024.5819234960652</v>
      </c>
      <c r="C3236">
        <v>1018.242324897239</v>
      </c>
      <c r="D3236" s="77">
        <v>169.70705414953983</v>
      </c>
      <c r="E3236" s="77">
        <v>169.70705414953983</v>
      </c>
      <c r="F3236" s="77">
        <v>169.70705414953983</v>
      </c>
      <c r="G3236" s="77">
        <v>169.70705414953983</v>
      </c>
      <c r="H3236" s="77">
        <v>169.70705414953983</v>
      </c>
      <c r="I3236" s="77">
        <v>169.70705414953983</v>
      </c>
    </row>
    <row r="3237" spans="2:9">
      <c r="B3237" s="76">
        <v>2024.9735791424328</v>
      </c>
      <c r="C3237">
        <v>1133.8666088621756</v>
      </c>
      <c r="D3237" s="77">
        <v>188.97776814369593</v>
      </c>
      <c r="E3237" s="77">
        <v>188.97776814369593</v>
      </c>
      <c r="F3237" s="77">
        <v>188.97776814369593</v>
      </c>
      <c r="G3237" s="77">
        <v>188.97776814369593</v>
      </c>
      <c r="H3237" s="77">
        <v>188.97776814369593</v>
      </c>
      <c r="I3237" s="77">
        <v>188.97776814369593</v>
      </c>
    </row>
    <row r="3238" spans="2:9">
      <c r="B3238" s="76">
        <v>2023.098010802828</v>
      </c>
      <c r="C3238">
        <v>920.47142189559929</v>
      </c>
      <c r="D3238" s="77">
        <v>153.41190364926655</v>
      </c>
      <c r="E3238" s="77">
        <v>153.41190364926655</v>
      </c>
      <c r="F3238" s="77">
        <v>153.41190364926655</v>
      </c>
      <c r="G3238" s="77">
        <v>153.41190364926655</v>
      </c>
      <c r="H3238" s="77">
        <v>153.41190364926655</v>
      </c>
      <c r="I3238" s="77">
        <v>153.41190364926655</v>
      </c>
    </row>
    <row r="3239" spans="2:9">
      <c r="B3239" s="76">
        <v>2022.9719387362293</v>
      </c>
      <c r="C3239">
        <v>891.66110793223527</v>
      </c>
      <c r="D3239" s="77">
        <v>148.61018465537254</v>
      </c>
      <c r="E3239" s="77">
        <v>148.61018465537254</v>
      </c>
      <c r="F3239" s="77">
        <v>148.61018465537254</v>
      </c>
      <c r="G3239" s="77">
        <v>148.61018465537254</v>
      </c>
      <c r="H3239" s="77">
        <v>148.61018465537254</v>
      </c>
      <c r="I3239" s="77">
        <v>148.61018465537254</v>
      </c>
    </row>
    <row r="3240" spans="2:9">
      <c r="B3240" s="76">
        <v>2023.4919714547673</v>
      </c>
      <c r="C3240">
        <v>954.33973389310199</v>
      </c>
      <c r="D3240" s="77">
        <v>159.05662231551699</v>
      </c>
      <c r="E3240" s="77">
        <v>159.05662231551699</v>
      </c>
      <c r="F3240" s="77">
        <v>159.05662231551699</v>
      </c>
      <c r="G3240" s="77">
        <v>159.05662231551699</v>
      </c>
      <c r="H3240" s="77">
        <v>159.05662231551699</v>
      </c>
      <c r="I3240" s="77">
        <v>159.05662231551699</v>
      </c>
    </row>
    <row r="3241" spans="2:9">
      <c r="B3241" s="76">
        <v>2022.7818539412265</v>
      </c>
      <c r="C3241">
        <v>842.0951157331765</v>
      </c>
      <c r="D3241" s="77">
        <v>140.34918595552941</v>
      </c>
      <c r="E3241" s="77">
        <v>140.34918595552941</v>
      </c>
      <c r="F3241" s="77">
        <v>140.34918595552941</v>
      </c>
      <c r="G3241" s="77">
        <v>140.34918595552941</v>
      </c>
      <c r="H3241" s="77">
        <v>140.34918595552941</v>
      </c>
      <c r="I3241" s="77">
        <v>140.34918595552941</v>
      </c>
    </row>
    <row r="3242" spans="2:9">
      <c r="B3242" s="76">
        <v>2022.8809625942988</v>
      </c>
      <c r="C3242">
        <v>919.35959351416705</v>
      </c>
      <c r="D3242" s="77">
        <v>153.22659891902785</v>
      </c>
      <c r="E3242" s="77">
        <v>153.22659891902785</v>
      </c>
      <c r="F3242" s="77">
        <v>153.22659891902785</v>
      </c>
      <c r="G3242" s="77">
        <v>153.22659891902785</v>
      </c>
      <c r="H3242" s="77">
        <v>153.22659891902785</v>
      </c>
      <c r="I3242" s="77">
        <v>153.22659891902785</v>
      </c>
    </row>
    <row r="3243" spans="2:9">
      <c r="B3243" s="76">
        <v>2023.5628866492102</v>
      </c>
      <c r="C3243">
        <v>964.7707578840857</v>
      </c>
      <c r="D3243" s="77">
        <v>160.79512631401428</v>
      </c>
      <c r="E3243" s="77">
        <v>160.79512631401428</v>
      </c>
      <c r="F3243" s="77">
        <v>160.79512631401428</v>
      </c>
      <c r="G3243" s="77">
        <v>160.79512631401428</v>
      </c>
      <c r="H3243" s="77">
        <v>160.79512631401428</v>
      </c>
      <c r="I3243" s="77">
        <v>160.79512631401428</v>
      </c>
    </row>
    <row r="3244" spans="2:9">
      <c r="B3244" s="76">
        <v>2023.182843626395</v>
      </c>
      <c r="C3244">
        <v>943.15840002596735</v>
      </c>
      <c r="D3244" s="77">
        <v>157.19306667099457</v>
      </c>
      <c r="E3244" s="77">
        <v>157.19306667099457</v>
      </c>
      <c r="F3244" s="77">
        <v>157.19306667099457</v>
      </c>
      <c r="G3244" s="77">
        <v>157.19306667099457</v>
      </c>
      <c r="H3244" s="77">
        <v>157.19306667099457</v>
      </c>
      <c r="I3244" s="77">
        <v>157.19306667099457</v>
      </c>
    </row>
    <row r="3245" spans="2:9">
      <c r="B3245" s="76">
        <v>2022.9292738829233</v>
      </c>
      <c r="C3245">
        <v>878.3434449901232</v>
      </c>
      <c r="D3245" s="77">
        <v>146.39057416502052</v>
      </c>
      <c r="E3245" s="77">
        <v>146.39057416502052</v>
      </c>
      <c r="F3245" s="77">
        <v>146.39057416502052</v>
      </c>
      <c r="G3245" s="77">
        <v>146.39057416502052</v>
      </c>
      <c r="H3245" s="77">
        <v>146.39057416502052</v>
      </c>
      <c r="I3245" s="77">
        <v>146.39057416502052</v>
      </c>
    </row>
    <row r="3246" spans="2:9">
      <c r="B3246" s="76">
        <v>2024.2867728876215</v>
      </c>
      <c r="C3246">
        <v>1045.8906978110642</v>
      </c>
      <c r="D3246" s="77">
        <v>174.31511630184403</v>
      </c>
      <c r="E3246" s="77">
        <v>174.31511630184403</v>
      </c>
      <c r="F3246" s="77">
        <v>174.31511630184403</v>
      </c>
      <c r="G3246" s="77">
        <v>174.31511630184403</v>
      </c>
      <c r="H3246" s="77">
        <v>174.31511630184403</v>
      </c>
      <c r="I3246" s="77">
        <v>174.31511630184403</v>
      </c>
    </row>
    <row r="3247" spans="2:9">
      <c r="B3247" s="76">
        <v>2023.6602401495779</v>
      </c>
      <c r="C3247">
        <v>929.88961131156032</v>
      </c>
      <c r="D3247" s="77">
        <v>154.98160188526006</v>
      </c>
      <c r="E3247" s="77">
        <v>154.98160188526006</v>
      </c>
      <c r="F3247" s="77">
        <v>154.98160188526006</v>
      </c>
      <c r="G3247" s="77">
        <v>154.98160188526006</v>
      </c>
      <c r="H3247" s="77">
        <v>154.98160188526006</v>
      </c>
      <c r="I3247" s="77">
        <v>154.98160188526006</v>
      </c>
    </row>
    <row r="3248" spans="2:9">
      <c r="B3248" s="76">
        <v>2023.4056301463743</v>
      </c>
      <c r="C3248">
        <v>974.33713361301852</v>
      </c>
      <c r="D3248" s="77">
        <v>162.38952226883643</v>
      </c>
      <c r="E3248" s="77">
        <v>162.38952226883643</v>
      </c>
      <c r="F3248" s="77">
        <v>162.38952226883643</v>
      </c>
      <c r="G3248" s="77">
        <v>162.38952226883643</v>
      </c>
      <c r="H3248" s="77">
        <v>162.38952226883643</v>
      </c>
      <c r="I3248" s="77">
        <v>162.38952226883643</v>
      </c>
    </row>
    <row r="3249" spans="2:9">
      <c r="B3249" s="76">
        <v>2022.8160110825474</v>
      </c>
      <c r="C3249">
        <v>829.4560636113938</v>
      </c>
      <c r="D3249" s="77">
        <v>138.24267726856564</v>
      </c>
      <c r="E3249" s="77">
        <v>138.24267726856564</v>
      </c>
      <c r="F3249" s="77">
        <v>138.24267726856564</v>
      </c>
      <c r="G3249" s="77">
        <v>138.24267726856564</v>
      </c>
      <c r="H3249" s="77">
        <v>138.24267726856564</v>
      </c>
      <c r="I3249" s="77">
        <v>138.24267726856564</v>
      </c>
    </row>
    <row r="3250" spans="2:9">
      <c r="B3250" s="76">
        <v>2022.8538272701899</v>
      </c>
      <c r="C3250">
        <v>839.04532911219064</v>
      </c>
      <c r="D3250" s="77">
        <v>139.84088818536512</v>
      </c>
      <c r="E3250" s="77">
        <v>139.84088818536512</v>
      </c>
      <c r="F3250" s="77">
        <v>139.84088818536512</v>
      </c>
      <c r="G3250" s="77">
        <v>139.84088818536512</v>
      </c>
      <c r="H3250" s="77">
        <v>139.84088818536512</v>
      </c>
      <c r="I3250" s="77">
        <v>139.84088818536512</v>
      </c>
    </row>
    <row r="3251" spans="2:9">
      <c r="B3251" s="76">
        <v>2024.2502537741141</v>
      </c>
      <c r="C3251">
        <v>1085.1726369329338</v>
      </c>
      <c r="D3251" s="77">
        <v>180.86210615548896</v>
      </c>
      <c r="E3251" s="77">
        <v>180.86210615548896</v>
      </c>
      <c r="F3251" s="77">
        <v>180.86210615548896</v>
      </c>
      <c r="G3251" s="77">
        <v>180.86210615548896</v>
      </c>
      <c r="H3251" s="77">
        <v>180.86210615548896</v>
      </c>
      <c r="I3251" s="77">
        <v>180.86210615548896</v>
      </c>
    </row>
    <row r="3252" spans="2:9">
      <c r="B3252" s="76">
        <v>2022.914561507291</v>
      </c>
      <c r="C3252">
        <v>893.73132083787277</v>
      </c>
      <c r="D3252" s="77">
        <v>148.95522013964546</v>
      </c>
      <c r="E3252" s="77">
        <v>148.95522013964546</v>
      </c>
      <c r="F3252" s="77">
        <v>148.95522013964546</v>
      </c>
      <c r="G3252" s="77">
        <v>148.95522013964546</v>
      </c>
      <c r="H3252" s="77">
        <v>148.95522013964546</v>
      </c>
      <c r="I3252" s="77">
        <v>148.95522013964546</v>
      </c>
    </row>
    <row r="3253" spans="2:9">
      <c r="B3253" s="76">
        <v>2023.2034042053554</v>
      </c>
      <c r="C3253">
        <v>899.3332205521416</v>
      </c>
      <c r="D3253" s="77">
        <v>149.88887009202361</v>
      </c>
      <c r="E3253" s="77">
        <v>149.88887009202361</v>
      </c>
      <c r="F3253" s="77">
        <v>149.88887009202361</v>
      </c>
      <c r="G3253" s="77">
        <v>149.88887009202361</v>
      </c>
      <c r="H3253" s="77">
        <v>149.88887009202361</v>
      </c>
      <c r="I3253" s="77">
        <v>149.88887009202361</v>
      </c>
    </row>
    <row r="3254" spans="2:9">
      <c r="B3254" s="76">
        <v>2024.6658903039238</v>
      </c>
      <c r="C3254">
        <v>1098.3748576409207</v>
      </c>
      <c r="D3254" s="77">
        <v>183.06247627348679</v>
      </c>
      <c r="E3254" s="77">
        <v>183.06247627348679</v>
      </c>
      <c r="F3254" s="77">
        <v>183.06247627348679</v>
      </c>
      <c r="G3254" s="77">
        <v>183.06247627348679</v>
      </c>
      <c r="H3254" s="77">
        <v>183.06247627348679</v>
      </c>
      <c r="I3254" s="77">
        <v>183.06247627348679</v>
      </c>
    </row>
    <row r="3255" spans="2:9">
      <c r="B3255" s="76">
        <v>2023.1094676449009</v>
      </c>
      <c r="C3255">
        <v>921.9956105327218</v>
      </c>
      <c r="D3255" s="77">
        <v>153.66593508878697</v>
      </c>
      <c r="E3255" s="77">
        <v>153.66593508878697</v>
      </c>
      <c r="F3255" s="77">
        <v>153.66593508878697</v>
      </c>
      <c r="G3255" s="77">
        <v>153.66593508878697</v>
      </c>
      <c r="H3255" s="77">
        <v>153.66593508878697</v>
      </c>
      <c r="I3255" s="77">
        <v>153.66593508878697</v>
      </c>
    </row>
    <row r="3256" spans="2:9">
      <c r="B3256" s="76">
        <v>2024.442951250066</v>
      </c>
      <c r="C3256">
        <v>1085.7572546956326</v>
      </c>
      <c r="D3256" s="77">
        <v>180.95954244927211</v>
      </c>
      <c r="E3256" s="77">
        <v>180.95954244927211</v>
      </c>
      <c r="F3256" s="77">
        <v>180.95954244927211</v>
      </c>
      <c r="G3256" s="77">
        <v>180.95954244927211</v>
      </c>
      <c r="H3256" s="77">
        <v>180.95954244927211</v>
      </c>
      <c r="I3256" s="77">
        <v>180.95954244927211</v>
      </c>
    </row>
    <row r="3257" spans="2:9">
      <c r="B3257" s="76">
        <v>2023.4578851514241</v>
      </c>
      <c r="C3257">
        <v>929.07717061014421</v>
      </c>
      <c r="D3257" s="77">
        <v>154.84619510169071</v>
      </c>
      <c r="E3257" s="77">
        <v>154.84619510169071</v>
      </c>
      <c r="F3257" s="77">
        <v>154.84619510169071</v>
      </c>
      <c r="G3257" s="77">
        <v>154.84619510169071</v>
      </c>
      <c r="H3257" s="77">
        <v>154.84619510169071</v>
      </c>
      <c r="I3257" s="77">
        <v>154.84619510169071</v>
      </c>
    </row>
    <row r="3258" spans="2:9">
      <c r="B3258" s="76">
        <v>2024.2487110285333</v>
      </c>
      <c r="C3258">
        <v>1014.1469796617587</v>
      </c>
      <c r="D3258" s="77">
        <v>169.02449661029311</v>
      </c>
      <c r="E3258" s="77">
        <v>169.02449661029311</v>
      </c>
      <c r="F3258" s="77">
        <v>169.02449661029311</v>
      </c>
      <c r="G3258" s="77">
        <v>169.02449661029311</v>
      </c>
      <c r="H3258" s="77">
        <v>169.02449661029311</v>
      </c>
      <c r="I3258" s="77">
        <v>169.02449661029311</v>
      </c>
    </row>
    <row r="3259" spans="2:9">
      <c r="B3259" s="76">
        <v>2023.2602627789727</v>
      </c>
      <c r="C3259">
        <v>930.62306873598914</v>
      </c>
      <c r="D3259" s="77">
        <v>155.10384478933153</v>
      </c>
      <c r="E3259" s="77">
        <v>155.10384478933153</v>
      </c>
      <c r="F3259" s="77">
        <v>155.10384478933153</v>
      </c>
      <c r="G3259" s="77">
        <v>155.10384478933153</v>
      </c>
      <c r="H3259" s="77">
        <v>155.10384478933153</v>
      </c>
      <c r="I3259" s="77">
        <v>155.10384478933153</v>
      </c>
    </row>
    <row r="3260" spans="2:9">
      <c r="B3260" s="76">
        <v>2023.219291465422</v>
      </c>
      <c r="C3260">
        <v>917.33450772287938</v>
      </c>
      <c r="D3260" s="77">
        <v>152.88908462047991</v>
      </c>
      <c r="E3260" s="77">
        <v>152.88908462047991</v>
      </c>
      <c r="F3260" s="77">
        <v>152.88908462047991</v>
      </c>
      <c r="G3260" s="77">
        <v>152.88908462047991</v>
      </c>
      <c r="H3260" s="77">
        <v>152.88908462047991</v>
      </c>
      <c r="I3260" s="77">
        <v>152.88908462047991</v>
      </c>
    </row>
    <row r="3261" spans="2:9">
      <c r="B3261" s="76">
        <v>2022.8431116911217</v>
      </c>
      <c r="C3261">
        <v>839.45977162110546</v>
      </c>
      <c r="D3261" s="77">
        <v>139.90996193685092</v>
      </c>
      <c r="E3261" s="77">
        <v>139.90996193685092</v>
      </c>
      <c r="F3261" s="77">
        <v>139.90996193685092</v>
      </c>
      <c r="G3261" s="77">
        <v>139.90996193685092</v>
      </c>
      <c r="H3261" s="77">
        <v>139.90996193685092</v>
      </c>
      <c r="I3261" s="77">
        <v>139.90996193685092</v>
      </c>
    </row>
    <row r="3262" spans="2:9">
      <c r="B3262" s="76">
        <v>2022.8752894033728</v>
      </c>
      <c r="C3262">
        <v>831.93294758310844</v>
      </c>
      <c r="D3262" s="77">
        <v>138.65549126385142</v>
      </c>
      <c r="E3262" s="77">
        <v>138.65549126385142</v>
      </c>
      <c r="F3262" s="77">
        <v>138.65549126385142</v>
      </c>
      <c r="G3262" s="77">
        <v>138.65549126385142</v>
      </c>
      <c r="H3262" s="77">
        <v>138.65549126385142</v>
      </c>
      <c r="I3262" s="77">
        <v>138.65549126385142</v>
      </c>
    </row>
    <row r="3263" spans="2:9">
      <c r="B3263" s="76">
        <v>2022.8710947834213</v>
      </c>
      <c r="C3263">
        <v>867.46197446944825</v>
      </c>
      <c r="D3263" s="77">
        <v>144.57699574490803</v>
      </c>
      <c r="E3263" s="77">
        <v>144.57699574490803</v>
      </c>
      <c r="F3263" s="77">
        <v>144.57699574490803</v>
      </c>
      <c r="G3263" s="77">
        <v>144.57699574490803</v>
      </c>
      <c r="H3263" s="77">
        <v>144.57699574490803</v>
      </c>
      <c r="I3263" s="77">
        <v>144.57699574490803</v>
      </c>
    </row>
    <row r="3264" spans="2:9">
      <c r="B3264" s="76">
        <v>2023.1941195202053</v>
      </c>
      <c r="C3264">
        <v>890.78725236570187</v>
      </c>
      <c r="D3264" s="77">
        <v>148.46454206095032</v>
      </c>
      <c r="E3264" s="77">
        <v>148.46454206095032</v>
      </c>
      <c r="F3264" s="77">
        <v>148.46454206095032</v>
      </c>
      <c r="G3264" s="77">
        <v>148.46454206095032</v>
      </c>
      <c r="H3264" s="77">
        <v>148.46454206095032</v>
      </c>
      <c r="I3264" s="77">
        <v>148.46454206095032</v>
      </c>
    </row>
    <row r="3265" spans="2:9">
      <c r="B3265" s="76">
        <v>2023.5475125993928</v>
      </c>
      <c r="C3265">
        <v>940.23189549928259</v>
      </c>
      <c r="D3265" s="77">
        <v>156.70531591654711</v>
      </c>
      <c r="E3265" s="77">
        <v>156.70531591654711</v>
      </c>
      <c r="F3265" s="77">
        <v>156.70531591654711</v>
      </c>
      <c r="G3265" s="77">
        <v>156.70531591654711</v>
      </c>
      <c r="H3265" s="77">
        <v>156.70531591654711</v>
      </c>
      <c r="I3265" s="77">
        <v>156.70531591654711</v>
      </c>
    </row>
    <row r="3266" spans="2:9">
      <c r="B3266" s="76">
        <v>2022.896496262176</v>
      </c>
      <c r="C3266">
        <v>856.19140891806433</v>
      </c>
      <c r="D3266" s="77">
        <v>142.69856815301071</v>
      </c>
      <c r="E3266" s="77">
        <v>142.69856815301071</v>
      </c>
      <c r="F3266" s="77">
        <v>142.69856815301071</v>
      </c>
      <c r="G3266" s="77">
        <v>142.69856815301071</v>
      </c>
      <c r="H3266" s="77">
        <v>142.69856815301071</v>
      </c>
      <c r="I3266" s="77">
        <v>142.69856815301071</v>
      </c>
    </row>
    <row r="3267" spans="2:9">
      <c r="B3267" s="76">
        <v>2025.0058348399664</v>
      </c>
      <c r="C3267">
        <v>1116.7010498912002</v>
      </c>
      <c r="D3267" s="77">
        <v>186.11684164853338</v>
      </c>
      <c r="E3267" s="77">
        <v>186.11684164853338</v>
      </c>
      <c r="F3267" s="77">
        <v>186.11684164853338</v>
      </c>
      <c r="G3267" s="77">
        <v>186.11684164853338</v>
      </c>
      <c r="H3267" s="77">
        <v>186.11684164853338</v>
      </c>
      <c r="I3267" s="77">
        <v>186.11684164853338</v>
      </c>
    </row>
    <row r="3268" spans="2:9">
      <c r="B3268" s="76">
        <v>2023.0351237655827</v>
      </c>
      <c r="C3268">
        <v>870.70534266143181</v>
      </c>
      <c r="D3268" s="77">
        <v>145.11755711023864</v>
      </c>
      <c r="E3268" s="77">
        <v>145.11755711023864</v>
      </c>
      <c r="F3268" s="77">
        <v>145.11755711023864</v>
      </c>
      <c r="G3268" s="77">
        <v>145.11755711023864</v>
      </c>
      <c r="H3268" s="77">
        <v>145.11755711023864</v>
      </c>
      <c r="I3268" s="77">
        <v>145.11755711023864</v>
      </c>
    </row>
    <row r="3269" spans="2:9">
      <c r="B3269" s="76">
        <v>2023.4994612131684</v>
      </c>
      <c r="C3269">
        <v>911.64984956566457</v>
      </c>
      <c r="D3269" s="77">
        <v>151.94164159427743</v>
      </c>
      <c r="E3269" s="77">
        <v>151.94164159427743</v>
      </c>
      <c r="F3269" s="77">
        <v>151.94164159427743</v>
      </c>
      <c r="G3269" s="77">
        <v>151.94164159427743</v>
      </c>
      <c r="H3269" s="77">
        <v>151.94164159427743</v>
      </c>
      <c r="I3269" s="77">
        <v>151.94164159427743</v>
      </c>
    </row>
    <row r="3270" spans="2:9">
      <c r="B3270" s="76">
        <v>2023.0775209520261</v>
      </c>
      <c r="C3270">
        <v>895.97244051880489</v>
      </c>
      <c r="D3270" s="77">
        <v>149.32874008646749</v>
      </c>
      <c r="E3270" s="77">
        <v>149.32874008646749</v>
      </c>
      <c r="F3270" s="77">
        <v>149.32874008646749</v>
      </c>
      <c r="G3270" s="77">
        <v>149.32874008646749</v>
      </c>
      <c r="H3270" s="77">
        <v>149.32874008646749</v>
      </c>
      <c r="I3270" s="77">
        <v>149.32874008646749</v>
      </c>
    </row>
    <row r="3271" spans="2:9">
      <c r="B3271" s="76">
        <v>2022.7157588237822</v>
      </c>
      <c r="C3271">
        <v>809.95754976972114</v>
      </c>
      <c r="D3271" s="77">
        <v>134.99292496162019</v>
      </c>
      <c r="E3271" s="77">
        <v>134.99292496162019</v>
      </c>
      <c r="F3271" s="77">
        <v>134.99292496162019</v>
      </c>
      <c r="G3271" s="77">
        <v>134.99292496162019</v>
      </c>
      <c r="H3271" s="77">
        <v>134.99292496162019</v>
      </c>
      <c r="I3271" s="77">
        <v>134.99292496162019</v>
      </c>
    </row>
    <row r="3272" spans="2:9">
      <c r="B3272" s="76">
        <v>2023.6844931945077</v>
      </c>
      <c r="C3272">
        <v>955.56033962395134</v>
      </c>
      <c r="D3272" s="77">
        <v>159.2600566039919</v>
      </c>
      <c r="E3272" s="77">
        <v>159.2600566039919</v>
      </c>
      <c r="F3272" s="77">
        <v>159.2600566039919</v>
      </c>
      <c r="G3272" s="77">
        <v>159.2600566039919</v>
      </c>
      <c r="H3272" s="77">
        <v>159.2600566039919</v>
      </c>
      <c r="I3272" s="77">
        <v>159.2600566039919</v>
      </c>
    </row>
    <row r="3273" spans="2:9">
      <c r="B3273" s="76">
        <v>2022.7953692262433</v>
      </c>
      <c r="C3273">
        <v>851.18828990585473</v>
      </c>
      <c r="D3273" s="77">
        <v>141.86471498430913</v>
      </c>
      <c r="E3273" s="77">
        <v>141.86471498430913</v>
      </c>
      <c r="F3273" s="77">
        <v>141.86471498430913</v>
      </c>
      <c r="G3273" s="77">
        <v>141.86471498430913</v>
      </c>
      <c r="H3273" s="77">
        <v>141.86471498430913</v>
      </c>
      <c r="I3273" s="77">
        <v>141.86471498430913</v>
      </c>
    </row>
    <row r="3274" spans="2:9">
      <c r="B3274" s="76">
        <v>2025.0203066626384</v>
      </c>
      <c r="C3274">
        <v>1150.6143052974469</v>
      </c>
      <c r="D3274" s="77">
        <v>191.76905088290781</v>
      </c>
      <c r="E3274" s="77">
        <v>191.76905088290781</v>
      </c>
      <c r="F3274" s="77">
        <v>191.76905088290781</v>
      </c>
      <c r="G3274" s="77">
        <v>191.76905088290781</v>
      </c>
      <c r="H3274" s="77">
        <v>191.76905088290781</v>
      </c>
      <c r="I3274" s="77">
        <v>191.76905088290781</v>
      </c>
    </row>
    <row r="3275" spans="2:9">
      <c r="B3275" s="76">
        <v>2023.2087958000961</v>
      </c>
      <c r="C3275">
        <v>879.65784488749466</v>
      </c>
      <c r="D3275" s="77">
        <v>146.60964081458243</v>
      </c>
      <c r="E3275" s="77">
        <v>146.60964081458243</v>
      </c>
      <c r="F3275" s="77">
        <v>146.60964081458243</v>
      </c>
      <c r="G3275" s="77">
        <v>146.60964081458243</v>
      </c>
      <c r="H3275" s="77">
        <v>146.60964081458243</v>
      </c>
      <c r="I3275" s="77">
        <v>146.60964081458243</v>
      </c>
    </row>
    <row r="3276" spans="2:9">
      <c r="B3276" s="76">
        <v>2025.1146603549535</v>
      </c>
      <c r="C3276">
        <v>1244.2360730942542</v>
      </c>
      <c r="D3276" s="77">
        <v>207.37267884904236</v>
      </c>
      <c r="E3276" s="77">
        <v>207.37267884904236</v>
      </c>
      <c r="F3276" s="77">
        <v>207.37267884904236</v>
      </c>
      <c r="G3276" s="77">
        <v>207.37267884904236</v>
      </c>
      <c r="H3276" s="77">
        <v>207.37267884904236</v>
      </c>
      <c r="I3276" s="77">
        <v>207.37267884904236</v>
      </c>
    </row>
    <row r="3277" spans="2:9">
      <c r="B3277" s="76">
        <v>2023.0932928742939</v>
      </c>
      <c r="C3277">
        <v>929.31038948906814</v>
      </c>
      <c r="D3277" s="77">
        <v>154.88506491484469</v>
      </c>
      <c r="E3277" s="77">
        <v>154.88506491484469</v>
      </c>
      <c r="F3277" s="77">
        <v>154.88506491484469</v>
      </c>
      <c r="G3277" s="77">
        <v>154.88506491484469</v>
      </c>
      <c r="H3277" s="77">
        <v>154.88506491484469</v>
      </c>
      <c r="I3277" s="77">
        <v>154.88506491484469</v>
      </c>
    </row>
    <row r="3278" spans="2:9">
      <c r="B3278" s="76">
        <v>2023.361440624001</v>
      </c>
      <c r="C3278">
        <v>846.11695823237051</v>
      </c>
      <c r="D3278" s="77">
        <v>141.01949303872843</v>
      </c>
      <c r="E3278" s="77">
        <v>141.01949303872843</v>
      </c>
      <c r="F3278" s="77">
        <v>141.01949303872843</v>
      </c>
      <c r="G3278" s="77">
        <v>141.01949303872843</v>
      </c>
      <c r="H3278" s="77">
        <v>141.01949303872843</v>
      </c>
      <c r="I3278" s="77">
        <v>141.01949303872843</v>
      </c>
    </row>
    <row r="3279" spans="2:9">
      <c r="B3279" s="76">
        <v>2025.085245188623</v>
      </c>
      <c r="C3279">
        <v>1174.8231989481251</v>
      </c>
      <c r="D3279" s="77">
        <v>195.80386649135417</v>
      </c>
      <c r="E3279" s="77">
        <v>195.80386649135417</v>
      </c>
      <c r="F3279" s="77">
        <v>195.80386649135417</v>
      </c>
      <c r="G3279" s="77">
        <v>195.80386649135417</v>
      </c>
      <c r="H3279" s="77">
        <v>195.80386649135417</v>
      </c>
      <c r="I3279" s="77">
        <v>195.80386649135417</v>
      </c>
    </row>
    <row r="3280" spans="2:9">
      <c r="B3280" s="76">
        <v>2023.2860896809996</v>
      </c>
      <c r="C3280">
        <v>944.59099961519678</v>
      </c>
      <c r="D3280" s="77">
        <v>157.43183326919947</v>
      </c>
      <c r="E3280" s="77">
        <v>157.43183326919947</v>
      </c>
      <c r="F3280" s="77">
        <v>157.43183326919947</v>
      </c>
      <c r="G3280" s="77">
        <v>157.43183326919947</v>
      </c>
      <c r="H3280" s="77">
        <v>157.43183326919947</v>
      </c>
      <c r="I3280" s="77">
        <v>157.43183326919947</v>
      </c>
    </row>
    <row r="3281" spans="2:9">
      <c r="B3281" s="76">
        <v>2024.2737690618633</v>
      </c>
      <c r="C3281">
        <v>1059.9488155010201</v>
      </c>
      <c r="D3281" s="77">
        <v>176.6581359168367</v>
      </c>
      <c r="E3281" s="77">
        <v>176.6581359168367</v>
      </c>
      <c r="F3281" s="77">
        <v>176.6581359168367</v>
      </c>
      <c r="G3281" s="77">
        <v>176.6581359168367</v>
      </c>
      <c r="H3281" s="77">
        <v>176.6581359168367</v>
      </c>
      <c r="I3281" s="77">
        <v>176.6581359168367</v>
      </c>
    </row>
    <row r="3282" spans="2:9">
      <c r="B3282" s="76">
        <v>2023.4346766708982</v>
      </c>
      <c r="C3282">
        <v>883.47755291102953</v>
      </c>
      <c r="D3282" s="77">
        <v>147.24625881850491</v>
      </c>
      <c r="E3282" s="77">
        <v>147.24625881850491</v>
      </c>
      <c r="F3282" s="77">
        <v>147.24625881850491</v>
      </c>
      <c r="G3282" s="77">
        <v>147.24625881850491</v>
      </c>
      <c r="H3282" s="77">
        <v>147.24625881850491</v>
      </c>
      <c r="I3282" s="77">
        <v>147.24625881850491</v>
      </c>
    </row>
    <row r="3283" spans="2:9">
      <c r="B3283" s="76">
        <v>2022.8301365400498</v>
      </c>
      <c r="C3283">
        <v>834.94248485205139</v>
      </c>
      <c r="D3283" s="77">
        <v>139.15708080867523</v>
      </c>
      <c r="E3283" s="77">
        <v>139.15708080867523</v>
      </c>
      <c r="F3283" s="77">
        <v>139.15708080867523</v>
      </c>
      <c r="G3283" s="77">
        <v>139.15708080867523</v>
      </c>
      <c r="H3283" s="77">
        <v>139.15708080867523</v>
      </c>
      <c r="I3283" s="77">
        <v>139.15708080867523</v>
      </c>
    </row>
    <row r="3284" spans="2:9">
      <c r="B3284" s="76">
        <v>2024.8906603963201</v>
      </c>
      <c r="C3284">
        <v>1090.8640704600846</v>
      </c>
      <c r="D3284" s="77">
        <v>181.81067841001411</v>
      </c>
      <c r="E3284" s="77">
        <v>181.81067841001411</v>
      </c>
      <c r="F3284" s="77">
        <v>181.81067841001411</v>
      </c>
      <c r="G3284" s="77">
        <v>181.81067841001411</v>
      </c>
      <c r="H3284" s="77">
        <v>181.81067841001411</v>
      </c>
      <c r="I3284" s="77">
        <v>181.81067841001411</v>
      </c>
    </row>
    <row r="3285" spans="2:9">
      <c r="B3285" s="76">
        <v>2023.60851310518</v>
      </c>
      <c r="C3285">
        <v>894.23046253163557</v>
      </c>
      <c r="D3285" s="77">
        <v>149.03841042193926</v>
      </c>
      <c r="E3285" s="77">
        <v>149.03841042193926</v>
      </c>
      <c r="F3285" s="77">
        <v>149.03841042193926</v>
      </c>
      <c r="G3285" s="77">
        <v>149.03841042193926</v>
      </c>
      <c r="H3285" s="77">
        <v>149.03841042193926</v>
      </c>
      <c r="I3285" s="77">
        <v>149.03841042193926</v>
      </c>
    </row>
    <row r="3286" spans="2:9">
      <c r="B3286" s="76">
        <v>2023.0915856703161</v>
      </c>
      <c r="C3286">
        <v>874.66838201447513</v>
      </c>
      <c r="D3286" s="77">
        <v>145.77806366907919</v>
      </c>
      <c r="E3286" s="77">
        <v>145.77806366907919</v>
      </c>
      <c r="F3286" s="77">
        <v>145.77806366907919</v>
      </c>
      <c r="G3286" s="77">
        <v>145.77806366907919</v>
      </c>
      <c r="H3286" s="77">
        <v>145.77806366907919</v>
      </c>
      <c r="I3286" s="77">
        <v>145.77806366907919</v>
      </c>
    </row>
    <row r="3287" spans="2:9">
      <c r="B3287" s="76">
        <v>2023.6599752459456</v>
      </c>
      <c r="C3287">
        <v>946.73116536836721</v>
      </c>
      <c r="D3287" s="77">
        <v>157.78852756139455</v>
      </c>
      <c r="E3287" s="77">
        <v>157.78852756139455</v>
      </c>
      <c r="F3287" s="77">
        <v>157.78852756139455</v>
      </c>
      <c r="G3287" s="77">
        <v>157.78852756139455</v>
      </c>
      <c r="H3287" s="77">
        <v>157.78852756139455</v>
      </c>
      <c r="I3287" s="77">
        <v>157.78852756139455</v>
      </c>
    </row>
    <row r="3288" spans="2:9">
      <c r="B3288" s="76">
        <v>2025.1643874827428</v>
      </c>
      <c r="C3288">
        <v>1116.0722088720729</v>
      </c>
      <c r="D3288" s="77">
        <v>186.01203481201216</v>
      </c>
      <c r="E3288" s="77">
        <v>186.01203481201216</v>
      </c>
      <c r="F3288" s="77">
        <v>186.01203481201216</v>
      </c>
      <c r="G3288" s="77">
        <v>186.01203481201216</v>
      </c>
      <c r="H3288" s="77">
        <v>186.01203481201216</v>
      </c>
      <c r="I3288" s="77">
        <v>186.01203481201216</v>
      </c>
    </row>
    <row r="3289" spans="2:9">
      <c r="B3289" s="76">
        <v>2023.1571383111188</v>
      </c>
      <c r="C3289">
        <v>915.70146272706324</v>
      </c>
      <c r="D3289" s="77">
        <v>152.61691045451053</v>
      </c>
      <c r="E3289" s="77">
        <v>152.61691045451053</v>
      </c>
      <c r="F3289" s="77">
        <v>152.61691045451053</v>
      </c>
      <c r="G3289" s="77">
        <v>152.61691045451053</v>
      </c>
      <c r="H3289" s="77">
        <v>152.61691045451053</v>
      </c>
      <c r="I3289" s="77">
        <v>152.61691045451053</v>
      </c>
    </row>
    <row r="3290" spans="2:9">
      <c r="B3290" s="76">
        <v>2023.3283280401913</v>
      </c>
      <c r="C3290">
        <v>895.85097742116886</v>
      </c>
      <c r="D3290" s="77">
        <v>149.30849623686149</v>
      </c>
      <c r="E3290" s="77">
        <v>149.30849623686149</v>
      </c>
      <c r="F3290" s="77">
        <v>149.30849623686149</v>
      </c>
      <c r="G3290" s="77">
        <v>149.30849623686149</v>
      </c>
      <c r="H3290" s="77">
        <v>149.30849623686149</v>
      </c>
      <c r="I3290" s="77">
        <v>149.30849623686149</v>
      </c>
    </row>
    <row r="3291" spans="2:9">
      <c r="B3291" s="76">
        <v>2023.4298714577162</v>
      </c>
      <c r="C3291">
        <v>986.45486248944405</v>
      </c>
      <c r="D3291" s="77">
        <v>164.40914374824067</v>
      </c>
      <c r="E3291" s="77">
        <v>164.40914374824067</v>
      </c>
      <c r="F3291" s="77">
        <v>164.40914374824067</v>
      </c>
      <c r="G3291" s="77">
        <v>164.40914374824067</v>
      </c>
      <c r="H3291" s="77">
        <v>164.40914374824067</v>
      </c>
      <c r="I3291" s="77">
        <v>164.40914374824067</v>
      </c>
    </row>
    <row r="3292" spans="2:9">
      <c r="B3292" s="76">
        <v>2024.7660536393639</v>
      </c>
      <c r="C3292">
        <v>1111.7866505458564</v>
      </c>
      <c r="D3292" s="77">
        <v>185.29777509097607</v>
      </c>
      <c r="E3292" s="77">
        <v>185.29777509097607</v>
      </c>
      <c r="F3292" s="77">
        <v>185.29777509097607</v>
      </c>
      <c r="G3292" s="77">
        <v>185.29777509097607</v>
      </c>
      <c r="H3292" s="77">
        <v>185.29777509097607</v>
      </c>
      <c r="I3292" s="77">
        <v>185.29777509097607</v>
      </c>
    </row>
    <row r="3293" spans="2:9">
      <c r="B3293" s="76">
        <v>2022.7562485696585</v>
      </c>
      <c r="C3293">
        <v>803.76033493681791</v>
      </c>
      <c r="D3293" s="77">
        <v>133.96005582280299</v>
      </c>
      <c r="E3293" s="77">
        <v>133.96005582280299</v>
      </c>
      <c r="F3293" s="77">
        <v>133.96005582280299</v>
      </c>
      <c r="G3293" s="77">
        <v>133.96005582280299</v>
      </c>
      <c r="H3293" s="77">
        <v>133.96005582280299</v>
      </c>
      <c r="I3293" s="77">
        <v>133.96005582280299</v>
      </c>
    </row>
    <row r="3294" spans="2:9">
      <c r="B3294" s="76">
        <v>2023.8289217703602</v>
      </c>
      <c r="C3294">
        <v>1017.6867243850043</v>
      </c>
      <c r="D3294" s="77">
        <v>169.61445406416738</v>
      </c>
      <c r="E3294" s="77">
        <v>169.61445406416738</v>
      </c>
      <c r="F3294" s="77">
        <v>169.61445406416738</v>
      </c>
      <c r="G3294" s="77">
        <v>169.61445406416738</v>
      </c>
      <c r="H3294" s="77">
        <v>169.61445406416738</v>
      </c>
      <c r="I3294" s="77">
        <v>169.61445406416738</v>
      </c>
    </row>
    <row r="3295" spans="2:9">
      <c r="B3295" s="76">
        <v>2023.0355668318125</v>
      </c>
      <c r="C3295">
        <v>934.9207946308909</v>
      </c>
      <c r="D3295" s="77">
        <v>155.82013243848181</v>
      </c>
      <c r="E3295" s="77">
        <v>155.82013243848181</v>
      </c>
      <c r="F3295" s="77">
        <v>155.82013243848181</v>
      </c>
      <c r="G3295" s="77">
        <v>155.82013243848181</v>
      </c>
      <c r="H3295" s="77">
        <v>155.82013243848181</v>
      </c>
      <c r="I3295" s="77">
        <v>155.82013243848181</v>
      </c>
    </row>
    <row r="3296" spans="2:9">
      <c r="B3296" s="76">
        <v>2022.9477944288976</v>
      </c>
      <c r="C3296">
        <v>916.89840880542988</v>
      </c>
      <c r="D3296" s="77">
        <v>152.81640146757164</v>
      </c>
      <c r="E3296" s="77">
        <v>152.81640146757164</v>
      </c>
      <c r="F3296" s="77">
        <v>152.81640146757164</v>
      </c>
      <c r="G3296" s="77">
        <v>152.81640146757164</v>
      </c>
      <c r="H3296" s="77">
        <v>152.81640146757164</v>
      </c>
      <c r="I3296" s="77">
        <v>152.81640146757164</v>
      </c>
    </row>
    <row r="3297" spans="2:9">
      <c r="B3297" s="76">
        <v>2024.3550122161055</v>
      </c>
      <c r="C3297">
        <v>1081.0753994385391</v>
      </c>
      <c r="D3297" s="77">
        <v>180.17923323975651</v>
      </c>
      <c r="E3297" s="77">
        <v>180.17923323975651</v>
      </c>
      <c r="F3297" s="77">
        <v>180.17923323975651</v>
      </c>
      <c r="G3297" s="77">
        <v>180.17923323975651</v>
      </c>
      <c r="H3297" s="77">
        <v>180.17923323975651</v>
      </c>
      <c r="I3297" s="77">
        <v>180.17923323975651</v>
      </c>
    </row>
    <row r="3298" spans="2:9">
      <c r="B3298" s="76">
        <v>2024.272613410523</v>
      </c>
      <c r="C3298">
        <v>1036.5517001490975</v>
      </c>
      <c r="D3298" s="77">
        <v>172.75861669151627</v>
      </c>
      <c r="E3298" s="77">
        <v>172.75861669151627</v>
      </c>
      <c r="F3298" s="77">
        <v>172.75861669151627</v>
      </c>
      <c r="G3298" s="77">
        <v>172.75861669151627</v>
      </c>
      <c r="H3298" s="77">
        <v>172.75861669151627</v>
      </c>
      <c r="I3298" s="77">
        <v>172.75861669151627</v>
      </c>
    </row>
    <row r="3299" spans="2:9">
      <c r="B3299" s="76">
        <v>2025.5290492688951</v>
      </c>
      <c r="C3299">
        <v>1250.9298605680269</v>
      </c>
      <c r="D3299" s="77">
        <v>208.48831009467116</v>
      </c>
      <c r="E3299" s="77">
        <v>208.48831009467116</v>
      </c>
      <c r="F3299" s="77">
        <v>208.48831009467116</v>
      </c>
      <c r="G3299" s="77">
        <v>208.48831009467116</v>
      </c>
      <c r="H3299" s="77">
        <v>208.48831009467116</v>
      </c>
      <c r="I3299" s="77">
        <v>208.48831009467116</v>
      </c>
    </row>
    <row r="3300" spans="2:9">
      <c r="B3300" s="76">
        <v>2025.3272587434915</v>
      </c>
      <c r="C3300">
        <v>1245.8073860826271</v>
      </c>
      <c r="D3300" s="77">
        <v>207.63456434710452</v>
      </c>
      <c r="E3300" s="77">
        <v>207.63456434710452</v>
      </c>
      <c r="F3300" s="77">
        <v>207.63456434710452</v>
      </c>
      <c r="G3300" s="77">
        <v>207.63456434710452</v>
      </c>
      <c r="H3300" s="77">
        <v>207.63456434710452</v>
      </c>
      <c r="I3300" s="77">
        <v>207.63456434710452</v>
      </c>
    </row>
    <row r="3301" spans="2:9">
      <c r="B3301" s="76">
        <v>2022.8811567422611</v>
      </c>
      <c r="C3301">
        <v>883.45024113372131</v>
      </c>
      <c r="D3301" s="77">
        <v>147.24170685562021</v>
      </c>
      <c r="E3301" s="77">
        <v>147.24170685562021</v>
      </c>
      <c r="F3301" s="77">
        <v>147.24170685562021</v>
      </c>
      <c r="G3301" s="77">
        <v>147.24170685562021</v>
      </c>
      <c r="H3301" s="77">
        <v>147.24170685562021</v>
      </c>
      <c r="I3301" s="77">
        <v>147.24170685562021</v>
      </c>
    </row>
    <row r="3302" spans="2:9">
      <c r="B3302" s="76">
        <v>2023.2530023651225</v>
      </c>
      <c r="C3302">
        <v>909.44541046847621</v>
      </c>
      <c r="D3302" s="77">
        <v>151.57423507807937</v>
      </c>
      <c r="E3302" s="77">
        <v>151.57423507807937</v>
      </c>
      <c r="F3302" s="77">
        <v>151.57423507807937</v>
      </c>
      <c r="G3302" s="77">
        <v>151.57423507807937</v>
      </c>
      <c r="H3302" s="77">
        <v>151.57423507807937</v>
      </c>
      <c r="I3302" s="77">
        <v>151.57423507807937</v>
      </c>
    </row>
    <row r="3303" spans="2:9">
      <c r="B3303" s="76">
        <v>2023.2040581351264</v>
      </c>
      <c r="C3303">
        <v>893.36877884459318</v>
      </c>
      <c r="D3303" s="77">
        <v>148.89479647409885</v>
      </c>
      <c r="E3303" s="77">
        <v>148.89479647409885</v>
      </c>
      <c r="F3303" s="77">
        <v>148.89479647409885</v>
      </c>
      <c r="G3303" s="77">
        <v>148.89479647409885</v>
      </c>
      <c r="H3303" s="77">
        <v>148.89479647409885</v>
      </c>
      <c r="I3303" s="77">
        <v>148.89479647409885</v>
      </c>
    </row>
    <row r="3304" spans="2:9">
      <c r="B3304" s="76">
        <v>2022.8081151208266</v>
      </c>
      <c r="C3304">
        <v>841.31394934198784</v>
      </c>
      <c r="D3304" s="77">
        <v>140.21899155699796</v>
      </c>
      <c r="E3304" s="77">
        <v>140.21899155699796</v>
      </c>
      <c r="F3304" s="77">
        <v>140.21899155699796</v>
      </c>
      <c r="G3304" s="77">
        <v>140.21899155699796</v>
      </c>
      <c r="H3304" s="77">
        <v>140.21899155699796</v>
      </c>
      <c r="I3304" s="77">
        <v>140.21899155699796</v>
      </c>
    </row>
    <row r="3305" spans="2:9">
      <c r="B3305" s="76">
        <v>2023.307103741631</v>
      </c>
      <c r="C3305">
        <v>929.20170285003439</v>
      </c>
      <c r="D3305" s="77">
        <v>154.86695047500572</v>
      </c>
      <c r="E3305" s="77">
        <v>154.86695047500572</v>
      </c>
      <c r="F3305" s="77">
        <v>154.86695047500572</v>
      </c>
      <c r="G3305" s="77">
        <v>154.86695047500572</v>
      </c>
      <c r="H3305" s="77">
        <v>154.86695047500572</v>
      </c>
      <c r="I3305" s="77">
        <v>154.86695047500572</v>
      </c>
    </row>
    <row r="3306" spans="2:9">
      <c r="B3306" s="76">
        <v>2025.2579913443133</v>
      </c>
      <c r="C3306">
        <v>1196.4084724453251</v>
      </c>
      <c r="D3306" s="77">
        <v>199.40141207422084</v>
      </c>
      <c r="E3306" s="77">
        <v>199.40141207422084</v>
      </c>
      <c r="F3306" s="77">
        <v>199.40141207422084</v>
      </c>
      <c r="G3306" s="77">
        <v>199.40141207422084</v>
      </c>
      <c r="H3306" s="77">
        <v>199.40141207422084</v>
      </c>
      <c r="I3306" s="77">
        <v>199.40141207422084</v>
      </c>
    </row>
    <row r="3307" spans="2:9">
      <c r="B3307" s="76">
        <v>2022.8696390072196</v>
      </c>
      <c r="C3307">
        <v>890.96376001224746</v>
      </c>
      <c r="D3307" s="77">
        <v>148.49396000204123</v>
      </c>
      <c r="E3307" s="77">
        <v>148.49396000204123</v>
      </c>
      <c r="F3307" s="77">
        <v>148.49396000204123</v>
      </c>
      <c r="G3307" s="77">
        <v>148.49396000204123</v>
      </c>
      <c r="H3307" s="77">
        <v>148.49396000204123</v>
      </c>
      <c r="I3307" s="77">
        <v>148.49396000204123</v>
      </c>
    </row>
    <row r="3308" spans="2:9">
      <c r="B3308" s="76">
        <v>2023.9612639915915</v>
      </c>
      <c r="C3308">
        <v>1008.1259927201418</v>
      </c>
      <c r="D3308" s="77">
        <v>168.02099878669028</v>
      </c>
      <c r="E3308" s="77">
        <v>168.02099878669028</v>
      </c>
      <c r="F3308" s="77">
        <v>168.02099878669028</v>
      </c>
      <c r="G3308" s="77">
        <v>168.02099878669028</v>
      </c>
      <c r="H3308" s="77">
        <v>168.02099878669028</v>
      </c>
      <c r="I3308" s="77">
        <v>168.02099878669028</v>
      </c>
    </row>
    <row r="3309" spans="2:9">
      <c r="B3309" s="76">
        <v>2022.8604681462343</v>
      </c>
      <c r="C3309">
        <v>871.03346725141898</v>
      </c>
      <c r="D3309" s="77">
        <v>145.17224454190315</v>
      </c>
      <c r="E3309" s="77">
        <v>145.17224454190315</v>
      </c>
      <c r="F3309" s="77">
        <v>145.17224454190315</v>
      </c>
      <c r="G3309" s="77">
        <v>145.17224454190315</v>
      </c>
      <c r="H3309" s="77">
        <v>145.17224454190315</v>
      </c>
      <c r="I3309" s="77">
        <v>145.17224454190315</v>
      </c>
    </row>
    <row r="3310" spans="2:9">
      <c r="B3310" s="76">
        <v>2024.6883075639068</v>
      </c>
      <c r="C3310">
        <v>1047.8780814863833</v>
      </c>
      <c r="D3310" s="77">
        <v>174.64634691439721</v>
      </c>
      <c r="E3310" s="77">
        <v>174.64634691439721</v>
      </c>
      <c r="F3310" s="77">
        <v>174.64634691439721</v>
      </c>
      <c r="G3310" s="77">
        <v>174.64634691439721</v>
      </c>
      <c r="H3310" s="77">
        <v>174.64634691439721</v>
      </c>
      <c r="I3310" s="77">
        <v>174.64634691439721</v>
      </c>
    </row>
    <row r="3311" spans="2:9">
      <c r="B3311" s="76">
        <v>2025.2579847822196</v>
      </c>
      <c r="C3311">
        <v>1175.8660029106991</v>
      </c>
      <c r="D3311" s="77">
        <v>195.97766715178318</v>
      </c>
      <c r="E3311" s="77">
        <v>195.97766715178318</v>
      </c>
      <c r="F3311" s="77">
        <v>195.97766715178318</v>
      </c>
      <c r="G3311" s="77">
        <v>195.97766715178318</v>
      </c>
      <c r="H3311" s="77">
        <v>195.97766715178318</v>
      </c>
      <c r="I3311" s="77">
        <v>195.97766715178318</v>
      </c>
    </row>
    <row r="3312" spans="2:9">
      <c r="B3312" s="76">
        <v>2023.1922102674037</v>
      </c>
      <c r="C3312">
        <v>952.6923692864076</v>
      </c>
      <c r="D3312" s="77">
        <v>158.7820615477346</v>
      </c>
      <c r="E3312" s="77">
        <v>158.7820615477346</v>
      </c>
      <c r="F3312" s="77">
        <v>158.7820615477346</v>
      </c>
      <c r="G3312" s="77">
        <v>158.7820615477346</v>
      </c>
      <c r="H3312" s="77">
        <v>158.7820615477346</v>
      </c>
      <c r="I3312" s="77">
        <v>158.7820615477346</v>
      </c>
    </row>
    <row r="3313" spans="2:9">
      <c r="B3313" s="76">
        <v>2023.0200420739066</v>
      </c>
      <c r="C3313">
        <v>853.54025658096589</v>
      </c>
      <c r="D3313" s="77">
        <v>142.25670943016098</v>
      </c>
      <c r="E3313" s="77">
        <v>142.25670943016098</v>
      </c>
      <c r="F3313" s="77">
        <v>142.25670943016098</v>
      </c>
      <c r="G3313" s="77">
        <v>142.25670943016098</v>
      </c>
      <c r="H3313" s="77">
        <v>142.25670943016098</v>
      </c>
      <c r="I3313" s="77">
        <v>142.25670943016098</v>
      </c>
    </row>
    <row r="3314" spans="2:9">
      <c r="B3314" s="76">
        <v>2023.2735737875716</v>
      </c>
      <c r="C3314">
        <v>941.22576668785518</v>
      </c>
      <c r="D3314" s="77">
        <v>156.87096111464254</v>
      </c>
      <c r="E3314" s="77">
        <v>156.87096111464254</v>
      </c>
      <c r="F3314" s="77">
        <v>156.87096111464254</v>
      </c>
      <c r="G3314" s="77">
        <v>156.87096111464254</v>
      </c>
      <c r="H3314" s="77">
        <v>156.87096111464254</v>
      </c>
      <c r="I3314" s="77">
        <v>156.87096111464254</v>
      </c>
    </row>
    <row r="3315" spans="2:9">
      <c r="B3315" s="76">
        <v>2024.1664481056998</v>
      </c>
      <c r="C3315">
        <v>955.39286285936282</v>
      </c>
      <c r="D3315" s="77">
        <v>159.23214380989381</v>
      </c>
      <c r="E3315" s="77">
        <v>159.23214380989381</v>
      </c>
      <c r="F3315" s="77">
        <v>159.23214380989381</v>
      </c>
      <c r="G3315" s="77">
        <v>159.23214380989381</v>
      </c>
      <c r="H3315" s="77">
        <v>159.23214380989381</v>
      </c>
      <c r="I3315" s="77">
        <v>159.23214380989381</v>
      </c>
    </row>
    <row r="3316" spans="2:9">
      <c r="B3316" s="76">
        <v>2022.5775689771738</v>
      </c>
      <c r="C3316">
        <v>876.60280787042484</v>
      </c>
      <c r="D3316" s="77">
        <v>146.10046797840414</v>
      </c>
      <c r="E3316" s="77">
        <v>146.10046797840414</v>
      </c>
      <c r="F3316" s="77">
        <v>146.10046797840414</v>
      </c>
      <c r="G3316" s="77">
        <v>146.10046797840414</v>
      </c>
      <c r="H3316" s="77">
        <v>146.10046797840414</v>
      </c>
      <c r="I3316" s="77">
        <v>146.10046797840414</v>
      </c>
    </row>
    <row r="3317" spans="2:9">
      <c r="B3317" s="76">
        <v>2023.3540885412947</v>
      </c>
      <c r="C3317">
        <v>906.32362652197048</v>
      </c>
      <c r="D3317" s="77">
        <v>151.05393775366176</v>
      </c>
      <c r="E3317" s="77">
        <v>151.05393775366176</v>
      </c>
      <c r="F3317" s="77">
        <v>151.05393775366176</v>
      </c>
      <c r="G3317" s="77">
        <v>151.05393775366176</v>
      </c>
      <c r="H3317" s="77">
        <v>151.05393775366176</v>
      </c>
      <c r="I3317" s="77">
        <v>151.05393775366176</v>
      </c>
    </row>
    <row r="3318" spans="2:9">
      <c r="B3318" s="76">
        <v>2023.4723368194282</v>
      </c>
      <c r="C3318">
        <v>951.50748135953927</v>
      </c>
      <c r="D3318" s="77">
        <v>158.58458022658988</v>
      </c>
      <c r="E3318" s="77">
        <v>158.58458022658988</v>
      </c>
      <c r="F3318" s="77">
        <v>158.58458022658988</v>
      </c>
      <c r="G3318" s="77">
        <v>158.58458022658988</v>
      </c>
      <c r="H3318" s="77">
        <v>158.58458022658988</v>
      </c>
      <c r="I3318" s="77">
        <v>158.58458022658988</v>
      </c>
    </row>
    <row r="3319" spans="2:9">
      <c r="B3319" s="76">
        <v>2022.9723319665109</v>
      </c>
      <c r="C3319">
        <v>894.54839461703295</v>
      </c>
      <c r="D3319" s="77">
        <v>149.09139910283884</v>
      </c>
      <c r="E3319" s="77">
        <v>149.09139910283884</v>
      </c>
      <c r="F3319" s="77">
        <v>149.09139910283884</v>
      </c>
      <c r="G3319" s="77">
        <v>149.09139910283884</v>
      </c>
      <c r="H3319" s="77">
        <v>149.09139910283884</v>
      </c>
      <c r="I3319" s="77">
        <v>149.09139910283884</v>
      </c>
    </row>
    <row r="3320" spans="2:9">
      <c r="B3320" s="76">
        <v>2022.8871897099764</v>
      </c>
      <c r="C3320">
        <v>867.26699855036929</v>
      </c>
      <c r="D3320" s="77">
        <v>144.54449975839489</v>
      </c>
      <c r="E3320" s="77">
        <v>144.54449975839489</v>
      </c>
      <c r="F3320" s="77">
        <v>144.54449975839489</v>
      </c>
      <c r="G3320" s="77">
        <v>144.54449975839489</v>
      </c>
      <c r="H3320" s="77">
        <v>144.54449975839489</v>
      </c>
      <c r="I3320" s="77">
        <v>144.54449975839489</v>
      </c>
    </row>
    <row r="3321" spans="2:9">
      <c r="B3321" s="76">
        <v>2022.6489826146258</v>
      </c>
      <c r="C3321">
        <v>859.63024199466668</v>
      </c>
      <c r="D3321" s="77">
        <v>143.2717069991111</v>
      </c>
      <c r="E3321" s="77">
        <v>143.2717069991111</v>
      </c>
      <c r="F3321" s="77">
        <v>143.2717069991111</v>
      </c>
      <c r="G3321" s="77">
        <v>143.2717069991111</v>
      </c>
      <c r="H3321" s="77">
        <v>143.2717069991111</v>
      </c>
      <c r="I3321" s="77">
        <v>143.2717069991111</v>
      </c>
    </row>
    <row r="3322" spans="2:9">
      <c r="B3322" s="76">
        <v>2025.0739846146332</v>
      </c>
      <c r="C3322">
        <v>1116.0459310288038</v>
      </c>
      <c r="D3322" s="77">
        <v>186.00765517146729</v>
      </c>
      <c r="E3322" s="77">
        <v>186.00765517146729</v>
      </c>
      <c r="F3322" s="77">
        <v>186.00765517146729</v>
      </c>
      <c r="G3322" s="77">
        <v>186.00765517146729</v>
      </c>
      <c r="H3322" s="77">
        <v>186.00765517146729</v>
      </c>
      <c r="I3322" s="77">
        <v>186.00765517146729</v>
      </c>
    </row>
    <row r="3323" spans="2:9">
      <c r="B3323" s="76">
        <v>2023.0499031539409</v>
      </c>
      <c r="C3323">
        <v>879.78934297728483</v>
      </c>
      <c r="D3323" s="77">
        <v>146.6315571628808</v>
      </c>
      <c r="E3323" s="77">
        <v>146.6315571628808</v>
      </c>
      <c r="F3323" s="77">
        <v>146.6315571628808</v>
      </c>
      <c r="G3323" s="77">
        <v>146.6315571628808</v>
      </c>
      <c r="H3323" s="77">
        <v>146.6315571628808</v>
      </c>
      <c r="I3323" s="77">
        <v>146.6315571628808</v>
      </c>
    </row>
    <row r="3324" spans="2:9">
      <c r="B3324" s="76">
        <v>2024.763752128013</v>
      </c>
      <c r="C3324">
        <v>1015.7524615076126</v>
      </c>
      <c r="D3324" s="77">
        <v>169.29207691793542</v>
      </c>
      <c r="E3324" s="77">
        <v>169.29207691793542</v>
      </c>
      <c r="F3324" s="77">
        <v>169.29207691793542</v>
      </c>
      <c r="G3324" s="77">
        <v>169.29207691793542</v>
      </c>
      <c r="H3324" s="77">
        <v>169.29207691793542</v>
      </c>
      <c r="I3324" s="77">
        <v>169.29207691793542</v>
      </c>
    </row>
    <row r="3325" spans="2:9">
      <c r="B3325" s="76">
        <v>2023.5243164381393</v>
      </c>
      <c r="C3325">
        <v>960.54281827018804</v>
      </c>
      <c r="D3325" s="77">
        <v>160.09046971169801</v>
      </c>
      <c r="E3325" s="77">
        <v>160.09046971169801</v>
      </c>
      <c r="F3325" s="77">
        <v>160.09046971169801</v>
      </c>
      <c r="G3325" s="77">
        <v>160.09046971169801</v>
      </c>
      <c r="H3325" s="77">
        <v>160.09046971169801</v>
      </c>
      <c r="I3325" s="77">
        <v>160.09046971169801</v>
      </c>
    </row>
    <row r="3326" spans="2:9">
      <c r="B3326" s="76">
        <v>2024.734620270345</v>
      </c>
      <c r="C3326">
        <v>1047.3986145296167</v>
      </c>
      <c r="D3326" s="77">
        <v>174.56643575493612</v>
      </c>
      <c r="E3326" s="77">
        <v>174.56643575493612</v>
      </c>
      <c r="F3326" s="77">
        <v>174.56643575493612</v>
      </c>
      <c r="G3326" s="77">
        <v>174.56643575493612</v>
      </c>
      <c r="H3326" s="77">
        <v>174.56643575493612</v>
      </c>
      <c r="I3326" s="77">
        <v>174.56643575493612</v>
      </c>
    </row>
    <row r="3327" spans="2:9">
      <c r="B3327" s="76">
        <v>2022.9600315308387</v>
      </c>
      <c r="C3327">
        <v>947.84561642230346</v>
      </c>
      <c r="D3327" s="77">
        <v>157.97426940371724</v>
      </c>
      <c r="E3327" s="77">
        <v>157.97426940371724</v>
      </c>
      <c r="F3327" s="77">
        <v>157.97426940371724</v>
      </c>
      <c r="G3327" s="77">
        <v>157.97426940371724</v>
      </c>
      <c r="H3327" s="77">
        <v>157.97426940371724</v>
      </c>
      <c r="I3327" s="77">
        <v>157.97426940371724</v>
      </c>
    </row>
    <row r="3328" spans="2:9">
      <c r="B3328" s="76">
        <v>2023.5713656909909</v>
      </c>
      <c r="C3328">
        <v>963.44104132825532</v>
      </c>
      <c r="D3328" s="77">
        <v>160.57350688804254</v>
      </c>
      <c r="E3328" s="77">
        <v>160.57350688804254</v>
      </c>
      <c r="F3328" s="77">
        <v>160.57350688804254</v>
      </c>
      <c r="G3328" s="77">
        <v>160.57350688804254</v>
      </c>
      <c r="H3328" s="77">
        <v>160.57350688804254</v>
      </c>
      <c r="I3328" s="77">
        <v>160.57350688804254</v>
      </c>
    </row>
    <row r="3329" spans="2:9">
      <c r="B3329" s="76">
        <v>2023.5519895565728</v>
      </c>
      <c r="C3329">
        <v>913.30893536802762</v>
      </c>
      <c r="D3329" s="77">
        <v>152.21815589467127</v>
      </c>
      <c r="E3329" s="77">
        <v>152.21815589467127</v>
      </c>
      <c r="F3329" s="77">
        <v>152.21815589467127</v>
      </c>
      <c r="G3329" s="77">
        <v>152.21815589467127</v>
      </c>
      <c r="H3329" s="77">
        <v>152.21815589467127</v>
      </c>
      <c r="I3329" s="77">
        <v>152.21815589467127</v>
      </c>
    </row>
    <row r="3330" spans="2:9">
      <c r="B3330" s="76">
        <v>2022.8892344451338</v>
      </c>
      <c r="C3330">
        <v>849.73005048388802</v>
      </c>
      <c r="D3330" s="77">
        <v>141.621675080648</v>
      </c>
      <c r="E3330" s="77">
        <v>141.621675080648</v>
      </c>
      <c r="F3330" s="77">
        <v>141.621675080648</v>
      </c>
      <c r="G3330" s="77">
        <v>141.621675080648</v>
      </c>
      <c r="H3330" s="77">
        <v>141.621675080648</v>
      </c>
      <c r="I3330" s="77">
        <v>141.621675080648</v>
      </c>
    </row>
    <row r="3331" spans="2:9">
      <c r="B3331" s="76">
        <v>2023.0862843418442</v>
      </c>
      <c r="C3331">
        <v>871.81515652521534</v>
      </c>
      <c r="D3331" s="77">
        <v>145.30252608753588</v>
      </c>
      <c r="E3331" s="77">
        <v>145.30252608753588</v>
      </c>
      <c r="F3331" s="77">
        <v>145.30252608753588</v>
      </c>
      <c r="G3331" s="77">
        <v>145.30252608753588</v>
      </c>
      <c r="H3331" s="77">
        <v>145.30252608753588</v>
      </c>
      <c r="I3331" s="77">
        <v>145.30252608753588</v>
      </c>
    </row>
    <row r="3332" spans="2:9">
      <c r="B3332" s="76">
        <v>2025.0842095925343</v>
      </c>
      <c r="C3332">
        <v>1205.2135688143812</v>
      </c>
      <c r="D3332" s="77">
        <v>200.86892813573021</v>
      </c>
      <c r="E3332" s="77">
        <v>200.86892813573021</v>
      </c>
      <c r="F3332" s="77">
        <v>200.86892813573021</v>
      </c>
      <c r="G3332" s="77">
        <v>200.86892813573021</v>
      </c>
      <c r="H3332" s="77">
        <v>200.86892813573021</v>
      </c>
      <c r="I3332" s="77">
        <v>200.86892813573021</v>
      </c>
    </row>
    <row r="3333" spans="2:9">
      <c r="B3333" s="76">
        <v>2022.9483470532014</v>
      </c>
      <c r="C3333">
        <v>897.58994541032928</v>
      </c>
      <c r="D3333" s="77">
        <v>149.59832423505489</v>
      </c>
      <c r="E3333" s="77">
        <v>149.59832423505489</v>
      </c>
      <c r="F3333" s="77">
        <v>149.59832423505489</v>
      </c>
      <c r="G3333" s="77">
        <v>149.59832423505489</v>
      </c>
      <c r="H3333" s="77">
        <v>149.59832423505489</v>
      </c>
      <c r="I3333" s="77">
        <v>149.59832423505489</v>
      </c>
    </row>
    <row r="3334" spans="2:9">
      <c r="B3334" s="76">
        <v>2025.3667933052282</v>
      </c>
      <c r="C3334">
        <v>1125.3136018029547</v>
      </c>
      <c r="D3334" s="77">
        <v>187.55226696715911</v>
      </c>
      <c r="E3334" s="77">
        <v>187.55226696715911</v>
      </c>
      <c r="F3334" s="77">
        <v>187.55226696715911</v>
      </c>
      <c r="G3334" s="77">
        <v>187.55226696715911</v>
      </c>
      <c r="H3334" s="77">
        <v>187.55226696715911</v>
      </c>
      <c r="I3334" s="77">
        <v>187.55226696715911</v>
      </c>
    </row>
    <row r="3335" spans="2:9">
      <c r="B3335" s="76">
        <v>2023.3303390460139</v>
      </c>
      <c r="C3335">
        <v>921.81446526961633</v>
      </c>
      <c r="D3335" s="77">
        <v>153.63574421160271</v>
      </c>
      <c r="E3335" s="77">
        <v>153.63574421160271</v>
      </c>
      <c r="F3335" s="77">
        <v>153.63574421160271</v>
      </c>
      <c r="G3335" s="77">
        <v>153.63574421160271</v>
      </c>
      <c r="H3335" s="77">
        <v>153.63574421160271</v>
      </c>
      <c r="I3335" s="77">
        <v>153.63574421160271</v>
      </c>
    </row>
    <row r="3336" spans="2:9">
      <c r="B3336" s="76">
        <v>2023.2142008050441</v>
      </c>
      <c r="C3336">
        <v>903.66052435721576</v>
      </c>
      <c r="D3336" s="77">
        <v>150.6100873928693</v>
      </c>
      <c r="E3336" s="77">
        <v>150.6100873928693</v>
      </c>
      <c r="F3336" s="77">
        <v>150.6100873928693</v>
      </c>
      <c r="G3336" s="77">
        <v>150.6100873928693</v>
      </c>
      <c r="H3336" s="77">
        <v>150.6100873928693</v>
      </c>
      <c r="I3336" s="77">
        <v>150.6100873928693</v>
      </c>
    </row>
    <row r="3337" spans="2:9">
      <c r="B3337" s="76">
        <v>2023.6498147909426</v>
      </c>
      <c r="C3337">
        <v>997.94786633386582</v>
      </c>
      <c r="D3337" s="77">
        <v>166.32464438897765</v>
      </c>
      <c r="E3337" s="77">
        <v>166.32464438897765</v>
      </c>
      <c r="F3337" s="77">
        <v>166.32464438897765</v>
      </c>
      <c r="G3337" s="77">
        <v>166.32464438897765</v>
      </c>
      <c r="H3337" s="77">
        <v>166.32464438897765</v>
      </c>
      <c r="I3337" s="77">
        <v>166.32464438897765</v>
      </c>
    </row>
    <row r="3338" spans="2:9">
      <c r="B3338" s="76">
        <v>2023.2361691474855</v>
      </c>
      <c r="C3338">
        <v>905.59338834486528</v>
      </c>
      <c r="D3338" s="77">
        <v>150.93223139081087</v>
      </c>
      <c r="E3338" s="77">
        <v>150.93223139081087</v>
      </c>
      <c r="F3338" s="77">
        <v>150.93223139081087</v>
      </c>
      <c r="G3338" s="77">
        <v>150.93223139081087</v>
      </c>
      <c r="H3338" s="77">
        <v>150.93223139081087</v>
      </c>
      <c r="I3338" s="77">
        <v>150.93223139081087</v>
      </c>
    </row>
    <row r="3339" spans="2:9">
      <c r="B3339" s="76">
        <v>2025.3396040388484</v>
      </c>
      <c r="C3339">
        <v>1109.3343140947445</v>
      </c>
      <c r="D3339" s="77">
        <v>184.88905234912409</v>
      </c>
      <c r="E3339" s="77">
        <v>184.88905234912409</v>
      </c>
      <c r="F3339" s="77">
        <v>184.88905234912409</v>
      </c>
      <c r="G3339" s="77">
        <v>184.88905234912409</v>
      </c>
      <c r="H3339" s="77">
        <v>184.88905234912409</v>
      </c>
      <c r="I3339" s="77">
        <v>184.88905234912409</v>
      </c>
    </row>
    <row r="3340" spans="2:9">
      <c r="B3340" s="76">
        <v>2023.5995210892845</v>
      </c>
      <c r="C3340">
        <v>948.70381705360501</v>
      </c>
      <c r="D3340" s="77">
        <v>158.11730284226749</v>
      </c>
      <c r="E3340" s="77">
        <v>158.11730284226749</v>
      </c>
      <c r="F3340" s="77">
        <v>158.11730284226749</v>
      </c>
      <c r="G3340" s="77">
        <v>158.11730284226749</v>
      </c>
      <c r="H3340" s="77">
        <v>158.11730284226749</v>
      </c>
      <c r="I3340" s="77">
        <v>158.11730284226749</v>
      </c>
    </row>
    <row r="3341" spans="2:9">
      <c r="B3341" s="76">
        <v>2024.6455647233606</v>
      </c>
      <c r="C3341">
        <v>1013.6661203867747</v>
      </c>
      <c r="D3341" s="77">
        <v>168.94435339779577</v>
      </c>
      <c r="E3341" s="77">
        <v>168.94435339779577</v>
      </c>
      <c r="F3341" s="77">
        <v>168.94435339779577</v>
      </c>
      <c r="G3341" s="77">
        <v>168.94435339779577</v>
      </c>
      <c r="H3341" s="77">
        <v>168.94435339779577</v>
      </c>
      <c r="I3341" s="77">
        <v>168.94435339779577</v>
      </c>
    </row>
    <row r="3342" spans="2:9">
      <c r="B3342" s="76">
        <v>2022.8820215170242</v>
      </c>
      <c r="C3342">
        <v>944.23812942793813</v>
      </c>
      <c r="D3342" s="77">
        <v>157.37302157132302</v>
      </c>
      <c r="E3342" s="77">
        <v>157.37302157132302</v>
      </c>
      <c r="F3342" s="77">
        <v>157.37302157132302</v>
      </c>
      <c r="G3342" s="77">
        <v>157.37302157132302</v>
      </c>
      <c r="H3342" s="77">
        <v>157.37302157132302</v>
      </c>
      <c r="I3342" s="77">
        <v>157.37302157132302</v>
      </c>
    </row>
    <row r="3343" spans="2:9">
      <c r="B3343" s="76">
        <v>2022.8710722157891</v>
      </c>
      <c r="C3343">
        <v>852.81924852589498</v>
      </c>
      <c r="D3343" s="77">
        <v>142.1365414209825</v>
      </c>
      <c r="E3343" s="77">
        <v>142.1365414209825</v>
      </c>
      <c r="F3343" s="77">
        <v>142.1365414209825</v>
      </c>
      <c r="G3343" s="77">
        <v>142.1365414209825</v>
      </c>
      <c r="H3343" s="77">
        <v>142.1365414209825</v>
      </c>
      <c r="I3343" s="77">
        <v>142.1365414209825</v>
      </c>
    </row>
    <row r="3344" spans="2:9">
      <c r="B3344" s="76">
        <v>2024.3389770378749</v>
      </c>
      <c r="C3344">
        <v>1041.5748189542958</v>
      </c>
      <c r="D3344" s="77">
        <v>173.5958031590493</v>
      </c>
      <c r="E3344" s="77">
        <v>173.5958031590493</v>
      </c>
      <c r="F3344" s="77">
        <v>173.5958031590493</v>
      </c>
      <c r="G3344" s="77">
        <v>173.5958031590493</v>
      </c>
      <c r="H3344" s="77">
        <v>173.5958031590493</v>
      </c>
      <c r="I3344" s="77">
        <v>173.5958031590493</v>
      </c>
    </row>
    <row r="3345" spans="2:9">
      <c r="B3345" s="76">
        <v>2024.7647727031999</v>
      </c>
      <c r="C3345">
        <v>1079.1914703848661</v>
      </c>
      <c r="D3345" s="77">
        <v>179.86524506414435</v>
      </c>
      <c r="E3345" s="77">
        <v>179.86524506414435</v>
      </c>
      <c r="F3345" s="77">
        <v>179.86524506414435</v>
      </c>
      <c r="G3345" s="77">
        <v>179.86524506414435</v>
      </c>
      <c r="H3345" s="77">
        <v>179.86524506414435</v>
      </c>
      <c r="I3345" s="77">
        <v>179.86524506414435</v>
      </c>
    </row>
    <row r="3346" spans="2:9">
      <c r="B3346" s="76">
        <v>2022.9449667981382</v>
      </c>
      <c r="C3346">
        <v>825.62711215304432</v>
      </c>
      <c r="D3346" s="77">
        <v>137.60451869217405</v>
      </c>
      <c r="E3346" s="77">
        <v>137.60451869217405</v>
      </c>
      <c r="F3346" s="77">
        <v>137.60451869217405</v>
      </c>
      <c r="G3346" s="77">
        <v>137.60451869217405</v>
      </c>
      <c r="H3346" s="77">
        <v>137.60451869217405</v>
      </c>
      <c r="I3346" s="77">
        <v>137.60451869217405</v>
      </c>
    </row>
    <row r="3347" spans="2:9">
      <c r="B3347" s="76">
        <v>2025.1080286072579</v>
      </c>
      <c r="C3347">
        <v>1105.9574429971249</v>
      </c>
      <c r="D3347" s="77">
        <v>184.32624049952082</v>
      </c>
      <c r="E3347" s="77">
        <v>184.32624049952082</v>
      </c>
      <c r="F3347" s="77">
        <v>184.32624049952082</v>
      </c>
      <c r="G3347" s="77">
        <v>184.32624049952082</v>
      </c>
      <c r="H3347" s="77">
        <v>184.32624049952082</v>
      </c>
      <c r="I3347" s="77">
        <v>184.32624049952082</v>
      </c>
    </row>
    <row r="3348" spans="2:9">
      <c r="B3348" s="76">
        <v>2024.8034714567784</v>
      </c>
      <c r="C3348">
        <v>1142.7662383755883</v>
      </c>
      <c r="D3348" s="77">
        <v>190.46103972926471</v>
      </c>
      <c r="E3348" s="77">
        <v>190.46103972926471</v>
      </c>
      <c r="F3348" s="77">
        <v>190.46103972926471</v>
      </c>
      <c r="G3348" s="77">
        <v>190.46103972926471</v>
      </c>
      <c r="H3348" s="77">
        <v>190.46103972926471</v>
      </c>
      <c r="I3348" s="77">
        <v>190.46103972926471</v>
      </c>
    </row>
    <row r="3349" spans="2:9">
      <c r="B3349" s="76">
        <v>2022.5785427709943</v>
      </c>
      <c r="C3349">
        <v>811.8502332928532</v>
      </c>
      <c r="D3349" s="77">
        <v>135.30837221547554</v>
      </c>
      <c r="E3349" s="77">
        <v>135.30837221547554</v>
      </c>
      <c r="F3349" s="77">
        <v>135.30837221547554</v>
      </c>
      <c r="G3349" s="77">
        <v>135.30837221547554</v>
      </c>
      <c r="H3349" s="77">
        <v>135.30837221547554</v>
      </c>
      <c r="I3349" s="77">
        <v>135.30837221547554</v>
      </c>
    </row>
    <row r="3350" spans="2:9">
      <c r="B3350" s="76">
        <v>2023.1595322032044</v>
      </c>
      <c r="C3350">
        <v>909.179218262365</v>
      </c>
      <c r="D3350" s="77">
        <v>151.52986971039417</v>
      </c>
      <c r="E3350" s="77">
        <v>151.52986971039417</v>
      </c>
      <c r="F3350" s="77">
        <v>151.52986971039417</v>
      </c>
      <c r="G3350" s="77">
        <v>151.52986971039417</v>
      </c>
      <c r="H3350" s="77">
        <v>151.52986971039417</v>
      </c>
      <c r="I3350" s="77">
        <v>151.52986971039417</v>
      </c>
    </row>
    <row r="3351" spans="2:9">
      <c r="B3351" s="76">
        <v>2024.2422789017937</v>
      </c>
      <c r="C3351">
        <v>1018.9196208698426</v>
      </c>
      <c r="D3351" s="77">
        <v>169.81993681164042</v>
      </c>
      <c r="E3351" s="77">
        <v>169.81993681164042</v>
      </c>
      <c r="F3351" s="77">
        <v>169.81993681164042</v>
      </c>
      <c r="G3351" s="77">
        <v>169.81993681164042</v>
      </c>
      <c r="H3351" s="77">
        <v>169.81993681164042</v>
      </c>
      <c r="I3351" s="77">
        <v>169.81993681164042</v>
      </c>
    </row>
    <row r="3352" spans="2:9">
      <c r="B3352" s="76">
        <v>2023.0656558023941</v>
      </c>
      <c r="C3352">
        <v>873.66142511151838</v>
      </c>
      <c r="D3352" s="77">
        <v>145.61023751858639</v>
      </c>
      <c r="E3352" s="77">
        <v>145.61023751858639</v>
      </c>
      <c r="F3352" s="77">
        <v>145.61023751858639</v>
      </c>
      <c r="G3352" s="77">
        <v>145.61023751858639</v>
      </c>
      <c r="H3352" s="77">
        <v>145.61023751858639</v>
      </c>
      <c r="I3352" s="77">
        <v>145.61023751858639</v>
      </c>
    </row>
    <row r="3353" spans="2:9">
      <c r="B3353" s="76">
        <v>2022.8901802180721</v>
      </c>
      <c r="C3353">
        <v>935.35208325071869</v>
      </c>
      <c r="D3353" s="77">
        <v>155.89201387511977</v>
      </c>
      <c r="E3353" s="77">
        <v>155.89201387511977</v>
      </c>
      <c r="F3353" s="77">
        <v>155.89201387511977</v>
      </c>
      <c r="G3353" s="77">
        <v>155.89201387511977</v>
      </c>
      <c r="H3353" s="77">
        <v>155.89201387511977</v>
      </c>
      <c r="I3353" s="77">
        <v>155.89201387511977</v>
      </c>
    </row>
    <row r="3354" spans="2:9">
      <c r="B3354" s="76">
        <v>2023.0764530386618</v>
      </c>
      <c r="C3354">
        <v>894.06364061657553</v>
      </c>
      <c r="D3354" s="77">
        <v>149.01060676942924</v>
      </c>
      <c r="E3354" s="77">
        <v>149.01060676942924</v>
      </c>
      <c r="F3354" s="77">
        <v>149.01060676942924</v>
      </c>
      <c r="G3354" s="77">
        <v>149.01060676942924</v>
      </c>
      <c r="H3354" s="77">
        <v>149.01060676942924</v>
      </c>
      <c r="I3354" s="77">
        <v>149.01060676942924</v>
      </c>
    </row>
    <row r="3355" spans="2:9">
      <c r="B3355" s="76">
        <v>2023.29213172501</v>
      </c>
      <c r="C3355">
        <v>927.39006763235534</v>
      </c>
      <c r="D3355" s="77">
        <v>154.56501127205922</v>
      </c>
      <c r="E3355" s="77">
        <v>154.56501127205922</v>
      </c>
      <c r="F3355" s="77">
        <v>154.56501127205922</v>
      </c>
      <c r="G3355" s="77">
        <v>154.56501127205922</v>
      </c>
      <c r="H3355" s="77">
        <v>154.56501127205922</v>
      </c>
      <c r="I3355" s="77">
        <v>154.56501127205922</v>
      </c>
    </row>
    <row r="3356" spans="2:9">
      <c r="B3356" s="76">
        <v>2025.3841767731656</v>
      </c>
      <c r="C3356">
        <v>1214.70239645521</v>
      </c>
      <c r="D3356" s="77">
        <v>202.45039940920165</v>
      </c>
      <c r="E3356" s="77">
        <v>202.45039940920165</v>
      </c>
      <c r="F3356" s="77">
        <v>202.45039940920165</v>
      </c>
      <c r="G3356" s="77">
        <v>202.45039940920165</v>
      </c>
      <c r="H3356" s="77">
        <v>202.45039940920165</v>
      </c>
      <c r="I3356" s="77">
        <v>202.45039940920165</v>
      </c>
    </row>
    <row r="3357" spans="2:9">
      <c r="B3357" s="76">
        <v>2022.6895902693514</v>
      </c>
      <c r="C3357">
        <v>839.00483447558543</v>
      </c>
      <c r="D3357" s="77">
        <v>139.83413907926425</v>
      </c>
      <c r="E3357" s="77">
        <v>139.83413907926425</v>
      </c>
      <c r="F3357" s="77">
        <v>139.83413907926425</v>
      </c>
      <c r="G3357" s="77">
        <v>139.83413907926425</v>
      </c>
      <c r="H3357" s="77">
        <v>139.83413907926425</v>
      </c>
      <c r="I3357" s="77">
        <v>139.83413907926425</v>
      </c>
    </row>
    <row r="3358" spans="2:9">
      <c r="B3358" s="76">
        <v>2025.5683473934635</v>
      </c>
      <c r="C3358">
        <v>1251.145088378295</v>
      </c>
      <c r="D3358" s="77">
        <v>208.52418139638249</v>
      </c>
      <c r="E3358" s="77">
        <v>208.52418139638249</v>
      </c>
      <c r="F3358" s="77">
        <v>208.52418139638249</v>
      </c>
      <c r="G3358" s="77">
        <v>208.52418139638249</v>
      </c>
      <c r="H3358" s="77">
        <v>208.52418139638249</v>
      </c>
      <c r="I3358" s="77">
        <v>208.52418139638249</v>
      </c>
    </row>
    <row r="3359" spans="2:9">
      <c r="B3359" s="76">
        <v>2023.2227034869975</v>
      </c>
      <c r="C3359">
        <v>858.74848924198386</v>
      </c>
      <c r="D3359" s="77">
        <v>143.12474820699731</v>
      </c>
      <c r="E3359" s="77">
        <v>143.12474820699731</v>
      </c>
      <c r="F3359" s="77">
        <v>143.12474820699731</v>
      </c>
      <c r="G3359" s="77">
        <v>143.12474820699731</v>
      </c>
      <c r="H3359" s="77">
        <v>143.12474820699731</v>
      </c>
      <c r="I3359" s="77">
        <v>143.12474820699731</v>
      </c>
    </row>
    <row r="3360" spans="2:9">
      <c r="B3360" s="76">
        <v>2025.2197727308137</v>
      </c>
      <c r="C3360">
        <v>1169.3528330272286</v>
      </c>
      <c r="D3360" s="77">
        <v>194.89213883787144</v>
      </c>
      <c r="E3360" s="77">
        <v>194.89213883787144</v>
      </c>
      <c r="F3360" s="77">
        <v>194.89213883787144</v>
      </c>
      <c r="G3360" s="77">
        <v>194.89213883787144</v>
      </c>
      <c r="H3360" s="77">
        <v>194.89213883787144</v>
      </c>
      <c r="I3360" s="77">
        <v>194.89213883787144</v>
      </c>
    </row>
    <row r="3361" spans="2:9">
      <c r="B3361" s="76">
        <v>2023.3646932994848</v>
      </c>
      <c r="C3361">
        <v>957.53423906035812</v>
      </c>
      <c r="D3361" s="77">
        <v>159.58903984339301</v>
      </c>
      <c r="E3361" s="77">
        <v>159.58903984339301</v>
      </c>
      <c r="F3361" s="77">
        <v>159.58903984339301</v>
      </c>
      <c r="G3361" s="77">
        <v>159.58903984339301</v>
      </c>
      <c r="H3361" s="77">
        <v>159.58903984339301</v>
      </c>
      <c r="I3361" s="77">
        <v>159.58903984339301</v>
      </c>
    </row>
    <row r="3362" spans="2:9">
      <c r="B3362" s="76">
        <v>2025.3626300714704</v>
      </c>
      <c r="C3362">
        <v>1185.1245995430329</v>
      </c>
      <c r="D3362" s="77">
        <v>197.52076659050547</v>
      </c>
      <c r="E3362" s="77">
        <v>197.52076659050547</v>
      </c>
      <c r="F3362" s="77">
        <v>197.52076659050547</v>
      </c>
      <c r="G3362" s="77">
        <v>197.52076659050547</v>
      </c>
      <c r="H3362" s="77">
        <v>197.52076659050547</v>
      </c>
      <c r="I3362" s="77">
        <v>197.52076659050547</v>
      </c>
    </row>
    <row r="3363" spans="2:9">
      <c r="B3363" s="76">
        <v>2023.677090334553</v>
      </c>
      <c r="C3363">
        <v>926.59330931857289</v>
      </c>
      <c r="D3363" s="77">
        <v>154.43221821976215</v>
      </c>
      <c r="E3363" s="77">
        <v>154.43221821976215</v>
      </c>
      <c r="F3363" s="77">
        <v>154.43221821976215</v>
      </c>
      <c r="G3363" s="77">
        <v>154.43221821976215</v>
      </c>
      <c r="H3363" s="77">
        <v>154.43221821976215</v>
      </c>
      <c r="I3363" s="77">
        <v>154.43221821976215</v>
      </c>
    </row>
    <row r="3364" spans="2:9">
      <c r="B3364" s="76">
        <v>2023.3230235106284</v>
      </c>
      <c r="C3364">
        <v>936.17276716749416</v>
      </c>
      <c r="D3364" s="77">
        <v>156.02879452791569</v>
      </c>
      <c r="E3364" s="77">
        <v>156.02879452791569</v>
      </c>
      <c r="F3364" s="77">
        <v>156.02879452791569</v>
      </c>
      <c r="G3364" s="77">
        <v>156.02879452791569</v>
      </c>
      <c r="H3364" s="77">
        <v>156.02879452791569</v>
      </c>
      <c r="I3364" s="77">
        <v>156.02879452791569</v>
      </c>
    </row>
    <row r="3365" spans="2:9">
      <c r="B3365" s="76">
        <v>2023.3247088054507</v>
      </c>
      <c r="C3365">
        <v>955.35507341269761</v>
      </c>
      <c r="D3365" s="77">
        <v>159.22584556878294</v>
      </c>
      <c r="E3365" s="77">
        <v>159.22584556878294</v>
      </c>
      <c r="F3365" s="77">
        <v>159.22584556878294</v>
      </c>
      <c r="G3365" s="77">
        <v>159.22584556878294</v>
      </c>
      <c r="H3365" s="77">
        <v>159.22584556878294</v>
      </c>
      <c r="I3365" s="77">
        <v>159.22584556878294</v>
      </c>
    </row>
    <row r="3366" spans="2:9">
      <c r="B3366" s="76">
        <v>2023.3683462307615</v>
      </c>
      <c r="C3366">
        <v>924.108270111975</v>
      </c>
      <c r="D3366" s="77">
        <v>154.01804501866249</v>
      </c>
      <c r="E3366" s="77">
        <v>154.01804501866249</v>
      </c>
      <c r="F3366" s="77">
        <v>154.01804501866249</v>
      </c>
      <c r="G3366" s="77">
        <v>154.01804501866249</v>
      </c>
      <c r="H3366" s="77">
        <v>154.01804501866249</v>
      </c>
      <c r="I3366" s="77">
        <v>154.01804501866249</v>
      </c>
    </row>
    <row r="3367" spans="2:9">
      <c r="B3367" s="76">
        <v>2023.8819526595682</v>
      </c>
      <c r="C3367">
        <v>980.39200413966967</v>
      </c>
      <c r="D3367" s="77">
        <v>163.39866735661161</v>
      </c>
      <c r="E3367" s="77">
        <v>163.39866735661161</v>
      </c>
      <c r="F3367" s="77">
        <v>163.39866735661161</v>
      </c>
      <c r="G3367" s="77">
        <v>163.39866735661161</v>
      </c>
      <c r="H3367" s="77">
        <v>163.39866735661161</v>
      </c>
      <c r="I3367" s="77">
        <v>163.39866735661161</v>
      </c>
    </row>
    <row r="3368" spans="2:9">
      <c r="B3368" s="76">
        <v>2024.756658280987</v>
      </c>
      <c r="C3368">
        <v>1122.2482390173695</v>
      </c>
      <c r="D3368" s="77">
        <v>187.04137316956158</v>
      </c>
      <c r="E3368" s="77">
        <v>187.04137316956158</v>
      </c>
      <c r="F3368" s="77">
        <v>187.04137316956158</v>
      </c>
      <c r="G3368" s="77">
        <v>187.04137316956158</v>
      </c>
      <c r="H3368" s="77">
        <v>187.04137316956158</v>
      </c>
      <c r="I3368" s="77">
        <v>187.04137316956158</v>
      </c>
    </row>
    <row r="3369" spans="2:9">
      <c r="B3369" s="76">
        <v>2023.4399557710576</v>
      </c>
      <c r="C3369">
        <v>952.20740481062273</v>
      </c>
      <c r="D3369" s="77">
        <v>158.70123413510379</v>
      </c>
      <c r="E3369" s="77">
        <v>158.70123413510379</v>
      </c>
      <c r="F3369" s="77">
        <v>158.70123413510379</v>
      </c>
      <c r="G3369" s="77">
        <v>158.70123413510379</v>
      </c>
      <c r="H3369" s="77">
        <v>158.70123413510379</v>
      </c>
      <c r="I3369" s="77">
        <v>158.70123413510379</v>
      </c>
    </row>
    <row r="3370" spans="2:9">
      <c r="B3370" s="76">
        <v>2023.1455922567488</v>
      </c>
      <c r="C3370">
        <v>877.46876090050557</v>
      </c>
      <c r="D3370" s="77">
        <v>146.2447934834176</v>
      </c>
      <c r="E3370" s="77">
        <v>146.2447934834176</v>
      </c>
      <c r="F3370" s="77">
        <v>146.2447934834176</v>
      </c>
      <c r="G3370" s="77">
        <v>146.2447934834176</v>
      </c>
      <c r="H3370" s="77">
        <v>146.2447934834176</v>
      </c>
      <c r="I3370" s="77">
        <v>146.2447934834176</v>
      </c>
    </row>
    <row r="3371" spans="2:9">
      <c r="B3371" s="76">
        <v>2023.4190516794999</v>
      </c>
      <c r="C3371">
        <v>903.38736928519393</v>
      </c>
      <c r="D3371" s="77">
        <v>150.56456154753232</v>
      </c>
      <c r="E3371" s="77">
        <v>150.56456154753232</v>
      </c>
      <c r="F3371" s="77">
        <v>150.56456154753232</v>
      </c>
      <c r="G3371" s="77">
        <v>150.56456154753232</v>
      </c>
      <c r="H3371" s="77">
        <v>150.56456154753232</v>
      </c>
      <c r="I3371" s="77">
        <v>150.56456154753232</v>
      </c>
    </row>
    <row r="3372" spans="2:9">
      <c r="B3372" s="76">
        <v>2023.5310883512193</v>
      </c>
      <c r="C3372">
        <v>1036.9479977995734</v>
      </c>
      <c r="D3372" s="77">
        <v>172.82466629992891</v>
      </c>
      <c r="E3372" s="77">
        <v>172.82466629992891</v>
      </c>
      <c r="F3372" s="77">
        <v>172.82466629992891</v>
      </c>
      <c r="G3372" s="77">
        <v>172.82466629992891</v>
      </c>
      <c r="H3372" s="77">
        <v>172.82466629992891</v>
      </c>
      <c r="I3372" s="77">
        <v>172.82466629992891</v>
      </c>
    </row>
    <row r="3373" spans="2:9">
      <c r="B3373" s="76">
        <v>2024.6347412291091</v>
      </c>
      <c r="C3373">
        <v>1092.4427223700889</v>
      </c>
      <c r="D3373" s="77">
        <v>182.07378706168149</v>
      </c>
      <c r="E3373" s="77">
        <v>182.07378706168149</v>
      </c>
      <c r="F3373" s="77">
        <v>182.07378706168149</v>
      </c>
      <c r="G3373" s="77">
        <v>182.07378706168149</v>
      </c>
      <c r="H3373" s="77">
        <v>182.07378706168149</v>
      </c>
      <c r="I3373" s="77">
        <v>182.07378706168149</v>
      </c>
    </row>
    <row r="3374" spans="2:9">
      <c r="B3374" s="76">
        <v>2023.5604320036985</v>
      </c>
      <c r="C3374">
        <v>934.97281769305471</v>
      </c>
      <c r="D3374" s="77">
        <v>155.82880294884245</v>
      </c>
      <c r="E3374" s="77">
        <v>155.82880294884245</v>
      </c>
      <c r="F3374" s="77">
        <v>155.82880294884245</v>
      </c>
      <c r="G3374" s="77">
        <v>155.82880294884245</v>
      </c>
      <c r="H3374" s="77">
        <v>155.82880294884245</v>
      </c>
      <c r="I3374" s="77">
        <v>155.82880294884245</v>
      </c>
    </row>
    <row r="3375" spans="2:9">
      <c r="B3375" s="76">
        <v>2023.1492583167949</v>
      </c>
      <c r="C3375">
        <v>893.06309883373058</v>
      </c>
      <c r="D3375" s="77">
        <v>148.84384980562177</v>
      </c>
      <c r="E3375" s="77">
        <v>148.84384980562177</v>
      </c>
      <c r="F3375" s="77">
        <v>148.84384980562177</v>
      </c>
      <c r="G3375" s="77">
        <v>148.84384980562177</v>
      </c>
      <c r="H3375" s="77">
        <v>148.84384980562177</v>
      </c>
      <c r="I3375" s="77">
        <v>148.84384980562177</v>
      </c>
    </row>
    <row r="3376" spans="2:9">
      <c r="B3376" s="76">
        <v>2023.2850223551686</v>
      </c>
      <c r="C3376">
        <v>1017.5403252650353</v>
      </c>
      <c r="D3376" s="77">
        <v>169.59005421083921</v>
      </c>
      <c r="E3376" s="77">
        <v>169.59005421083921</v>
      </c>
      <c r="F3376" s="77">
        <v>169.59005421083921</v>
      </c>
      <c r="G3376" s="77">
        <v>169.59005421083921</v>
      </c>
      <c r="H3376" s="77">
        <v>169.59005421083921</v>
      </c>
      <c r="I3376" s="77">
        <v>169.59005421083921</v>
      </c>
    </row>
    <row r="3377" spans="2:9">
      <c r="B3377" s="76">
        <v>2023.5126200320524</v>
      </c>
      <c r="C3377">
        <v>933.71587533672414</v>
      </c>
      <c r="D3377" s="77">
        <v>155.61931255612069</v>
      </c>
      <c r="E3377" s="77">
        <v>155.61931255612069</v>
      </c>
      <c r="F3377" s="77">
        <v>155.61931255612069</v>
      </c>
      <c r="G3377" s="77">
        <v>155.61931255612069</v>
      </c>
      <c r="H3377" s="77">
        <v>155.61931255612069</v>
      </c>
      <c r="I3377" s="77">
        <v>155.61931255612069</v>
      </c>
    </row>
    <row r="3378" spans="2:9">
      <c r="B3378" s="76">
        <v>2023.4780510031342</v>
      </c>
      <c r="C3378">
        <v>951.09494141828611</v>
      </c>
      <c r="D3378" s="77">
        <v>158.51582356971434</v>
      </c>
      <c r="E3378" s="77">
        <v>158.51582356971434</v>
      </c>
      <c r="F3378" s="77">
        <v>158.51582356971434</v>
      </c>
      <c r="G3378" s="77">
        <v>158.51582356971434</v>
      </c>
      <c r="H3378" s="77">
        <v>158.51582356971434</v>
      </c>
      <c r="I3378" s="77">
        <v>158.51582356971434</v>
      </c>
    </row>
    <row r="3379" spans="2:9">
      <c r="B3379" s="76">
        <v>2023.0120982608059</v>
      </c>
      <c r="C3379">
        <v>971.19841739986441</v>
      </c>
      <c r="D3379" s="77">
        <v>161.8664028999774</v>
      </c>
      <c r="E3379" s="77">
        <v>161.8664028999774</v>
      </c>
      <c r="F3379" s="77">
        <v>161.8664028999774</v>
      </c>
      <c r="G3379" s="77">
        <v>161.8664028999774</v>
      </c>
      <c r="H3379" s="77">
        <v>161.8664028999774</v>
      </c>
      <c r="I3379" s="77">
        <v>161.8664028999774</v>
      </c>
    </row>
    <row r="3380" spans="2:9">
      <c r="B3380" s="76">
        <v>2022.8895862172083</v>
      </c>
      <c r="C3380">
        <v>913.36304431798419</v>
      </c>
      <c r="D3380" s="77">
        <v>152.22717405299736</v>
      </c>
      <c r="E3380" s="77">
        <v>152.22717405299736</v>
      </c>
      <c r="F3380" s="77">
        <v>152.22717405299736</v>
      </c>
      <c r="G3380" s="77">
        <v>152.22717405299736</v>
      </c>
      <c r="H3380" s="77">
        <v>152.22717405299736</v>
      </c>
      <c r="I3380" s="77">
        <v>152.22717405299736</v>
      </c>
    </row>
    <row r="3381" spans="2:9">
      <c r="B3381" s="76">
        <v>2024.7889432668246</v>
      </c>
      <c r="C3381">
        <v>1076.8294117138535</v>
      </c>
      <c r="D3381" s="77">
        <v>179.47156861897557</v>
      </c>
      <c r="E3381" s="77">
        <v>179.47156861897557</v>
      </c>
      <c r="F3381" s="77">
        <v>179.47156861897557</v>
      </c>
      <c r="G3381" s="77">
        <v>179.47156861897557</v>
      </c>
      <c r="H3381" s="77">
        <v>179.47156861897557</v>
      </c>
      <c r="I3381" s="77">
        <v>179.47156861897557</v>
      </c>
    </row>
    <row r="3382" spans="2:9">
      <c r="B3382" s="76">
        <v>2022.8227907884079</v>
      </c>
      <c r="C3382">
        <v>848.5475389112305</v>
      </c>
      <c r="D3382" s="77">
        <v>141.42458981853841</v>
      </c>
      <c r="E3382" s="77">
        <v>141.42458981853841</v>
      </c>
      <c r="F3382" s="77">
        <v>141.42458981853841</v>
      </c>
      <c r="G3382" s="77">
        <v>141.42458981853841</v>
      </c>
      <c r="H3382" s="77">
        <v>141.42458981853841</v>
      </c>
      <c r="I3382" s="77">
        <v>141.42458981853841</v>
      </c>
    </row>
    <row r="3383" spans="2:9">
      <c r="B3383" s="76">
        <v>2023.0172035406565</v>
      </c>
      <c r="C3383">
        <v>882.75984433543272</v>
      </c>
      <c r="D3383" s="77">
        <v>147.12664072257212</v>
      </c>
      <c r="E3383" s="77">
        <v>147.12664072257212</v>
      </c>
      <c r="F3383" s="77">
        <v>147.12664072257212</v>
      </c>
      <c r="G3383" s="77">
        <v>147.12664072257212</v>
      </c>
      <c r="H3383" s="77">
        <v>147.12664072257212</v>
      </c>
      <c r="I3383" s="77">
        <v>147.12664072257212</v>
      </c>
    </row>
    <row r="3384" spans="2:9">
      <c r="B3384" s="76">
        <v>2024.3412965399727</v>
      </c>
      <c r="C3384">
        <v>1058.8759469702243</v>
      </c>
      <c r="D3384" s="77">
        <v>176.47932449503739</v>
      </c>
      <c r="E3384" s="77">
        <v>176.47932449503739</v>
      </c>
      <c r="F3384" s="77">
        <v>176.47932449503739</v>
      </c>
      <c r="G3384" s="77">
        <v>176.47932449503739</v>
      </c>
      <c r="H3384" s="77">
        <v>176.47932449503739</v>
      </c>
      <c r="I3384" s="77">
        <v>176.47932449503739</v>
      </c>
    </row>
    <row r="3385" spans="2:9">
      <c r="B3385" s="76">
        <v>2022.9491783700994</v>
      </c>
      <c r="C3385">
        <v>939.6516412354772</v>
      </c>
      <c r="D3385" s="77">
        <v>156.60860687257954</v>
      </c>
      <c r="E3385" s="77">
        <v>156.60860687257954</v>
      </c>
      <c r="F3385" s="77">
        <v>156.60860687257954</v>
      </c>
      <c r="G3385" s="77">
        <v>156.60860687257954</v>
      </c>
      <c r="H3385" s="77">
        <v>156.60860687257954</v>
      </c>
      <c r="I3385" s="77">
        <v>156.60860687257954</v>
      </c>
    </row>
    <row r="3386" spans="2:9">
      <c r="B3386" s="76">
        <v>2025.1095782313039</v>
      </c>
      <c r="C3386">
        <v>1195.623663167185</v>
      </c>
      <c r="D3386" s="77">
        <v>199.27061052786416</v>
      </c>
      <c r="E3386" s="77">
        <v>199.27061052786416</v>
      </c>
      <c r="F3386" s="77">
        <v>199.27061052786416</v>
      </c>
      <c r="G3386" s="77">
        <v>199.27061052786416</v>
      </c>
      <c r="H3386" s="77">
        <v>199.27061052786416</v>
      </c>
      <c r="I3386" s="77">
        <v>199.27061052786416</v>
      </c>
    </row>
    <row r="3387" spans="2:9">
      <c r="B3387" s="76">
        <v>2023.4959579959941</v>
      </c>
      <c r="C3387">
        <v>943.62401750946799</v>
      </c>
      <c r="D3387" s="77">
        <v>157.27066958491133</v>
      </c>
      <c r="E3387" s="77">
        <v>157.27066958491133</v>
      </c>
      <c r="F3387" s="77">
        <v>157.27066958491133</v>
      </c>
      <c r="G3387" s="77">
        <v>157.27066958491133</v>
      </c>
      <c r="H3387" s="77">
        <v>157.27066958491133</v>
      </c>
      <c r="I3387" s="77">
        <v>157.27066958491133</v>
      </c>
    </row>
    <row r="3388" spans="2:9">
      <c r="B3388" s="76">
        <v>2022.8017756643753</v>
      </c>
      <c r="C3388">
        <v>893.0055996224919</v>
      </c>
      <c r="D3388" s="77">
        <v>148.83426660374866</v>
      </c>
      <c r="E3388" s="77">
        <v>148.83426660374866</v>
      </c>
      <c r="F3388" s="77">
        <v>148.83426660374866</v>
      </c>
      <c r="G3388" s="77">
        <v>148.83426660374866</v>
      </c>
      <c r="H3388" s="77">
        <v>148.83426660374866</v>
      </c>
      <c r="I3388" s="77">
        <v>148.83426660374866</v>
      </c>
    </row>
    <row r="3389" spans="2:9">
      <c r="B3389" s="76">
        <v>2023.0203934263684</v>
      </c>
      <c r="C3389">
        <v>1001.7765926384355</v>
      </c>
      <c r="D3389" s="77">
        <v>166.96276543973926</v>
      </c>
      <c r="E3389" s="77">
        <v>166.96276543973926</v>
      </c>
      <c r="F3389" s="77">
        <v>166.96276543973926</v>
      </c>
      <c r="G3389" s="77">
        <v>166.96276543973926</v>
      </c>
      <c r="H3389" s="77">
        <v>166.96276543973926</v>
      </c>
      <c r="I3389" s="77">
        <v>166.96276543973926</v>
      </c>
    </row>
    <row r="3390" spans="2:9">
      <c r="B3390" s="76">
        <v>2023.0885033202019</v>
      </c>
      <c r="C3390">
        <v>883.36886222727003</v>
      </c>
      <c r="D3390" s="77">
        <v>147.228143704545</v>
      </c>
      <c r="E3390" s="77">
        <v>147.228143704545</v>
      </c>
      <c r="F3390" s="77">
        <v>147.228143704545</v>
      </c>
      <c r="G3390" s="77">
        <v>147.228143704545</v>
      </c>
      <c r="H3390" s="77">
        <v>147.228143704545</v>
      </c>
      <c r="I3390" s="77">
        <v>147.228143704545</v>
      </c>
    </row>
    <row r="3391" spans="2:9">
      <c r="B3391" s="76">
        <v>2022.7036088960758</v>
      </c>
      <c r="C3391">
        <v>881.90379705441342</v>
      </c>
      <c r="D3391" s="77">
        <v>146.98396617573556</v>
      </c>
      <c r="E3391" s="77">
        <v>146.98396617573556</v>
      </c>
      <c r="F3391" s="77">
        <v>146.98396617573556</v>
      </c>
      <c r="G3391" s="77">
        <v>146.98396617573556</v>
      </c>
      <c r="H3391" s="77">
        <v>146.98396617573556</v>
      </c>
      <c r="I3391" s="77">
        <v>146.98396617573556</v>
      </c>
    </row>
    <row r="3392" spans="2:9">
      <c r="B3392" s="76">
        <v>2023.2594037411918</v>
      </c>
      <c r="C3392">
        <v>864.84027212836475</v>
      </c>
      <c r="D3392" s="77">
        <v>144.14004535472745</v>
      </c>
      <c r="E3392" s="77">
        <v>144.14004535472745</v>
      </c>
      <c r="F3392" s="77">
        <v>144.14004535472745</v>
      </c>
      <c r="G3392" s="77">
        <v>144.14004535472745</v>
      </c>
      <c r="H3392" s="77">
        <v>144.14004535472745</v>
      </c>
      <c r="I3392" s="77">
        <v>144.14004535472745</v>
      </c>
    </row>
    <row r="3393" spans="2:9">
      <c r="B3393" s="76">
        <v>2024.8193253253021</v>
      </c>
      <c r="C3393">
        <v>1099.3318713346121</v>
      </c>
      <c r="D3393" s="77">
        <v>183.22197855576869</v>
      </c>
      <c r="E3393" s="77">
        <v>183.22197855576869</v>
      </c>
      <c r="F3393" s="77">
        <v>183.22197855576869</v>
      </c>
      <c r="G3393" s="77">
        <v>183.22197855576869</v>
      </c>
      <c r="H3393" s="77">
        <v>183.22197855576869</v>
      </c>
      <c r="I3393" s="77">
        <v>183.22197855576869</v>
      </c>
    </row>
    <row r="3394" spans="2:9">
      <c r="B3394" s="76">
        <v>2024.439050754831</v>
      </c>
      <c r="C3394">
        <v>1114.9882763508222</v>
      </c>
      <c r="D3394" s="77">
        <v>185.83137939180369</v>
      </c>
      <c r="E3394" s="77">
        <v>185.83137939180369</v>
      </c>
      <c r="F3394" s="77">
        <v>185.83137939180369</v>
      </c>
      <c r="G3394" s="77">
        <v>185.83137939180369</v>
      </c>
      <c r="H3394" s="77">
        <v>185.83137939180369</v>
      </c>
      <c r="I3394" s="77">
        <v>185.83137939180369</v>
      </c>
    </row>
    <row r="3395" spans="2:9">
      <c r="B3395" s="76">
        <v>2022.9627601483642</v>
      </c>
      <c r="C3395">
        <v>857.29387605558304</v>
      </c>
      <c r="D3395" s="77">
        <v>142.88231267593051</v>
      </c>
      <c r="E3395" s="77">
        <v>142.88231267593051</v>
      </c>
      <c r="F3395" s="77">
        <v>142.88231267593051</v>
      </c>
      <c r="G3395" s="77">
        <v>142.88231267593051</v>
      </c>
      <c r="H3395" s="77">
        <v>142.88231267593051</v>
      </c>
      <c r="I3395" s="77">
        <v>142.88231267593051</v>
      </c>
    </row>
    <row r="3396" spans="2:9">
      <c r="B3396" s="76">
        <v>2022.9122223700203</v>
      </c>
      <c r="C3396">
        <v>891.68296025899531</v>
      </c>
      <c r="D3396" s="77">
        <v>148.61382670983255</v>
      </c>
      <c r="E3396" s="77">
        <v>148.61382670983255</v>
      </c>
      <c r="F3396" s="77">
        <v>148.61382670983255</v>
      </c>
      <c r="G3396" s="77">
        <v>148.61382670983255</v>
      </c>
      <c r="H3396" s="77">
        <v>148.61382670983255</v>
      </c>
      <c r="I3396" s="77">
        <v>148.61382670983255</v>
      </c>
    </row>
    <row r="3397" spans="2:9">
      <c r="B3397" s="76">
        <v>2024.5877103881476</v>
      </c>
      <c r="C3397">
        <v>1097.736511027003</v>
      </c>
      <c r="D3397" s="77">
        <v>182.95608517116716</v>
      </c>
      <c r="E3397" s="77">
        <v>182.95608517116716</v>
      </c>
      <c r="F3397" s="77">
        <v>182.95608517116716</v>
      </c>
      <c r="G3397" s="77">
        <v>182.95608517116716</v>
      </c>
      <c r="H3397" s="77">
        <v>182.95608517116716</v>
      </c>
      <c r="I3397" s="77">
        <v>182.95608517116716</v>
      </c>
    </row>
    <row r="3398" spans="2:9">
      <c r="B3398" s="76">
        <v>2023.2455689725591</v>
      </c>
      <c r="C3398">
        <v>848.98157696726184</v>
      </c>
      <c r="D3398" s="77">
        <v>141.49692949454365</v>
      </c>
      <c r="E3398" s="77">
        <v>141.49692949454365</v>
      </c>
      <c r="F3398" s="77">
        <v>141.49692949454365</v>
      </c>
      <c r="G3398" s="77">
        <v>141.49692949454365</v>
      </c>
      <c r="H3398" s="77">
        <v>141.49692949454365</v>
      </c>
      <c r="I3398" s="77">
        <v>141.49692949454365</v>
      </c>
    </row>
    <row r="3399" spans="2:9">
      <c r="B3399" s="76">
        <v>2025.3094764568264</v>
      </c>
      <c r="C3399">
        <v>1124.8637750052046</v>
      </c>
      <c r="D3399" s="77">
        <v>187.47729583420076</v>
      </c>
      <c r="E3399" s="77">
        <v>187.47729583420076</v>
      </c>
      <c r="F3399" s="77">
        <v>187.47729583420076</v>
      </c>
      <c r="G3399" s="77">
        <v>187.47729583420076</v>
      </c>
      <c r="H3399" s="77">
        <v>187.47729583420076</v>
      </c>
      <c r="I3399" s="77">
        <v>187.47729583420076</v>
      </c>
    </row>
    <row r="3400" spans="2:9">
      <c r="B3400" s="76">
        <v>2024.6944435764121</v>
      </c>
      <c r="C3400">
        <v>1043.5033672379723</v>
      </c>
      <c r="D3400" s="77">
        <v>173.91722787299537</v>
      </c>
      <c r="E3400" s="77">
        <v>173.91722787299537</v>
      </c>
      <c r="F3400" s="77">
        <v>173.91722787299537</v>
      </c>
      <c r="G3400" s="77">
        <v>173.91722787299537</v>
      </c>
      <c r="H3400" s="77">
        <v>173.91722787299537</v>
      </c>
      <c r="I3400" s="77">
        <v>173.91722787299537</v>
      </c>
    </row>
    <row r="3401" spans="2:9">
      <c r="B3401" s="76">
        <v>2024.7146764400397</v>
      </c>
      <c r="C3401">
        <v>1136.0573460695675</v>
      </c>
      <c r="D3401" s="77">
        <v>189.34289101159459</v>
      </c>
      <c r="E3401" s="77">
        <v>189.34289101159459</v>
      </c>
      <c r="F3401" s="77">
        <v>189.34289101159459</v>
      </c>
      <c r="G3401" s="77">
        <v>189.34289101159459</v>
      </c>
      <c r="H3401" s="77">
        <v>189.34289101159459</v>
      </c>
      <c r="I3401" s="77">
        <v>189.34289101159459</v>
      </c>
    </row>
    <row r="3402" spans="2:9">
      <c r="B3402" s="76">
        <v>2023.4796634329703</v>
      </c>
      <c r="C3402">
        <v>920.94603751639738</v>
      </c>
      <c r="D3402" s="77">
        <v>153.49100625273289</v>
      </c>
      <c r="E3402" s="77">
        <v>153.49100625273289</v>
      </c>
      <c r="F3402" s="77">
        <v>153.49100625273289</v>
      </c>
      <c r="G3402" s="77">
        <v>153.49100625273289</v>
      </c>
      <c r="H3402" s="77">
        <v>153.49100625273289</v>
      </c>
      <c r="I3402" s="77">
        <v>153.49100625273289</v>
      </c>
    </row>
    <row r="3403" spans="2:9">
      <c r="B3403" s="76">
        <v>2023.2430687821607</v>
      </c>
      <c r="C3403">
        <v>934.38149431702811</v>
      </c>
      <c r="D3403" s="77">
        <v>155.73024905283802</v>
      </c>
      <c r="E3403" s="77">
        <v>155.73024905283802</v>
      </c>
      <c r="F3403" s="77">
        <v>155.73024905283802</v>
      </c>
      <c r="G3403" s="77">
        <v>155.73024905283802</v>
      </c>
      <c r="H3403" s="77">
        <v>155.73024905283802</v>
      </c>
      <c r="I3403" s="77">
        <v>155.73024905283802</v>
      </c>
    </row>
    <row r="3404" spans="2:9">
      <c r="B3404" s="76">
        <v>2022.882191976596</v>
      </c>
      <c r="C3404">
        <v>894.19370530855724</v>
      </c>
      <c r="D3404" s="77">
        <v>149.03228421809288</v>
      </c>
      <c r="E3404" s="77">
        <v>149.03228421809288</v>
      </c>
      <c r="F3404" s="77">
        <v>149.03228421809288</v>
      </c>
      <c r="G3404" s="77">
        <v>149.03228421809288</v>
      </c>
      <c r="H3404" s="77">
        <v>149.03228421809288</v>
      </c>
      <c r="I3404" s="77">
        <v>149.03228421809288</v>
      </c>
    </row>
    <row r="3405" spans="2:9">
      <c r="B3405" s="76">
        <v>2022.5954468020884</v>
      </c>
      <c r="C3405">
        <v>882.5509944425404</v>
      </c>
      <c r="D3405" s="77">
        <v>147.09183240709007</v>
      </c>
      <c r="E3405" s="77">
        <v>147.09183240709007</v>
      </c>
      <c r="F3405" s="77">
        <v>147.09183240709007</v>
      </c>
      <c r="G3405" s="77">
        <v>147.09183240709007</v>
      </c>
      <c r="H3405" s="77">
        <v>147.09183240709007</v>
      </c>
      <c r="I3405" s="77">
        <v>147.09183240709007</v>
      </c>
    </row>
    <row r="3406" spans="2:9">
      <c r="B3406" s="76">
        <v>2023.3530672960781</v>
      </c>
      <c r="C3406">
        <v>943.1707720817717</v>
      </c>
      <c r="D3406" s="77">
        <v>157.19512868029528</v>
      </c>
      <c r="E3406" s="77">
        <v>157.19512868029528</v>
      </c>
      <c r="F3406" s="77">
        <v>157.19512868029528</v>
      </c>
      <c r="G3406" s="77">
        <v>157.19512868029528</v>
      </c>
      <c r="H3406" s="77">
        <v>157.19512868029528</v>
      </c>
      <c r="I3406" s="77">
        <v>157.19512868029528</v>
      </c>
    </row>
    <row r="3407" spans="2:9">
      <c r="B3407" s="76">
        <v>2022.90145211768</v>
      </c>
      <c r="C3407">
        <v>883.81044114102656</v>
      </c>
      <c r="D3407" s="77">
        <v>147.3017401901711</v>
      </c>
      <c r="E3407" s="77">
        <v>147.3017401901711</v>
      </c>
      <c r="F3407" s="77">
        <v>147.3017401901711</v>
      </c>
      <c r="G3407" s="77">
        <v>147.3017401901711</v>
      </c>
      <c r="H3407" s="77">
        <v>147.3017401901711</v>
      </c>
      <c r="I3407" s="77">
        <v>147.3017401901711</v>
      </c>
    </row>
    <row r="3408" spans="2:9">
      <c r="B3408" s="76">
        <v>2025.2930204816853</v>
      </c>
      <c r="C3408">
        <v>1192.923729701718</v>
      </c>
      <c r="D3408" s="77">
        <v>198.82062161695299</v>
      </c>
      <c r="E3408" s="77">
        <v>198.82062161695299</v>
      </c>
      <c r="F3408" s="77">
        <v>198.82062161695299</v>
      </c>
      <c r="G3408" s="77">
        <v>198.82062161695299</v>
      </c>
      <c r="H3408" s="77">
        <v>198.82062161695299</v>
      </c>
      <c r="I3408" s="77">
        <v>198.82062161695299</v>
      </c>
    </row>
    <row r="3409" spans="2:9">
      <c r="B3409" s="76">
        <v>2023.0422031752075</v>
      </c>
      <c r="C3409">
        <v>923.4825978994071</v>
      </c>
      <c r="D3409" s="77">
        <v>153.91376631656786</v>
      </c>
      <c r="E3409" s="77">
        <v>153.91376631656786</v>
      </c>
      <c r="F3409" s="77">
        <v>153.91376631656786</v>
      </c>
      <c r="G3409" s="77">
        <v>153.91376631656786</v>
      </c>
      <c r="H3409" s="77">
        <v>153.91376631656786</v>
      </c>
      <c r="I3409" s="77">
        <v>153.91376631656786</v>
      </c>
    </row>
    <row r="3410" spans="2:9">
      <c r="B3410" s="76">
        <v>2023.514435677519</v>
      </c>
      <c r="C3410">
        <v>916.62093560277265</v>
      </c>
      <c r="D3410" s="77">
        <v>152.77015593379545</v>
      </c>
      <c r="E3410" s="77">
        <v>152.77015593379545</v>
      </c>
      <c r="F3410" s="77">
        <v>152.77015593379545</v>
      </c>
      <c r="G3410" s="77">
        <v>152.77015593379545</v>
      </c>
      <c r="H3410" s="77">
        <v>152.77015593379545</v>
      </c>
      <c r="I3410" s="77">
        <v>152.77015593379545</v>
      </c>
    </row>
    <row r="3411" spans="2:9">
      <c r="B3411" s="76">
        <v>2023.5332494352945</v>
      </c>
      <c r="C3411">
        <v>956.67401844508424</v>
      </c>
      <c r="D3411" s="77">
        <v>159.44566974084736</v>
      </c>
      <c r="E3411" s="77">
        <v>159.44566974084736</v>
      </c>
      <c r="F3411" s="77">
        <v>159.44566974084736</v>
      </c>
      <c r="G3411" s="77">
        <v>159.44566974084736</v>
      </c>
      <c r="H3411" s="77">
        <v>159.44566974084736</v>
      </c>
      <c r="I3411" s="77">
        <v>159.44566974084736</v>
      </c>
    </row>
    <row r="3412" spans="2:9">
      <c r="B3412" s="76">
        <v>2025.5706438402549</v>
      </c>
      <c r="C3412">
        <v>1203.7425144900847</v>
      </c>
      <c r="D3412" s="77">
        <v>200.62375241501411</v>
      </c>
      <c r="E3412" s="77">
        <v>200.62375241501411</v>
      </c>
      <c r="F3412" s="77">
        <v>200.62375241501411</v>
      </c>
      <c r="G3412" s="77">
        <v>200.62375241501411</v>
      </c>
      <c r="H3412" s="77">
        <v>200.62375241501411</v>
      </c>
      <c r="I3412" s="77">
        <v>200.62375241501411</v>
      </c>
    </row>
    <row r="3413" spans="2:9">
      <c r="B3413" s="76">
        <v>2022.8820330945646</v>
      </c>
      <c r="C3413">
        <v>907.00814411458384</v>
      </c>
      <c r="D3413" s="77">
        <v>151.16802401909732</v>
      </c>
      <c r="E3413" s="77">
        <v>151.16802401909732</v>
      </c>
      <c r="F3413" s="77">
        <v>151.16802401909732</v>
      </c>
      <c r="G3413" s="77">
        <v>151.16802401909732</v>
      </c>
      <c r="H3413" s="77">
        <v>151.16802401909732</v>
      </c>
      <c r="I3413" s="77">
        <v>151.16802401909732</v>
      </c>
    </row>
    <row r="3414" spans="2:9">
      <c r="B3414" s="76">
        <v>2024.5373664183323</v>
      </c>
      <c r="C3414">
        <v>988.4740375136563</v>
      </c>
      <c r="D3414" s="77">
        <v>164.74567291894272</v>
      </c>
      <c r="E3414" s="77">
        <v>164.74567291894272</v>
      </c>
      <c r="F3414" s="77">
        <v>164.74567291894272</v>
      </c>
      <c r="G3414" s="77">
        <v>164.74567291894272</v>
      </c>
      <c r="H3414" s="77">
        <v>164.74567291894272</v>
      </c>
      <c r="I3414" s="77">
        <v>164.74567291894272</v>
      </c>
    </row>
    <row r="3415" spans="2:9">
      <c r="B3415" s="76">
        <v>2025.1234296904879</v>
      </c>
      <c r="C3415">
        <v>1162.7681844675878</v>
      </c>
      <c r="D3415" s="77">
        <v>193.79469741126465</v>
      </c>
      <c r="E3415" s="77">
        <v>193.79469741126465</v>
      </c>
      <c r="F3415" s="77">
        <v>193.79469741126465</v>
      </c>
      <c r="G3415" s="77">
        <v>193.79469741126465</v>
      </c>
      <c r="H3415" s="77">
        <v>193.79469741126465</v>
      </c>
      <c r="I3415" s="77">
        <v>193.79469741126465</v>
      </c>
    </row>
    <row r="3416" spans="2:9">
      <c r="B3416" s="76">
        <v>2023.2333766209572</v>
      </c>
      <c r="C3416">
        <v>944.38238135070321</v>
      </c>
      <c r="D3416" s="77">
        <v>157.39706355845053</v>
      </c>
      <c r="E3416" s="77">
        <v>157.39706355845053</v>
      </c>
      <c r="F3416" s="77">
        <v>157.39706355845053</v>
      </c>
      <c r="G3416" s="77">
        <v>157.39706355845053</v>
      </c>
      <c r="H3416" s="77">
        <v>157.39706355845053</v>
      </c>
      <c r="I3416" s="77">
        <v>157.39706355845053</v>
      </c>
    </row>
    <row r="3417" spans="2:9">
      <c r="B3417" s="76">
        <v>2022.9045562725403</v>
      </c>
      <c r="C3417">
        <v>872.34661327309368</v>
      </c>
      <c r="D3417" s="77">
        <v>145.39110221218229</v>
      </c>
      <c r="E3417" s="77">
        <v>145.39110221218229</v>
      </c>
      <c r="F3417" s="77">
        <v>145.39110221218229</v>
      </c>
      <c r="G3417" s="77">
        <v>145.39110221218229</v>
      </c>
      <c r="H3417" s="77">
        <v>145.39110221218229</v>
      </c>
      <c r="I3417" s="77">
        <v>145.39110221218229</v>
      </c>
    </row>
    <row r="3418" spans="2:9">
      <c r="B3418" s="76">
        <v>2025.1147968711236</v>
      </c>
      <c r="C3418">
        <v>1224.9878191997173</v>
      </c>
      <c r="D3418" s="77">
        <v>204.1646365332862</v>
      </c>
      <c r="E3418" s="77">
        <v>204.1646365332862</v>
      </c>
      <c r="F3418" s="77">
        <v>204.1646365332862</v>
      </c>
      <c r="G3418" s="77">
        <v>204.1646365332862</v>
      </c>
      <c r="H3418" s="77">
        <v>204.1646365332862</v>
      </c>
      <c r="I3418" s="77">
        <v>204.1646365332862</v>
      </c>
    </row>
    <row r="3419" spans="2:9">
      <c r="B3419" s="76">
        <v>2024.6848748807863</v>
      </c>
      <c r="C3419">
        <v>1146.1786574006151</v>
      </c>
      <c r="D3419" s="77">
        <v>191.02977623343585</v>
      </c>
      <c r="E3419" s="77">
        <v>191.02977623343585</v>
      </c>
      <c r="F3419" s="77">
        <v>191.02977623343585</v>
      </c>
      <c r="G3419" s="77">
        <v>191.02977623343585</v>
      </c>
      <c r="H3419" s="77">
        <v>191.02977623343585</v>
      </c>
      <c r="I3419" s="77">
        <v>191.02977623343585</v>
      </c>
    </row>
    <row r="3420" spans="2:9">
      <c r="B3420" s="76">
        <v>2022.87110099913</v>
      </c>
      <c r="C3420">
        <v>834.91004962304305</v>
      </c>
      <c r="D3420" s="77">
        <v>139.15167493717385</v>
      </c>
      <c r="E3420" s="77">
        <v>139.15167493717385</v>
      </c>
      <c r="F3420" s="77">
        <v>139.15167493717385</v>
      </c>
      <c r="G3420" s="77">
        <v>139.15167493717385</v>
      </c>
      <c r="H3420" s="77">
        <v>139.15167493717385</v>
      </c>
      <c r="I3420" s="77">
        <v>139.15167493717385</v>
      </c>
    </row>
    <row r="3421" spans="2:9">
      <c r="B3421" s="76">
        <v>2023.1393001477502</v>
      </c>
      <c r="C3421">
        <v>933.77932065843606</v>
      </c>
      <c r="D3421" s="77">
        <v>155.62988677640601</v>
      </c>
      <c r="E3421" s="77">
        <v>155.62988677640601</v>
      </c>
      <c r="F3421" s="77">
        <v>155.62988677640601</v>
      </c>
      <c r="G3421" s="77">
        <v>155.62988677640601</v>
      </c>
      <c r="H3421" s="77">
        <v>155.62988677640601</v>
      </c>
      <c r="I3421" s="77">
        <v>155.62988677640601</v>
      </c>
    </row>
    <row r="3422" spans="2:9">
      <c r="B3422" s="76">
        <v>2023.5395547978633</v>
      </c>
      <c r="C3422">
        <v>896.37937800949203</v>
      </c>
      <c r="D3422" s="77">
        <v>149.396563001582</v>
      </c>
      <c r="E3422" s="77">
        <v>149.396563001582</v>
      </c>
      <c r="F3422" s="77">
        <v>149.396563001582</v>
      </c>
      <c r="G3422" s="77">
        <v>149.396563001582</v>
      </c>
      <c r="H3422" s="77">
        <v>149.396563001582</v>
      </c>
      <c r="I3422" s="77">
        <v>149.396563001582</v>
      </c>
    </row>
    <row r="3423" spans="2:9">
      <c r="B3423" s="76">
        <v>2023.1994903353836</v>
      </c>
      <c r="C3423">
        <v>905.64290895198496</v>
      </c>
      <c r="D3423" s="77">
        <v>150.94048482533083</v>
      </c>
      <c r="E3423" s="77">
        <v>150.94048482533083</v>
      </c>
      <c r="F3423" s="77">
        <v>150.94048482533083</v>
      </c>
      <c r="G3423" s="77">
        <v>150.94048482533083</v>
      </c>
      <c r="H3423" s="77">
        <v>150.94048482533083</v>
      </c>
      <c r="I3423" s="77">
        <v>150.94048482533083</v>
      </c>
    </row>
    <row r="3424" spans="2:9">
      <c r="B3424" s="76">
        <v>2025.2054346540531</v>
      </c>
      <c r="C3424">
        <v>1148.0651467633224</v>
      </c>
      <c r="D3424" s="77">
        <v>191.3441911272204</v>
      </c>
      <c r="E3424" s="77">
        <v>191.3441911272204</v>
      </c>
      <c r="F3424" s="77">
        <v>191.3441911272204</v>
      </c>
      <c r="G3424" s="77">
        <v>191.3441911272204</v>
      </c>
      <c r="H3424" s="77">
        <v>191.3441911272204</v>
      </c>
      <c r="I3424" s="77">
        <v>191.3441911272204</v>
      </c>
    </row>
    <row r="3425" spans="2:9">
      <c r="B3425" s="76">
        <v>2022.8460042068316</v>
      </c>
      <c r="C3425">
        <v>934.0764580335084</v>
      </c>
      <c r="D3425" s="77">
        <v>155.67940967225141</v>
      </c>
      <c r="E3425" s="77">
        <v>155.67940967225141</v>
      </c>
      <c r="F3425" s="77">
        <v>155.67940967225141</v>
      </c>
      <c r="G3425" s="77">
        <v>155.67940967225141</v>
      </c>
      <c r="H3425" s="77">
        <v>155.67940967225141</v>
      </c>
      <c r="I3425" s="77">
        <v>155.67940967225141</v>
      </c>
    </row>
    <row r="3426" spans="2:9">
      <c r="B3426" s="76">
        <v>2023.6924926668801</v>
      </c>
      <c r="C3426">
        <v>993.67237200222803</v>
      </c>
      <c r="D3426" s="77">
        <v>165.61206200037134</v>
      </c>
      <c r="E3426" s="77">
        <v>165.61206200037134</v>
      </c>
      <c r="F3426" s="77">
        <v>165.61206200037134</v>
      </c>
      <c r="G3426" s="77">
        <v>165.61206200037134</v>
      </c>
      <c r="H3426" s="77">
        <v>165.61206200037134</v>
      </c>
      <c r="I3426" s="77">
        <v>165.61206200037134</v>
      </c>
    </row>
    <row r="3427" spans="2:9">
      <c r="B3427" s="76">
        <v>2024.5751331501149</v>
      </c>
      <c r="C3427">
        <v>1019.6463528386147</v>
      </c>
      <c r="D3427" s="77">
        <v>169.94105880643579</v>
      </c>
      <c r="E3427" s="77">
        <v>169.94105880643579</v>
      </c>
      <c r="F3427" s="77">
        <v>169.94105880643579</v>
      </c>
      <c r="G3427" s="77">
        <v>169.94105880643579</v>
      </c>
      <c r="H3427" s="77">
        <v>169.94105880643579</v>
      </c>
      <c r="I3427" s="77">
        <v>169.94105880643579</v>
      </c>
    </row>
    <row r="3428" spans="2:9">
      <c r="B3428" s="76">
        <v>2023.0972114109466</v>
      </c>
      <c r="C3428">
        <v>921.89714557604736</v>
      </c>
      <c r="D3428" s="77">
        <v>153.64952426267456</v>
      </c>
      <c r="E3428" s="77">
        <v>153.64952426267456</v>
      </c>
      <c r="F3428" s="77">
        <v>153.64952426267456</v>
      </c>
      <c r="G3428" s="77">
        <v>153.64952426267456</v>
      </c>
      <c r="H3428" s="77">
        <v>153.64952426267456</v>
      </c>
      <c r="I3428" s="77">
        <v>153.64952426267456</v>
      </c>
    </row>
    <row r="3429" spans="2:9">
      <c r="B3429" s="76">
        <v>2023.2953612156357</v>
      </c>
      <c r="C3429">
        <v>908.48503994246664</v>
      </c>
      <c r="D3429" s="77">
        <v>151.41417332374445</v>
      </c>
      <c r="E3429" s="77">
        <v>151.41417332374445</v>
      </c>
      <c r="F3429" s="77">
        <v>151.41417332374445</v>
      </c>
      <c r="G3429" s="77">
        <v>151.41417332374445</v>
      </c>
      <c r="H3429" s="77">
        <v>151.41417332374445</v>
      </c>
      <c r="I3429" s="77">
        <v>151.41417332374445</v>
      </c>
    </row>
    <row r="3430" spans="2:9">
      <c r="B3430" s="76">
        <v>2023.5230578328897</v>
      </c>
      <c r="C3430">
        <v>916.7276785782542</v>
      </c>
      <c r="D3430" s="77">
        <v>152.78794642970902</v>
      </c>
      <c r="E3430" s="77">
        <v>152.78794642970902</v>
      </c>
      <c r="F3430" s="77">
        <v>152.78794642970902</v>
      </c>
      <c r="G3430" s="77">
        <v>152.78794642970902</v>
      </c>
      <c r="H3430" s="77">
        <v>152.78794642970902</v>
      </c>
      <c r="I3430" s="77">
        <v>152.78794642970902</v>
      </c>
    </row>
    <row r="3431" spans="2:9">
      <c r="B3431" s="76">
        <v>2025.2388353715703</v>
      </c>
      <c r="C3431">
        <v>1184.8004792481825</v>
      </c>
      <c r="D3431" s="77">
        <v>197.46674654136373</v>
      </c>
      <c r="E3431" s="77">
        <v>197.46674654136373</v>
      </c>
      <c r="F3431" s="77">
        <v>197.46674654136373</v>
      </c>
      <c r="G3431" s="77">
        <v>197.46674654136373</v>
      </c>
      <c r="H3431" s="77">
        <v>197.46674654136373</v>
      </c>
      <c r="I3431" s="77">
        <v>197.46674654136373</v>
      </c>
    </row>
    <row r="3432" spans="2:9">
      <c r="B3432" s="76">
        <v>2023.2734032024744</v>
      </c>
      <c r="C3432">
        <v>861.61322468974925</v>
      </c>
      <c r="D3432" s="77">
        <v>143.6022041149582</v>
      </c>
      <c r="E3432" s="77">
        <v>143.6022041149582</v>
      </c>
      <c r="F3432" s="77">
        <v>143.6022041149582</v>
      </c>
      <c r="G3432" s="77">
        <v>143.6022041149582</v>
      </c>
      <c r="H3432" s="77">
        <v>143.6022041149582</v>
      </c>
      <c r="I3432" s="77">
        <v>143.6022041149582</v>
      </c>
    </row>
    <row r="3433" spans="2:9">
      <c r="B3433" s="76">
        <v>2023.3049053422073</v>
      </c>
      <c r="C3433">
        <v>896.40877767396353</v>
      </c>
      <c r="D3433" s="77">
        <v>149.4014629456606</v>
      </c>
      <c r="E3433" s="77">
        <v>149.4014629456606</v>
      </c>
      <c r="F3433" s="77">
        <v>149.4014629456606</v>
      </c>
      <c r="G3433" s="77">
        <v>149.4014629456606</v>
      </c>
      <c r="H3433" s="77">
        <v>149.4014629456606</v>
      </c>
      <c r="I3433" s="77">
        <v>149.4014629456606</v>
      </c>
    </row>
    <row r="3434" spans="2:9">
      <c r="B3434" s="76">
        <v>2025.1633765658071</v>
      </c>
      <c r="C3434">
        <v>1100.071949078284</v>
      </c>
      <c r="D3434" s="77">
        <v>183.34532484638066</v>
      </c>
      <c r="E3434" s="77">
        <v>183.34532484638066</v>
      </c>
      <c r="F3434" s="77">
        <v>183.34532484638066</v>
      </c>
      <c r="G3434" s="77">
        <v>183.34532484638066</v>
      </c>
      <c r="H3434" s="77">
        <v>183.34532484638066</v>
      </c>
      <c r="I3434" s="77">
        <v>183.34532484638066</v>
      </c>
    </row>
    <row r="3435" spans="2:9">
      <c r="B3435" s="76">
        <v>2023.8253166756483</v>
      </c>
      <c r="C3435">
        <v>967.35265319231553</v>
      </c>
      <c r="D3435" s="77">
        <v>161.22544219871926</v>
      </c>
      <c r="E3435" s="77">
        <v>161.22544219871926</v>
      </c>
      <c r="F3435" s="77">
        <v>161.22544219871926</v>
      </c>
      <c r="G3435" s="77">
        <v>161.22544219871926</v>
      </c>
      <c r="H3435" s="77">
        <v>161.22544219871926</v>
      </c>
      <c r="I3435" s="77">
        <v>161.22544219871926</v>
      </c>
    </row>
    <row r="3436" spans="2:9">
      <c r="B3436" s="76">
        <v>2024.4043036148212</v>
      </c>
      <c r="C3436">
        <v>1051.1761261420029</v>
      </c>
      <c r="D3436" s="77">
        <v>175.19602102366716</v>
      </c>
      <c r="E3436" s="77">
        <v>175.19602102366716</v>
      </c>
      <c r="F3436" s="77">
        <v>175.19602102366716</v>
      </c>
      <c r="G3436" s="77">
        <v>175.19602102366716</v>
      </c>
      <c r="H3436" s="77">
        <v>175.19602102366716</v>
      </c>
      <c r="I3436" s="77">
        <v>175.19602102366716</v>
      </c>
    </row>
    <row r="3437" spans="2:9">
      <c r="B3437" s="76">
        <v>2023.3170282494598</v>
      </c>
      <c r="C3437">
        <v>950.45785305335062</v>
      </c>
      <c r="D3437" s="77">
        <v>158.40964217555845</v>
      </c>
      <c r="E3437" s="77">
        <v>158.40964217555845</v>
      </c>
      <c r="F3437" s="77">
        <v>158.40964217555845</v>
      </c>
      <c r="G3437" s="77">
        <v>158.40964217555845</v>
      </c>
      <c r="H3437" s="77">
        <v>158.40964217555845</v>
      </c>
      <c r="I3437" s="77">
        <v>158.40964217555845</v>
      </c>
    </row>
    <row r="3438" spans="2:9">
      <c r="B3438" s="76">
        <v>2024.9897485786748</v>
      </c>
      <c r="C3438">
        <v>1219.5724331087908</v>
      </c>
      <c r="D3438" s="77">
        <v>203.26207218479848</v>
      </c>
      <c r="E3438" s="77">
        <v>203.26207218479848</v>
      </c>
      <c r="F3438" s="77">
        <v>203.26207218479848</v>
      </c>
      <c r="G3438" s="77">
        <v>203.26207218479848</v>
      </c>
      <c r="H3438" s="77">
        <v>203.26207218479848</v>
      </c>
      <c r="I3438" s="77">
        <v>203.26207218479848</v>
      </c>
    </row>
    <row r="3439" spans="2:9">
      <c r="B3439" s="76">
        <v>2022.72110700198</v>
      </c>
      <c r="C3439">
        <v>857.05839707770542</v>
      </c>
      <c r="D3439" s="77">
        <v>142.84306617961758</v>
      </c>
      <c r="E3439" s="77">
        <v>142.84306617961758</v>
      </c>
      <c r="F3439" s="77">
        <v>142.84306617961758</v>
      </c>
      <c r="G3439" s="77">
        <v>142.84306617961758</v>
      </c>
      <c r="H3439" s="77">
        <v>142.84306617961758</v>
      </c>
      <c r="I3439" s="77">
        <v>142.84306617961758</v>
      </c>
    </row>
    <row r="3440" spans="2:9">
      <c r="B3440" s="76">
        <v>2022.9252520550176</v>
      </c>
      <c r="C3440">
        <v>947.74043749631437</v>
      </c>
      <c r="D3440" s="77">
        <v>157.95673958271905</v>
      </c>
      <c r="E3440" s="77">
        <v>157.95673958271905</v>
      </c>
      <c r="F3440" s="77">
        <v>157.95673958271905</v>
      </c>
      <c r="G3440" s="77">
        <v>157.95673958271905</v>
      </c>
      <c r="H3440" s="77">
        <v>157.95673958271905</v>
      </c>
      <c r="I3440" s="77">
        <v>157.95673958271905</v>
      </c>
    </row>
    <row r="3441" spans="2:9">
      <c r="B3441" s="76">
        <v>2024.4886009214688</v>
      </c>
      <c r="C3441">
        <v>1115.6025133652606</v>
      </c>
      <c r="D3441" s="77">
        <v>185.93375222754344</v>
      </c>
      <c r="E3441" s="77">
        <v>185.93375222754344</v>
      </c>
      <c r="F3441" s="77">
        <v>185.93375222754344</v>
      </c>
      <c r="G3441" s="77">
        <v>185.93375222754344</v>
      </c>
      <c r="H3441" s="77">
        <v>185.93375222754344</v>
      </c>
      <c r="I3441" s="77">
        <v>185.93375222754344</v>
      </c>
    </row>
    <row r="3442" spans="2:9">
      <c r="B3442" s="76">
        <v>2023.3088918708438</v>
      </c>
      <c r="C3442">
        <v>943.91297970582514</v>
      </c>
      <c r="D3442" s="77">
        <v>157.31882995097087</v>
      </c>
      <c r="E3442" s="77">
        <v>157.31882995097087</v>
      </c>
      <c r="F3442" s="77">
        <v>157.31882995097087</v>
      </c>
      <c r="G3442" s="77">
        <v>157.31882995097087</v>
      </c>
      <c r="H3442" s="77">
        <v>157.31882995097087</v>
      </c>
      <c r="I3442" s="77">
        <v>157.31882995097087</v>
      </c>
    </row>
    <row r="3443" spans="2:9">
      <c r="B3443" s="76">
        <v>2024.8711189425746</v>
      </c>
      <c r="C3443">
        <v>1071.8441360981094</v>
      </c>
      <c r="D3443" s="77">
        <v>178.64068934968489</v>
      </c>
      <c r="E3443" s="77">
        <v>178.64068934968489</v>
      </c>
      <c r="F3443" s="77">
        <v>178.64068934968489</v>
      </c>
      <c r="G3443" s="77">
        <v>178.64068934968489</v>
      </c>
      <c r="H3443" s="77">
        <v>178.64068934968489</v>
      </c>
      <c r="I3443" s="77">
        <v>178.64068934968489</v>
      </c>
    </row>
    <row r="3444" spans="2:9">
      <c r="B3444" s="76">
        <v>2023.4309114179155</v>
      </c>
      <c r="C3444">
        <v>931.18573087324296</v>
      </c>
      <c r="D3444" s="77">
        <v>155.19762181220716</v>
      </c>
      <c r="E3444" s="77">
        <v>155.19762181220716</v>
      </c>
      <c r="F3444" s="77">
        <v>155.19762181220716</v>
      </c>
      <c r="G3444" s="77">
        <v>155.19762181220716</v>
      </c>
      <c r="H3444" s="77">
        <v>155.19762181220716</v>
      </c>
      <c r="I3444" s="77">
        <v>155.19762181220716</v>
      </c>
    </row>
    <row r="3445" spans="2:9">
      <c r="B3445" s="76">
        <v>2023.29879302781</v>
      </c>
      <c r="C3445">
        <v>884.02643793327104</v>
      </c>
      <c r="D3445" s="77">
        <v>147.33773965554516</v>
      </c>
      <c r="E3445" s="77">
        <v>147.33773965554516</v>
      </c>
      <c r="F3445" s="77">
        <v>147.33773965554516</v>
      </c>
      <c r="G3445" s="77">
        <v>147.33773965554516</v>
      </c>
      <c r="H3445" s="77">
        <v>147.33773965554516</v>
      </c>
      <c r="I3445" s="77">
        <v>147.33773965554516</v>
      </c>
    </row>
    <row r="3446" spans="2:9">
      <c r="B3446" s="76">
        <v>2023.5512969398965</v>
      </c>
      <c r="C3446">
        <v>953.51080558755496</v>
      </c>
      <c r="D3446" s="77">
        <v>158.91846759792583</v>
      </c>
      <c r="E3446" s="77">
        <v>158.91846759792583</v>
      </c>
      <c r="F3446" s="77">
        <v>158.91846759792583</v>
      </c>
      <c r="G3446" s="77">
        <v>158.91846759792583</v>
      </c>
      <c r="H3446" s="77">
        <v>158.91846759792583</v>
      </c>
      <c r="I3446" s="77">
        <v>158.91846759792583</v>
      </c>
    </row>
    <row r="3447" spans="2:9">
      <c r="B3447" s="76">
        <v>2023.1946791375353</v>
      </c>
      <c r="C3447">
        <v>892.20634430591667</v>
      </c>
      <c r="D3447" s="77">
        <v>148.70105738431945</v>
      </c>
      <c r="E3447" s="77">
        <v>148.70105738431945</v>
      </c>
      <c r="F3447" s="77">
        <v>148.70105738431945</v>
      </c>
      <c r="G3447" s="77">
        <v>148.70105738431945</v>
      </c>
      <c r="H3447" s="77">
        <v>148.70105738431945</v>
      </c>
      <c r="I3447" s="77">
        <v>148.70105738431945</v>
      </c>
    </row>
    <row r="3448" spans="2:9">
      <c r="B3448" s="76">
        <v>2023.1706771724546</v>
      </c>
      <c r="C3448">
        <v>870.37447198976292</v>
      </c>
      <c r="D3448" s="77">
        <v>145.06241199829381</v>
      </c>
      <c r="E3448" s="77">
        <v>145.06241199829381</v>
      </c>
      <c r="F3448" s="77">
        <v>145.06241199829381</v>
      </c>
      <c r="G3448" s="77">
        <v>145.06241199829381</v>
      </c>
      <c r="H3448" s="77">
        <v>145.06241199829381</v>
      </c>
      <c r="I3448" s="77">
        <v>145.06241199829381</v>
      </c>
    </row>
    <row r="3449" spans="2:9">
      <c r="B3449" s="76">
        <v>2022.7259305804275</v>
      </c>
      <c r="C3449">
        <v>882.74266585242049</v>
      </c>
      <c r="D3449" s="77">
        <v>147.12377764207008</v>
      </c>
      <c r="E3449" s="77">
        <v>147.12377764207008</v>
      </c>
      <c r="F3449" s="77">
        <v>147.12377764207008</v>
      </c>
      <c r="G3449" s="77">
        <v>147.12377764207008</v>
      </c>
      <c r="H3449" s="77">
        <v>147.12377764207008</v>
      </c>
      <c r="I3449" s="77">
        <v>147.12377764207008</v>
      </c>
    </row>
    <row r="3450" spans="2:9">
      <c r="B3450" s="76">
        <v>2023.3997488377818</v>
      </c>
      <c r="C3450">
        <v>921.87871052451942</v>
      </c>
      <c r="D3450" s="77">
        <v>153.64645175408657</v>
      </c>
      <c r="E3450" s="77">
        <v>153.64645175408657</v>
      </c>
      <c r="F3450" s="77">
        <v>153.64645175408657</v>
      </c>
      <c r="G3450" s="77">
        <v>153.64645175408657</v>
      </c>
      <c r="H3450" s="77">
        <v>153.64645175408657</v>
      </c>
      <c r="I3450" s="77">
        <v>153.64645175408657</v>
      </c>
    </row>
    <row r="3451" spans="2:9">
      <c r="B3451" s="76">
        <v>2025.165388729147</v>
      </c>
      <c r="C3451">
        <v>1079.3641312118505</v>
      </c>
      <c r="D3451" s="77">
        <v>179.89402186864174</v>
      </c>
      <c r="E3451" s="77">
        <v>179.89402186864174</v>
      </c>
      <c r="F3451" s="77">
        <v>179.89402186864174</v>
      </c>
      <c r="G3451" s="77">
        <v>179.89402186864174</v>
      </c>
      <c r="H3451" s="77">
        <v>179.89402186864174</v>
      </c>
      <c r="I3451" s="77">
        <v>179.89402186864174</v>
      </c>
    </row>
    <row r="3452" spans="2:9">
      <c r="B3452" s="76">
        <v>2022.765859139686</v>
      </c>
      <c r="C3452">
        <v>859.22190198398005</v>
      </c>
      <c r="D3452" s="77">
        <v>143.20365033066335</v>
      </c>
      <c r="E3452" s="77">
        <v>143.20365033066335</v>
      </c>
      <c r="F3452" s="77">
        <v>143.20365033066335</v>
      </c>
      <c r="G3452" s="77">
        <v>143.20365033066335</v>
      </c>
      <c r="H3452" s="77">
        <v>143.20365033066335</v>
      </c>
      <c r="I3452" s="77">
        <v>143.20365033066335</v>
      </c>
    </row>
    <row r="3453" spans="2:9">
      <c r="B3453" s="76">
        <v>2025.1721246117297</v>
      </c>
      <c r="C3453">
        <v>1143.744665700819</v>
      </c>
      <c r="D3453" s="77">
        <v>190.6241109501365</v>
      </c>
      <c r="E3453" s="77">
        <v>190.6241109501365</v>
      </c>
      <c r="F3453" s="77">
        <v>190.6241109501365</v>
      </c>
      <c r="G3453" s="77">
        <v>190.6241109501365</v>
      </c>
      <c r="H3453" s="77">
        <v>190.6241109501365</v>
      </c>
      <c r="I3453" s="77">
        <v>190.6241109501365</v>
      </c>
    </row>
    <row r="3454" spans="2:9">
      <c r="B3454" s="76">
        <v>2023.4115923862526</v>
      </c>
      <c r="C3454">
        <v>997.6695256587027</v>
      </c>
      <c r="D3454" s="77">
        <v>166.27825427645044</v>
      </c>
      <c r="E3454" s="77">
        <v>166.27825427645044</v>
      </c>
      <c r="F3454" s="77">
        <v>166.27825427645044</v>
      </c>
      <c r="G3454" s="77">
        <v>166.27825427645044</v>
      </c>
      <c r="H3454" s="77">
        <v>166.27825427645044</v>
      </c>
      <c r="I3454" s="77">
        <v>166.27825427645044</v>
      </c>
    </row>
    <row r="3455" spans="2:9">
      <c r="B3455" s="76">
        <v>2023.5903501328239</v>
      </c>
      <c r="C3455">
        <v>962.22079077950491</v>
      </c>
      <c r="D3455" s="77">
        <v>160.37013179658416</v>
      </c>
      <c r="E3455" s="77">
        <v>160.37013179658416</v>
      </c>
      <c r="F3455" s="77">
        <v>160.37013179658416</v>
      </c>
      <c r="G3455" s="77">
        <v>160.37013179658416</v>
      </c>
      <c r="H3455" s="77">
        <v>160.37013179658416</v>
      </c>
      <c r="I3455" s="77">
        <v>160.37013179658416</v>
      </c>
    </row>
    <row r="3456" spans="2:9">
      <c r="B3456" s="76">
        <v>2025.4869401454296</v>
      </c>
      <c r="C3456">
        <v>1149.280204238964</v>
      </c>
      <c r="D3456" s="77">
        <v>191.54670070649399</v>
      </c>
      <c r="E3456" s="77">
        <v>191.54670070649399</v>
      </c>
      <c r="F3456" s="77">
        <v>191.54670070649399</v>
      </c>
      <c r="G3456" s="77">
        <v>191.54670070649399</v>
      </c>
      <c r="H3456" s="77">
        <v>191.54670070649399</v>
      </c>
      <c r="I3456" s="77">
        <v>191.54670070649399</v>
      </c>
    </row>
    <row r="3457" spans="2:9">
      <c r="B3457" s="76">
        <v>2022.8375558584708</v>
      </c>
      <c r="C3457">
        <v>863.2335256429086</v>
      </c>
      <c r="D3457" s="77">
        <v>143.8722542738181</v>
      </c>
      <c r="E3457" s="77">
        <v>143.8722542738181</v>
      </c>
      <c r="F3457" s="77">
        <v>143.8722542738181</v>
      </c>
      <c r="G3457" s="77">
        <v>143.8722542738181</v>
      </c>
      <c r="H3457" s="77">
        <v>143.8722542738181</v>
      </c>
      <c r="I3457" s="77">
        <v>143.8722542738181</v>
      </c>
    </row>
    <row r="3458" spans="2:9">
      <c r="B3458" s="76">
        <v>2023.2517890934139</v>
      </c>
      <c r="C3458">
        <v>960.1779890556611</v>
      </c>
      <c r="D3458" s="77">
        <v>160.02966484261017</v>
      </c>
      <c r="E3458" s="77">
        <v>160.02966484261017</v>
      </c>
      <c r="F3458" s="77">
        <v>160.02966484261017</v>
      </c>
      <c r="G3458" s="77">
        <v>160.02966484261017</v>
      </c>
      <c r="H3458" s="77">
        <v>160.02966484261017</v>
      </c>
      <c r="I3458" s="77">
        <v>160.02966484261017</v>
      </c>
    </row>
    <row r="3459" spans="2:9">
      <c r="B3459" s="76">
        <v>2025.2779923425016</v>
      </c>
      <c r="C3459">
        <v>1137.983862763861</v>
      </c>
      <c r="D3459" s="77">
        <v>189.66397712731018</v>
      </c>
      <c r="E3459" s="77">
        <v>189.66397712731018</v>
      </c>
      <c r="F3459" s="77">
        <v>189.66397712731018</v>
      </c>
      <c r="G3459" s="77">
        <v>189.66397712731018</v>
      </c>
      <c r="H3459" s="77">
        <v>189.66397712731018</v>
      </c>
      <c r="I3459" s="77">
        <v>189.66397712731018</v>
      </c>
    </row>
    <row r="3460" spans="2:9">
      <c r="B3460" s="76">
        <v>2023.4213276612049</v>
      </c>
      <c r="C3460">
        <v>948.612856493805</v>
      </c>
      <c r="D3460" s="77">
        <v>158.10214274896751</v>
      </c>
      <c r="E3460" s="77">
        <v>158.10214274896751</v>
      </c>
      <c r="F3460" s="77">
        <v>158.10214274896751</v>
      </c>
      <c r="G3460" s="77">
        <v>158.10214274896751</v>
      </c>
      <c r="H3460" s="77">
        <v>158.10214274896751</v>
      </c>
      <c r="I3460" s="77">
        <v>158.10214274896751</v>
      </c>
    </row>
    <row r="3461" spans="2:9">
      <c r="B3461" s="76">
        <v>2025.2823721241309</v>
      </c>
      <c r="C3461">
        <v>1190.6526924748146</v>
      </c>
      <c r="D3461" s="77">
        <v>198.44211541246909</v>
      </c>
      <c r="E3461" s="77">
        <v>198.44211541246909</v>
      </c>
      <c r="F3461" s="77">
        <v>198.44211541246909</v>
      </c>
      <c r="G3461" s="77">
        <v>198.44211541246909</v>
      </c>
      <c r="H3461" s="77">
        <v>198.44211541246909</v>
      </c>
      <c r="I3461" s="77">
        <v>198.44211541246909</v>
      </c>
    </row>
    <row r="3462" spans="2:9">
      <c r="B3462" s="76">
        <v>2023.6691895813374</v>
      </c>
      <c r="C3462">
        <v>931.63133831112225</v>
      </c>
      <c r="D3462" s="77">
        <v>155.27188971852038</v>
      </c>
      <c r="E3462" s="77">
        <v>155.27188971852038</v>
      </c>
      <c r="F3462" s="77">
        <v>155.27188971852038</v>
      </c>
      <c r="G3462" s="77">
        <v>155.27188971852038</v>
      </c>
      <c r="H3462" s="77">
        <v>155.27188971852038</v>
      </c>
      <c r="I3462" s="77">
        <v>155.27188971852038</v>
      </c>
    </row>
    <row r="3463" spans="2:9">
      <c r="B3463" s="76">
        <v>2023.5970175224581</v>
      </c>
      <c r="C3463">
        <v>911.56514923176053</v>
      </c>
      <c r="D3463" s="77">
        <v>151.92752487196009</v>
      </c>
      <c r="E3463" s="77">
        <v>151.92752487196009</v>
      </c>
      <c r="F3463" s="77">
        <v>151.92752487196009</v>
      </c>
      <c r="G3463" s="77">
        <v>151.92752487196009</v>
      </c>
      <c r="H3463" s="77">
        <v>151.92752487196009</v>
      </c>
      <c r="I3463" s="77">
        <v>151.92752487196009</v>
      </c>
    </row>
    <row r="3464" spans="2:9">
      <c r="B3464" s="76">
        <v>2022.9686290952693</v>
      </c>
      <c r="C3464">
        <v>946.72540610263286</v>
      </c>
      <c r="D3464" s="77">
        <v>157.78756768377215</v>
      </c>
      <c r="E3464" s="77">
        <v>157.78756768377215</v>
      </c>
      <c r="F3464" s="77">
        <v>157.78756768377215</v>
      </c>
      <c r="G3464" s="77">
        <v>157.78756768377215</v>
      </c>
      <c r="H3464" s="77">
        <v>157.78756768377215</v>
      </c>
      <c r="I3464" s="77">
        <v>157.78756768377215</v>
      </c>
    </row>
    <row r="3465" spans="2:9">
      <c r="B3465" s="76">
        <v>2023.1999132086983</v>
      </c>
      <c r="C3465">
        <v>899.90824958408859</v>
      </c>
      <c r="D3465" s="77">
        <v>149.98470826401476</v>
      </c>
      <c r="E3465" s="77">
        <v>149.98470826401476</v>
      </c>
      <c r="F3465" s="77">
        <v>149.98470826401476</v>
      </c>
      <c r="G3465" s="77">
        <v>149.98470826401476</v>
      </c>
      <c r="H3465" s="77">
        <v>149.98470826401476</v>
      </c>
      <c r="I3465" s="77">
        <v>149.98470826401476</v>
      </c>
    </row>
    <row r="3466" spans="2:9">
      <c r="B3466" s="76">
        <v>2022.9733889591903</v>
      </c>
      <c r="C3466">
        <v>847.45271579429527</v>
      </c>
      <c r="D3466" s="77">
        <v>141.24211929904922</v>
      </c>
      <c r="E3466" s="77">
        <v>141.24211929904922</v>
      </c>
      <c r="F3466" s="77">
        <v>141.24211929904922</v>
      </c>
      <c r="G3466" s="77">
        <v>141.24211929904922</v>
      </c>
      <c r="H3466" s="77">
        <v>141.24211929904922</v>
      </c>
      <c r="I3466" s="77">
        <v>141.24211929904922</v>
      </c>
    </row>
    <row r="3467" spans="2:9">
      <c r="B3467" s="76">
        <v>2022.8239272990813</v>
      </c>
      <c r="C3467">
        <v>891.28779035449475</v>
      </c>
      <c r="D3467" s="77">
        <v>148.54796505908246</v>
      </c>
      <c r="E3467" s="77">
        <v>148.54796505908246</v>
      </c>
      <c r="F3467" s="77">
        <v>148.54796505908246</v>
      </c>
      <c r="G3467" s="77">
        <v>148.54796505908246</v>
      </c>
      <c r="H3467" s="77">
        <v>148.54796505908246</v>
      </c>
      <c r="I3467" s="77">
        <v>148.54796505908246</v>
      </c>
    </row>
    <row r="3468" spans="2:9">
      <c r="B3468" s="76">
        <v>2023.6811810765407</v>
      </c>
      <c r="C3468">
        <v>1014.785810605876</v>
      </c>
      <c r="D3468" s="77">
        <v>169.13096843431268</v>
      </c>
      <c r="E3468" s="77">
        <v>169.13096843431268</v>
      </c>
      <c r="F3468" s="77">
        <v>169.13096843431268</v>
      </c>
      <c r="G3468" s="77">
        <v>169.13096843431268</v>
      </c>
      <c r="H3468" s="77">
        <v>169.13096843431268</v>
      </c>
      <c r="I3468" s="77">
        <v>169.13096843431268</v>
      </c>
    </row>
    <row r="3469" spans="2:9">
      <c r="B3469" s="76">
        <v>2023.1967004830822</v>
      </c>
      <c r="C3469">
        <v>863.14109094809726</v>
      </c>
      <c r="D3469" s="77">
        <v>143.85684849134955</v>
      </c>
      <c r="E3469" s="77">
        <v>143.85684849134955</v>
      </c>
      <c r="F3469" s="77">
        <v>143.85684849134955</v>
      </c>
      <c r="G3469" s="77">
        <v>143.85684849134955</v>
      </c>
      <c r="H3469" s="77">
        <v>143.85684849134955</v>
      </c>
      <c r="I3469" s="77">
        <v>143.85684849134955</v>
      </c>
    </row>
    <row r="3470" spans="2:9">
      <c r="B3470" s="76">
        <v>2022.837131972824</v>
      </c>
      <c r="C3470">
        <v>844.28285336032786</v>
      </c>
      <c r="D3470" s="77">
        <v>140.71380889338798</v>
      </c>
      <c r="E3470" s="77">
        <v>140.71380889338798</v>
      </c>
      <c r="F3470" s="77">
        <v>140.71380889338798</v>
      </c>
      <c r="G3470" s="77">
        <v>140.71380889338798</v>
      </c>
      <c r="H3470" s="77">
        <v>140.71380889338798</v>
      </c>
      <c r="I3470" s="77">
        <v>140.71380889338798</v>
      </c>
    </row>
    <row r="3471" spans="2:9">
      <c r="B3471" s="76">
        <v>2022.8810522061995</v>
      </c>
      <c r="C3471">
        <v>878.53884256223671</v>
      </c>
      <c r="D3471" s="77">
        <v>146.42314042703944</v>
      </c>
      <c r="E3471" s="77">
        <v>146.42314042703944</v>
      </c>
      <c r="F3471" s="77">
        <v>146.42314042703944</v>
      </c>
      <c r="G3471" s="77">
        <v>146.42314042703944</v>
      </c>
      <c r="H3471" s="77">
        <v>146.42314042703944</v>
      </c>
      <c r="I3471" s="77">
        <v>146.42314042703944</v>
      </c>
    </row>
    <row r="3472" spans="2:9">
      <c r="B3472" s="76">
        <v>2022.8100435391164</v>
      </c>
      <c r="C3472">
        <v>902.46787585700861</v>
      </c>
      <c r="D3472" s="77">
        <v>150.41131264283476</v>
      </c>
      <c r="E3472" s="77">
        <v>150.41131264283476</v>
      </c>
      <c r="F3472" s="77">
        <v>150.41131264283476</v>
      </c>
      <c r="G3472" s="77">
        <v>150.41131264283476</v>
      </c>
      <c r="H3472" s="77">
        <v>150.41131264283476</v>
      </c>
      <c r="I3472" s="77">
        <v>150.41131264283476</v>
      </c>
    </row>
    <row r="3473" spans="2:9">
      <c r="B3473" s="76">
        <v>2023.8071207868263</v>
      </c>
      <c r="C3473">
        <v>987.4520256657197</v>
      </c>
      <c r="D3473" s="77">
        <v>164.57533761095328</v>
      </c>
      <c r="E3473" s="77">
        <v>164.57533761095328</v>
      </c>
      <c r="F3473" s="77">
        <v>164.57533761095328</v>
      </c>
      <c r="G3473" s="77">
        <v>164.57533761095328</v>
      </c>
      <c r="H3473" s="77">
        <v>164.57533761095328</v>
      </c>
      <c r="I3473" s="77">
        <v>164.57533761095328</v>
      </c>
    </row>
    <row r="3474" spans="2:9">
      <c r="B3474" s="76">
        <v>2024.7111045691581</v>
      </c>
      <c r="C3474">
        <v>1088.3379696566101</v>
      </c>
      <c r="D3474" s="77">
        <v>181.38966160943502</v>
      </c>
      <c r="E3474" s="77">
        <v>181.38966160943502</v>
      </c>
      <c r="F3474" s="77">
        <v>181.38966160943502</v>
      </c>
      <c r="G3474" s="77">
        <v>181.38966160943502</v>
      </c>
      <c r="H3474" s="77">
        <v>181.38966160943502</v>
      </c>
      <c r="I3474" s="77">
        <v>181.38966160943502</v>
      </c>
    </row>
    <row r="3475" spans="2:9">
      <c r="B3475" s="76">
        <v>2025.3734693453639</v>
      </c>
      <c r="C3475">
        <v>1100.181441516532</v>
      </c>
      <c r="D3475" s="77">
        <v>183.36357358608868</v>
      </c>
      <c r="E3475" s="77">
        <v>183.36357358608868</v>
      </c>
      <c r="F3475" s="77">
        <v>183.36357358608868</v>
      </c>
      <c r="G3475" s="77">
        <v>183.36357358608868</v>
      </c>
      <c r="H3475" s="77">
        <v>183.36357358608868</v>
      </c>
      <c r="I3475" s="77">
        <v>183.36357358608868</v>
      </c>
    </row>
    <row r="3476" spans="2:9">
      <c r="B3476" s="76">
        <v>2023.3338285300351</v>
      </c>
      <c r="C3476">
        <v>858.24342118174377</v>
      </c>
      <c r="D3476" s="77">
        <v>143.0405701969573</v>
      </c>
      <c r="E3476" s="77">
        <v>143.0405701969573</v>
      </c>
      <c r="F3476" s="77">
        <v>143.0405701969573</v>
      </c>
      <c r="G3476" s="77">
        <v>143.0405701969573</v>
      </c>
      <c r="H3476" s="77">
        <v>143.0405701969573</v>
      </c>
      <c r="I3476" s="77">
        <v>143.0405701969573</v>
      </c>
    </row>
    <row r="3477" spans="2:9">
      <c r="B3477" s="76">
        <v>2023.6094844851032</v>
      </c>
      <c r="C3477">
        <v>971.33171162830911</v>
      </c>
      <c r="D3477" s="77">
        <v>161.88861860471818</v>
      </c>
      <c r="E3477" s="77">
        <v>161.88861860471818</v>
      </c>
      <c r="F3477" s="77">
        <v>161.88861860471818</v>
      </c>
      <c r="G3477" s="77">
        <v>161.88861860471818</v>
      </c>
      <c r="H3477" s="77">
        <v>161.88861860471818</v>
      </c>
      <c r="I3477" s="77">
        <v>161.88861860471818</v>
      </c>
    </row>
    <row r="3478" spans="2:9">
      <c r="B3478" s="76">
        <v>2023.9147939662059</v>
      </c>
      <c r="C3478">
        <v>1016.6069775638784</v>
      </c>
      <c r="D3478" s="77">
        <v>169.4344962606464</v>
      </c>
      <c r="E3478" s="77">
        <v>169.4344962606464</v>
      </c>
      <c r="F3478" s="77">
        <v>169.4344962606464</v>
      </c>
      <c r="G3478" s="77">
        <v>169.4344962606464</v>
      </c>
      <c r="H3478" s="77">
        <v>169.4344962606464</v>
      </c>
      <c r="I3478" s="77">
        <v>169.4344962606464</v>
      </c>
    </row>
    <row r="3479" spans="2:9">
      <c r="B3479" s="76">
        <v>2023.2394720764373</v>
      </c>
      <c r="C3479">
        <v>957.33627179581697</v>
      </c>
      <c r="D3479" s="77">
        <v>159.55604529930284</v>
      </c>
      <c r="E3479" s="77">
        <v>159.55604529930284</v>
      </c>
      <c r="F3479" s="77">
        <v>159.55604529930284</v>
      </c>
      <c r="G3479" s="77">
        <v>159.55604529930284</v>
      </c>
      <c r="H3479" s="77">
        <v>159.55604529930284</v>
      </c>
      <c r="I3479" s="77">
        <v>159.55604529930284</v>
      </c>
    </row>
    <row r="3480" spans="2:9">
      <c r="B3480" s="76">
        <v>2023.8650372555026</v>
      </c>
      <c r="C3480">
        <v>989.00625909291762</v>
      </c>
      <c r="D3480" s="77">
        <v>164.83437651548627</v>
      </c>
      <c r="E3480" s="77">
        <v>164.83437651548627</v>
      </c>
      <c r="F3480" s="77">
        <v>164.83437651548627</v>
      </c>
      <c r="G3480" s="77">
        <v>164.83437651548627</v>
      </c>
      <c r="H3480" s="77">
        <v>164.83437651548627</v>
      </c>
      <c r="I3480" s="77">
        <v>164.83437651548627</v>
      </c>
    </row>
    <row r="3481" spans="2:9">
      <c r="B3481" s="76">
        <v>2025.3770340841379</v>
      </c>
      <c r="C3481">
        <v>1203.5056382085604</v>
      </c>
      <c r="D3481" s="77">
        <v>200.58427303476006</v>
      </c>
      <c r="E3481" s="77">
        <v>200.58427303476006</v>
      </c>
      <c r="F3481" s="77">
        <v>200.58427303476006</v>
      </c>
      <c r="G3481" s="77">
        <v>200.58427303476006</v>
      </c>
      <c r="H3481" s="77">
        <v>200.58427303476006</v>
      </c>
      <c r="I3481" s="77">
        <v>200.58427303476006</v>
      </c>
    </row>
    <row r="3482" spans="2:9">
      <c r="B3482" s="76">
        <v>2023.0331382029779</v>
      </c>
      <c r="C3482">
        <v>904.15007693510483</v>
      </c>
      <c r="D3482" s="77">
        <v>150.69167948918414</v>
      </c>
      <c r="E3482" s="77">
        <v>150.69167948918414</v>
      </c>
      <c r="F3482" s="77">
        <v>150.69167948918414</v>
      </c>
      <c r="G3482" s="77">
        <v>150.69167948918414</v>
      </c>
      <c r="H3482" s="77">
        <v>150.69167948918414</v>
      </c>
      <c r="I3482" s="77">
        <v>150.69167948918414</v>
      </c>
    </row>
    <row r="3483" spans="2:9">
      <c r="B3483" s="76">
        <v>2023.3670763030589</v>
      </c>
      <c r="C3483">
        <v>869.33716470071579</v>
      </c>
      <c r="D3483" s="77">
        <v>144.88952745011929</v>
      </c>
      <c r="E3483" s="77">
        <v>144.88952745011929</v>
      </c>
      <c r="F3483" s="77">
        <v>144.88952745011929</v>
      </c>
      <c r="G3483" s="77">
        <v>144.88952745011929</v>
      </c>
      <c r="H3483" s="77">
        <v>144.88952745011929</v>
      </c>
      <c r="I3483" s="77">
        <v>144.88952745011929</v>
      </c>
    </row>
    <row r="3484" spans="2:9">
      <c r="B3484" s="76">
        <v>2024.6028837354622</v>
      </c>
      <c r="C3484">
        <v>1006.0935711341004</v>
      </c>
      <c r="D3484" s="77">
        <v>167.68226185568341</v>
      </c>
      <c r="E3484" s="77">
        <v>167.68226185568341</v>
      </c>
      <c r="F3484" s="77">
        <v>167.68226185568341</v>
      </c>
      <c r="G3484" s="77">
        <v>167.68226185568341</v>
      </c>
      <c r="H3484" s="77">
        <v>167.68226185568341</v>
      </c>
      <c r="I3484" s="77">
        <v>167.68226185568341</v>
      </c>
    </row>
    <row r="3485" spans="2:9">
      <c r="B3485" s="76">
        <v>2023.8300310824509</v>
      </c>
      <c r="C3485">
        <v>939.06496451708267</v>
      </c>
      <c r="D3485" s="77">
        <v>156.51082741951379</v>
      </c>
      <c r="E3485" s="77">
        <v>156.51082741951379</v>
      </c>
      <c r="F3485" s="77">
        <v>156.51082741951379</v>
      </c>
      <c r="G3485" s="77">
        <v>156.51082741951379</v>
      </c>
      <c r="H3485" s="77">
        <v>156.51082741951379</v>
      </c>
      <c r="I3485" s="77">
        <v>156.51082741951379</v>
      </c>
    </row>
    <row r="3486" spans="2:9">
      <c r="B3486" s="76">
        <v>2023.4727497730166</v>
      </c>
      <c r="C3486">
        <v>917.53610400651985</v>
      </c>
      <c r="D3486" s="77">
        <v>152.92268400108665</v>
      </c>
      <c r="E3486" s="77">
        <v>152.92268400108665</v>
      </c>
      <c r="F3486" s="77">
        <v>152.92268400108665</v>
      </c>
      <c r="G3486" s="77">
        <v>152.92268400108665</v>
      </c>
      <c r="H3486" s="77">
        <v>152.92268400108665</v>
      </c>
      <c r="I3486" s="77">
        <v>152.92268400108665</v>
      </c>
    </row>
    <row r="3487" spans="2:9">
      <c r="B3487" s="76">
        <v>2023.1684557984458</v>
      </c>
      <c r="C3487">
        <v>892.18542590227628</v>
      </c>
      <c r="D3487" s="77">
        <v>148.69757098371272</v>
      </c>
      <c r="E3487" s="77">
        <v>148.69757098371272</v>
      </c>
      <c r="F3487" s="77">
        <v>148.69757098371272</v>
      </c>
      <c r="G3487" s="77">
        <v>148.69757098371272</v>
      </c>
      <c r="H3487" s="77">
        <v>148.69757098371272</v>
      </c>
      <c r="I3487" s="77">
        <v>148.69757098371272</v>
      </c>
    </row>
    <row r="3488" spans="2:9">
      <c r="B3488" s="76">
        <v>2025.234401428874</v>
      </c>
      <c r="C3488">
        <v>1207.4479849929214</v>
      </c>
      <c r="D3488" s="77">
        <v>201.24133083215358</v>
      </c>
      <c r="E3488" s="77">
        <v>201.24133083215358</v>
      </c>
      <c r="F3488" s="77">
        <v>201.24133083215358</v>
      </c>
      <c r="G3488" s="77">
        <v>201.24133083215358</v>
      </c>
      <c r="H3488" s="77">
        <v>201.24133083215358</v>
      </c>
      <c r="I3488" s="77">
        <v>201.24133083215358</v>
      </c>
    </row>
    <row r="3489" spans="2:9">
      <c r="B3489" s="76">
        <v>2022.8576142223271</v>
      </c>
      <c r="C3489">
        <v>899.30218366718429</v>
      </c>
      <c r="D3489" s="77">
        <v>149.88369727786406</v>
      </c>
      <c r="E3489" s="77">
        <v>149.88369727786406</v>
      </c>
      <c r="F3489" s="77">
        <v>149.88369727786406</v>
      </c>
      <c r="G3489" s="77">
        <v>149.88369727786406</v>
      </c>
      <c r="H3489" s="77">
        <v>149.88369727786406</v>
      </c>
      <c r="I3489" s="77">
        <v>149.88369727786406</v>
      </c>
    </row>
    <row r="3490" spans="2:9">
      <c r="B3490" s="76">
        <v>2023.1290893552618</v>
      </c>
      <c r="C3490">
        <v>861.1943220107986</v>
      </c>
      <c r="D3490" s="77">
        <v>143.53238700179978</v>
      </c>
      <c r="E3490" s="77">
        <v>143.53238700179978</v>
      </c>
      <c r="F3490" s="77">
        <v>143.53238700179978</v>
      </c>
      <c r="G3490" s="77">
        <v>143.53238700179978</v>
      </c>
      <c r="H3490" s="77">
        <v>143.53238700179978</v>
      </c>
      <c r="I3490" s="77">
        <v>143.53238700179978</v>
      </c>
    </row>
    <row r="3491" spans="2:9">
      <c r="B3491" s="76">
        <v>2022.5518654443065</v>
      </c>
      <c r="C3491">
        <v>782.11603661835295</v>
      </c>
      <c r="D3491" s="77">
        <v>130.3526727697255</v>
      </c>
      <c r="E3491" s="77">
        <v>130.3526727697255</v>
      </c>
      <c r="F3491" s="77">
        <v>130.3526727697255</v>
      </c>
      <c r="G3491" s="77">
        <v>130.3526727697255</v>
      </c>
      <c r="H3491" s="77">
        <v>130.3526727697255</v>
      </c>
      <c r="I3491" s="77">
        <v>130.3526727697255</v>
      </c>
    </row>
    <row r="3492" spans="2:9">
      <c r="B3492" s="76">
        <v>2024.4985561107671</v>
      </c>
      <c r="C3492">
        <v>1059.3562273189054</v>
      </c>
      <c r="D3492" s="77">
        <v>176.55937121981756</v>
      </c>
      <c r="E3492" s="77">
        <v>176.55937121981756</v>
      </c>
      <c r="F3492" s="77">
        <v>176.55937121981756</v>
      </c>
      <c r="G3492" s="77">
        <v>176.55937121981756</v>
      </c>
      <c r="H3492" s="77">
        <v>176.55937121981756</v>
      </c>
      <c r="I3492" s="77">
        <v>176.55937121981756</v>
      </c>
    </row>
    <row r="3493" spans="2:9">
      <c r="B3493" s="76">
        <v>2023.0936823983532</v>
      </c>
      <c r="C3493">
        <v>1004.0473111111647</v>
      </c>
      <c r="D3493" s="77">
        <v>167.34121851852746</v>
      </c>
      <c r="E3493" s="77">
        <v>167.34121851852746</v>
      </c>
      <c r="F3493" s="77">
        <v>167.34121851852746</v>
      </c>
      <c r="G3493" s="77">
        <v>167.34121851852746</v>
      </c>
      <c r="H3493" s="77">
        <v>167.34121851852746</v>
      </c>
      <c r="I3493" s="77">
        <v>167.34121851852746</v>
      </c>
    </row>
    <row r="3494" spans="2:9">
      <c r="B3494" s="76">
        <v>2023.4248269644208</v>
      </c>
      <c r="C3494">
        <v>896.79090041552899</v>
      </c>
      <c r="D3494" s="77">
        <v>149.46515006925483</v>
      </c>
      <c r="E3494" s="77">
        <v>149.46515006925483</v>
      </c>
      <c r="F3494" s="77">
        <v>149.46515006925483</v>
      </c>
      <c r="G3494" s="77">
        <v>149.46515006925483</v>
      </c>
      <c r="H3494" s="77">
        <v>149.46515006925483</v>
      </c>
      <c r="I3494" s="77">
        <v>149.46515006925483</v>
      </c>
    </row>
    <row r="3495" spans="2:9">
      <c r="B3495" s="76">
        <v>2023.4369982571645</v>
      </c>
      <c r="C3495">
        <v>893.82435567741311</v>
      </c>
      <c r="D3495" s="77">
        <v>148.97072594623552</v>
      </c>
      <c r="E3495" s="77">
        <v>148.97072594623552</v>
      </c>
      <c r="F3495" s="77">
        <v>148.97072594623552</v>
      </c>
      <c r="G3495" s="77">
        <v>148.97072594623552</v>
      </c>
      <c r="H3495" s="77">
        <v>148.97072594623552</v>
      </c>
      <c r="I3495" s="77">
        <v>148.97072594623552</v>
      </c>
    </row>
    <row r="3496" spans="2:9">
      <c r="B3496" s="76">
        <v>2024.5991774471411</v>
      </c>
      <c r="C3496">
        <v>1089.8665334305174</v>
      </c>
      <c r="D3496" s="77">
        <v>181.64442223841957</v>
      </c>
      <c r="E3496" s="77">
        <v>181.64442223841957</v>
      </c>
      <c r="F3496" s="77">
        <v>181.64442223841957</v>
      </c>
      <c r="G3496" s="77">
        <v>181.64442223841957</v>
      </c>
      <c r="H3496" s="77">
        <v>181.64442223841957</v>
      </c>
      <c r="I3496" s="77">
        <v>181.64442223841957</v>
      </c>
    </row>
    <row r="3497" spans="2:9">
      <c r="B3497" s="76">
        <v>2022.9576198349719</v>
      </c>
      <c r="C3497">
        <v>882.98362889035457</v>
      </c>
      <c r="D3497" s="77">
        <v>147.16393814839242</v>
      </c>
      <c r="E3497" s="77">
        <v>147.16393814839242</v>
      </c>
      <c r="F3497" s="77">
        <v>147.16393814839242</v>
      </c>
      <c r="G3497" s="77">
        <v>147.16393814839242</v>
      </c>
      <c r="H3497" s="77">
        <v>147.16393814839242</v>
      </c>
      <c r="I3497" s="77">
        <v>147.16393814839242</v>
      </c>
    </row>
    <row r="3498" spans="2:9">
      <c r="B3498" s="76">
        <v>2025.3939664808252</v>
      </c>
      <c r="C3498">
        <v>1173.4250134962529</v>
      </c>
      <c r="D3498" s="77">
        <v>195.57083558270881</v>
      </c>
      <c r="E3498" s="77">
        <v>195.57083558270881</v>
      </c>
      <c r="F3498" s="77">
        <v>195.57083558270881</v>
      </c>
      <c r="G3498" s="77">
        <v>195.57083558270881</v>
      </c>
      <c r="H3498" s="77">
        <v>195.57083558270881</v>
      </c>
      <c r="I3498" s="77">
        <v>195.57083558270881</v>
      </c>
    </row>
    <row r="3499" spans="2:9">
      <c r="B3499" s="76">
        <v>2026.1171775937498</v>
      </c>
      <c r="C3499">
        <v>1211.9374277139034</v>
      </c>
      <c r="D3499" s="77">
        <v>201.98957128565056</v>
      </c>
      <c r="E3499" s="77">
        <v>201.98957128565056</v>
      </c>
      <c r="F3499" s="77">
        <v>201.98957128565056</v>
      </c>
      <c r="G3499" s="77">
        <v>201.98957128565056</v>
      </c>
      <c r="H3499" s="77">
        <v>201.98957128565056</v>
      </c>
      <c r="I3499" s="77">
        <v>201.98957128565056</v>
      </c>
    </row>
    <row r="3500" spans="2:9">
      <c r="B3500" s="76">
        <v>2023.3035406776637</v>
      </c>
      <c r="C3500">
        <v>966.16777142629792</v>
      </c>
      <c r="D3500" s="77">
        <v>161.02796190438298</v>
      </c>
      <c r="E3500" s="77">
        <v>161.02796190438298</v>
      </c>
      <c r="F3500" s="77">
        <v>161.02796190438298</v>
      </c>
      <c r="G3500" s="77">
        <v>161.02796190438298</v>
      </c>
      <c r="H3500" s="77">
        <v>161.02796190438298</v>
      </c>
      <c r="I3500" s="77">
        <v>161.02796190438298</v>
      </c>
    </row>
    <row r="3501" spans="2:9">
      <c r="B3501" s="76">
        <v>2023.4825755506706</v>
      </c>
      <c r="C3501">
        <v>1026.022635025621</v>
      </c>
      <c r="D3501" s="77">
        <v>171.00377250427016</v>
      </c>
      <c r="E3501" s="77">
        <v>171.00377250427016</v>
      </c>
      <c r="F3501" s="77">
        <v>171.00377250427016</v>
      </c>
      <c r="G3501" s="77">
        <v>171.00377250427016</v>
      </c>
      <c r="H3501" s="77">
        <v>171.00377250427016</v>
      </c>
      <c r="I3501" s="77">
        <v>171.00377250427016</v>
      </c>
    </row>
    <row r="3502" spans="2:9">
      <c r="B3502" s="76">
        <v>2022.9200433741421</v>
      </c>
      <c r="C3502">
        <v>927.9168964095004</v>
      </c>
      <c r="D3502" s="77">
        <v>154.65281606825008</v>
      </c>
      <c r="E3502" s="77">
        <v>154.65281606825008</v>
      </c>
      <c r="F3502" s="77">
        <v>154.65281606825008</v>
      </c>
      <c r="G3502" s="77">
        <v>154.65281606825008</v>
      </c>
      <c r="H3502" s="77">
        <v>154.65281606825008</v>
      </c>
      <c r="I3502" s="77">
        <v>154.65281606825008</v>
      </c>
    </row>
    <row r="3503" spans="2:9">
      <c r="B3503" s="76">
        <v>2023.0714070185049</v>
      </c>
      <c r="C3503">
        <v>929.57385250484322</v>
      </c>
      <c r="D3503" s="77">
        <v>154.92897541747388</v>
      </c>
      <c r="E3503" s="77">
        <v>154.92897541747388</v>
      </c>
      <c r="F3503" s="77">
        <v>154.92897541747388</v>
      </c>
      <c r="G3503" s="77">
        <v>154.92897541747388</v>
      </c>
      <c r="H3503" s="77">
        <v>154.92897541747388</v>
      </c>
      <c r="I3503" s="77">
        <v>154.92897541747388</v>
      </c>
    </row>
    <row r="3504" spans="2:9">
      <c r="B3504" s="76">
        <v>2024.4771056940158</v>
      </c>
      <c r="C3504">
        <v>1077.8007526513384</v>
      </c>
      <c r="D3504" s="77">
        <v>179.63345877522306</v>
      </c>
      <c r="E3504" s="77">
        <v>179.63345877522306</v>
      </c>
      <c r="F3504" s="77">
        <v>179.63345877522306</v>
      </c>
      <c r="G3504" s="77">
        <v>179.63345877522306</v>
      </c>
      <c r="H3504" s="77">
        <v>179.63345877522306</v>
      </c>
      <c r="I3504" s="77">
        <v>179.63345877522306</v>
      </c>
    </row>
    <row r="3505" spans="2:9">
      <c r="B3505" s="76">
        <v>2023.0067493385473</v>
      </c>
      <c r="C3505">
        <v>934.59387834542088</v>
      </c>
      <c r="D3505" s="77">
        <v>155.76564639090347</v>
      </c>
      <c r="E3505" s="77">
        <v>155.76564639090347</v>
      </c>
      <c r="F3505" s="77">
        <v>155.76564639090347</v>
      </c>
      <c r="G3505" s="77">
        <v>155.76564639090347</v>
      </c>
      <c r="H3505" s="77">
        <v>155.76564639090347</v>
      </c>
      <c r="I3505" s="77">
        <v>155.76564639090347</v>
      </c>
    </row>
    <row r="3506" spans="2:9">
      <c r="B3506" s="76">
        <v>2024.3097260856412</v>
      </c>
      <c r="C3506">
        <v>993.15333425443691</v>
      </c>
      <c r="D3506" s="77">
        <v>165.52555570907282</v>
      </c>
      <c r="E3506" s="77">
        <v>165.52555570907282</v>
      </c>
      <c r="F3506" s="77">
        <v>165.52555570907282</v>
      </c>
      <c r="G3506" s="77">
        <v>165.52555570907282</v>
      </c>
      <c r="H3506" s="77">
        <v>165.52555570907282</v>
      </c>
      <c r="I3506" s="77">
        <v>165.52555570907282</v>
      </c>
    </row>
    <row r="3507" spans="2:9">
      <c r="B3507" s="76">
        <v>2022.9788874730361</v>
      </c>
      <c r="C3507">
        <v>858.09558217693825</v>
      </c>
      <c r="D3507" s="77">
        <v>143.01593036282304</v>
      </c>
      <c r="E3507" s="77">
        <v>143.01593036282304</v>
      </c>
      <c r="F3507" s="77">
        <v>143.01593036282304</v>
      </c>
      <c r="G3507" s="77">
        <v>143.01593036282304</v>
      </c>
      <c r="H3507" s="77">
        <v>143.01593036282304</v>
      </c>
      <c r="I3507" s="77">
        <v>143.01593036282304</v>
      </c>
    </row>
    <row r="3508" spans="2:9">
      <c r="B3508" s="76">
        <v>2023.1898343131711</v>
      </c>
      <c r="C3508">
        <v>874.55850838039112</v>
      </c>
      <c r="D3508" s="77">
        <v>145.75975139673184</v>
      </c>
      <c r="E3508" s="77">
        <v>145.75975139673184</v>
      </c>
      <c r="F3508" s="77">
        <v>145.75975139673184</v>
      </c>
      <c r="G3508" s="77">
        <v>145.75975139673184</v>
      </c>
      <c r="H3508" s="77">
        <v>145.75975139673184</v>
      </c>
      <c r="I3508" s="77">
        <v>145.75975139673184</v>
      </c>
    </row>
    <row r="3509" spans="2:9">
      <c r="B3509" s="76">
        <v>2023.4563322671459</v>
      </c>
      <c r="C3509">
        <v>931.38980915441221</v>
      </c>
      <c r="D3509" s="77">
        <v>155.23163485906869</v>
      </c>
      <c r="E3509" s="77">
        <v>155.23163485906869</v>
      </c>
      <c r="F3509" s="77">
        <v>155.23163485906869</v>
      </c>
      <c r="G3509" s="77">
        <v>155.23163485906869</v>
      </c>
      <c r="H3509" s="77">
        <v>155.23163485906869</v>
      </c>
      <c r="I3509" s="77">
        <v>155.23163485906869</v>
      </c>
    </row>
    <row r="3510" spans="2:9">
      <c r="B3510" s="76">
        <v>2023.2576500401476</v>
      </c>
      <c r="C3510">
        <v>892.43654834086749</v>
      </c>
      <c r="D3510" s="77">
        <v>148.73942472347792</v>
      </c>
      <c r="E3510" s="77">
        <v>148.73942472347792</v>
      </c>
      <c r="F3510" s="77">
        <v>148.73942472347792</v>
      </c>
      <c r="G3510" s="77">
        <v>148.73942472347792</v>
      </c>
      <c r="H3510" s="77">
        <v>148.73942472347792</v>
      </c>
      <c r="I3510" s="77">
        <v>148.73942472347792</v>
      </c>
    </row>
    <row r="3511" spans="2:9">
      <c r="B3511" s="76">
        <v>2022.8388716737345</v>
      </c>
      <c r="C3511">
        <v>866.51011461252233</v>
      </c>
      <c r="D3511" s="77">
        <v>144.41835243542039</v>
      </c>
      <c r="E3511" s="77">
        <v>144.41835243542039</v>
      </c>
      <c r="F3511" s="77">
        <v>144.41835243542039</v>
      </c>
      <c r="G3511" s="77">
        <v>144.41835243542039</v>
      </c>
      <c r="H3511" s="77">
        <v>144.41835243542039</v>
      </c>
      <c r="I3511" s="77">
        <v>144.41835243542039</v>
      </c>
    </row>
    <row r="3512" spans="2:9">
      <c r="B3512" s="76">
        <v>2024.6626288351324</v>
      </c>
      <c r="C3512">
        <v>1100.0189663533174</v>
      </c>
      <c r="D3512" s="77">
        <v>183.33649439221958</v>
      </c>
      <c r="E3512" s="77">
        <v>183.33649439221958</v>
      </c>
      <c r="F3512" s="77">
        <v>183.33649439221958</v>
      </c>
      <c r="G3512" s="77">
        <v>183.33649439221958</v>
      </c>
      <c r="H3512" s="77">
        <v>183.33649439221958</v>
      </c>
      <c r="I3512" s="77">
        <v>183.33649439221958</v>
      </c>
    </row>
    <row r="3513" spans="2:9">
      <c r="B3513" s="76">
        <v>2023.1005544519646</v>
      </c>
      <c r="C3513">
        <v>1007.5107944417218</v>
      </c>
      <c r="D3513" s="77">
        <v>167.91846574028696</v>
      </c>
      <c r="E3513" s="77">
        <v>167.91846574028696</v>
      </c>
      <c r="F3513" s="77">
        <v>167.91846574028696</v>
      </c>
      <c r="G3513" s="77">
        <v>167.91846574028696</v>
      </c>
      <c r="H3513" s="77">
        <v>167.91846574028696</v>
      </c>
      <c r="I3513" s="77">
        <v>167.91846574028696</v>
      </c>
    </row>
    <row r="3514" spans="2:9">
      <c r="B3514" s="76">
        <v>2024.8202098758472</v>
      </c>
      <c r="C3514">
        <v>1113.054643005808</v>
      </c>
      <c r="D3514" s="77">
        <v>185.50910716763465</v>
      </c>
      <c r="E3514" s="77">
        <v>185.50910716763465</v>
      </c>
      <c r="F3514" s="77">
        <v>185.50910716763465</v>
      </c>
      <c r="G3514" s="77">
        <v>185.50910716763465</v>
      </c>
      <c r="H3514" s="77">
        <v>185.50910716763465</v>
      </c>
      <c r="I3514" s="77">
        <v>185.50910716763465</v>
      </c>
    </row>
    <row r="3515" spans="2:9">
      <c r="B3515" s="76">
        <v>2023.2528199570677</v>
      </c>
      <c r="C3515">
        <v>937.41522151974266</v>
      </c>
      <c r="D3515" s="77">
        <v>156.23587025329044</v>
      </c>
      <c r="E3515" s="77">
        <v>156.23587025329044</v>
      </c>
      <c r="F3515" s="77">
        <v>156.23587025329044</v>
      </c>
      <c r="G3515" s="77">
        <v>156.23587025329044</v>
      </c>
      <c r="H3515" s="77">
        <v>156.23587025329044</v>
      </c>
      <c r="I3515" s="77">
        <v>156.23587025329044</v>
      </c>
    </row>
    <row r="3516" spans="2:9">
      <c r="B3516" s="76">
        <v>2025.1377951999316</v>
      </c>
      <c r="C3516">
        <v>1189.2325375296234</v>
      </c>
      <c r="D3516" s="77">
        <v>198.20542292160391</v>
      </c>
      <c r="E3516" s="77">
        <v>198.20542292160391</v>
      </c>
      <c r="F3516" s="77">
        <v>198.20542292160391</v>
      </c>
      <c r="G3516" s="77">
        <v>198.20542292160391</v>
      </c>
      <c r="H3516" s="77">
        <v>198.20542292160391</v>
      </c>
      <c r="I3516" s="77">
        <v>198.20542292160391</v>
      </c>
    </row>
    <row r="3517" spans="2:9">
      <c r="B3517" s="76">
        <v>2023.4649721608305</v>
      </c>
      <c r="C3517">
        <v>973.03310429401211</v>
      </c>
      <c r="D3517" s="77">
        <v>162.17218404900203</v>
      </c>
      <c r="E3517" s="77">
        <v>162.17218404900203</v>
      </c>
      <c r="F3517" s="77">
        <v>162.17218404900203</v>
      </c>
      <c r="G3517" s="77">
        <v>162.17218404900203</v>
      </c>
      <c r="H3517" s="77">
        <v>162.17218404900203</v>
      </c>
      <c r="I3517" s="77">
        <v>162.17218404900203</v>
      </c>
    </row>
    <row r="3518" spans="2:9">
      <c r="B3518" s="76">
        <v>2022.9512612479457</v>
      </c>
      <c r="C3518">
        <v>886.10699326000884</v>
      </c>
      <c r="D3518" s="77">
        <v>147.68449887666813</v>
      </c>
      <c r="E3518" s="77">
        <v>147.68449887666813</v>
      </c>
      <c r="F3518" s="77">
        <v>147.68449887666813</v>
      </c>
      <c r="G3518" s="77">
        <v>147.68449887666813</v>
      </c>
      <c r="H3518" s="77">
        <v>147.68449887666813</v>
      </c>
      <c r="I3518" s="77">
        <v>147.68449887666813</v>
      </c>
    </row>
    <row r="3519" spans="2:9">
      <c r="B3519" s="76">
        <v>2024.3637475749485</v>
      </c>
      <c r="C3519">
        <v>1046.0950834343344</v>
      </c>
      <c r="D3519" s="77">
        <v>174.34918057238906</v>
      </c>
      <c r="E3519" s="77">
        <v>174.34918057238906</v>
      </c>
      <c r="F3519" s="77">
        <v>174.34918057238906</v>
      </c>
      <c r="G3519" s="77">
        <v>174.34918057238906</v>
      </c>
      <c r="H3519" s="77">
        <v>174.34918057238906</v>
      </c>
      <c r="I3519" s="77">
        <v>174.34918057238906</v>
      </c>
    </row>
    <row r="3520" spans="2:9">
      <c r="B3520" s="76">
        <v>2023.480723667217</v>
      </c>
      <c r="C3520">
        <v>915.2539773869338</v>
      </c>
      <c r="D3520" s="77">
        <v>152.54232956448897</v>
      </c>
      <c r="E3520" s="77">
        <v>152.54232956448897</v>
      </c>
      <c r="F3520" s="77">
        <v>152.54232956448897</v>
      </c>
      <c r="G3520" s="77">
        <v>152.54232956448897</v>
      </c>
      <c r="H3520" s="77">
        <v>152.54232956448897</v>
      </c>
      <c r="I3520" s="77">
        <v>152.54232956448897</v>
      </c>
    </row>
    <row r="3521" spans="2:9">
      <c r="B3521" s="76">
        <v>2025.1026502556874</v>
      </c>
      <c r="C3521">
        <v>1109.7534544940784</v>
      </c>
      <c r="D3521" s="77">
        <v>184.95890908234639</v>
      </c>
      <c r="E3521" s="77">
        <v>184.95890908234639</v>
      </c>
      <c r="F3521" s="77">
        <v>184.95890908234639</v>
      </c>
      <c r="G3521" s="77">
        <v>184.95890908234639</v>
      </c>
      <c r="H3521" s="77">
        <v>184.95890908234639</v>
      </c>
      <c r="I3521" s="77">
        <v>184.95890908234639</v>
      </c>
    </row>
    <row r="3522" spans="2:9">
      <c r="B3522" s="76">
        <v>2024.4809591725559</v>
      </c>
      <c r="C3522">
        <v>1064.4156208503478</v>
      </c>
      <c r="D3522" s="77">
        <v>177.40260347505796</v>
      </c>
      <c r="E3522" s="77">
        <v>177.40260347505796</v>
      </c>
      <c r="F3522" s="77">
        <v>177.40260347505796</v>
      </c>
      <c r="G3522" s="77">
        <v>177.40260347505796</v>
      </c>
      <c r="H3522" s="77">
        <v>177.40260347505796</v>
      </c>
      <c r="I3522" s="77">
        <v>177.40260347505796</v>
      </c>
    </row>
    <row r="3523" spans="2:9">
      <c r="B3523" s="76">
        <v>2023.1444671081558</v>
      </c>
      <c r="C3523">
        <v>904.10710943818492</v>
      </c>
      <c r="D3523" s="77">
        <v>150.6845182396975</v>
      </c>
      <c r="E3523" s="77">
        <v>150.6845182396975</v>
      </c>
      <c r="F3523" s="77">
        <v>150.6845182396975</v>
      </c>
      <c r="G3523" s="77">
        <v>150.6845182396975</v>
      </c>
      <c r="H3523" s="77">
        <v>150.6845182396975</v>
      </c>
      <c r="I3523" s="77">
        <v>150.6845182396975</v>
      </c>
    </row>
    <row r="3524" spans="2:9">
      <c r="B3524" s="76">
        <v>2023.1062605247037</v>
      </c>
      <c r="C3524">
        <v>940.68710601304463</v>
      </c>
      <c r="D3524" s="77">
        <v>156.78118433550745</v>
      </c>
      <c r="E3524" s="77">
        <v>156.78118433550745</v>
      </c>
      <c r="F3524" s="77">
        <v>156.78118433550745</v>
      </c>
      <c r="G3524" s="77">
        <v>156.78118433550745</v>
      </c>
      <c r="H3524" s="77">
        <v>156.78118433550745</v>
      </c>
      <c r="I3524" s="77">
        <v>156.78118433550745</v>
      </c>
    </row>
    <row r="3525" spans="2:9">
      <c r="B3525" s="76">
        <v>2023.2028205006279</v>
      </c>
      <c r="C3525">
        <v>986.23945468935426</v>
      </c>
      <c r="D3525" s="77">
        <v>164.37324244822571</v>
      </c>
      <c r="E3525" s="77">
        <v>164.37324244822571</v>
      </c>
      <c r="F3525" s="77">
        <v>164.37324244822571</v>
      </c>
      <c r="G3525" s="77">
        <v>164.37324244822571</v>
      </c>
      <c r="H3525" s="77">
        <v>164.37324244822571</v>
      </c>
      <c r="I3525" s="77">
        <v>164.37324244822571</v>
      </c>
    </row>
    <row r="3526" spans="2:9">
      <c r="B3526" s="76">
        <v>2025.4168816323217</v>
      </c>
      <c r="C3526">
        <v>1276.3222894643843</v>
      </c>
      <c r="D3526" s="77">
        <v>212.72038157739738</v>
      </c>
      <c r="E3526" s="77">
        <v>212.72038157739738</v>
      </c>
      <c r="F3526" s="77">
        <v>212.72038157739738</v>
      </c>
      <c r="G3526" s="77">
        <v>212.72038157739738</v>
      </c>
      <c r="H3526" s="77">
        <v>212.72038157739738</v>
      </c>
      <c r="I3526" s="77">
        <v>212.72038157739738</v>
      </c>
    </row>
    <row r="3527" spans="2:9">
      <c r="B3527" s="76">
        <v>2024.9230455604325</v>
      </c>
      <c r="C3527">
        <v>1121.7687253655149</v>
      </c>
      <c r="D3527" s="77">
        <v>186.96145422758582</v>
      </c>
      <c r="E3527" s="77">
        <v>186.96145422758582</v>
      </c>
      <c r="F3527" s="77">
        <v>186.96145422758582</v>
      </c>
      <c r="G3527" s="77">
        <v>186.96145422758582</v>
      </c>
      <c r="H3527" s="77">
        <v>186.96145422758582</v>
      </c>
      <c r="I3527" s="77">
        <v>186.96145422758582</v>
      </c>
    </row>
    <row r="3528" spans="2:9">
      <c r="B3528" s="76">
        <v>2023.5995022267045</v>
      </c>
      <c r="C3528">
        <v>945.20076901168522</v>
      </c>
      <c r="D3528" s="77">
        <v>157.53346150194753</v>
      </c>
      <c r="E3528" s="77">
        <v>157.53346150194753</v>
      </c>
      <c r="F3528" s="77">
        <v>157.53346150194753</v>
      </c>
      <c r="G3528" s="77">
        <v>157.53346150194753</v>
      </c>
      <c r="H3528" s="77">
        <v>157.53346150194753</v>
      </c>
      <c r="I3528" s="77">
        <v>157.53346150194753</v>
      </c>
    </row>
    <row r="3529" spans="2:9">
      <c r="B3529" s="76">
        <v>2022.8200046327074</v>
      </c>
      <c r="C3529">
        <v>880.31980811325548</v>
      </c>
      <c r="D3529" s="77">
        <v>146.7199680188759</v>
      </c>
      <c r="E3529" s="77">
        <v>146.7199680188759</v>
      </c>
      <c r="F3529" s="77">
        <v>146.7199680188759</v>
      </c>
      <c r="G3529" s="77">
        <v>146.7199680188759</v>
      </c>
      <c r="H3529" s="77">
        <v>146.7199680188759</v>
      </c>
      <c r="I3529" s="77">
        <v>146.7199680188759</v>
      </c>
    </row>
    <row r="3530" spans="2:9">
      <c r="B3530" s="76">
        <v>2023.7566262523796</v>
      </c>
      <c r="C3530">
        <v>942.10468738748466</v>
      </c>
      <c r="D3530" s="77">
        <v>157.01744789791411</v>
      </c>
      <c r="E3530" s="77">
        <v>157.01744789791411</v>
      </c>
      <c r="F3530" s="77">
        <v>157.01744789791411</v>
      </c>
      <c r="G3530" s="77">
        <v>157.01744789791411</v>
      </c>
      <c r="H3530" s="77">
        <v>157.01744789791411</v>
      </c>
      <c r="I3530" s="77">
        <v>157.01744789791411</v>
      </c>
    </row>
    <row r="3531" spans="2:9">
      <c r="B3531" s="76">
        <v>2023.0705246853383</v>
      </c>
      <c r="C3531">
        <v>903.51549183459156</v>
      </c>
      <c r="D3531" s="77">
        <v>150.58591530576527</v>
      </c>
      <c r="E3531" s="77">
        <v>150.58591530576527</v>
      </c>
      <c r="F3531" s="77">
        <v>150.58591530576527</v>
      </c>
      <c r="G3531" s="77">
        <v>150.58591530576527</v>
      </c>
      <c r="H3531" s="77">
        <v>150.58591530576527</v>
      </c>
      <c r="I3531" s="77">
        <v>150.58591530576527</v>
      </c>
    </row>
    <row r="3532" spans="2:9">
      <c r="B3532" s="76">
        <v>2023.197827354046</v>
      </c>
      <c r="C3532">
        <v>927.69266295046634</v>
      </c>
      <c r="D3532" s="77">
        <v>154.61544382507773</v>
      </c>
      <c r="E3532" s="77">
        <v>154.61544382507773</v>
      </c>
      <c r="F3532" s="77">
        <v>154.61544382507773</v>
      </c>
      <c r="G3532" s="77">
        <v>154.61544382507773</v>
      </c>
      <c r="H3532" s="77">
        <v>154.61544382507773</v>
      </c>
      <c r="I3532" s="77">
        <v>154.61544382507773</v>
      </c>
    </row>
    <row r="3533" spans="2:9">
      <c r="B3533" s="76">
        <v>2024.342700633008</v>
      </c>
      <c r="C3533">
        <v>1027.4101283049524</v>
      </c>
      <c r="D3533" s="77">
        <v>171.23502138415873</v>
      </c>
      <c r="E3533" s="77">
        <v>171.23502138415873</v>
      </c>
      <c r="F3533" s="77">
        <v>171.23502138415873</v>
      </c>
      <c r="G3533" s="77">
        <v>171.23502138415873</v>
      </c>
      <c r="H3533" s="77">
        <v>171.23502138415873</v>
      </c>
      <c r="I3533" s="77">
        <v>171.23502138415873</v>
      </c>
    </row>
    <row r="3534" spans="2:9">
      <c r="B3534" s="76">
        <v>2023.6329448973277</v>
      </c>
      <c r="C3534">
        <v>1016.5873426958937</v>
      </c>
      <c r="D3534" s="77">
        <v>169.43122378264894</v>
      </c>
      <c r="E3534" s="77">
        <v>169.43122378264894</v>
      </c>
      <c r="F3534" s="77">
        <v>169.43122378264894</v>
      </c>
      <c r="G3534" s="77">
        <v>169.43122378264894</v>
      </c>
      <c r="H3534" s="77">
        <v>169.43122378264894</v>
      </c>
      <c r="I3534" s="77">
        <v>169.43122378264894</v>
      </c>
    </row>
    <row r="3535" spans="2:9">
      <c r="B3535" s="76">
        <v>2024.62197224587</v>
      </c>
      <c r="C3535">
        <v>1130.9066838959288</v>
      </c>
      <c r="D3535" s="77">
        <v>188.48444731598815</v>
      </c>
      <c r="E3535" s="77">
        <v>188.48444731598815</v>
      </c>
      <c r="F3535" s="77">
        <v>188.48444731598815</v>
      </c>
      <c r="G3535" s="77">
        <v>188.48444731598815</v>
      </c>
      <c r="H3535" s="77">
        <v>188.48444731598815</v>
      </c>
      <c r="I3535" s="77">
        <v>188.48444731598815</v>
      </c>
    </row>
    <row r="3536" spans="2:9">
      <c r="B3536" s="76">
        <v>2025.3993745676862</v>
      </c>
      <c r="C3536">
        <v>1224.1466095787173</v>
      </c>
      <c r="D3536" s="77">
        <v>204.02443492978622</v>
      </c>
      <c r="E3536" s="77">
        <v>204.02443492978622</v>
      </c>
      <c r="F3536" s="77">
        <v>204.02443492978622</v>
      </c>
      <c r="G3536" s="77">
        <v>204.02443492978622</v>
      </c>
      <c r="H3536" s="77">
        <v>204.02443492978622</v>
      </c>
      <c r="I3536" s="77">
        <v>204.02443492978622</v>
      </c>
    </row>
    <row r="3537" spans="2:9">
      <c r="B3537" s="76">
        <v>2022.9422375978904</v>
      </c>
      <c r="C3537">
        <v>865.64894576503298</v>
      </c>
      <c r="D3537" s="77">
        <v>144.27482429417216</v>
      </c>
      <c r="E3537" s="77">
        <v>144.27482429417216</v>
      </c>
      <c r="F3537" s="77">
        <v>144.27482429417216</v>
      </c>
      <c r="G3537" s="77">
        <v>144.27482429417216</v>
      </c>
      <c r="H3537" s="77">
        <v>144.27482429417216</v>
      </c>
      <c r="I3537" s="77">
        <v>144.27482429417216</v>
      </c>
    </row>
    <row r="3538" spans="2:9">
      <c r="B3538" s="76">
        <v>2022.796874947913</v>
      </c>
      <c r="C3538">
        <v>809.4843213584162</v>
      </c>
      <c r="D3538" s="77">
        <v>134.91405355973603</v>
      </c>
      <c r="E3538" s="77">
        <v>134.91405355973603</v>
      </c>
      <c r="F3538" s="77">
        <v>134.91405355973603</v>
      </c>
      <c r="G3538" s="77">
        <v>134.91405355973603</v>
      </c>
      <c r="H3538" s="77">
        <v>134.91405355973603</v>
      </c>
      <c r="I3538" s="77">
        <v>134.91405355973603</v>
      </c>
    </row>
    <row r="3539" spans="2:9">
      <c r="B3539" s="76">
        <v>2024.6269122665769</v>
      </c>
      <c r="C3539">
        <v>1042.9293779867828</v>
      </c>
      <c r="D3539" s="77">
        <v>173.82156299779714</v>
      </c>
      <c r="E3539" s="77">
        <v>173.82156299779714</v>
      </c>
      <c r="F3539" s="77">
        <v>173.82156299779714</v>
      </c>
      <c r="G3539" s="77">
        <v>173.82156299779714</v>
      </c>
      <c r="H3539" s="77">
        <v>173.82156299779714</v>
      </c>
      <c r="I3539" s="77">
        <v>173.82156299779714</v>
      </c>
    </row>
    <row r="3540" spans="2:9">
      <c r="B3540" s="76">
        <v>2022.6814063545055</v>
      </c>
      <c r="C3540">
        <v>843.19224255505537</v>
      </c>
      <c r="D3540" s="77">
        <v>140.53204042584255</v>
      </c>
      <c r="E3540" s="77">
        <v>140.53204042584255</v>
      </c>
      <c r="F3540" s="77">
        <v>140.53204042584255</v>
      </c>
      <c r="G3540" s="77">
        <v>140.53204042584255</v>
      </c>
      <c r="H3540" s="77">
        <v>140.53204042584255</v>
      </c>
      <c r="I3540" s="77">
        <v>140.53204042584255</v>
      </c>
    </row>
    <row r="3541" spans="2:9">
      <c r="B3541" s="76">
        <v>2023.218410547782</v>
      </c>
      <c r="C3541">
        <v>931.03947587084429</v>
      </c>
      <c r="D3541" s="77">
        <v>155.17324597847406</v>
      </c>
      <c r="E3541" s="77">
        <v>155.17324597847406</v>
      </c>
      <c r="F3541" s="77">
        <v>155.17324597847406</v>
      </c>
      <c r="G3541" s="77">
        <v>155.17324597847406</v>
      </c>
      <c r="H3541" s="77">
        <v>155.17324597847406</v>
      </c>
      <c r="I3541" s="77">
        <v>155.17324597847406</v>
      </c>
    </row>
    <row r="3542" spans="2:9">
      <c r="B3542" s="76">
        <v>2022.7221707097772</v>
      </c>
      <c r="C3542">
        <v>839.34695841199482</v>
      </c>
      <c r="D3542" s="77">
        <v>139.89115973533248</v>
      </c>
      <c r="E3542" s="77">
        <v>139.89115973533248</v>
      </c>
      <c r="F3542" s="77">
        <v>139.89115973533248</v>
      </c>
      <c r="G3542" s="77">
        <v>139.89115973533248</v>
      </c>
      <c r="H3542" s="77">
        <v>139.89115973533248</v>
      </c>
      <c r="I3542" s="77">
        <v>139.89115973533248</v>
      </c>
    </row>
    <row r="3543" spans="2:9">
      <c r="B3543" s="76">
        <v>2022.8355591162826</v>
      </c>
      <c r="C3543">
        <v>840.53292421602566</v>
      </c>
      <c r="D3543" s="77">
        <v>140.08882070267094</v>
      </c>
      <c r="E3543" s="77">
        <v>140.08882070267094</v>
      </c>
      <c r="F3543" s="77">
        <v>140.08882070267094</v>
      </c>
      <c r="G3543" s="77">
        <v>140.08882070267094</v>
      </c>
      <c r="H3543" s="77">
        <v>140.08882070267094</v>
      </c>
      <c r="I3543" s="77">
        <v>140.08882070267094</v>
      </c>
    </row>
    <row r="3544" spans="2:9">
      <c r="B3544" s="76">
        <v>2024.5701859217079</v>
      </c>
      <c r="C3544">
        <v>992.93906497897331</v>
      </c>
      <c r="D3544" s="77">
        <v>165.48984416316222</v>
      </c>
      <c r="E3544" s="77">
        <v>165.48984416316222</v>
      </c>
      <c r="F3544" s="77">
        <v>165.48984416316222</v>
      </c>
      <c r="G3544" s="77">
        <v>165.48984416316222</v>
      </c>
      <c r="H3544" s="77">
        <v>165.48984416316222</v>
      </c>
      <c r="I3544" s="77">
        <v>165.48984416316222</v>
      </c>
    </row>
    <row r="3545" spans="2:9">
      <c r="B3545" s="76">
        <v>2022.7668657723957</v>
      </c>
      <c r="C3545">
        <v>831.68885526928102</v>
      </c>
      <c r="D3545" s="77">
        <v>138.61480921154683</v>
      </c>
      <c r="E3545" s="77">
        <v>138.61480921154683</v>
      </c>
      <c r="F3545" s="77">
        <v>138.61480921154683</v>
      </c>
      <c r="G3545" s="77">
        <v>138.61480921154683</v>
      </c>
      <c r="H3545" s="77">
        <v>138.61480921154683</v>
      </c>
      <c r="I3545" s="77">
        <v>138.61480921154683</v>
      </c>
    </row>
    <row r="3546" spans="2:9">
      <c r="B3546" s="76">
        <v>2025.0793223023527</v>
      </c>
      <c r="C3546">
        <v>1158.4688061891998</v>
      </c>
      <c r="D3546" s="77">
        <v>193.07813436486663</v>
      </c>
      <c r="E3546" s="77">
        <v>193.07813436486663</v>
      </c>
      <c r="F3546" s="77">
        <v>193.07813436486663</v>
      </c>
      <c r="G3546" s="77">
        <v>193.07813436486663</v>
      </c>
      <c r="H3546" s="77">
        <v>193.07813436486663</v>
      </c>
      <c r="I3546" s="77">
        <v>193.07813436486663</v>
      </c>
    </row>
    <row r="3547" spans="2:9">
      <c r="B3547" s="76">
        <v>2024.4068067258024</v>
      </c>
      <c r="C3547">
        <v>1019.9004180778932</v>
      </c>
      <c r="D3547" s="77">
        <v>169.98340301298219</v>
      </c>
      <c r="E3547" s="77">
        <v>169.98340301298219</v>
      </c>
      <c r="F3547" s="77">
        <v>169.98340301298219</v>
      </c>
      <c r="G3547" s="77">
        <v>169.98340301298219</v>
      </c>
      <c r="H3547" s="77">
        <v>169.98340301298219</v>
      </c>
      <c r="I3547" s="77">
        <v>169.98340301298219</v>
      </c>
    </row>
    <row r="3548" spans="2:9">
      <c r="B3548" s="76">
        <v>2023.3985094849836</v>
      </c>
      <c r="C3548">
        <v>889.96277903574617</v>
      </c>
      <c r="D3548" s="77">
        <v>148.32712983929102</v>
      </c>
      <c r="E3548" s="77">
        <v>148.32712983929102</v>
      </c>
      <c r="F3548" s="77">
        <v>148.32712983929102</v>
      </c>
      <c r="G3548" s="77">
        <v>148.32712983929102</v>
      </c>
      <c r="H3548" s="77">
        <v>148.32712983929102</v>
      </c>
      <c r="I3548" s="77">
        <v>148.32712983929102</v>
      </c>
    </row>
    <row r="3549" spans="2:9">
      <c r="B3549" s="76">
        <v>2023.0526028514309</v>
      </c>
      <c r="C3549">
        <v>903.05768698861311</v>
      </c>
      <c r="D3549" s="77">
        <v>150.5096144981022</v>
      </c>
      <c r="E3549" s="77">
        <v>150.5096144981022</v>
      </c>
      <c r="F3549" s="77">
        <v>150.5096144981022</v>
      </c>
      <c r="G3549" s="77">
        <v>150.5096144981022</v>
      </c>
      <c r="H3549" s="77">
        <v>150.5096144981022</v>
      </c>
      <c r="I3549" s="77">
        <v>150.5096144981022</v>
      </c>
    </row>
    <row r="3550" spans="2:9">
      <c r="B3550" s="76">
        <v>2023.3257591444083</v>
      </c>
      <c r="C3550">
        <v>949.09864926234172</v>
      </c>
      <c r="D3550" s="77">
        <v>158.18310821039029</v>
      </c>
      <c r="E3550" s="77">
        <v>158.18310821039029</v>
      </c>
      <c r="F3550" s="77">
        <v>158.18310821039029</v>
      </c>
      <c r="G3550" s="77">
        <v>158.18310821039029</v>
      </c>
      <c r="H3550" s="77">
        <v>158.18310821039029</v>
      </c>
      <c r="I3550" s="77">
        <v>158.18310821039029</v>
      </c>
    </row>
    <row r="3551" spans="2:9">
      <c r="B3551" s="76">
        <v>2023.0847590765829</v>
      </c>
      <c r="C3551">
        <v>934.33517595371416</v>
      </c>
      <c r="D3551" s="77">
        <v>155.72252932561904</v>
      </c>
      <c r="E3551" s="77">
        <v>155.72252932561904</v>
      </c>
      <c r="F3551" s="77">
        <v>155.72252932561904</v>
      </c>
      <c r="G3551" s="77">
        <v>155.72252932561904</v>
      </c>
      <c r="H3551" s="77">
        <v>155.72252932561904</v>
      </c>
      <c r="I3551" s="77">
        <v>155.72252932561904</v>
      </c>
    </row>
    <row r="3552" spans="2:9">
      <c r="B3552" s="76">
        <v>2024.9553418642906</v>
      </c>
      <c r="C3552">
        <v>1115.0061076545126</v>
      </c>
      <c r="D3552" s="77">
        <v>185.83435127575208</v>
      </c>
      <c r="E3552" s="77">
        <v>185.83435127575208</v>
      </c>
      <c r="F3552" s="77">
        <v>185.83435127575208</v>
      </c>
      <c r="G3552" s="77">
        <v>185.83435127575208</v>
      </c>
      <c r="H3552" s="77">
        <v>185.83435127575208</v>
      </c>
      <c r="I3552" s="77">
        <v>185.83435127575208</v>
      </c>
    </row>
    <row r="3553" spans="2:9">
      <c r="B3553" s="76">
        <v>2023.5698515497131</v>
      </c>
      <c r="C3553">
        <v>1026.4384212118266</v>
      </c>
      <c r="D3553" s="77">
        <v>171.07307020197109</v>
      </c>
      <c r="E3553" s="77">
        <v>171.07307020197109</v>
      </c>
      <c r="F3553" s="77">
        <v>171.07307020197109</v>
      </c>
      <c r="G3553" s="77">
        <v>171.07307020197109</v>
      </c>
      <c r="H3553" s="77">
        <v>171.07307020197109</v>
      </c>
      <c r="I3553" s="77">
        <v>171.07307020197109</v>
      </c>
    </row>
    <row r="3554" spans="2:9">
      <c r="B3554" s="76">
        <v>2023.1135865029644</v>
      </c>
      <c r="C3554">
        <v>864.34550005755659</v>
      </c>
      <c r="D3554" s="77">
        <v>144.05758334292611</v>
      </c>
      <c r="E3554" s="77">
        <v>144.05758334292611</v>
      </c>
      <c r="F3554" s="77">
        <v>144.05758334292611</v>
      </c>
      <c r="G3554" s="77">
        <v>144.05758334292611</v>
      </c>
      <c r="H3554" s="77">
        <v>144.05758334292611</v>
      </c>
      <c r="I3554" s="77">
        <v>144.05758334292611</v>
      </c>
    </row>
    <row r="3555" spans="2:9">
      <c r="B3555" s="76">
        <v>2022.9391829195247</v>
      </c>
      <c r="C3555">
        <v>823.64777450726092</v>
      </c>
      <c r="D3555" s="77">
        <v>137.27462908454348</v>
      </c>
      <c r="E3555" s="77">
        <v>137.27462908454348</v>
      </c>
      <c r="F3555" s="77">
        <v>137.27462908454348</v>
      </c>
      <c r="G3555" s="77">
        <v>137.27462908454348</v>
      </c>
      <c r="H3555" s="77">
        <v>137.27462908454348</v>
      </c>
      <c r="I3555" s="77">
        <v>137.27462908454348</v>
      </c>
    </row>
    <row r="3556" spans="2:9">
      <c r="B3556" s="76">
        <v>2025.941529801785</v>
      </c>
      <c r="C3556">
        <v>1232.2291823679516</v>
      </c>
      <c r="D3556" s="77">
        <v>205.37153039465861</v>
      </c>
      <c r="E3556" s="77">
        <v>205.37153039465861</v>
      </c>
      <c r="F3556" s="77">
        <v>205.37153039465861</v>
      </c>
      <c r="G3556" s="77">
        <v>205.37153039465861</v>
      </c>
      <c r="H3556" s="77">
        <v>205.37153039465861</v>
      </c>
      <c r="I3556" s="77">
        <v>205.37153039465861</v>
      </c>
    </row>
    <row r="3557" spans="2:9">
      <c r="B3557" s="76">
        <v>2023.4569752087086</v>
      </c>
      <c r="C3557">
        <v>934.7132360593954</v>
      </c>
      <c r="D3557" s="77">
        <v>155.78553934323256</v>
      </c>
      <c r="E3557" s="77">
        <v>155.78553934323256</v>
      </c>
      <c r="F3557" s="77">
        <v>155.78553934323256</v>
      </c>
      <c r="G3557" s="77">
        <v>155.78553934323256</v>
      </c>
      <c r="H3557" s="77">
        <v>155.78553934323256</v>
      </c>
      <c r="I3557" s="77">
        <v>155.78553934323256</v>
      </c>
    </row>
    <row r="3558" spans="2:9">
      <c r="B3558" s="76">
        <v>2023.0065728417412</v>
      </c>
      <c r="C3558">
        <v>906.23425198251459</v>
      </c>
      <c r="D3558" s="77">
        <v>151.03904199708577</v>
      </c>
      <c r="E3558" s="77">
        <v>151.03904199708577</v>
      </c>
      <c r="F3558" s="77">
        <v>151.03904199708577</v>
      </c>
      <c r="G3558" s="77">
        <v>151.03904199708577</v>
      </c>
      <c r="H3558" s="77">
        <v>151.03904199708577</v>
      </c>
      <c r="I3558" s="77">
        <v>151.03904199708577</v>
      </c>
    </row>
    <row r="3559" spans="2:9">
      <c r="B3559" s="76">
        <v>2023.2257077571162</v>
      </c>
      <c r="C3559">
        <v>900.60446046734751</v>
      </c>
      <c r="D3559" s="77">
        <v>150.10074341122458</v>
      </c>
      <c r="E3559" s="77">
        <v>150.10074341122458</v>
      </c>
      <c r="F3559" s="77">
        <v>150.10074341122458</v>
      </c>
      <c r="G3559" s="77">
        <v>150.10074341122458</v>
      </c>
      <c r="H3559" s="77">
        <v>150.10074341122458</v>
      </c>
      <c r="I3559" s="77">
        <v>150.10074341122458</v>
      </c>
    </row>
    <row r="3560" spans="2:9">
      <c r="B3560" s="76">
        <v>2022.8035345039093</v>
      </c>
      <c r="C3560">
        <v>845.38065450779129</v>
      </c>
      <c r="D3560" s="77">
        <v>140.89677575129855</v>
      </c>
      <c r="E3560" s="77">
        <v>140.89677575129855</v>
      </c>
      <c r="F3560" s="77">
        <v>140.89677575129855</v>
      </c>
      <c r="G3560" s="77">
        <v>140.89677575129855</v>
      </c>
      <c r="H3560" s="77">
        <v>140.89677575129855</v>
      </c>
      <c r="I3560" s="77">
        <v>140.89677575129855</v>
      </c>
    </row>
    <row r="3561" spans="2:9">
      <c r="B3561" s="76">
        <v>2024.9498869003146</v>
      </c>
      <c r="C3561">
        <v>1161.5672137349245</v>
      </c>
      <c r="D3561" s="77">
        <v>193.59453562248743</v>
      </c>
      <c r="E3561" s="77">
        <v>193.59453562248743</v>
      </c>
      <c r="F3561" s="77">
        <v>193.59453562248743</v>
      </c>
      <c r="G3561" s="77">
        <v>193.59453562248743</v>
      </c>
      <c r="H3561" s="77">
        <v>193.59453562248743</v>
      </c>
      <c r="I3561" s="77">
        <v>193.59453562248743</v>
      </c>
    </row>
    <row r="3562" spans="2:9">
      <c r="B3562" s="76">
        <v>2025.0424595729107</v>
      </c>
      <c r="C3562">
        <v>1217.9968141541458</v>
      </c>
      <c r="D3562" s="77">
        <v>202.99946902569096</v>
      </c>
      <c r="E3562" s="77">
        <v>202.99946902569096</v>
      </c>
      <c r="F3562" s="77">
        <v>202.99946902569096</v>
      </c>
      <c r="G3562" s="77">
        <v>202.99946902569096</v>
      </c>
      <c r="H3562" s="77">
        <v>202.99946902569096</v>
      </c>
      <c r="I3562" s="77">
        <v>202.99946902569096</v>
      </c>
    </row>
    <row r="3563" spans="2:9">
      <c r="B3563" s="76">
        <v>2024.7571950882566</v>
      </c>
      <c r="C3563">
        <v>1176.3403274034501</v>
      </c>
      <c r="D3563" s="77">
        <v>196.05672123390835</v>
      </c>
      <c r="E3563" s="77">
        <v>196.05672123390835</v>
      </c>
      <c r="F3563" s="77">
        <v>196.05672123390835</v>
      </c>
      <c r="G3563" s="77">
        <v>196.05672123390835</v>
      </c>
      <c r="H3563" s="77">
        <v>196.05672123390835</v>
      </c>
      <c r="I3563" s="77">
        <v>196.05672123390835</v>
      </c>
    </row>
    <row r="3564" spans="2:9">
      <c r="B3564" s="76">
        <v>2024.8161706730007</v>
      </c>
      <c r="C3564">
        <v>1170.5839068130551</v>
      </c>
      <c r="D3564" s="77">
        <v>195.09731780217587</v>
      </c>
      <c r="E3564" s="77">
        <v>195.09731780217587</v>
      </c>
      <c r="F3564" s="77">
        <v>195.09731780217587</v>
      </c>
      <c r="G3564" s="77">
        <v>195.09731780217587</v>
      </c>
      <c r="H3564" s="77">
        <v>195.09731780217587</v>
      </c>
      <c r="I3564" s="77">
        <v>195.09731780217587</v>
      </c>
    </row>
    <row r="3565" spans="2:9">
      <c r="B3565" s="76">
        <v>2022.9509277597463</v>
      </c>
      <c r="C3565">
        <v>832.91987656213155</v>
      </c>
      <c r="D3565" s="77">
        <v>138.81997942702193</v>
      </c>
      <c r="E3565" s="77">
        <v>138.81997942702193</v>
      </c>
      <c r="F3565" s="77">
        <v>138.81997942702193</v>
      </c>
      <c r="G3565" s="77">
        <v>138.81997942702193</v>
      </c>
      <c r="H3565" s="77">
        <v>138.81997942702193</v>
      </c>
      <c r="I3565" s="77">
        <v>138.81997942702193</v>
      </c>
    </row>
    <row r="3566" spans="2:9">
      <c r="B3566" s="76">
        <v>2023.3864289568855</v>
      </c>
      <c r="C3566">
        <v>904.61803147549711</v>
      </c>
      <c r="D3566" s="77">
        <v>150.76967191258285</v>
      </c>
      <c r="E3566" s="77">
        <v>150.76967191258285</v>
      </c>
      <c r="F3566" s="77">
        <v>150.76967191258285</v>
      </c>
      <c r="G3566" s="77">
        <v>150.76967191258285</v>
      </c>
      <c r="H3566" s="77">
        <v>150.76967191258285</v>
      </c>
      <c r="I3566" s="77">
        <v>150.76967191258285</v>
      </c>
    </row>
    <row r="3567" spans="2:9">
      <c r="B3567" s="76">
        <v>2023.0945687215674</v>
      </c>
      <c r="C3567">
        <v>932.54039051257257</v>
      </c>
      <c r="D3567" s="77">
        <v>155.4233984187621</v>
      </c>
      <c r="E3567" s="77">
        <v>155.4233984187621</v>
      </c>
      <c r="F3567" s="77">
        <v>155.4233984187621</v>
      </c>
      <c r="G3567" s="77">
        <v>155.4233984187621</v>
      </c>
      <c r="H3567" s="77">
        <v>155.4233984187621</v>
      </c>
      <c r="I3567" s="77">
        <v>155.4233984187621</v>
      </c>
    </row>
    <row r="3568" spans="2:9">
      <c r="B3568" s="76">
        <v>2023.2912487359879</v>
      </c>
      <c r="C3568">
        <v>938.31002800349449</v>
      </c>
      <c r="D3568" s="77">
        <v>156.38500466724909</v>
      </c>
      <c r="E3568" s="77">
        <v>156.38500466724909</v>
      </c>
      <c r="F3568" s="77">
        <v>156.38500466724909</v>
      </c>
      <c r="G3568" s="77">
        <v>156.38500466724909</v>
      </c>
      <c r="H3568" s="77">
        <v>156.38500466724909</v>
      </c>
      <c r="I3568" s="77">
        <v>156.38500466724909</v>
      </c>
    </row>
    <row r="3569" spans="2:9">
      <c r="B3569" s="76">
        <v>2024.2215236479317</v>
      </c>
      <c r="C3569">
        <v>1073.8844731535894</v>
      </c>
      <c r="D3569" s="77">
        <v>178.98074552559822</v>
      </c>
      <c r="E3569" s="77">
        <v>178.98074552559822</v>
      </c>
      <c r="F3569" s="77">
        <v>178.98074552559822</v>
      </c>
      <c r="G3569" s="77">
        <v>178.98074552559822</v>
      </c>
      <c r="H3569" s="77">
        <v>178.98074552559822</v>
      </c>
      <c r="I3569" s="77">
        <v>178.98074552559822</v>
      </c>
    </row>
    <row r="3570" spans="2:9">
      <c r="B3570" s="76">
        <v>2023.0390586912565</v>
      </c>
      <c r="C3570">
        <v>869.96493574901763</v>
      </c>
      <c r="D3570" s="77">
        <v>144.99415595816961</v>
      </c>
      <c r="E3570" s="77">
        <v>144.99415595816961</v>
      </c>
      <c r="F3570" s="77">
        <v>144.99415595816961</v>
      </c>
      <c r="G3570" s="77">
        <v>144.99415595816961</v>
      </c>
      <c r="H3570" s="77">
        <v>144.99415595816961</v>
      </c>
      <c r="I3570" s="77">
        <v>144.99415595816961</v>
      </c>
    </row>
    <row r="3571" spans="2:9">
      <c r="B3571" s="76">
        <v>2025.2416982647542</v>
      </c>
      <c r="C3571">
        <v>1199.9243574720817</v>
      </c>
      <c r="D3571" s="77">
        <v>199.98739291201363</v>
      </c>
      <c r="E3571" s="77">
        <v>199.98739291201363</v>
      </c>
      <c r="F3571" s="77">
        <v>199.98739291201363</v>
      </c>
      <c r="G3571" s="77">
        <v>199.98739291201363</v>
      </c>
      <c r="H3571" s="77">
        <v>199.98739291201363</v>
      </c>
      <c r="I3571" s="77">
        <v>199.98739291201363</v>
      </c>
    </row>
    <row r="3572" spans="2:9">
      <c r="B3572" s="76">
        <v>2022.9836572378676</v>
      </c>
      <c r="C3572">
        <v>920.82150157593946</v>
      </c>
      <c r="D3572" s="77">
        <v>153.47025026265658</v>
      </c>
      <c r="E3572" s="77">
        <v>153.47025026265658</v>
      </c>
      <c r="F3572" s="77">
        <v>153.47025026265658</v>
      </c>
      <c r="G3572" s="77">
        <v>153.47025026265658</v>
      </c>
      <c r="H3572" s="77">
        <v>153.47025026265658</v>
      </c>
      <c r="I3572" s="77">
        <v>153.47025026265658</v>
      </c>
    </row>
    <row r="3573" spans="2:9">
      <c r="B3573" s="76">
        <v>2025.1482173253528</v>
      </c>
      <c r="C3573">
        <v>1150.3779956687902</v>
      </c>
      <c r="D3573" s="77">
        <v>191.72966594479837</v>
      </c>
      <c r="E3573" s="77">
        <v>191.72966594479837</v>
      </c>
      <c r="F3573" s="77">
        <v>191.72966594479837</v>
      </c>
      <c r="G3573" s="77">
        <v>191.72966594479837</v>
      </c>
      <c r="H3573" s="77">
        <v>191.72966594479837</v>
      </c>
      <c r="I3573" s="77">
        <v>191.72966594479837</v>
      </c>
    </row>
    <row r="3574" spans="2:9">
      <c r="B3574" s="76">
        <v>2024.9791050497797</v>
      </c>
      <c r="C3574">
        <v>1100.0026727795803</v>
      </c>
      <c r="D3574" s="77">
        <v>183.3337787965967</v>
      </c>
      <c r="E3574" s="77">
        <v>183.3337787965967</v>
      </c>
      <c r="F3574" s="77">
        <v>183.3337787965967</v>
      </c>
      <c r="G3574" s="77">
        <v>183.3337787965967</v>
      </c>
      <c r="H3574" s="77">
        <v>183.3337787965967</v>
      </c>
      <c r="I3574" s="77">
        <v>183.3337787965967</v>
      </c>
    </row>
    <row r="3575" spans="2:9">
      <c r="B3575" s="76">
        <v>2024.1178892642067</v>
      </c>
      <c r="C3575">
        <v>993.53868283941267</v>
      </c>
      <c r="D3575" s="77">
        <v>165.58978047323544</v>
      </c>
      <c r="E3575" s="77">
        <v>165.58978047323544</v>
      </c>
      <c r="F3575" s="77">
        <v>165.58978047323544</v>
      </c>
      <c r="G3575" s="77">
        <v>165.58978047323544</v>
      </c>
      <c r="H3575" s="77">
        <v>165.58978047323544</v>
      </c>
      <c r="I3575" s="77">
        <v>165.58978047323544</v>
      </c>
    </row>
    <row r="3576" spans="2:9">
      <c r="B3576" s="76">
        <v>2023.1197802227687</v>
      </c>
      <c r="C3576">
        <v>866.73666916156992</v>
      </c>
      <c r="D3576" s="77">
        <v>144.45611152692831</v>
      </c>
      <c r="E3576" s="77">
        <v>144.45611152692831</v>
      </c>
      <c r="F3576" s="77">
        <v>144.45611152692831</v>
      </c>
      <c r="G3576" s="77">
        <v>144.45611152692831</v>
      </c>
      <c r="H3576" s="77">
        <v>144.45611152692831</v>
      </c>
      <c r="I3576" s="77">
        <v>144.45611152692831</v>
      </c>
    </row>
    <row r="3577" spans="2:9">
      <c r="B3577" s="76">
        <v>2024.7021000460347</v>
      </c>
      <c r="C3577">
        <v>1062.8181739598879</v>
      </c>
      <c r="D3577" s="77">
        <v>177.13636232664797</v>
      </c>
      <c r="E3577" s="77">
        <v>177.13636232664797</v>
      </c>
      <c r="F3577" s="77">
        <v>177.13636232664797</v>
      </c>
      <c r="G3577" s="77">
        <v>177.13636232664797</v>
      </c>
      <c r="H3577" s="77">
        <v>177.13636232664797</v>
      </c>
      <c r="I3577" s="77">
        <v>177.13636232664797</v>
      </c>
    </row>
    <row r="3578" spans="2:9">
      <c r="B3578" s="76">
        <v>2025.2316315733067</v>
      </c>
      <c r="C3578">
        <v>1153.1061040709319</v>
      </c>
      <c r="D3578" s="77">
        <v>192.18435067848864</v>
      </c>
      <c r="E3578" s="77">
        <v>192.18435067848864</v>
      </c>
      <c r="F3578" s="77">
        <v>192.18435067848864</v>
      </c>
      <c r="G3578" s="77">
        <v>192.18435067848864</v>
      </c>
      <c r="H3578" s="77">
        <v>192.18435067848864</v>
      </c>
      <c r="I3578" s="77">
        <v>192.18435067848864</v>
      </c>
    </row>
    <row r="3579" spans="2:9">
      <c r="B3579" s="76">
        <v>2025.715002617836</v>
      </c>
      <c r="C3579">
        <v>1287.0905500758483</v>
      </c>
      <c r="D3579" s="77">
        <v>214.51509167930806</v>
      </c>
      <c r="E3579" s="77">
        <v>214.51509167930806</v>
      </c>
      <c r="F3579" s="77">
        <v>214.51509167930806</v>
      </c>
      <c r="G3579" s="77">
        <v>214.51509167930806</v>
      </c>
      <c r="H3579" s="77">
        <v>214.51509167930806</v>
      </c>
      <c r="I3579" s="77">
        <v>214.51509167930806</v>
      </c>
    </row>
    <row r="3580" spans="2:9">
      <c r="B3580" s="76">
        <v>2023.1330834278181</v>
      </c>
      <c r="C3580">
        <v>852.73332892913481</v>
      </c>
      <c r="D3580" s="77">
        <v>142.12222148818913</v>
      </c>
      <c r="E3580" s="77">
        <v>142.12222148818913</v>
      </c>
      <c r="F3580" s="77">
        <v>142.12222148818913</v>
      </c>
      <c r="G3580" s="77">
        <v>142.12222148818913</v>
      </c>
      <c r="H3580" s="77">
        <v>142.12222148818913</v>
      </c>
      <c r="I3580" s="77">
        <v>142.12222148818913</v>
      </c>
    </row>
    <row r="3581" spans="2:9">
      <c r="B3581" s="76">
        <v>2024.4885464550052</v>
      </c>
      <c r="C3581">
        <v>1118.401894847625</v>
      </c>
      <c r="D3581" s="77">
        <v>186.40031580793752</v>
      </c>
      <c r="E3581" s="77">
        <v>186.40031580793752</v>
      </c>
      <c r="F3581" s="77">
        <v>186.40031580793752</v>
      </c>
      <c r="G3581" s="77">
        <v>186.40031580793752</v>
      </c>
      <c r="H3581" s="77">
        <v>186.40031580793752</v>
      </c>
      <c r="I3581" s="77">
        <v>186.40031580793752</v>
      </c>
    </row>
    <row r="3582" spans="2:9">
      <c r="B3582" s="76">
        <v>2023.6280411745652</v>
      </c>
      <c r="C3582">
        <v>966.46469771185525</v>
      </c>
      <c r="D3582" s="77">
        <v>161.07744961864253</v>
      </c>
      <c r="E3582" s="77">
        <v>161.07744961864253</v>
      </c>
      <c r="F3582" s="77">
        <v>161.07744961864253</v>
      </c>
      <c r="G3582" s="77">
        <v>161.07744961864253</v>
      </c>
      <c r="H3582" s="77">
        <v>161.07744961864253</v>
      </c>
      <c r="I3582" s="77">
        <v>161.07744961864253</v>
      </c>
    </row>
    <row r="3583" spans="2:9">
      <c r="B3583" s="76">
        <v>2022.7524339296326</v>
      </c>
      <c r="C3583">
        <v>931.71436047940836</v>
      </c>
      <c r="D3583" s="77">
        <v>155.28572674656806</v>
      </c>
      <c r="E3583" s="77">
        <v>155.28572674656806</v>
      </c>
      <c r="F3583" s="77">
        <v>155.28572674656806</v>
      </c>
      <c r="G3583" s="77">
        <v>155.28572674656806</v>
      </c>
      <c r="H3583" s="77">
        <v>155.28572674656806</v>
      </c>
      <c r="I3583" s="77">
        <v>155.28572674656806</v>
      </c>
    </row>
    <row r="3584" spans="2:9">
      <c r="B3584" s="76">
        <v>2022.5851944797259</v>
      </c>
      <c r="C3584">
        <v>804.60884254453504</v>
      </c>
      <c r="D3584" s="77">
        <v>134.1014737574225</v>
      </c>
      <c r="E3584" s="77">
        <v>134.1014737574225</v>
      </c>
      <c r="F3584" s="77">
        <v>134.1014737574225</v>
      </c>
      <c r="G3584" s="77">
        <v>134.1014737574225</v>
      </c>
      <c r="H3584" s="77">
        <v>134.1014737574225</v>
      </c>
      <c r="I3584" s="77">
        <v>134.1014737574225</v>
      </c>
    </row>
    <row r="3585" spans="2:9">
      <c r="B3585" s="76">
        <v>2023.0584080461533</v>
      </c>
      <c r="C3585">
        <v>882.39735267171454</v>
      </c>
      <c r="D3585" s="77">
        <v>147.06622544528577</v>
      </c>
      <c r="E3585" s="77">
        <v>147.06622544528577</v>
      </c>
      <c r="F3585" s="77">
        <v>147.06622544528577</v>
      </c>
      <c r="G3585" s="77">
        <v>147.06622544528577</v>
      </c>
      <c r="H3585" s="77">
        <v>147.06622544528577</v>
      </c>
      <c r="I3585" s="77">
        <v>147.06622544528577</v>
      </c>
    </row>
    <row r="3586" spans="2:9">
      <c r="B3586" s="76">
        <v>2023.1639567215605</v>
      </c>
      <c r="C3586">
        <v>929.42759122604366</v>
      </c>
      <c r="D3586" s="77">
        <v>154.90459853767393</v>
      </c>
      <c r="E3586" s="77">
        <v>154.90459853767393</v>
      </c>
      <c r="F3586" s="77">
        <v>154.90459853767393</v>
      </c>
      <c r="G3586" s="77">
        <v>154.90459853767393</v>
      </c>
      <c r="H3586" s="77">
        <v>154.90459853767393</v>
      </c>
      <c r="I3586" s="77">
        <v>154.90459853767393</v>
      </c>
    </row>
    <row r="3587" spans="2:9">
      <c r="B3587" s="76">
        <v>2023.3764195830488</v>
      </c>
      <c r="C3587">
        <v>897.83415015092999</v>
      </c>
      <c r="D3587" s="77">
        <v>149.63902502515501</v>
      </c>
      <c r="E3587" s="77">
        <v>149.63902502515501</v>
      </c>
      <c r="F3587" s="77">
        <v>149.63902502515501</v>
      </c>
      <c r="G3587" s="77">
        <v>149.63902502515501</v>
      </c>
      <c r="H3587" s="77">
        <v>149.63902502515501</v>
      </c>
      <c r="I3587" s="77">
        <v>149.63902502515501</v>
      </c>
    </row>
    <row r="3588" spans="2:9">
      <c r="B3588" s="76">
        <v>2024.4404615937378</v>
      </c>
      <c r="C3588">
        <v>1035.334736950741</v>
      </c>
      <c r="D3588" s="77">
        <v>172.55578949179016</v>
      </c>
      <c r="E3588" s="77">
        <v>172.55578949179016</v>
      </c>
      <c r="F3588" s="77">
        <v>172.55578949179016</v>
      </c>
      <c r="G3588" s="77">
        <v>172.55578949179016</v>
      </c>
      <c r="H3588" s="77">
        <v>172.55578949179016</v>
      </c>
      <c r="I3588" s="77">
        <v>172.55578949179016</v>
      </c>
    </row>
    <row r="3589" spans="2:9">
      <c r="B3589" s="76">
        <v>2025.6691771453372</v>
      </c>
      <c r="C3589">
        <v>1165.2230766344258</v>
      </c>
      <c r="D3589" s="77">
        <v>194.20384610573763</v>
      </c>
      <c r="E3589" s="77">
        <v>194.20384610573763</v>
      </c>
      <c r="F3589" s="77">
        <v>194.20384610573763</v>
      </c>
      <c r="G3589" s="77">
        <v>194.20384610573763</v>
      </c>
      <c r="H3589" s="77">
        <v>194.20384610573763</v>
      </c>
      <c r="I3589" s="77">
        <v>194.20384610573763</v>
      </c>
    </row>
    <row r="3590" spans="2:9">
      <c r="B3590" s="76">
        <v>2022.7355968821623</v>
      </c>
      <c r="C3590">
        <v>846.65907716212416</v>
      </c>
      <c r="D3590" s="77">
        <v>141.10984619368736</v>
      </c>
      <c r="E3590" s="77">
        <v>141.10984619368736</v>
      </c>
      <c r="F3590" s="77">
        <v>141.10984619368736</v>
      </c>
      <c r="G3590" s="77">
        <v>141.10984619368736</v>
      </c>
      <c r="H3590" s="77">
        <v>141.10984619368736</v>
      </c>
      <c r="I3590" s="77">
        <v>141.10984619368736</v>
      </c>
    </row>
    <row r="3591" spans="2:9">
      <c r="B3591" s="76">
        <v>2023.6056859151345</v>
      </c>
      <c r="C3591">
        <v>976.00908441902607</v>
      </c>
      <c r="D3591" s="77">
        <v>162.66818073650435</v>
      </c>
      <c r="E3591" s="77">
        <v>162.66818073650435</v>
      </c>
      <c r="F3591" s="77">
        <v>162.66818073650435</v>
      </c>
      <c r="G3591" s="77">
        <v>162.66818073650435</v>
      </c>
      <c r="H3591" s="77">
        <v>162.66818073650435</v>
      </c>
      <c r="I3591" s="77">
        <v>162.66818073650435</v>
      </c>
    </row>
    <row r="3592" spans="2:9">
      <c r="B3592" s="76">
        <v>2023.1859503794283</v>
      </c>
      <c r="C3592">
        <v>921.10627053319365</v>
      </c>
      <c r="D3592" s="77">
        <v>153.51771175553228</v>
      </c>
      <c r="E3592" s="77">
        <v>153.51771175553228</v>
      </c>
      <c r="F3592" s="77">
        <v>153.51771175553228</v>
      </c>
      <c r="G3592" s="77">
        <v>153.51771175553228</v>
      </c>
      <c r="H3592" s="77">
        <v>153.51771175553228</v>
      </c>
      <c r="I3592" s="77">
        <v>153.51771175553228</v>
      </c>
    </row>
    <row r="3593" spans="2:9">
      <c r="B3593" s="76">
        <v>2022.7037688156095</v>
      </c>
      <c r="C3593">
        <v>841.2269304131039</v>
      </c>
      <c r="D3593" s="77">
        <v>140.20448840218398</v>
      </c>
      <c r="E3593" s="77">
        <v>140.20448840218398</v>
      </c>
      <c r="F3593" s="77">
        <v>140.20448840218398</v>
      </c>
      <c r="G3593" s="77">
        <v>140.20448840218398</v>
      </c>
      <c r="H3593" s="77">
        <v>140.20448840218398</v>
      </c>
      <c r="I3593" s="77">
        <v>140.20448840218398</v>
      </c>
    </row>
    <row r="3594" spans="2:9">
      <c r="B3594" s="76">
        <v>2023.1732337091125</v>
      </c>
      <c r="C3594">
        <v>898.65980733765332</v>
      </c>
      <c r="D3594" s="77">
        <v>149.77663455627555</v>
      </c>
      <c r="E3594" s="77">
        <v>149.77663455627555</v>
      </c>
      <c r="F3594" s="77">
        <v>149.77663455627555</v>
      </c>
      <c r="G3594" s="77">
        <v>149.77663455627555</v>
      </c>
      <c r="H3594" s="77">
        <v>149.77663455627555</v>
      </c>
      <c r="I3594" s="77">
        <v>149.77663455627555</v>
      </c>
    </row>
    <row r="3595" spans="2:9">
      <c r="B3595" s="76">
        <v>2022.9878039886989</v>
      </c>
      <c r="C3595">
        <v>899.24379059691978</v>
      </c>
      <c r="D3595" s="77">
        <v>149.87396509948664</v>
      </c>
      <c r="E3595" s="77">
        <v>149.87396509948664</v>
      </c>
      <c r="F3595" s="77">
        <v>149.87396509948664</v>
      </c>
      <c r="G3595" s="77">
        <v>149.87396509948664</v>
      </c>
      <c r="H3595" s="77">
        <v>149.87396509948664</v>
      </c>
      <c r="I3595" s="77">
        <v>149.87396509948664</v>
      </c>
    </row>
    <row r="3596" spans="2:9">
      <c r="B3596" s="76">
        <v>2023.3227178967857</v>
      </c>
      <c r="C3596">
        <v>893.07205239655252</v>
      </c>
      <c r="D3596" s="77">
        <v>148.84534206609209</v>
      </c>
      <c r="E3596" s="77">
        <v>148.84534206609209</v>
      </c>
      <c r="F3596" s="77">
        <v>148.84534206609209</v>
      </c>
      <c r="G3596" s="77">
        <v>148.84534206609209</v>
      </c>
      <c r="H3596" s="77">
        <v>148.84534206609209</v>
      </c>
      <c r="I3596" s="77">
        <v>148.84534206609209</v>
      </c>
    </row>
    <row r="3597" spans="2:9">
      <c r="B3597" s="76">
        <v>2022.6285986320058</v>
      </c>
      <c r="C3597">
        <v>826.48072845289232</v>
      </c>
      <c r="D3597" s="77">
        <v>137.74678807548204</v>
      </c>
      <c r="E3597" s="77">
        <v>137.74678807548204</v>
      </c>
      <c r="F3597" s="77">
        <v>137.74678807548204</v>
      </c>
      <c r="G3597" s="77">
        <v>137.74678807548204</v>
      </c>
      <c r="H3597" s="77">
        <v>137.74678807548204</v>
      </c>
      <c r="I3597" s="77">
        <v>137.74678807548204</v>
      </c>
    </row>
    <row r="3598" spans="2:9">
      <c r="B3598" s="76">
        <v>2023.0892835432562</v>
      </c>
      <c r="C3598">
        <v>879.07964992195502</v>
      </c>
      <c r="D3598" s="77">
        <v>146.51327498699251</v>
      </c>
      <c r="E3598" s="77">
        <v>146.51327498699251</v>
      </c>
      <c r="F3598" s="77">
        <v>146.51327498699251</v>
      </c>
      <c r="G3598" s="77">
        <v>146.51327498699251</v>
      </c>
      <c r="H3598" s="77">
        <v>146.51327498699251</v>
      </c>
      <c r="I3598" s="77">
        <v>146.51327498699251</v>
      </c>
    </row>
    <row r="3599" spans="2:9">
      <c r="B3599" s="76">
        <v>2022.7126392830328</v>
      </c>
      <c r="C3599">
        <v>898.62447114778752</v>
      </c>
      <c r="D3599" s="77">
        <v>149.77074519129792</v>
      </c>
      <c r="E3599" s="77">
        <v>149.77074519129792</v>
      </c>
      <c r="F3599" s="77">
        <v>149.77074519129792</v>
      </c>
      <c r="G3599" s="77">
        <v>149.77074519129792</v>
      </c>
      <c r="H3599" s="77">
        <v>149.77074519129792</v>
      </c>
      <c r="I3599" s="77">
        <v>149.77074519129792</v>
      </c>
    </row>
    <row r="3600" spans="2:9">
      <c r="B3600" s="76">
        <v>2023.695802919894</v>
      </c>
      <c r="C3600">
        <v>989.21659390392369</v>
      </c>
      <c r="D3600" s="77">
        <v>164.86943231732062</v>
      </c>
      <c r="E3600" s="77">
        <v>164.86943231732062</v>
      </c>
      <c r="F3600" s="77">
        <v>164.86943231732062</v>
      </c>
      <c r="G3600" s="77">
        <v>164.86943231732062</v>
      </c>
      <c r="H3600" s="77">
        <v>164.86943231732062</v>
      </c>
      <c r="I3600" s="77">
        <v>164.86943231732062</v>
      </c>
    </row>
    <row r="3601" spans="2:9">
      <c r="B3601" s="76">
        <v>2022.9361660212883</v>
      </c>
      <c r="C3601">
        <v>832.46307138024247</v>
      </c>
      <c r="D3601" s="77">
        <v>138.74384523004042</v>
      </c>
      <c r="E3601" s="77">
        <v>138.74384523004042</v>
      </c>
      <c r="F3601" s="77">
        <v>138.74384523004042</v>
      </c>
      <c r="G3601" s="77">
        <v>138.74384523004042</v>
      </c>
      <c r="H3601" s="77">
        <v>138.74384523004042</v>
      </c>
      <c r="I3601" s="77">
        <v>138.74384523004042</v>
      </c>
    </row>
    <row r="3602" spans="2:9">
      <c r="B3602" s="76">
        <v>2023.6401819110463</v>
      </c>
      <c r="C3602">
        <v>922.30231726248576</v>
      </c>
      <c r="D3602" s="77">
        <v>153.71705287708096</v>
      </c>
      <c r="E3602" s="77">
        <v>153.71705287708096</v>
      </c>
      <c r="F3602" s="77">
        <v>153.71705287708096</v>
      </c>
      <c r="G3602" s="77">
        <v>153.71705287708096</v>
      </c>
      <c r="H3602" s="77">
        <v>153.71705287708096</v>
      </c>
      <c r="I3602" s="77">
        <v>153.71705287708096</v>
      </c>
    </row>
    <row r="3603" spans="2:9">
      <c r="B3603" s="76">
        <v>2024.7681873172289</v>
      </c>
      <c r="C3603">
        <v>1135.8737743629179</v>
      </c>
      <c r="D3603" s="77">
        <v>189.31229572715299</v>
      </c>
      <c r="E3603" s="77">
        <v>189.31229572715299</v>
      </c>
      <c r="F3603" s="77">
        <v>189.31229572715299</v>
      </c>
      <c r="G3603" s="77">
        <v>189.31229572715299</v>
      </c>
      <c r="H3603" s="77">
        <v>189.31229572715299</v>
      </c>
      <c r="I3603" s="77">
        <v>189.31229572715299</v>
      </c>
    </row>
    <row r="3604" spans="2:9">
      <c r="B3604" s="76">
        <v>2023.2601319999583</v>
      </c>
      <c r="C3604">
        <v>968.39011093628699</v>
      </c>
      <c r="D3604" s="77">
        <v>161.39835182271449</v>
      </c>
      <c r="E3604" s="77">
        <v>161.39835182271449</v>
      </c>
      <c r="F3604" s="77">
        <v>161.39835182271449</v>
      </c>
      <c r="G3604" s="77">
        <v>161.39835182271449</v>
      </c>
      <c r="H3604" s="77">
        <v>161.39835182271449</v>
      </c>
      <c r="I3604" s="77">
        <v>161.39835182271449</v>
      </c>
    </row>
    <row r="3605" spans="2:9">
      <c r="B3605" s="76">
        <v>2023.3326500508792</v>
      </c>
      <c r="C3605">
        <v>943.5416261013786</v>
      </c>
      <c r="D3605" s="77">
        <v>157.25693768356311</v>
      </c>
      <c r="E3605" s="77">
        <v>157.25693768356311</v>
      </c>
      <c r="F3605" s="77">
        <v>157.25693768356311</v>
      </c>
      <c r="G3605" s="77">
        <v>157.25693768356311</v>
      </c>
      <c r="H3605" s="77">
        <v>157.25693768356311</v>
      </c>
      <c r="I3605" s="77">
        <v>157.25693768356311</v>
      </c>
    </row>
    <row r="3606" spans="2:9">
      <c r="B3606" s="76">
        <v>2023.3731231469942</v>
      </c>
      <c r="C3606">
        <v>925.49323159453809</v>
      </c>
      <c r="D3606" s="77">
        <v>154.24887193242301</v>
      </c>
      <c r="E3606" s="77">
        <v>154.24887193242301</v>
      </c>
      <c r="F3606" s="77">
        <v>154.24887193242301</v>
      </c>
      <c r="G3606" s="77">
        <v>154.24887193242301</v>
      </c>
      <c r="H3606" s="77">
        <v>154.24887193242301</v>
      </c>
      <c r="I3606" s="77">
        <v>154.24887193242301</v>
      </c>
    </row>
    <row r="3607" spans="2:9">
      <c r="B3607" s="76">
        <v>2024.825897168058</v>
      </c>
      <c r="C3607">
        <v>1008.9258114396447</v>
      </c>
      <c r="D3607" s="77">
        <v>168.15430190660746</v>
      </c>
      <c r="E3607" s="77">
        <v>168.15430190660746</v>
      </c>
      <c r="F3607" s="77">
        <v>168.15430190660746</v>
      </c>
      <c r="G3607" s="77">
        <v>168.15430190660746</v>
      </c>
      <c r="H3607" s="77">
        <v>168.15430190660746</v>
      </c>
      <c r="I3607" s="77">
        <v>168.15430190660746</v>
      </c>
    </row>
    <row r="3608" spans="2:9">
      <c r="B3608" s="76">
        <v>2022.8416657140119</v>
      </c>
      <c r="C3608">
        <v>821.46458966281273</v>
      </c>
      <c r="D3608" s="77">
        <v>136.91076494380212</v>
      </c>
      <c r="E3608" s="77">
        <v>136.91076494380212</v>
      </c>
      <c r="F3608" s="77">
        <v>136.91076494380212</v>
      </c>
      <c r="G3608" s="77">
        <v>136.91076494380212</v>
      </c>
      <c r="H3608" s="77">
        <v>136.91076494380212</v>
      </c>
      <c r="I3608" s="77">
        <v>136.91076494380212</v>
      </c>
    </row>
    <row r="3609" spans="2:9">
      <c r="B3609" s="76">
        <v>2023.1268003225537</v>
      </c>
      <c r="C3609">
        <v>903.64353442667607</v>
      </c>
      <c r="D3609" s="77">
        <v>150.60725573777935</v>
      </c>
      <c r="E3609" s="77">
        <v>150.60725573777935</v>
      </c>
      <c r="F3609" s="77">
        <v>150.60725573777935</v>
      </c>
      <c r="G3609" s="77">
        <v>150.60725573777935</v>
      </c>
      <c r="H3609" s="77">
        <v>150.60725573777935</v>
      </c>
      <c r="I3609" s="77">
        <v>150.60725573777935</v>
      </c>
    </row>
    <row r="3610" spans="2:9">
      <c r="B3610" s="76">
        <v>2024.7852652993113</v>
      </c>
      <c r="C3610">
        <v>1082.4224675364173</v>
      </c>
      <c r="D3610" s="77">
        <v>180.40374458940289</v>
      </c>
      <c r="E3610" s="77">
        <v>180.40374458940289</v>
      </c>
      <c r="F3610" s="77">
        <v>180.40374458940289</v>
      </c>
      <c r="G3610" s="77">
        <v>180.40374458940289</v>
      </c>
      <c r="H3610" s="77">
        <v>180.40374458940289</v>
      </c>
      <c r="I3610" s="77">
        <v>180.40374458940289</v>
      </c>
    </row>
    <row r="3611" spans="2:9">
      <c r="B3611" s="76">
        <v>2023.4817782401501</v>
      </c>
      <c r="C3611">
        <v>1000.0192863563933</v>
      </c>
      <c r="D3611" s="77">
        <v>166.66988105939888</v>
      </c>
      <c r="E3611" s="77">
        <v>166.66988105939888</v>
      </c>
      <c r="F3611" s="77">
        <v>166.66988105939888</v>
      </c>
      <c r="G3611" s="77">
        <v>166.66988105939888</v>
      </c>
      <c r="H3611" s="77">
        <v>166.66988105939888</v>
      </c>
      <c r="I3611" s="77">
        <v>166.66988105939888</v>
      </c>
    </row>
    <row r="3612" spans="2:9">
      <c r="B3612" s="76">
        <v>2023.3499880223621</v>
      </c>
      <c r="C3612">
        <v>904.1663102896988</v>
      </c>
      <c r="D3612" s="77">
        <v>150.69438504828312</v>
      </c>
      <c r="E3612" s="77">
        <v>150.69438504828312</v>
      </c>
      <c r="F3612" s="77">
        <v>150.69438504828312</v>
      </c>
      <c r="G3612" s="77">
        <v>150.69438504828312</v>
      </c>
      <c r="H3612" s="77">
        <v>150.69438504828312</v>
      </c>
      <c r="I3612" s="77">
        <v>150.69438504828312</v>
      </c>
    </row>
    <row r="3613" spans="2:9">
      <c r="B3613" s="76">
        <v>2023.1476079925708</v>
      </c>
      <c r="C3613">
        <v>939.31750323285814</v>
      </c>
      <c r="D3613" s="77">
        <v>156.55291720547635</v>
      </c>
      <c r="E3613" s="77">
        <v>156.55291720547635</v>
      </c>
      <c r="F3613" s="77">
        <v>156.55291720547635</v>
      </c>
      <c r="G3613" s="77">
        <v>156.55291720547635</v>
      </c>
      <c r="H3613" s="77">
        <v>156.55291720547635</v>
      </c>
      <c r="I3613" s="77">
        <v>156.55291720547635</v>
      </c>
    </row>
    <row r="3614" spans="2:9">
      <c r="B3614" s="76">
        <v>2025.1643156006155</v>
      </c>
      <c r="C3614">
        <v>1209.9233483313644</v>
      </c>
      <c r="D3614" s="77">
        <v>201.65389138856074</v>
      </c>
      <c r="E3614" s="77">
        <v>201.65389138856074</v>
      </c>
      <c r="F3614" s="77">
        <v>201.65389138856074</v>
      </c>
      <c r="G3614" s="77">
        <v>201.65389138856074</v>
      </c>
      <c r="H3614" s="77">
        <v>201.65389138856074</v>
      </c>
      <c r="I3614" s="77">
        <v>201.65389138856074</v>
      </c>
    </row>
    <row r="3615" spans="2:9">
      <c r="B3615" s="76">
        <v>2023.2204960604961</v>
      </c>
      <c r="C3615">
        <v>928.34753164426058</v>
      </c>
      <c r="D3615" s="77">
        <v>154.72458860737677</v>
      </c>
      <c r="E3615" s="77">
        <v>154.72458860737677</v>
      </c>
      <c r="F3615" s="77">
        <v>154.72458860737677</v>
      </c>
      <c r="G3615" s="77">
        <v>154.72458860737677</v>
      </c>
      <c r="H3615" s="77">
        <v>154.72458860737677</v>
      </c>
      <c r="I3615" s="77">
        <v>154.72458860737677</v>
      </c>
    </row>
    <row r="3616" spans="2:9">
      <c r="B3616" s="76">
        <v>2023.264910922891</v>
      </c>
      <c r="C3616">
        <v>917.65769231799027</v>
      </c>
      <c r="D3616" s="77">
        <v>152.94294871966505</v>
      </c>
      <c r="E3616" s="77">
        <v>152.94294871966505</v>
      </c>
      <c r="F3616" s="77">
        <v>152.94294871966505</v>
      </c>
      <c r="G3616" s="77">
        <v>152.94294871966505</v>
      </c>
      <c r="H3616" s="77">
        <v>152.94294871966505</v>
      </c>
      <c r="I3616" s="77">
        <v>152.94294871966505</v>
      </c>
    </row>
    <row r="3617" spans="2:9">
      <c r="B3617" s="76">
        <v>2024.6774822264463</v>
      </c>
      <c r="C3617">
        <v>1068.0891070075222</v>
      </c>
      <c r="D3617" s="77">
        <v>178.01485116792037</v>
      </c>
      <c r="E3617" s="77">
        <v>178.01485116792037</v>
      </c>
      <c r="F3617" s="77">
        <v>178.01485116792037</v>
      </c>
      <c r="G3617" s="77">
        <v>178.01485116792037</v>
      </c>
      <c r="H3617" s="77">
        <v>178.01485116792037</v>
      </c>
      <c r="I3617" s="77">
        <v>178.01485116792037</v>
      </c>
    </row>
    <row r="3618" spans="2:9">
      <c r="B3618" s="76">
        <v>2023.3448884712529</v>
      </c>
      <c r="C3618">
        <v>961.750056968286</v>
      </c>
      <c r="D3618" s="77">
        <v>160.29167616138099</v>
      </c>
      <c r="E3618" s="77">
        <v>160.29167616138099</v>
      </c>
      <c r="F3618" s="77">
        <v>160.29167616138099</v>
      </c>
      <c r="G3618" s="77">
        <v>160.29167616138099</v>
      </c>
      <c r="H3618" s="77">
        <v>160.29167616138099</v>
      </c>
      <c r="I3618" s="77">
        <v>160.29167616138099</v>
      </c>
    </row>
    <row r="3619" spans="2:9">
      <c r="B3619" s="76">
        <v>2022.9853185310903</v>
      </c>
      <c r="C3619">
        <v>849.58692882038304</v>
      </c>
      <c r="D3619" s="77">
        <v>141.59782147006385</v>
      </c>
      <c r="E3619" s="77">
        <v>141.59782147006385</v>
      </c>
      <c r="F3619" s="77">
        <v>141.59782147006385</v>
      </c>
      <c r="G3619" s="77">
        <v>141.59782147006385</v>
      </c>
      <c r="H3619" s="77">
        <v>141.59782147006385</v>
      </c>
      <c r="I3619" s="77">
        <v>141.59782147006385</v>
      </c>
    </row>
    <row r="3620" spans="2:9">
      <c r="B3620" s="76">
        <v>2023.3858360227555</v>
      </c>
      <c r="C3620">
        <v>1019.6828871895693</v>
      </c>
      <c r="D3620" s="77">
        <v>169.94714786492821</v>
      </c>
      <c r="E3620" s="77">
        <v>169.94714786492821</v>
      </c>
      <c r="F3620" s="77">
        <v>169.94714786492821</v>
      </c>
      <c r="G3620" s="77">
        <v>169.94714786492821</v>
      </c>
      <c r="H3620" s="77">
        <v>169.94714786492821</v>
      </c>
      <c r="I3620" s="77">
        <v>169.94714786492821</v>
      </c>
    </row>
    <row r="3621" spans="2:9">
      <c r="B3621" s="76">
        <v>2022.7454765845141</v>
      </c>
      <c r="C3621">
        <v>851.24047519610974</v>
      </c>
      <c r="D3621" s="77">
        <v>141.87341253268497</v>
      </c>
      <c r="E3621" s="77">
        <v>141.87341253268497</v>
      </c>
      <c r="F3621" s="77">
        <v>141.87341253268497</v>
      </c>
      <c r="G3621" s="77">
        <v>141.87341253268497</v>
      </c>
      <c r="H3621" s="77">
        <v>141.87341253268497</v>
      </c>
      <c r="I3621" s="77">
        <v>141.87341253268497</v>
      </c>
    </row>
    <row r="3622" spans="2:9">
      <c r="B3622" s="76">
        <v>2023.4372304712997</v>
      </c>
      <c r="C3622">
        <v>926.2628862202024</v>
      </c>
      <c r="D3622" s="77">
        <v>154.37714770336706</v>
      </c>
      <c r="E3622" s="77">
        <v>154.37714770336706</v>
      </c>
      <c r="F3622" s="77">
        <v>154.37714770336706</v>
      </c>
      <c r="G3622" s="77">
        <v>154.37714770336706</v>
      </c>
      <c r="H3622" s="77">
        <v>154.37714770336706</v>
      </c>
      <c r="I3622" s="77">
        <v>154.37714770336706</v>
      </c>
    </row>
    <row r="3623" spans="2:9">
      <c r="B3623" s="76">
        <v>2024.5508549358076</v>
      </c>
      <c r="C3623">
        <v>1056.8634015566906</v>
      </c>
      <c r="D3623" s="77">
        <v>176.14390025944843</v>
      </c>
      <c r="E3623" s="77">
        <v>176.14390025944843</v>
      </c>
      <c r="F3623" s="77">
        <v>176.14390025944843</v>
      </c>
      <c r="G3623" s="77">
        <v>176.14390025944843</v>
      </c>
      <c r="H3623" s="77">
        <v>176.14390025944843</v>
      </c>
      <c r="I3623" s="77">
        <v>176.14390025944843</v>
      </c>
    </row>
    <row r="3624" spans="2:9">
      <c r="B3624" s="76">
        <v>2023.1941697341017</v>
      </c>
      <c r="C3624">
        <v>857.57020317193508</v>
      </c>
      <c r="D3624" s="77">
        <v>142.92836719532252</v>
      </c>
      <c r="E3624" s="77">
        <v>142.92836719532252</v>
      </c>
      <c r="F3624" s="77">
        <v>142.92836719532252</v>
      </c>
      <c r="G3624" s="77">
        <v>142.92836719532252</v>
      </c>
      <c r="H3624" s="77">
        <v>142.92836719532252</v>
      </c>
      <c r="I3624" s="77">
        <v>142.92836719532252</v>
      </c>
    </row>
    <row r="3625" spans="2:9">
      <c r="B3625" s="76">
        <v>2024.9145414095067</v>
      </c>
      <c r="C3625">
        <v>1135.4650088653079</v>
      </c>
      <c r="D3625" s="77">
        <v>189.24416814421798</v>
      </c>
      <c r="E3625" s="77">
        <v>189.24416814421798</v>
      </c>
      <c r="F3625" s="77">
        <v>189.24416814421798</v>
      </c>
      <c r="G3625" s="77">
        <v>189.24416814421798</v>
      </c>
      <c r="H3625" s="77">
        <v>189.24416814421798</v>
      </c>
      <c r="I3625" s="77">
        <v>189.24416814421798</v>
      </c>
    </row>
    <row r="3626" spans="2:9">
      <c r="B3626" s="76">
        <v>2023.3508110280088</v>
      </c>
      <c r="C3626">
        <v>950.93987980958548</v>
      </c>
      <c r="D3626" s="77">
        <v>158.48997996826424</v>
      </c>
      <c r="E3626" s="77">
        <v>158.48997996826424</v>
      </c>
      <c r="F3626" s="77">
        <v>158.48997996826424</v>
      </c>
      <c r="G3626" s="77">
        <v>158.48997996826424</v>
      </c>
      <c r="H3626" s="77">
        <v>158.48997996826424</v>
      </c>
      <c r="I3626" s="77">
        <v>158.48997996826424</v>
      </c>
    </row>
    <row r="3627" spans="2:9">
      <c r="B3627" s="76">
        <v>2022.960996653861</v>
      </c>
      <c r="C3627">
        <v>904.2964876885793</v>
      </c>
      <c r="D3627" s="77">
        <v>150.71608128142989</v>
      </c>
      <c r="E3627" s="77">
        <v>150.71608128142989</v>
      </c>
      <c r="F3627" s="77">
        <v>150.71608128142989</v>
      </c>
      <c r="G3627" s="77">
        <v>150.71608128142989</v>
      </c>
      <c r="H3627" s="77">
        <v>150.71608128142989</v>
      </c>
      <c r="I3627" s="77">
        <v>150.71608128142989</v>
      </c>
    </row>
    <row r="3628" spans="2:9">
      <c r="B3628" s="76">
        <v>2023.2094629588482</v>
      </c>
      <c r="C3628">
        <v>939.10567931067942</v>
      </c>
      <c r="D3628" s="77">
        <v>156.51761321844657</v>
      </c>
      <c r="E3628" s="77">
        <v>156.51761321844657</v>
      </c>
      <c r="F3628" s="77">
        <v>156.51761321844657</v>
      </c>
      <c r="G3628" s="77">
        <v>156.51761321844657</v>
      </c>
      <c r="H3628" s="77">
        <v>156.51761321844657</v>
      </c>
      <c r="I3628" s="77">
        <v>156.51761321844657</v>
      </c>
    </row>
    <row r="3629" spans="2:9">
      <c r="B3629" s="76">
        <v>2023.2611734385844</v>
      </c>
      <c r="C3629">
        <v>886.68661336670914</v>
      </c>
      <c r="D3629" s="77">
        <v>147.78110222778486</v>
      </c>
      <c r="E3629" s="77">
        <v>147.78110222778486</v>
      </c>
      <c r="F3629" s="77">
        <v>147.78110222778486</v>
      </c>
      <c r="G3629" s="77">
        <v>147.78110222778486</v>
      </c>
      <c r="H3629" s="77">
        <v>147.78110222778486</v>
      </c>
      <c r="I3629" s="77">
        <v>147.78110222778486</v>
      </c>
    </row>
    <row r="3630" spans="2:9">
      <c r="B3630" s="76">
        <v>2024.0406738708464</v>
      </c>
      <c r="C3630">
        <v>1022.081598922614</v>
      </c>
      <c r="D3630" s="77">
        <v>170.34693315376902</v>
      </c>
      <c r="E3630" s="77">
        <v>170.34693315376902</v>
      </c>
      <c r="F3630" s="77">
        <v>170.34693315376902</v>
      </c>
      <c r="G3630" s="77">
        <v>170.34693315376902</v>
      </c>
      <c r="H3630" s="77">
        <v>170.34693315376902</v>
      </c>
      <c r="I3630" s="77">
        <v>170.34693315376902</v>
      </c>
    </row>
    <row r="3631" spans="2:9">
      <c r="B3631" s="76">
        <v>2023.0851228210065</v>
      </c>
      <c r="C3631">
        <v>929.8716313149398</v>
      </c>
      <c r="D3631" s="77">
        <v>154.97860521915663</v>
      </c>
      <c r="E3631" s="77">
        <v>154.97860521915663</v>
      </c>
      <c r="F3631" s="77">
        <v>154.97860521915663</v>
      </c>
      <c r="G3631" s="77">
        <v>154.97860521915663</v>
      </c>
      <c r="H3631" s="77">
        <v>154.97860521915663</v>
      </c>
      <c r="I3631" s="77">
        <v>154.97860521915663</v>
      </c>
    </row>
    <row r="3632" spans="2:9">
      <c r="B3632" s="76">
        <v>2023.3476909199442</v>
      </c>
      <c r="C3632">
        <v>951.69292955345384</v>
      </c>
      <c r="D3632" s="77">
        <v>158.61548825890898</v>
      </c>
      <c r="E3632" s="77">
        <v>158.61548825890898</v>
      </c>
      <c r="F3632" s="77">
        <v>158.61548825890898</v>
      </c>
      <c r="G3632" s="77">
        <v>158.61548825890898</v>
      </c>
      <c r="H3632" s="77">
        <v>158.61548825890898</v>
      </c>
      <c r="I3632" s="77">
        <v>158.61548825890898</v>
      </c>
    </row>
    <row r="3633" spans="2:9">
      <c r="B3633" s="76">
        <v>2022.7413408579278</v>
      </c>
      <c r="C3633">
        <v>843.43498852636753</v>
      </c>
      <c r="D3633" s="77">
        <v>140.57249808772792</v>
      </c>
      <c r="E3633" s="77">
        <v>140.57249808772792</v>
      </c>
      <c r="F3633" s="77">
        <v>140.57249808772792</v>
      </c>
      <c r="G3633" s="77">
        <v>140.57249808772792</v>
      </c>
      <c r="H3633" s="77">
        <v>140.57249808772792</v>
      </c>
      <c r="I3633" s="77">
        <v>140.57249808772792</v>
      </c>
    </row>
    <row r="3634" spans="2:9">
      <c r="B3634" s="76">
        <v>2025.0462650626123</v>
      </c>
      <c r="C3634">
        <v>1203.826783699456</v>
      </c>
      <c r="D3634" s="77">
        <v>200.63779728324266</v>
      </c>
      <c r="E3634" s="77">
        <v>200.63779728324266</v>
      </c>
      <c r="F3634" s="77">
        <v>200.63779728324266</v>
      </c>
      <c r="G3634" s="77">
        <v>200.63779728324266</v>
      </c>
      <c r="H3634" s="77">
        <v>200.63779728324266</v>
      </c>
      <c r="I3634" s="77">
        <v>200.63779728324266</v>
      </c>
    </row>
    <row r="3635" spans="2:9">
      <c r="B3635" s="76">
        <v>2022.9510536437606</v>
      </c>
      <c r="C3635">
        <v>872.18913467906009</v>
      </c>
      <c r="D3635" s="77">
        <v>145.36485577984334</v>
      </c>
      <c r="E3635" s="77">
        <v>145.36485577984334</v>
      </c>
      <c r="F3635" s="77">
        <v>145.36485577984334</v>
      </c>
      <c r="G3635" s="77">
        <v>145.36485577984334</v>
      </c>
      <c r="H3635" s="77">
        <v>145.36485577984334</v>
      </c>
      <c r="I3635" s="77">
        <v>145.36485577984334</v>
      </c>
    </row>
    <row r="3636" spans="2:9">
      <c r="B3636" s="76">
        <v>2024.674900110846</v>
      </c>
      <c r="C3636">
        <v>1062.9381975445426</v>
      </c>
      <c r="D3636" s="77">
        <v>177.15636625742377</v>
      </c>
      <c r="E3636" s="77">
        <v>177.15636625742377</v>
      </c>
      <c r="F3636" s="77">
        <v>177.15636625742377</v>
      </c>
      <c r="G3636" s="77">
        <v>177.15636625742377</v>
      </c>
      <c r="H3636" s="77">
        <v>177.15636625742377</v>
      </c>
      <c r="I3636" s="77">
        <v>177.15636625742377</v>
      </c>
    </row>
    <row r="3637" spans="2:9">
      <c r="B3637" s="76">
        <v>2022.5521597094826</v>
      </c>
      <c r="C3637">
        <v>903.11457889148699</v>
      </c>
      <c r="D3637" s="77">
        <v>150.51909648191449</v>
      </c>
      <c r="E3637" s="77">
        <v>150.51909648191449</v>
      </c>
      <c r="F3637" s="77">
        <v>150.51909648191449</v>
      </c>
      <c r="G3637" s="77">
        <v>150.51909648191449</v>
      </c>
      <c r="H3637" s="77">
        <v>150.51909648191449</v>
      </c>
      <c r="I3637" s="77">
        <v>150.51909648191449</v>
      </c>
    </row>
    <row r="3638" spans="2:9">
      <c r="B3638" s="76">
        <v>2023.2566637697669</v>
      </c>
      <c r="C3638">
        <v>938.26236937067858</v>
      </c>
      <c r="D3638" s="77">
        <v>156.37706156177975</v>
      </c>
      <c r="E3638" s="77">
        <v>156.37706156177975</v>
      </c>
      <c r="F3638" s="77">
        <v>156.37706156177975</v>
      </c>
      <c r="G3638" s="77">
        <v>156.37706156177975</v>
      </c>
      <c r="H3638" s="77">
        <v>156.37706156177975</v>
      </c>
      <c r="I3638" s="77">
        <v>156.37706156177975</v>
      </c>
    </row>
    <row r="3639" spans="2:9">
      <c r="B3639" s="76">
        <v>2023.2522977387182</v>
      </c>
      <c r="C3639">
        <v>905.88457132505357</v>
      </c>
      <c r="D3639" s="77">
        <v>150.98076188750892</v>
      </c>
      <c r="E3639" s="77">
        <v>150.98076188750892</v>
      </c>
      <c r="F3639" s="77">
        <v>150.98076188750892</v>
      </c>
      <c r="G3639" s="77">
        <v>150.98076188750892</v>
      </c>
      <c r="H3639" s="77">
        <v>150.98076188750892</v>
      </c>
      <c r="I3639" s="77">
        <v>150.98076188750892</v>
      </c>
    </row>
    <row r="3640" spans="2:9">
      <c r="B3640" s="76">
        <v>2023.9097555445485</v>
      </c>
      <c r="C3640">
        <v>1011.3993092945086</v>
      </c>
      <c r="D3640" s="77">
        <v>168.56655154908478</v>
      </c>
      <c r="E3640" s="77">
        <v>168.56655154908478</v>
      </c>
      <c r="F3640" s="77">
        <v>168.56655154908478</v>
      </c>
      <c r="G3640" s="77">
        <v>168.56655154908478</v>
      </c>
      <c r="H3640" s="77">
        <v>168.56655154908478</v>
      </c>
      <c r="I3640" s="77">
        <v>168.56655154908478</v>
      </c>
    </row>
    <row r="3641" spans="2:9">
      <c r="B3641" s="76">
        <v>2023.1732900202735</v>
      </c>
      <c r="C3641">
        <v>959.34436612947957</v>
      </c>
      <c r="D3641" s="77">
        <v>159.89072768824659</v>
      </c>
      <c r="E3641" s="77">
        <v>159.89072768824659</v>
      </c>
      <c r="F3641" s="77">
        <v>159.89072768824659</v>
      </c>
      <c r="G3641" s="77">
        <v>159.89072768824659</v>
      </c>
      <c r="H3641" s="77">
        <v>159.89072768824659</v>
      </c>
      <c r="I3641" s="77">
        <v>159.89072768824659</v>
      </c>
    </row>
    <row r="3642" spans="2:9">
      <c r="B3642" s="76">
        <v>2023.2152295892886</v>
      </c>
      <c r="C3642">
        <v>864.82325234534903</v>
      </c>
      <c r="D3642" s="77">
        <v>144.13720872422485</v>
      </c>
      <c r="E3642" s="77">
        <v>144.13720872422485</v>
      </c>
      <c r="F3642" s="77">
        <v>144.13720872422485</v>
      </c>
      <c r="G3642" s="77">
        <v>144.13720872422485</v>
      </c>
      <c r="H3642" s="77">
        <v>144.13720872422485</v>
      </c>
      <c r="I3642" s="77">
        <v>144.13720872422485</v>
      </c>
    </row>
    <row r="3643" spans="2:9">
      <c r="B3643" s="76">
        <v>2022.852691234634</v>
      </c>
      <c r="C3643">
        <v>893.82503724128583</v>
      </c>
      <c r="D3643" s="77">
        <v>148.97083954021431</v>
      </c>
      <c r="E3643" s="77">
        <v>148.97083954021431</v>
      </c>
      <c r="F3643" s="77">
        <v>148.97083954021431</v>
      </c>
      <c r="G3643" s="77">
        <v>148.97083954021431</v>
      </c>
      <c r="H3643" s="77">
        <v>148.97083954021431</v>
      </c>
      <c r="I3643" s="77">
        <v>148.97083954021431</v>
      </c>
    </row>
    <row r="3644" spans="2:9">
      <c r="B3644" s="76">
        <v>2023.2058546883097</v>
      </c>
      <c r="C3644">
        <v>917.10281545968542</v>
      </c>
      <c r="D3644" s="77">
        <v>152.85046924328091</v>
      </c>
      <c r="E3644" s="77">
        <v>152.85046924328091</v>
      </c>
      <c r="F3644" s="77">
        <v>152.85046924328091</v>
      </c>
      <c r="G3644" s="77">
        <v>152.85046924328091</v>
      </c>
      <c r="H3644" s="77">
        <v>152.85046924328091</v>
      </c>
      <c r="I3644" s="77">
        <v>152.85046924328091</v>
      </c>
    </row>
    <row r="3645" spans="2:9">
      <c r="B3645" s="76">
        <v>2023.1619661536542</v>
      </c>
      <c r="C3645">
        <v>860.7523565409017</v>
      </c>
      <c r="D3645" s="77">
        <v>143.45872609015029</v>
      </c>
      <c r="E3645" s="77">
        <v>143.45872609015029</v>
      </c>
      <c r="F3645" s="77">
        <v>143.45872609015029</v>
      </c>
      <c r="G3645" s="77">
        <v>143.45872609015029</v>
      </c>
      <c r="H3645" s="77">
        <v>143.45872609015029</v>
      </c>
      <c r="I3645" s="77">
        <v>143.45872609015029</v>
      </c>
    </row>
    <row r="3646" spans="2:9">
      <c r="B3646" s="76">
        <v>2022.7666008192191</v>
      </c>
      <c r="C3646">
        <v>888.85825447492653</v>
      </c>
      <c r="D3646" s="77">
        <v>148.14304241248774</v>
      </c>
      <c r="E3646" s="77">
        <v>148.14304241248774</v>
      </c>
      <c r="F3646" s="77">
        <v>148.14304241248774</v>
      </c>
      <c r="G3646" s="77">
        <v>148.14304241248774</v>
      </c>
      <c r="H3646" s="77">
        <v>148.14304241248774</v>
      </c>
      <c r="I3646" s="77">
        <v>148.14304241248774</v>
      </c>
    </row>
    <row r="3647" spans="2:9">
      <c r="B3647" s="76">
        <v>2024.8158024998495</v>
      </c>
      <c r="C3647">
        <v>1065.8893773605773</v>
      </c>
      <c r="D3647" s="77">
        <v>177.64822956009621</v>
      </c>
      <c r="E3647" s="77">
        <v>177.64822956009621</v>
      </c>
      <c r="F3647" s="77">
        <v>177.64822956009621</v>
      </c>
      <c r="G3647" s="77">
        <v>177.64822956009621</v>
      </c>
      <c r="H3647" s="77">
        <v>177.64822956009621</v>
      </c>
      <c r="I3647" s="77">
        <v>177.64822956009621</v>
      </c>
    </row>
    <row r="3648" spans="2:9">
      <c r="B3648" s="76">
        <v>2022.9048363927998</v>
      </c>
      <c r="C3648">
        <v>882.20785107632059</v>
      </c>
      <c r="D3648" s="77">
        <v>147.03464184605343</v>
      </c>
      <c r="E3648" s="77">
        <v>147.03464184605343</v>
      </c>
      <c r="F3648" s="77">
        <v>147.03464184605343</v>
      </c>
      <c r="G3648" s="77">
        <v>147.03464184605343</v>
      </c>
      <c r="H3648" s="77">
        <v>147.03464184605343</v>
      </c>
      <c r="I3648" s="77">
        <v>147.03464184605343</v>
      </c>
    </row>
    <row r="3649" spans="2:9">
      <c r="B3649" s="76">
        <v>2023.4135975593117</v>
      </c>
      <c r="C3649">
        <v>946.03504734304488</v>
      </c>
      <c r="D3649" s="77">
        <v>157.67250789050749</v>
      </c>
      <c r="E3649" s="77">
        <v>157.67250789050749</v>
      </c>
      <c r="F3649" s="77">
        <v>157.67250789050749</v>
      </c>
      <c r="G3649" s="77">
        <v>157.67250789050749</v>
      </c>
      <c r="H3649" s="77">
        <v>157.67250789050749</v>
      </c>
      <c r="I3649" s="77">
        <v>157.67250789050749</v>
      </c>
    </row>
    <row r="3650" spans="2:9">
      <c r="B3650" s="76">
        <v>2023.8187297537556</v>
      </c>
      <c r="C3650">
        <v>999.67240204107748</v>
      </c>
      <c r="D3650" s="77">
        <v>166.61206700684625</v>
      </c>
      <c r="E3650" s="77">
        <v>166.61206700684625</v>
      </c>
      <c r="F3650" s="77">
        <v>166.61206700684625</v>
      </c>
      <c r="G3650" s="77">
        <v>166.61206700684625</v>
      </c>
      <c r="H3650" s="77">
        <v>166.61206700684625</v>
      </c>
      <c r="I3650" s="77">
        <v>166.61206700684625</v>
      </c>
    </row>
    <row r="3651" spans="2:9">
      <c r="B3651" s="76">
        <v>2023.5269978175133</v>
      </c>
      <c r="C3651">
        <v>911.21215554753701</v>
      </c>
      <c r="D3651" s="77">
        <v>151.86869259125618</v>
      </c>
      <c r="E3651" s="77">
        <v>151.86869259125618</v>
      </c>
      <c r="F3651" s="77">
        <v>151.86869259125618</v>
      </c>
      <c r="G3651" s="77">
        <v>151.86869259125618</v>
      </c>
      <c r="H3651" s="77">
        <v>151.86869259125618</v>
      </c>
      <c r="I3651" s="77">
        <v>151.86869259125618</v>
      </c>
    </row>
    <row r="3652" spans="2:9">
      <c r="B3652" s="76">
        <v>2022.9574113849806</v>
      </c>
      <c r="C3652">
        <v>871.62142073408086</v>
      </c>
      <c r="D3652" s="77">
        <v>145.27023678901347</v>
      </c>
      <c r="E3652" s="77">
        <v>145.27023678901347</v>
      </c>
      <c r="F3652" s="77">
        <v>145.27023678901347</v>
      </c>
      <c r="G3652" s="77">
        <v>145.27023678901347</v>
      </c>
      <c r="H3652" s="77">
        <v>145.27023678901347</v>
      </c>
      <c r="I3652" s="77">
        <v>145.27023678901347</v>
      </c>
    </row>
    <row r="3653" spans="2:9">
      <c r="B3653" s="76">
        <v>2023.2194378869115</v>
      </c>
      <c r="C3653">
        <v>899.77638125403769</v>
      </c>
      <c r="D3653" s="77">
        <v>149.96273020900628</v>
      </c>
      <c r="E3653" s="77">
        <v>149.96273020900628</v>
      </c>
      <c r="F3653" s="77">
        <v>149.96273020900628</v>
      </c>
      <c r="G3653" s="77">
        <v>149.96273020900628</v>
      </c>
      <c r="H3653" s="77">
        <v>149.96273020900628</v>
      </c>
      <c r="I3653" s="77">
        <v>149.96273020900628</v>
      </c>
    </row>
    <row r="3654" spans="2:9">
      <c r="B3654" s="76">
        <v>2023.7091874685332</v>
      </c>
      <c r="C3654">
        <v>1019.2773260212546</v>
      </c>
      <c r="D3654" s="77">
        <v>169.87955433687577</v>
      </c>
      <c r="E3654" s="77">
        <v>169.87955433687577</v>
      </c>
      <c r="F3654" s="77">
        <v>169.87955433687577</v>
      </c>
      <c r="G3654" s="77">
        <v>169.87955433687577</v>
      </c>
      <c r="H3654" s="77">
        <v>169.87955433687577</v>
      </c>
      <c r="I3654" s="77">
        <v>169.87955433687577</v>
      </c>
    </row>
    <row r="3655" spans="2:9">
      <c r="B3655" s="76">
        <v>2023.345847077527</v>
      </c>
      <c r="C3655">
        <v>954.71582665435062</v>
      </c>
      <c r="D3655" s="77">
        <v>159.11930444239178</v>
      </c>
      <c r="E3655" s="77">
        <v>159.11930444239178</v>
      </c>
      <c r="F3655" s="77">
        <v>159.11930444239178</v>
      </c>
      <c r="G3655" s="77">
        <v>159.11930444239178</v>
      </c>
      <c r="H3655" s="77">
        <v>159.11930444239178</v>
      </c>
      <c r="I3655" s="77">
        <v>159.11930444239178</v>
      </c>
    </row>
    <row r="3656" spans="2:9">
      <c r="B3656" s="76">
        <v>2023.1983482486135</v>
      </c>
      <c r="C3656">
        <v>873.09489472855194</v>
      </c>
      <c r="D3656" s="77">
        <v>145.515815788092</v>
      </c>
      <c r="E3656" s="77">
        <v>145.515815788092</v>
      </c>
      <c r="F3656" s="77">
        <v>145.515815788092</v>
      </c>
      <c r="G3656" s="77">
        <v>145.515815788092</v>
      </c>
      <c r="H3656" s="77">
        <v>145.515815788092</v>
      </c>
      <c r="I3656" s="77">
        <v>145.515815788092</v>
      </c>
    </row>
    <row r="3657" spans="2:9">
      <c r="B3657" s="76">
        <v>2023.4567131358165</v>
      </c>
      <c r="C3657">
        <v>982.55155865763686</v>
      </c>
      <c r="D3657" s="77">
        <v>163.75859310960615</v>
      </c>
      <c r="E3657" s="77">
        <v>163.75859310960615</v>
      </c>
      <c r="F3657" s="77">
        <v>163.75859310960615</v>
      </c>
      <c r="G3657" s="77">
        <v>163.75859310960615</v>
      </c>
      <c r="H3657" s="77">
        <v>163.75859310960615</v>
      </c>
      <c r="I3657" s="77">
        <v>163.75859310960615</v>
      </c>
    </row>
    <row r="3658" spans="2:9">
      <c r="B3658" s="76">
        <v>2025.3244036195008</v>
      </c>
      <c r="C3658">
        <v>1195.063792775481</v>
      </c>
      <c r="D3658" s="77">
        <v>199.17729879591352</v>
      </c>
      <c r="E3658" s="77">
        <v>199.17729879591352</v>
      </c>
      <c r="F3658" s="77">
        <v>199.17729879591352</v>
      </c>
      <c r="G3658" s="77">
        <v>199.17729879591352</v>
      </c>
      <c r="H3658" s="77">
        <v>199.17729879591352</v>
      </c>
      <c r="I3658" s="77">
        <v>199.17729879591352</v>
      </c>
    </row>
    <row r="3659" spans="2:9">
      <c r="B3659" s="76">
        <v>2022.9870891064518</v>
      </c>
      <c r="C3659">
        <v>944.45807834582013</v>
      </c>
      <c r="D3659" s="77">
        <v>157.40967972430334</v>
      </c>
      <c r="E3659" s="77">
        <v>157.40967972430334</v>
      </c>
      <c r="F3659" s="77">
        <v>157.40967972430334</v>
      </c>
      <c r="G3659" s="77">
        <v>157.40967972430334</v>
      </c>
      <c r="H3659" s="77">
        <v>157.40967972430334</v>
      </c>
      <c r="I3659" s="77">
        <v>157.40967972430334</v>
      </c>
    </row>
    <row r="3660" spans="2:9">
      <c r="B3660" s="76">
        <v>2024.910091922332</v>
      </c>
      <c r="C3660">
        <v>1062.4815751812864</v>
      </c>
      <c r="D3660" s="77">
        <v>177.08026253021441</v>
      </c>
      <c r="E3660" s="77">
        <v>177.08026253021441</v>
      </c>
      <c r="F3660" s="77">
        <v>177.08026253021441</v>
      </c>
      <c r="G3660" s="77">
        <v>177.08026253021441</v>
      </c>
      <c r="H3660" s="77">
        <v>177.08026253021441</v>
      </c>
      <c r="I3660" s="77">
        <v>177.08026253021441</v>
      </c>
    </row>
    <row r="3661" spans="2:9">
      <c r="B3661" s="76">
        <v>2024.7175940845311</v>
      </c>
      <c r="C3661">
        <v>1113.3813036456572</v>
      </c>
      <c r="D3661" s="77">
        <v>185.56355060760953</v>
      </c>
      <c r="E3661" s="77">
        <v>185.56355060760953</v>
      </c>
      <c r="F3661" s="77">
        <v>185.56355060760953</v>
      </c>
      <c r="G3661" s="77">
        <v>185.56355060760953</v>
      </c>
      <c r="H3661" s="77">
        <v>185.56355060760953</v>
      </c>
      <c r="I3661" s="77">
        <v>185.56355060760953</v>
      </c>
    </row>
    <row r="3662" spans="2:9">
      <c r="B3662" s="76">
        <v>2024.5077965224361</v>
      </c>
      <c r="C3662">
        <v>1071.0118836943509</v>
      </c>
      <c r="D3662" s="77">
        <v>178.50198061572516</v>
      </c>
      <c r="E3662" s="77">
        <v>178.50198061572516</v>
      </c>
      <c r="F3662" s="77">
        <v>178.50198061572516</v>
      </c>
      <c r="G3662" s="77">
        <v>178.50198061572516</v>
      </c>
      <c r="H3662" s="77">
        <v>178.50198061572516</v>
      </c>
      <c r="I3662" s="77">
        <v>178.50198061572516</v>
      </c>
    </row>
    <row r="3663" spans="2:9">
      <c r="B3663" s="76">
        <v>2024.4248145093661</v>
      </c>
      <c r="C3663">
        <v>1013.0638312822457</v>
      </c>
      <c r="D3663" s="77">
        <v>168.84397188037428</v>
      </c>
      <c r="E3663" s="77">
        <v>168.84397188037428</v>
      </c>
      <c r="F3663" s="77">
        <v>168.84397188037428</v>
      </c>
      <c r="G3663" s="77">
        <v>168.84397188037428</v>
      </c>
      <c r="H3663" s="77">
        <v>168.84397188037428</v>
      </c>
      <c r="I3663" s="77">
        <v>168.84397188037428</v>
      </c>
    </row>
    <row r="3664" spans="2:9">
      <c r="B3664" s="76">
        <v>2023.3940280939964</v>
      </c>
      <c r="C3664">
        <v>891.1582644541229</v>
      </c>
      <c r="D3664" s="77">
        <v>148.52637740902048</v>
      </c>
      <c r="E3664" s="77">
        <v>148.52637740902048</v>
      </c>
      <c r="F3664" s="77">
        <v>148.52637740902048</v>
      </c>
      <c r="G3664" s="77">
        <v>148.52637740902048</v>
      </c>
      <c r="H3664" s="77">
        <v>148.52637740902048</v>
      </c>
      <c r="I3664" s="77">
        <v>148.52637740902048</v>
      </c>
    </row>
    <row r="3665" spans="2:9">
      <c r="B3665" s="76">
        <v>2023.0448564671865</v>
      </c>
      <c r="C3665">
        <v>878.56095418125983</v>
      </c>
      <c r="D3665" s="77">
        <v>146.42682569687665</v>
      </c>
      <c r="E3665" s="77">
        <v>146.42682569687665</v>
      </c>
      <c r="F3665" s="77">
        <v>146.42682569687665</v>
      </c>
      <c r="G3665" s="77">
        <v>146.42682569687665</v>
      </c>
      <c r="H3665" s="77">
        <v>146.42682569687665</v>
      </c>
      <c r="I3665" s="77">
        <v>146.42682569687665</v>
      </c>
    </row>
    <row r="3666" spans="2:9">
      <c r="B3666" s="76">
        <v>2024.6831783900702</v>
      </c>
      <c r="C3666">
        <v>1104.5617599252273</v>
      </c>
      <c r="D3666" s="77">
        <v>184.09362665420454</v>
      </c>
      <c r="E3666" s="77">
        <v>184.09362665420454</v>
      </c>
      <c r="F3666" s="77">
        <v>184.09362665420454</v>
      </c>
      <c r="G3666" s="77">
        <v>184.09362665420454</v>
      </c>
      <c r="H3666" s="77">
        <v>184.09362665420454</v>
      </c>
      <c r="I3666" s="77">
        <v>184.09362665420454</v>
      </c>
    </row>
    <row r="3667" spans="2:9">
      <c r="B3667" s="76">
        <v>2023.5918266846513</v>
      </c>
      <c r="C3667">
        <v>963.82925821582262</v>
      </c>
      <c r="D3667" s="77">
        <v>160.63820970263711</v>
      </c>
      <c r="E3667" s="77">
        <v>160.63820970263711</v>
      </c>
      <c r="F3667" s="77">
        <v>160.63820970263711</v>
      </c>
      <c r="G3667" s="77">
        <v>160.63820970263711</v>
      </c>
      <c r="H3667" s="77">
        <v>160.63820970263711</v>
      </c>
      <c r="I3667" s="77">
        <v>160.63820970263711</v>
      </c>
    </row>
    <row r="3668" spans="2:9">
      <c r="B3668" s="76">
        <v>2023.3866102023662</v>
      </c>
      <c r="C3668">
        <v>945.9535257052413</v>
      </c>
      <c r="D3668" s="77">
        <v>157.65892095087355</v>
      </c>
      <c r="E3668" s="77">
        <v>157.65892095087355</v>
      </c>
      <c r="F3668" s="77">
        <v>157.65892095087355</v>
      </c>
      <c r="G3668" s="77">
        <v>157.65892095087355</v>
      </c>
      <c r="H3668" s="77">
        <v>157.65892095087355</v>
      </c>
      <c r="I3668" s="77">
        <v>157.65892095087355</v>
      </c>
    </row>
    <row r="3669" spans="2:9">
      <c r="B3669" s="76">
        <v>2025.3968119802714</v>
      </c>
      <c r="C3669">
        <v>1179.8229923114852</v>
      </c>
      <c r="D3669" s="77">
        <v>196.63716538524753</v>
      </c>
      <c r="E3669" s="77">
        <v>196.63716538524753</v>
      </c>
      <c r="F3669" s="77">
        <v>196.63716538524753</v>
      </c>
      <c r="G3669" s="77">
        <v>196.63716538524753</v>
      </c>
      <c r="H3669" s="77">
        <v>196.63716538524753</v>
      </c>
      <c r="I3669" s="77">
        <v>196.63716538524753</v>
      </c>
    </row>
    <row r="3670" spans="2:9">
      <c r="B3670" s="76">
        <v>2023.2923410903154</v>
      </c>
      <c r="C3670">
        <v>986.65939672361969</v>
      </c>
      <c r="D3670" s="77">
        <v>164.44323278726995</v>
      </c>
      <c r="E3670" s="77">
        <v>164.44323278726995</v>
      </c>
      <c r="F3670" s="77">
        <v>164.44323278726995</v>
      </c>
      <c r="G3670" s="77">
        <v>164.44323278726995</v>
      </c>
      <c r="H3670" s="77">
        <v>164.44323278726995</v>
      </c>
      <c r="I3670" s="77">
        <v>164.44323278726995</v>
      </c>
    </row>
    <row r="3671" spans="2:9">
      <c r="B3671" s="76">
        <v>2023.4889142920474</v>
      </c>
      <c r="C3671">
        <v>935.81086999066372</v>
      </c>
      <c r="D3671" s="77">
        <v>155.96847833177728</v>
      </c>
      <c r="E3671" s="77">
        <v>155.96847833177728</v>
      </c>
      <c r="F3671" s="77">
        <v>155.96847833177728</v>
      </c>
      <c r="G3671" s="77">
        <v>155.96847833177728</v>
      </c>
      <c r="H3671" s="77">
        <v>155.96847833177728</v>
      </c>
      <c r="I3671" s="77">
        <v>155.96847833177728</v>
      </c>
    </row>
    <row r="3672" spans="2:9">
      <c r="B3672" s="76">
        <v>2022.9765253018682</v>
      </c>
      <c r="C3672">
        <v>865.00507014445043</v>
      </c>
      <c r="D3672" s="77">
        <v>144.16751169074175</v>
      </c>
      <c r="E3672" s="77">
        <v>144.16751169074175</v>
      </c>
      <c r="F3672" s="77">
        <v>144.16751169074175</v>
      </c>
      <c r="G3672" s="77">
        <v>144.16751169074175</v>
      </c>
      <c r="H3672" s="77">
        <v>144.16751169074175</v>
      </c>
      <c r="I3672" s="77">
        <v>144.16751169074175</v>
      </c>
    </row>
    <row r="3673" spans="2:9">
      <c r="B3673" s="76">
        <v>2024.7221265266892</v>
      </c>
      <c r="C3673">
        <v>1063.3968967425001</v>
      </c>
      <c r="D3673" s="77">
        <v>177.23281612375001</v>
      </c>
      <c r="E3673" s="77">
        <v>177.23281612375001</v>
      </c>
      <c r="F3673" s="77">
        <v>177.23281612375001</v>
      </c>
      <c r="G3673" s="77">
        <v>177.23281612375001</v>
      </c>
      <c r="H3673" s="77">
        <v>177.23281612375001</v>
      </c>
      <c r="I3673" s="77">
        <v>177.23281612375001</v>
      </c>
    </row>
    <row r="3674" spans="2:9">
      <c r="B3674" s="76">
        <v>2022.8034619040279</v>
      </c>
      <c r="C3674">
        <v>864.11470962289957</v>
      </c>
      <c r="D3674" s="77">
        <v>144.01911827048326</v>
      </c>
      <c r="E3674" s="77">
        <v>144.01911827048326</v>
      </c>
      <c r="F3674" s="77">
        <v>144.01911827048326</v>
      </c>
      <c r="G3674" s="77">
        <v>144.01911827048326</v>
      </c>
      <c r="H3674" s="77">
        <v>144.01911827048326</v>
      </c>
      <c r="I3674" s="77">
        <v>144.01911827048326</v>
      </c>
    </row>
    <row r="3675" spans="2:9">
      <c r="B3675" s="76">
        <v>2023.9856673591585</v>
      </c>
      <c r="C3675">
        <v>981.9584161178235</v>
      </c>
      <c r="D3675" s="77">
        <v>163.65973601963725</v>
      </c>
      <c r="E3675" s="77">
        <v>163.65973601963725</v>
      </c>
      <c r="F3675" s="77">
        <v>163.65973601963725</v>
      </c>
      <c r="G3675" s="77">
        <v>163.65973601963725</v>
      </c>
      <c r="H3675" s="77">
        <v>163.65973601963725</v>
      </c>
      <c r="I3675" s="77">
        <v>163.65973601963725</v>
      </c>
    </row>
    <row r="3676" spans="2:9">
      <c r="B3676" s="76">
        <v>2023.0227358099858</v>
      </c>
      <c r="C3676">
        <v>906.76956169104028</v>
      </c>
      <c r="D3676" s="77">
        <v>151.12826028184006</v>
      </c>
      <c r="E3676" s="77">
        <v>151.12826028184006</v>
      </c>
      <c r="F3676" s="77">
        <v>151.12826028184006</v>
      </c>
      <c r="G3676" s="77">
        <v>151.12826028184006</v>
      </c>
      <c r="H3676" s="77">
        <v>151.12826028184006</v>
      </c>
      <c r="I3676" s="77">
        <v>151.12826028184006</v>
      </c>
    </row>
    <row r="3677" spans="2:9">
      <c r="B3677" s="76">
        <v>2024.1976177658958</v>
      </c>
      <c r="C3677">
        <v>1014.5190082197156</v>
      </c>
      <c r="D3677" s="77">
        <v>169.0865013699526</v>
      </c>
      <c r="E3677" s="77">
        <v>169.0865013699526</v>
      </c>
      <c r="F3677" s="77">
        <v>169.0865013699526</v>
      </c>
      <c r="G3677" s="77">
        <v>169.0865013699526</v>
      </c>
      <c r="H3677" s="77">
        <v>169.0865013699526</v>
      </c>
      <c r="I3677" s="77">
        <v>169.0865013699526</v>
      </c>
    </row>
    <row r="3678" spans="2:9">
      <c r="B3678" s="76">
        <v>2022.6790757372785</v>
      </c>
      <c r="C3678">
        <v>852.4879100964904</v>
      </c>
      <c r="D3678" s="77">
        <v>142.08131834941506</v>
      </c>
      <c r="E3678" s="77">
        <v>142.08131834941506</v>
      </c>
      <c r="F3678" s="77">
        <v>142.08131834941506</v>
      </c>
      <c r="G3678" s="77">
        <v>142.08131834941506</v>
      </c>
      <c r="H3678" s="77">
        <v>142.08131834941506</v>
      </c>
      <c r="I3678" s="77">
        <v>142.08131834941506</v>
      </c>
    </row>
    <row r="3679" spans="2:9">
      <c r="B3679" s="76">
        <v>2024.479199786477</v>
      </c>
      <c r="C3679">
        <v>1062.2910145864066</v>
      </c>
      <c r="D3679" s="77">
        <v>177.04850243106776</v>
      </c>
      <c r="E3679" s="77">
        <v>177.04850243106776</v>
      </c>
      <c r="F3679" s="77">
        <v>177.04850243106776</v>
      </c>
      <c r="G3679" s="77">
        <v>177.04850243106776</v>
      </c>
      <c r="H3679" s="77">
        <v>177.04850243106776</v>
      </c>
      <c r="I3679" s="77">
        <v>177.04850243106776</v>
      </c>
    </row>
    <row r="3680" spans="2:9">
      <c r="B3680" s="76">
        <v>2023.1929941489816</v>
      </c>
      <c r="C3680">
        <v>909.14954480791732</v>
      </c>
      <c r="D3680" s="77">
        <v>151.52492413465288</v>
      </c>
      <c r="E3680" s="77">
        <v>151.52492413465288</v>
      </c>
      <c r="F3680" s="77">
        <v>151.52492413465288</v>
      </c>
      <c r="G3680" s="77">
        <v>151.52492413465288</v>
      </c>
      <c r="H3680" s="77">
        <v>151.52492413465288</v>
      </c>
      <c r="I3680" s="77">
        <v>151.52492413465288</v>
      </c>
    </row>
    <row r="3681" spans="2:9">
      <c r="B3681" s="76">
        <v>2023.0684824878142</v>
      </c>
      <c r="C3681">
        <v>973.42714116094726</v>
      </c>
      <c r="D3681" s="77">
        <v>162.23785686015788</v>
      </c>
      <c r="E3681" s="77">
        <v>162.23785686015788</v>
      </c>
      <c r="F3681" s="77">
        <v>162.23785686015788</v>
      </c>
      <c r="G3681" s="77">
        <v>162.23785686015788</v>
      </c>
      <c r="H3681" s="77">
        <v>162.23785686015788</v>
      </c>
      <c r="I3681" s="77">
        <v>162.23785686015788</v>
      </c>
    </row>
    <row r="3682" spans="2:9">
      <c r="B3682" s="76">
        <v>2022.8418393983975</v>
      </c>
      <c r="C3682">
        <v>812.66364205227489</v>
      </c>
      <c r="D3682" s="77">
        <v>135.44394034204581</v>
      </c>
      <c r="E3682" s="77">
        <v>135.44394034204581</v>
      </c>
      <c r="F3682" s="77">
        <v>135.44394034204581</v>
      </c>
      <c r="G3682" s="77">
        <v>135.44394034204581</v>
      </c>
      <c r="H3682" s="77">
        <v>135.44394034204581</v>
      </c>
      <c r="I3682" s="77">
        <v>135.44394034204581</v>
      </c>
    </row>
    <row r="3683" spans="2:9">
      <c r="B3683" s="76">
        <v>2022.9164885431539</v>
      </c>
      <c r="C3683">
        <v>837.19965633211996</v>
      </c>
      <c r="D3683" s="77">
        <v>139.53327605535333</v>
      </c>
      <c r="E3683" s="77">
        <v>139.53327605535333</v>
      </c>
      <c r="F3683" s="77">
        <v>139.53327605535333</v>
      </c>
      <c r="G3683" s="77">
        <v>139.53327605535333</v>
      </c>
      <c r="H3683" s="77">
        <v>139.53327605535333</v>
      </c>
      <c r="I3683" s="77">
        <v>139.53327605535333</v>
      </c>
    </row>
    <row r="3684" spans="2:9">
      <c r="B3684" s="76">
        <v>2023.3781606230443</v>
      </c>
      <c r="C3684">
        <v>909.44501995248652</v>
      </c>
      <c r="D3684" s="77">
        <v>151.5741699920811</v>
      </c>
      <c r="E3684" s="77">
        <v>151.5741699920811</v>
      </c>
      <c r="F3684" s="77">
        <v>151.5741699920811</v>
      </c>
      <c r="G3684" s="77">
        <v>151.5741699920811</v>
      </c>
      <c r="H3684" s="77">
        <v>151.5741699920811</v>
      </c>
      <c r="I3684" s="77">
        <v>151.5741699920811</v>
      </c>
    </row>
    <row r="3685" spans="2:9">
      <c r="B3685" s="76">
        <v>2023.926446915332</v>
      </c>
      <c r="C3685">
        <v>969.47016987711743</v>
      </c>
      <c r="D3685" s="77">
        <v>161.57836164618624</v>
      </c>
      <c r="E3685" s="77">
        <v>161.57836164618624</v>
      </c>
      <c r="F3685" s="77">
        <v>161.57836164618624</v>
      </c>
      <c r="G3685" s="77">
        <v>161.57836164618624</v>
      </c>
      <c r="H3685" s="77">
        <v>161.57836164618624</v>
      </c>
      <c r="I3685" s="77">
        <v>161.57836164618624</v>
      </c>
    </row>
    <row r="3686" spans="2:9">
      <c r="B3686" s="76">
        <v>2024.5948203732553</v>
      </c>
      <c r="C3686">
        <v>1061.7177316042269</v>
      </c>
      <c r="D3686" s="77">
        <v>176.95295526737115</v>
      </c>
      <c r="E3686" s="77">
        <v>176.95295526737115</v>
      </c>
      <c r="F3686" s="77">
        <v>176.95295526737115</v>
      </c>
      <c r="G3686" s="77">
        <v>176.95295526737115</v>
      </c>
      <c r="H3686" s="77">
        <v>176.95295526737115</v>
      </c>
      <c r="I3686" s="77">
        <v>176.95295526737115</v>
      </c>
    </row>
    <row r="3687" spans="2:9">
      <c r="B3687" s="76">
        <v>2023.4934165322504</v>
      </c>
      <c r="C3687">
        <v>931.30092233882942</v>
      </c>
      <c r="D3687" s="77">
        <v>155.21682038980489</v>
      </c>
      <c r="E3687" s="77">
        <v>155.21682038980489</v>
      </c>
      <c r="F3687" s="77">
        <v>155.21682038980489</v>
      </c>
      <c r="G3687" s="77">
        <v>155.21682038980489</v>
      </c>
      <c r="H3687" s="77">
        <v>155.21682038980489</v>
      </c>
      <c r="I3687" s="77">
        <v>155.21682038980489</v>
      </c>
    </row>
    <row r="3688" spans="2:9">
      <c r="B3688" s="76">
        <v>2023.1916191439127</v>
      </c>
      <c r="C3688">
        <v>886.5439302114396</v>
      </c>
      <c r="D3688" s="77">
        <v>147.75732170190659</v>
      </c>
      <c r="E3688" s="77">
        <v>147.75732170190659</v>
      </c>
      <c r="F3688" s="77">
        <v>147.75732170190659</v>
      </c>
      <c r="G3688" s="77">
        <v>147.75732170190659</v>
      </c>
      <c r="H3688" s="77">
        <v>147.75732170190659</v>
      </c>
      <c r="I3688" s="77">
        <v>147.75732170190659</v>
      </c>
    </row>
    <row r="3689" spans="2:9">
      <c r="B3689" s="76">
        <v>2022.7163219426989</v>
      </c>
      <c r="C3689">
        <v>852.82249693225481</v>
      </c>
      <c r="D3689" s="77">
        <v>142.13708282204246</v>
      </c>
      <c r="E3689" s="77">
        <v>142.13708282204246</v>
      </c>
      <c r="F3689" s="77">
        <v>142.13708282204246</v>
      </c>
      <c r="G3689" s="77">
        <v>142.13708282204246</v>
      </c>
      <c r="H3689" s="77">
        <v>142.13708282204246</v>
      </c>
      <c r="I3689" s="77">
        <v>142.13708282204246</v>
      </c>
    </row>
    <row r="3690" spans="2:9">
      <c r="B3690" s="76">
        <v>2023.247465512211</v>
      </c>
      <c r="C3690">
        <v>881.54204579636519</v>
      </c>
      <c r="D3690" s="77">
        <v>146.92367429939421</v>
      </c>
      <c r="E3690" s="77">
        <v>146.92367429939421</v>
      </c>
      <c r="F3690" s="77">
        <v>146.92367429939421</v>
      </c>
      <c r="G3690" s="77">
        <v>146.92367429939421</v>
      </c>
      <c r="H3690" s="77">
        <v>146.92367429939421</v>
      </c>
      <c r="I3690" s="77">
        <v>146.92367429939421</v>
      </c>
    </row>
    <row r="3691" spans="2:9">
      <c r="B3691" s="76">
        <v>2022.9673878016074</v>
      </c>
      <c r="C3691">
        <v>792.09706474700567</v>
      </c>
      <c r="D3691" s="77">
        <v>132.01617745783429</v>
      </c>
      <c r="E3691" s="77">
        <v>132.01617745783429</v>
      </c>
      <c r="F3691" s="77">
        <v>132.01617745783429</v>
      </c>
      <c r="G3691" s="77">
        <v>132.01617745783429</v>
      </c>
      <c r="H3691" s="77">
        <v>132.01617745783429</v>
      </c>
      <c r="I3691" s="77">
        <v>132.01617745783429</v>
      </c>
    </row>
    <row r="3692" spans="2:9">
      <c r="B3692" s="76">
        <v>2023.1201010499519</v>
      </c>
      <c r="C3692">
        <v>900.00945258035074</v>
      </c>
      <c r="D3692" s="77">
        <v>150.00157543005847</v>
      </c>
      <c r="E3692" s="77">
        <v>150.00157543005847</v>
      </c>
      <c r="F3692" s="77">
        <v>150.00157543005847</v>
      </c>
      <c r="G3692" s="77">
        <v>150.00157543005847</v>
      </c>
      <c r="H3692" s="77">
        <v>150.00157543005847</v>
      </c>
      <c r="I3692" s="77">
        <v>150.00157543005847</v>
      </c>
    </row>
    <row r="3693" spans="2:9">
      <c r="B3693" s="76">
        <v>2023.3398541298866</v>
      </c>
      <c r="C3693">
        <v>949.23740018381329</v>
      </c>
      <c r="D3693" s="77">
        <v>158.20623336396889</v>
      </c>
      <c r="E3693" s="77">
        <v>158.20623336396889</v>
      </c>
      <c r="F3693" s="77">
        <v>158.20623336396889</v>
      </c>
      <c r="G3693" s="77">
        <v>158.20623336396889</v>
      </c>
      <c r="H3693" s="77">
        <v>158.20623336396889</v>
      </c>
      <c r="I3693" s="77">
        <v>158.20623336396889</v>
      </c>
    </row>
    <row r="3694" spans="2:9">
      <c r="B3694" s="76">
        <v>2022.6933495156914</v>
      </c>
      <c r="C3694">
        <v>828.60886700375045</v>
      </c>
      <c r="D3694" s="77">
        <v>138.1014778339584</v>
      </c>
      <c r="E3694" s="77">
        <v>138.1014778339584</v>
      </c>
      <c r="F3694" s="77">
        <v>138.1014778339584</v>
      </c>
      <c r="G3694" s="77">
        <v>138.1014778339584</v>
      </c>
      <c r="H3694" s="77">
        <v>138.1014778339584</v>
      </c>
      <c r="I3694" s="77">
        <v>138.1014778339584</v>
      </c>
    </row>
    <row r="3695" spans="2:9">
      <c r="B3695" s="76">
        <v>2023.2059878649786</v>
      </c>
      <c r="C3695">
        <v>956.27302596224251</v>
      </c>
      <c r="D3695" s="77">
        <v>159.37883766037376</v>
      </c>
      <c r="E3695" s="77">
        <v>159.37883766037376</v>
      </c>
      <c r="F3695" s="77">
        <v>159.37883766037376</v>
      </c>
      <c r="G3695" s="77">
        <v>159.37883766037376</v>
      </c>
      <c r="H3695" s="77">
        <v>159.37883766037376</v>
      </c>
      <c r="I3695" s="77">
        <v>159.37883766037376</v>
      </c>
    </row>
    <row r="3696" spans="2:9">
      <c r="B3696" s="76">
        <v>2023.5670951505595</v>
      </c>
      <c r="C3696">
        <v>946.92926210887788</v>
      </c>
      <c r="D3696" s="77">
        <v>157.82154368481298</v>
      </c>
      <c r="E3696" s="77">
        <v>157.82154368481298</v>
      </c>
      <c r="F3696" s="77">
        <v>157.82154368481298</v>
      </c>
      <c r="G3696" s="77">
        <v>157.82154368481298</v>
      </c>
      <c r="H3696" s="77">
        <v>157.82154368481298</v>
      </c>
      <c r="I3696" s="77">
        <v>157.82154368481298</v>
      </c>
    </row>
    <row r="3697" spans="2:9">
      <c r="B3697" s="76">
        <v>2023.2184915949265</v>
      </c>
      <c r="C3697">
        <v>904.51448704858876</v>
      </c>
      <c r="D3697" s="77">
        <v>150.75241450809813</v>
      </c>
      <c r="E3697" s="77">
        <v>150.75241450809813</v>
      </c>
      <c r="F3697" s="77">
        <v>150.75241450809813</v>
      </c>
      <c r="G3697" s="77">
        <v>150.75241450809813</v>
      </c>
      <c r="H3697" s="77">
        <v>150.75241450809813</v>
      </c>
      <c r="I3697" s="77">
        <v>150.75241450809813</v>
      </c>
    </row>
    <row r="3698" spans="2:9">
      <c r="B3698" s="76">
        <v>2023.4855493382724</v>
      </c>
      <c r="C3698">
        <v>907.34655935597675</v>
      </c>
      <c r="D3698" s="77">
        <v>151.22442655932946</v>
      </c>
      <c r="E3698" s="77">
        <v>151.22442655932946</v>
      </c>
      <c r="F3698" s="77">
        <v>151.22442655932946</v>
      </c>
      <c r="G3698" s="77">
        <v>151.22442655932946</v>
      </c>
      <c r="H3698" s="77">
        <v>151.22442655932946</v>
      </c>
      <c r="I3698" s="77">
        <v>151.22442655932946</v>
      </c>
    </row>
    <row r="3699" spans="2:9">
      <c r="B3699" s="76">
        <v>2023.3221317031312</v>
      </c>
      <c r="C3699">
        <v>872.0657069125574</v>
      </c>
      <c r="D3699" s="77">
        <v>145.34428448542624</v>
      </c>
      <c r="E3699" s="77">
        <v>145.34428448542624</v>
      </c>
      <c r="F3699" s="77">
        <v>145.34428448542624</v>
      </c>
      <c r="G3699" s="77">
        <v>145.34428448542624</v>
      </c>
      <c r="H3699" s="77">
        <v>145.34428448542624</v>
      </c>
      <c r="I3699" s="77">
        <v>145.34428448542624</v>
      </c>
    </row>
    <row r="3700" spans="2:9">
      <c r="B3700" s="76">
        <v>2025.0087001898316</v>
      </c>
      <c r="C3700">
        <v>1136.2201787946506</v>
      </c>
      <c r="D3700" s="77">
        <v>189.37002979910844</v>
      </c>
      <c r="E3700" s="77">
        <v>189.37002979910844</v>
      </c>
      <c r="F3700" s="77">
        <v>189.37002979910844</v>
      </c>
      <c r="G3700" s="77">
        <v>189.37002979910844</v>
      </c>
      <c r="H3700" s="77">
        <v>189.37002979910844</v>
      </c>
      <c r="I3700" s="77">
        <v>189.37002979910844</v>
      </c>
    </row>
    <row r="3701" spans="2:9">
      <c r="B3701" s="76">
        <v>2022.9935225564857</v>
      </c>
      <c r="C3701">
        <v>954.9978924107595</v>
      </c>
      <c r="D3701" s="77">
        <v>159.16631540179324</v>
      </c>
      <c r="E3701" s="77">
        <v>159.16631540179324</v>
      </c>
      <c r="F3701" s="77">
        <v>159.16631540179324</v>
      </c>
      <c r="G3701" s="77">
        <v>159.16631540179324</v>
      </c>
      <c r="H3701" s="77">
        <v>159.16631540179324</v>
      </c>
      <c r="I3701" s="77">
        <v>159.16631540179324</v>
      </c>
    </row>
    <row r="3702" spans="2:9">
      <c r="B3702" s="76">
        <v>2023.5034109762864</v>
      </c>
      <c r="C3702">
        <v>990.94974819223819</v>
      </c>
      <c r="D3702" s="77">
        <v>165.15829136537303</v>
      </c>
      <c r="E3702" s="77">
        <v>165.15829136537303</v>
      </c>
      <c r="F3702" s="77">
        <v>165.15829136537303</v>
      </c>
      <c r="G3702" s="77">
        <v>165.15829136537303</v>
      </c>
      <c r="H3702" s="77">
        <v>165.15829136537303</v>
      </c>
      <c r="I3702" s="77">
        <v>165.15829136537303</v>
      </c>
    </row>
    <row r="3703" spans="2:9">
      <c r="B3703" s="76">
        <v>2023.6274505770939</v>
      </c>
      <c r="C3703">
        <v>957.46632624490042</v>
      </c>
      <c r="D3703" s="77">
        <v>159.57772104081673</v>
      </c>
      <c r="E3703" s="77">
        <v>159.57772104081673</v>
      </c>
      <c r="F3703" s="77">
        <v>159.57772104081673</v>
      </c>
      <c r="G3703" s="77">
        <v>159.57772104081673</v>
      </c>
      <c r="H3703" s="77">
        <v>159.57772104081673</v>
      </c>
      <c r="I3703" s="77">
        <v>159.57772104081673</v>
      </c>
    </row>
    <row r="3704" spans="2:9">
      <c r="B3704" s="76">
        <v>2025.3403229937621</v>
      </c>
      <c r="C3704">
        <v>1161.5655217411058</v>
      </c>
      <c r="D3704" s="77">
        <v>193.59425362351763</v>
      </c>
      <c r="E3704" s="77">
        <v>193.59425362351763</v>
      </c>
      <c r="F3704" s="77">
        <v>193.59425362351763</v>
      </c>
      <c r="G3704" s="77">
        <v>193.59425362351763</v>
      </c>
      <c r="H3704" s="77">
        <v>193.59425362351763</v>
      </c>
      <c r="I3704" s="77">
        <v>193.59425362351763</v>
      </c>
    </row>
    <row r="3705" spans="2:9">
      <c r="B3705" s="76">
        <v>2024.475661718019</v>
      </c>
      <c r="C3705">
        <v>1022.5198114644645</v>
      </c>
      <c r="D3705" s="77">
        <v>170.41996857741074</v>
      </c>
      <c r="E3705" s="77">
        <v>170.41996857741074</v>
      </c>
      <c r="F3705" s="77">
        <v>170.41996857741074</v>
      </c>
      <c r="G3705" s="77">
        <v>170.41996857741074</v>
      </c>
      <c r="H3705" s="77">
        <v>170.41996857741074</v>
      </c>
      <c r="I3705" s="77">
        <v>170.41996857741074</v>
      </c>
    </row>
    <row r="3706" spans="2:9">
      <c r="B3706" s="76">
        <v>2023.4313277067706</v>
      </c>
      <c r="C3706">
        <v>903.22199294547158</v>
      </c>
      <c r="D3706" s="77">
        <v>150.53699882424527</v>
      </c>
      <c r="E3706" s="77">
        <v>150.53699882424527</v>
      </c>
      <c r="F3706" s="77">
        <v>150.53699882424527</v>
      </c>
      <c r="G3706" s="77">
        <v>150.53699882424527</v>
      </c>
      <c r="H3706" s="77">
        <v>150.53699882424527</v>
      </c>
      <c r="I3706" s="77">
        <v>150.53699882424527</v>
      </c>
    </row>
    <row r="3707" spans="2:9">
      <c r="B3707" s="76">
        <v>2023.3752505540224</v>
      </c>
      <c r="C3707">
        <v>911.1286674532023</v>
      </c>
      <c r="D3707" s="77">
        <v>151.85477790886705</v>
      </c>
      <c r="E3707" s="77">
        <v>151.85477790886705</v>
      </c>
      <c r="F3707" s="77">
        <v>151.85477790886705</v>
      </c>
      <c r="G3707" s="77">
        <v>151.85477790886705</v>
      </c>
      <c r="H3707" s="77">
        <v>151.85477790886705</v>
      </c>
      <c r="I3707" s="77">
        <v>151.85477790886705</v>
      </c>
    </row>
    <row r="3708" spans="2:9">
      <c r="B3708" s="76">
        <v>2023.0982358406357</v>
      </c>
      <c r="C3708">
        <v>897.34643805916539</v>
      </c>
      <c r="D3708" s="77">
        <v>149.55773967652758</v>
      </c>
      <c r="E3708" s="77">
        <v>149.55773967652758</v>
      </c>
      <c r="F3708" s="77">
        <v>149.55773967652758</v>
      </c>
      <c r="G3708" s="77">
        <v>149.55773967652758</v>
      </c>
      <c r="H3708" s="77">
        <v>149.55773967652758</v>
      </c>
      <c r="I3708" s="77">
        <v>149.55773967652758</v>
      </c>
    </row>
    <row r="3709" spans="2:9">
      <c r="B3709" s="76">
        <v>2023.5563773252261</v>
      </c>
      <c r="C3709">
        <v>918.26608746970669</v>
      </c>
      <c r="D3709" s="77">
        <v>153.04434791161779</v>
      </c>
      <c r="E3709" s="77">
        <v>153.04434791161779</v>
      </c>
      <c r="F3709" s="77">
        <v>153.04434791161779</v>
      </c>
      <c r="G3709" s="77">
        <v>153.04434791161779</v>
      </c>
      <c r="H3709" s="77">
        <v>153.04434791161779</v>
      </c>
      <c r="I3709" s="77">
        <v>153.04434791161779</v>
      </c>
    </row>
    <row r="3710" spans="2:9">
      <c r="B3710" s="76">
        <v>2022.6482358017411</v>
      </c>
      <c r="C3710">
        <v>877.89949829829857</v>
      </c>
      <c r="D3710" s="77">
        <v>146.31658304971643</v>
      </c>
      <c r="E3710" s="77">
        <v>146.31658304971643</v>
      </c>
      <c r="F3710" s="77">
        <v>146.31658304971643</v>
      </c>
      <c r="G3710" s="77">
        <v>146.31658304971643</v>
      </c>
      <c r="H3710" s="77">
        <v>146.31658304971643</v>
      </c>
      <c r="I3710" s="77">
        <v>146.31658304971643</v>
      </c>
    </row>
    <row r="3711" spans="2:9">
      <c r="B3711" s="76">
        <v>2022.7876156961836</v>
      </c>
      <c r="C3711">
        <v>875.68208999640376</v>
      </c>
      <c r="D3711" s="77">
        <v>145.94701499940064</v>
      </c>
      <c r="E3711" s="77">
        <v>145.94701499940064</v>
      </c>
      <c r="F3711" s="77">
        <v>145.94701499940064</v>
      </c>
      <c r="G3711" s="77">
        <v>145.94701499940064</v>
      </c>
      <c r="H3711" s="77">
        <v>145.94701499940064</v>
      </c>
      <c r="I3711" s="77">
        <v>145.94701499940064</v>
      </c>
    </row>
    <row r="3712" spans="2:9">
      <c r="B3712" s="76">
        <v>2023.1024427827681</v>
      </c>
      <c r="C3712">
        <v>873.99218202113138</v>
      </c>
      <c r="D3712" s="77">
        <v>145.66536367018855</v>
      </c>
      <c r="E3712" s="77">
        <v>145.66536367018855</v>
      </c>
      <c r="F3712" s="77">
        <v>145.66536367018855</v>
      </c>
      <c r="G3712" s="77">
        <v>145.66536367018855</v>
      </c>
      <c r="H3712" s="77">
        <v>145.66536367018855</v>
      </c>
      <c r="I3712" s="77">
        <v>145.66536367018855</v>
      </c>
    </row>
    <row r="3713" spans="2:9">
      <c r="B3713" s="76">
        <v>2023.8626636513086</v>
      </c>
      <c r="C3713">
        <v>995.65847339295669</v>
      </c>
      <c r="D3713" s="77">
        <v>165.94307889882612</v>
      </c>
      <c r="E3713" s="77">
        <v>165.94307889882612</v>
      </c>
      <c r="F3713" s="77">
        <v>165.94307889882612</v>
      </c>
      <c r="G3713" s="77">
        <v>165.94307889882612</v>
      </c>
      <c r="H3713" s="77">
        <v>165.94307889882612</v>
      </c>
      <c r="I3713" s="77">
        <v>165.94307889882612</v>
      </c>
    </row>
    <row r="3714" spans="2:9">
      <c r="B3714" s="76">
        <v>2023.2190708011926</v>
      </c>
      <c r="C3714">
        <v>889.64295665614418</v>
      </c>
      <c r="D3714" s="77">
        <v>148.27382610935737</v>
      </c>
      <c r="E3714" s="77">
        <v>148.27382610935737</v>
      </c>
      <c r="F3714" s="77">
        <v>148.27382610935737</v>
      </c>
      <c r="G3714" s="77">
        <v>148.27382610935737</v>
      </c>
      <c r="H3714" s="77">
        <v>148.27382610935737</v>
      </c>
      <c r="I3714" s="77">
        <v>148.27382610935737</v>
      </c>
    </row>
    <row r="3715" spans="2:9">
      <c r="B3715" s="76">
        <v>2023.0452614729504</v>
      </c>
      <c r="C3715">
        <v>889.38553829858506</v>
      </c>
      <c r="D3715" s="77">
        <v>148.23092304976419</v>
      </c>
      <c r="E3715" s="77">
        <v>148.23092304976419</v>
      </c>
      <c r="F3715" s="77">
        <v>148.23092304976419</v>
      </c>
      <c r="G3715" s="77">
        <v>148.23092304976419</v>
      </c>
      <c r="H3715" s="77">
        <v>148.23092304976419</v>
      </c>
      <c r="I3715" s="77">
        <v>148.23092304976419</v>
      </c>
    </row>
    <row r="3716" spans="2:9">
      <c r="B3716" s="76">
        <v>2022.8675906439287</v>
      </c>
      <c r="C3716">
        <v>845.24707390831259</v>
      </c>
      <c r="D3716" s="77">
        <v>140.8745123180521</v>
      </c>
      <c r="E3716" s="77">
        <v>140.8745123180521</v>
      </c>
      <c r="F3716" s="77">
        <v>140.8745123180521</v>
      </c>
      <c r="G3716" s="77">
        <v>140.8745123180521</v>
      </c>
      <c r="H3716" s="77">
        <v>140.8745123180521</v>
      </c>
      <c r="I3716" s="77">
        <v>140.8745123180521</v>
      </c>
    </row>
    <row r="3717" spans="2:9">
      <c r="B3717" s="76">
        <v>2023.1453297160144</v>
      </c>
      <c r="C3717">
        <v>880.63277254681611</v>
      </c>
      <c r="D3717" s="77">
        <v>146.77212875780268</v>
      </c>
      <c r="E3717" s="77">
        <v>146.77212875780268</v>
      </c>
      <c r="F3717" s="77">
        <v>146.77212875780268</v>
      </c>
      <c r="G3717" s="77">
        <v>146.77212875780268</v>
      </c>
      <c r="H3717" s="77">
        <v>146.77212875780268</v>
      </c>
      <c r="I3717" s="77">
        <v>146.77212875780268</v>
      </c>
    </row>
    <row r="3718" spans="2:9">
      <c r="B3718" s="76">
        <v>2025.0687594691913</v>
      </c>
      <c r="C3718">
        <v>1185.3970677013008</v>
      </c>
      <c r="D3718" s="77">
        <v>197.5661779502168</v>
      </c>
      <c r="E3718" s="77">
        <v>197.5661779502168</v>
      </c>
      <c r="F3718" s="77">
        <v>197.5661779502168</v>
      </c>
      <c r="G3718" s="77">
        <v>197.5661779502168</v>
      </c>
      <c r="H3718" s="77">
        <v>197.5661779502168</v>
      </c>
      <c r="I3718" s="77">
        <v>197.5661779502168</v>
      </c>
    </row>
    <row r="3719" spans="2:9">
      <c r="B3719" s="76">
        <v>2022.941204952632</v>
      </c>
      <c r="C3719">
        <v>873.21472078396425</v>
      </c>
      <c r="D3719" s="77">
        <v>145.53578679732738</v>
      </c>
      <c r="E3719" s="77">
        <v>145.53578679732738</v>
      </c>
      <c r="F3719" s="77">
        <v>145.53578679732738</v>
      </c>
      <c r="G3719" s="77">
        <v>145.53578679732738</v>
      </c>
      <c r="H3719" s="77">
        <v>145.53578679732738</v>
      </c>
      <c r="I3719" s="77">
        <v>145.53578679732738</v>
      </c>
    </row>
    <row r="3720" spans="2:9">
      <c r="B3720" s="76">
        <v>2023.0296619071489</v>
      </c>
      <c r="C3720">
        <v>848.94335978987897</v>
      </c>
      <c r="D3720" s="77">
        <v>141.49055996497984</v>
      </c>
      <c r="E3720" s="77">
        <v>141.49055996497984</v>
      </c>
      <c r="F3720" s="77">
        <v>141.49055996497984</v>
      </c>
      <c r="G3720" s="77">
        <v>141.49055996497984</v>
      </c>
      <c r="H3720" s="77">
        <v>141.49055996497984</v>
      </c>
      <c r="I3720" s="77">
        <v>141.49055996497984</v>
      </c>
    </row>
    <row r="3721" spans="2:9">
      <c r="B3721" s="76">
        <v>2025.1787504833483</v>
      </c>
      <c r="C3721">
        <v>1136.4818951788598</v>
      </c>
      <c r="D3721" s="77">
        <v>189.41364919647663</v>
      </c>
      <c r="E3721" s="77">
        <v>189.41364919647663</v>
      </c>
      <c r="F3721" s="77">
        <v>189.41364919647663</v>
      </c>
      <c r="G3721" s="77">
        <v>189.41364919647663</v>
      </c>
      <c r="H3721" s="77">
        <v>189.41364919647663</v>
      </c>
      <c r="I3721" s="77">
        <v>189.41364919647663</v>
      </c>
    </row>
    <row r="3722" spans="2:9">
      <c r="B3722" s="76">
        <v>2025.7549207306988</v>
      </c>
      <c r="C3722">
        <v>1212.5631046084766</v>
      </c>
      <c r="D3722" s="77">
        <v>202.09385076807942</v>
      </c>
      <c r="E3722" s="77">
        <v>202.09385076807942</v>
      </c>
      <c r="F3722" s="77">
        <v>202.09385076807942</v>
      </c>
      <c r="G3722" s="77">
        <v>202.09385076807942</v>
      </c>
      <c r="H3722" s="77">
        <v>202.09385076807942</v>
      </c>
      <c r="I3722" s="77">
        <v>202.09385076807942</v>
      </c>
    </row>
    <row r="3723" spans="2:9">
      <c r="B3723" s="76">
        <v>2024.8914251025865</v>
      </c>
      <c r="C3723">
        <v>1157.0069227533631</v>
      </c>
      <c r="D3723" s="77">
        <v>192.83448712556051</v>
      </c>
      <c r="E3723" s="77">
        <v>192.83448712556051</v>
      </c>
      <c r="F3723" s="77">
        <v>192.83448712556051</v>
      </c>
      <c r="G3723" s="77">
        <v>192.83448712556051</v>
      </c>
      <c r="H3723" s="77">
        <v>192.83448712556051</v>
      </c>
      <c r="I3723" s="77">
        <v>192.83448712556051</v>
      </c>
    </row>
    <row r="3724" spans="2:9">
      <c r="B3724" s="76">
        <v>2023.0676640170277</v>
      </c>
      <c r="C3724">
        <v>887.00422970417435</v>
      </c>
      <c r="D3724" s="77">
        <v>147.83403828402905</v>
      </c>
      <c r="E3724" s="77">
        <v>147.83403828402905</v>
      </c>
      <c r="F3724" s="77">
        <v>147.83403828402905</v>
      </c>
      <c r="G3724" s="77">
        <v>147.83403828402905</v>
      </c>
      <c r="H3724" s="77">
        <v>147.83403828402905</v>
      </c>
      <c r="I3724" s="77">
        <v>147.83403828402905</v>
      </c>
    </row>
    <row r="3725" spans="2:9">
      <c r="B3725" s="76">
        <v>2023.2258329077574</v>
      </c>
      <c r="C3725">
        <v>942.70652105054819</v>
      </c>
      <c r="D3725" s="77">
        <v>157.1177535084247</v>
      </c>
      <c r="E3725" s="77">
        <v>157.1177535084247</v>
      </c>
      <c r="F3725" s="77">
        <v>157.1177535084247</v>
      </c>
      <c r="G3725" s="77">
        <v>157.1177535084247</v>
      </c>
      <c r="H3725" s="77">
        <v>157.1177535084247</v>
      </c>
      <c r="I3725" s="77">
        <v>157.1177535084247</v>
      </c>
    </row>
    <row r="3726" spans="2:9">
      <c r="B3726" s="76">
        <v>2023.2810652441469</v>
      </c>
      <c r="C3726">
        <v>981.56566747522265</v>
      </c>
      <c r="D3726" s="77">
        <v>163.59427791253711</v>
      </c>
      <c r="E3726" s="77">
        <v>163.59427791253711</v>
      </c>
      <c r="F3726" s="77">
        <v>163.59427791253711</v>
      </c>
      <c r="G3726" s="77">
        <v>163.59427791253711</v>
      </c>
      <c r="H3726" s="77">
        <v>163.59427791253711</v>
      </c>
      <c r="I3726" s="77">
        <v>163.59427791253711</v>
      </c>
    </row>
    <row r="3727" spans="2:9">
      <c r="B3727" s="76">
        <v>2024.6107011937565</v>
      </c>
      <c r="C3727">
        <v>1140.9204194789418</v>
      </c>
      <c r="D3727" s="77">
        <v>190.15340324649029</v>
      </c>
      <c r="E3727" s="77">
        <v>190.15340324649029</v>
      </c>
      <c r="F3727" s="77">
        <v>190.15340324649029</v>
      </c>
      <c r="G3727" s="77">
        <v>190.15340324649029</v>
      </c>
      <c r="H3727" s="77">
        <v>190.15340324649029</v>
      </c>
      <c r="I3727" s="77">
        <v>190.15340324649029</v>
      </c>
    </row>
    <row r="3728" spans="2:9">
      <c r="B3728" s="76">
        <v>2022.9720381698842</v>
      </c>
      <c r="C3728">
        <v>898.53456355851665</v>
      </c>
      <c r="D3728" s="77">
        <v>149.75576059308611</v>
      </c>
      <c r="E3728" s="77">
        <v>149.75576059308611</v>
      </c>
      <c r="F3728" s="77">
        <v>149.75576059308611</v>
      </c>
      <c r="G3728" s="77">
        <v>149.75576059308611</v>
      </c>
      <c r="H3728" s="77">
        <v>149.75576059308611</v>
      </c>
      <c r="I3728" s="77">
        <v>149.75576059308611</v>
      </c>
    </row>
    <row r="3729" spans="2:9">
      <c r="B3729" s="76">
        <v>2023.0853688563125</v>
      </c>
      <c r="C3729">
        <v>932.73183356834193</v>
      </c>
      <c r="D3729" s="77">
        <v>155.45530559472365</v>
      </c>
      <c r="E3729" s="77">
        <v>155.45530559472365</v>
      </c>
      <c r="F3729" s="77">
        <v>155.45530559472365</v>
      </c>
      <c r="G3729" s="77">
        <v>155.45530559472365</v>
      </c>
      <c r="H3729" s="77">
        <v>155.45530559472365</v>
      </c>
      <c r="I3729" s="77">
        <v>155.45530559472365</v>
      </c>
    </row>
    <row r="3730" spans="2:9">
      <c r="B3730" s="76">
        <v>2023.1726644395935</v>
      </c>
      <c r="C3730">
        <v>891.58627150262396</v>
      </c>
      <c r="D3730" s="77">
        <v>148.59771191710399</v>
      </c>
      <c r="E3730" s="77">
        <v>148.59771191710399</v>
      </c>
      <c r="F3730" s="77">
        <v>148.59771191710399</v>
      </c>
      <c r="G3730" s="77">
        <v>148.59771191710399</v>
      </c>
      <c r="H3730" s="77">
        <v>148.59771191710399</v>
      </c>
      <c r="I3730" s="77">
        <v>148.59771191710399</v>
      </c>
    </row>
    <row r="3731" spans="2:9">
      <c r="B3731" s="76">
        <v>2025.6092435148455</v>
      </c>
      <c r="C3731">
        <v>1205.4567903848506</v>
      </c>
      <c r="D3731" s="77">
        <v>200.90946506414176</v>
      </c>
      <c r="E3731" s="77">
        <v>200.90946506414176</v>
      </c>
      <c r="F3731" s="77">
        <v>200.90946506414176</v>
      </c>
      <c r="G3731" s="77">
        <v>200.90946506414176</v>
      </c>
      <c r="H3731" s="77">
        <v>200.90946506414176</v>
      </c>
      <c r="I3731" s="77">
        <v>200.90946506414176</v>
      </c>
    </row>
    <row r="3732" spans="2:9">
      <c r="B3732" s="76">
        <v>2023.0634626682959</v>
      </c>
      <c r="C3732">
        <v>850.56224718903604</v>
      </c>
      <c r="D3732" s="77">
        <v>141.76037453150602</v>
      </c>
      <c r="E3732" s="77">
        <v>141.76037453150602</v>
      </c>
      <c r="F3732" s="77">
        <v>141.76037453150602</v>
      </c>
      <c r="G3732" s="77">
        <v>141.76037453150602</v>
      </c>
      <c r="H3732" s="77">
        <v>141.76037453150602</v>
      </c>
      <c r="I3732" s="77">
        <v>141.76037453150602</v>
      </c>
    </row>
    <row r="3733" spans="2:9">
      <c r="B3733" s="76">
        <v>2022.9421175852499</v>
      </c>
      <c r="C3733">
        <v>826.18109082087494</v>
      </c>
      <c r="D3733" s="77">
        <v>137.69684847014582</v>
      </c>
      <c r="E3733" s="77">
        <v>137.69684847014582</v>
      </c>
      <c r="F3733" s="77">
        <v>137.69684847014582</v>
      </c>
      <c r="G3733" s="77">
        <v>137.69684847014582</v>
      </c>
      <c r="H3733" s="77">
        <v>137.69684847014582</v>
      </c>
      <c r="I3733" s="77">
        <v>137.69684847014582</v>
      </c>
    </row>
    <row r="3734" spans="2:9">
      <c r="B3734" s="76">
        <v>2023.0362729035151</v>
      </c>
      <c r="C3734">
        <v>879.17638334226388</v>
      </c>
      <c r="D3734" s="77">
        <v>146.52939722371065</v>
      </c>
      <c r="E3734" s="77">
        <v>146.52939722371065</v>
      </c>
      <c r="F3734" s="77">
        <v>146.52939722371065</v>
      </c>
      <c r="G3734" s="77">
        <v>146.52939722371065</v>
      </c>
      <c r="H3734" s="77">
        <v>146.52939722371065</v>
      </c>
      <c r="I3734" s="77">
        <v>146.52939722371065</v>
      </c>
    </row>
    <row r="3735" spans="2:9">
      <c r="B3735" s="76">
        <v>2024.7710621880326</v>
      </c>
      <c r="C3735">
        <v>1171.5170874129622</v>
      </c>
      <c r="D3735" s="77">
        <v>195.25284790216037</v>
      </c>
      <c r="E3735" s="77">
        <v>195.25284790216037</v>
      </c>
      <c r="F3735" s="77">
        <v>195.25284790216037</v>
      </c>
      <c r="G3735" s="77">
        <v>195.25284790216037</v>
      </c>
      <c r="H3735" s="77">
        <v>195.25284790216037</v>
      </c>
      <c r="I3735" s="77">
        <v>195.25284790216037</v>
      </c>
    </row>
    <row r="3736" spans="2:9">
      <c r="B3736" s="76">
        <v>2024.8366909127653</v>
      </c>
      <c r="C3736">
        <v>1128.2689542479966</v>
      </c>
      <c r="D3736" s="77">
        <v>188.04482570799942</v>
      </c>
      <c r="E3736" s="77">
        <v>188.04482570799942</v>
      </c>
      <c r="F3736" s="77">
        <v>188.04482570799942</v>
      </c>
      <c r="G3736" s="77">
        <v>188.04482570799942</v>
      </c>
      <c r="H3736" s="77">
        <v>188.04482570799942</v>
      </c>
      <c r="I3736" s="77">
        <v>188.04482570799942</v>
      </c>
    </row>
    <row r="3737" spans="2:9">
      <c r="B3737" s="76">
        <v>2022.9199926095139</v>
      </c>
      <c r="C3737">
        <v>815.46654107252061</v>
      </c>
      <c r="D3737" s="77">
        <v>135.91109017875343</v>
      </c>
      <c r="E3737" s="77">
        <v>135.91109017875343</v>
      </c>
      <c r="F3737" s="77">
        <v>135.91109017875343</v>
      </c>
      <c r="G3737" s="77">
        <v>135.91109017875343</v>
      </c>
      <c r="H3737" s="77">
        <v>135.91109017875343</v>
      </c>
      <c r="I3737" s="77">
        <v>135.91109017875343</v>
      </c>
    </row>
    <row r="3738" spans="2:9">
      <c r="B3738" s="76">
        <v>2022.9124203770498</v>
      </c>
      <c r="C3738">
        <v>846.43469938727003</v>
      </c>
      <c r="D3738" s="77">
        <v>141.07244989787833</v>
      </c>
      <c r="E3738" s="77">
        <v>141.07244989787833</v>
      </c>
      <c r="F3738" s="77">
        <v>141.07244989787833</v>
      </c>
      <c r="G3738" s="77">
        <v>141.07244989787833</v>
      </c>
      <c r="H3738" s="77">
        <v>141.07244989787833</v>
      </c>
      <c r="I3738" s="77">
        <v>141.07244989787833</v>
      </c>
    </row>
    <row r="3739" spans="2:9">
      <c r="B3739" s="76">
        <v>2022.7093744538599</v>
      </c>
      <c r="C3739">
        <v>856.23747066484862</v>
      </c>
      <c r="D3739" s="77">
        <v>142.70624511080811</v>
      </c>
      <c r="E3739" s="77">
        <v>142.70624511080811</v>
      </c>
      <c r="F3739" s="77">
        <v>142.70624511080811</v>
      </c>
      <c r="G3739" s="77">
        <v>142.70624511080811</v>
      </c>
      <c r="H3739" s="77">
        <v>142.70624511080811</v>
      </c>
      <c r="I3739" s="77">
        <v>142.70624511080811</v>
      </c>
    </row>
    <row r="3740" spans="2:9">
      <c r="B3740" s="76">
        <v>2025.5618448748721</v>
      </c>
      <c r="C3740">
        <v>1176.1212414396591</v>
      </c>
      <c r="D3740" s="77">
        <v>196.02020690660984</v>
      </c>
      <c r="E3740" s="77">
        <v>196.02020690660984</v>
      </c>
      <c r="F3740" s="77">
        <v>196.02020690660984</v>
      </c>
      <c r="G3740" s="77">
        <v>196.02020690660984</v>
      </c>
      <c r="H3740" s="77">
        <v>196.02020690660984</v>
      </c>
      <c r="I3740" s="77">
        <v>196.02020690660984</v>
      </c>
    </row>
    <row r="3741" spans="2:9">
      <c r="B3741" s="76">
        <v>2024.4489890982568</v>
      </c>
      <c r="C3741">
        <v>1056.8805736694167</v>
      </c>
      <c r="D3741" s="77">
        <v>176.14676227823611</v>
      </c>
      <c r="E3741" s="77">
        <v>176.14676227823611</v>
      </c>
      <c r="F3741" s="77">
        <v>176.14676227823611</v>
      </c>
      <c r="G3741" s="77">
        <v>176.14676227823611</v>
      </c>
      <c r="H3741" s="77">
        <v>176.14676227823611</v>
      </c>
      <c r="I3741" s="77">
        <v>176.14676227823611</v>
      </c>
    </row>
    <row r="3742" spans="2:9">
      <c r="B3742" s="76">
        <v>2023.1953787230834</v>
      </c>
      <c r="C3742">
        <v>896.95559200339699</v>
      </c>
      <c r="D3742" s="77">
        <v>149.49259866723284</v>
      </c>
      <c r="E3742" s="77">
        <v>149.49259866723284</v>
      </c>
      <c r="F3742" s="77">
        <v>149.49259866723284</v>
      </c>
      <c r="G3742" s="77">
        <v>149.49259866723284</v>
      </c>
      <c r="H3742" s="77">
        <v>149.49259866723284</v>
      </c>
      <c r="I3742" s="77">
        <v>149.49259866723284</v>
      </c>
    </row>
    <row r="3743" spans="2:9">
      <c r="B3743" s="76">
        <v>2024.8490655830878</v>
      </c>
      <c r="C3743">
        <v>1183.2447798328419</v>
      </c>
      <c r="D3743" s="77">
        <v>197.20746330547365</v>
      </c>
      <c r="E3743" s="77">
        <v>197.20746330547365</v>
      </c>
      <c r="F3743" s="77">
        <v>197.20746330547365</v>
      </c>
      <c r="G3743" s="77">
        <v>197.20746330547365</v>
      </c>
      <c r="H3743" s="77">
        <v>197.20746330547365</v>
      </c>
      <c r="I3743" s="77">
        <v>197.20746330547365</v>
      </c>
    </row>
    <row r="3744" spans="2:9">
      <c r="B3744" s="76">
        <v>2023.2534487441349</v>
      </c>
      <c r="C3744">
        <v>980.84174312253424</v>
      </c>
      <c r="D3744" s="77">
        <v>163.4736238537557</v>
      </c>
      <c r="E3744" s="77">
        <v>163.4736238537557</v>
      </c>
      <c r="F3744" s="77">
        <v>163.4736238537557</v>
      </c>
      <c r="G3744" s="77">
        <v>163.4736238537557</v>
      </c>
      <c r="H3744" s="77">
        <v>163.4736238537557</v>
      </c>
      <c r="I3744" s="77">
        <v>163.4736238537557</v>
      </c>
    </row>
    <row r="3745" spans="2:9">
      <c r="B3745" s="76">
        <v>2023.0977595297991</v>
      </c>
      <c r="C3745">
        <v>925.86662027626562</v>
      </c>
      <c r="D3745" s="77">
        <v>154.31110337937761</v>
      </c>
      <c r="E3745" s="77">
        <v>154.31110337937761</v>
      </c>
      <c r="F3745" s="77">
        <v>154.31110337937761</v>
      </c>
      <c r="G3745" s="77">
        <v>154.31110337937761</v>
      </c>
      <c r="H3745" s="77">
        <v>154.31110337937761</v>
      </c>
      <c r="I3745" s="77">
        <v>154.31110337937761</v>
      </c>
    </row>
    <row r="3746" spans="2:9">
      <c r="B3746" s="76">
        <v>2023.2904827956183</v>
      </c>
      <c r="C3746">
        <v>917.21730119426377</v>
      </c>
      <c r="D3746" s="77">
        <v>152.86955019904397</v>
      </c>
      <c r="E3746" s="77">
        <v>152.86955019904397</v>
      </c>
      <c r="F3746" s="77">
        <v>152.86955019904397</v>
      </c>
      <c r="G3746" s="77">
        <v>152.86955019904397</v>
      </c>
      <c r="H3746" s="77">
        <v>152.86955019904397</v>
      </c>
      <c r="I3746" s="77">
        <v>152.86955019904397</v>
      </c>
    </row>
    <row r="3747" spans="2:9">
      <c r="B3747" s="76">
        <v>2022.7803824280027</v>
      </c>
      <c r="C3747">
        <v>867.93819293169054</v>
      </c>
      <c r="D3747" s="77">
        <v>144.65636548861508</v>
      </c>
      <c r="E3747" s="77">
        <v>144.65636548861508</v>
      </c>
      <c r="F3747" s="77">
        <v>144.65636548861508</v>
      </c>
      <c r="G3747" s="77">
        <v>144.65636548861508</v>
      </c>
      <c r="H3747" s="77">
        <v>144.65636548861508</v>
      </c>
      <c r="I3747" s="77">
        <v>144.65636548861508</v>
      </c>
    </row>
    <row r="3748" spans="2:9">
      <c r="B3748" s="76">
        <v>2022.7507801468523</v>
      </c>
      <c r="C3748">
        <v>915.77798430620453</v>
      </c>
      <c r="D3748" s="77">
        <v>152.6296640510341</v>
      </c>
      <c r="E3748" s="77">
        <v>152.6296640510341</v>
      </c>
      <c r="F3748" s="77">
        <v>152.6296640510341</v>
      </c>
      <c r="G3748" s="77">
        <v>152.6296640510341</v>
      </c>
      <c r="H3748" s="77">
        <v>152.6296640510341</v>
      </c>
      <c r="I3748" s="77">
        <v>152.6296640510341</v>
      </c>
    </row>
    <row r="3749" spans="2:9">
      <c r="B3749" s="76">
        <v>2025.0382264779889</v>
      </c>
      <c r="C3749">
        <v>1210.2317270433978</v>
      </c>
      <c r="D3749" s="77">
        <v>201.70528784056629</v>
      </c>
      <c r="E3749" s="77">
        <v>201.70528784056629</v>
      </c>
      <c r="F3749" s="77">
        <v>201.70528784056629</v>
      </c>
      <c r="G3749" s="77">
        <v>201.70528784056629</v>
      </c>
      <c r="H3749" s="77">
        <v>201.70528784056629</v>
      </c>
      <c r="I3749" s="77">
        <v>201.70528784056629</v>
      </c>
    </row>
    <row r="3750" spans="2:9">
      <c r="B3750" s="76">
        <v>2025.1191902110509</v>
      </c>
      <c r="C3750">
        <v>1224.5426170022465</v>
      </c>
      <c r="D3750" s="77">
        <v>204.09043616704108</v>
      </c>
      <c r="E3750" s="77">
        <v>204.09043616704108</v>
      </c>
      <c r="F3750" s="77">
        <v>204.09043616704108</v>
      </c>
      <c r="G3750" s="77">
        <v>204.09043616704108</v>
      </c>
      <c r="H3750" s="77">
        <v>204.09043616704108</v>
      </c>
      <c r="I3750" s="77">
        <v>204.09043616704108</v>
      </c>
    </row>
    <row r="3751" spans="2:9">
      <c r="B3751" s="76">
        <v>2023.2362424684213</v>
      </c>
      <c r="C3751">
        <v>900.10179069369542</v>
      </c>
      <c r="D3751" s="77">
        <v>150.0169651156159</v>
      </c>
      <c r="E3751" s="77">
        <v>150.0169651156159</v>
      </c>
      <c r="F3751" s="77">
        <v>150.0169651156159</v>
      </c>
      <c r="G3751" s="77">
        <v>150.0169651156159</v>
      </c>
      <c r="H3751" s="77">
        <v>150.0169651156159</v>
      </c>
      <c r="I3751" s="77">
        <v>150.0169651156159</v>
      </c>
    </row>
    <row r="3752" spans="2:9">
      <c r="B3752" s="76">
        <v>2023.3215811138855</v>
      </c>
      <c r="C3752">
        <v>912.16908197664645</v>
      </c>
      <c r="D3752" s="77">
        <v>152.02818032944108</v>
      </c>
      <c r="E3752" s="77">
        <v>152.02818032944108</v>
      </c>
      <c r="F3752" s="77">
        <v>152.02818032944108</v>
      </c>
      <c r="G3752" s="77">
        <v>152.02818032944108</v>
      </c>
      <c r="H3752" s="77">
        <v>152.02818032944108</v>
      </c>
      <c r="I3752" s="77">
        <v>152.02818032944108</v>
      </c>
    </row>
    <row r="3753" spans="2:9">
      <c r="B3753" s="76">
        <v>2025.1396234313484</v>
      </c>
      <c r="C3753">
        <v>1206.8542568381311</v>
      </c>
      <c r="D3753" s="77">
        <v>201.14237613968851</v>
      </c>
      <c r="E3753" s="77">
        <v>201.14237613968851</v>
      </c>
      <c r="F3753" s="77">
        <v>201.14237613968851</v>
      </c>
      <c r="G3753" s="77">
        <v>201.14237613968851</v>
      </c>
      <c r="H3753" s="77">
        <v>201.14237613968851</v>
      </c>
      <c r="I3753" s="77">
        <v>201.14237613968851</v>
      </c>
    </row>
    <row r="3754" spans="2:9">
      <c r="B3754" s="76">
        <v>2023.1762458848691</v>
      </c>
      <c r="C3754">
        <v>964.82267739466624</v>
      </c>
      <c r="D3754" s="77">
        <v>160.80377956577772</v>
      </c>
      <c r="E3754" s="77">
        <v>160.80377956577772</v>
      </c>
      <c r="F3754" s="77">
        <v>160.80377956577772</v>
      </c>
      <c r="G3754" s="77">
        <v>160.80377956577772</v>
      </c>
      <c r="H3754" s="77">
        <v>160.80377956577772</v>
      </c>
      <c r="I3754" s="77">
        <v>160.80377956577772</v>
      </c>
    </row>
    <row r="3755" spans="2:9">
      <c r="B3755" s="76">
        <v>2024.4809969936175</v>
      </c>
      <c r="C3755">
        <v>986.04132401267111</v>
      </c>
      <c r="D3755" s="77">
        <v>164.34022066877853</v>
      </c>
      <c r="E3755" s="77">
        <v>164.34022066877853</v>
      </c>
      <c r="F3755" s="77">
        <v>164.34022066877853</v>
      </c>
      <c r="G3755" s="77">
        <v>164.34022066877853</v>
      </c>
      <c r="H3755" s="77">
        <v>164.34022066877853</v>
      </c>
      <c r="I3755" s="77">
        <v>164.34022066877853</v>
      </c>
    </row>
    <row r="3756" spans="2:9">
      <c r="B3756" s="76">
        <v>2023.430110246758</v>
      </c>
      <c r="C3756">
        <v>918.00238080812403</v>
      </c>
      <c r="D3756" s="77">
        <v>153.00039680135401</v>
      </c>
      <c r="E3756" s="77">
        <v>153.00039680135401</v>
      </c>
      <c r="F3756" s="77">
        <v>153.00039680135401</v>
      </c>
      <c r="G3756" s="77">
        <v>153.00039680135401</v>
      </c>
      <c r="H3756" s="77">
        <v>153.00039680135401</v>
      </c>
      <c r="I3756" s="77">
        <v>153.00039680135401</v>
      </c>
    </row>
    <row r="3757" spans="2:9">
      <c r="B3757" s="76">
        <v>2023.1860049797531</v>
      </c>
      <c r="C3757">
        <v>894.07635430066057</v>
      </c>
      <c r="D3757" s="77">
        <v>149.01272571677677</v>
      </c>
      <c r="E3757" s="77">
        <v>149.01272571677677</v>
      </c>
      <c r="F3757" s="77">
        <v>149.01272571677677</v>
      </c>
      <c r="G3757" s="77">
        <v>149.01272571677677</v>
      </c>
      <c r="H3757" s="77">
        <v>149.01272571677677</v>
      </c>
      <c r="I3757" s="77">
        <v>149.01272571677677</v>
      </c>
    </row>
    <row r="3758" spans="2:9">
      <c r="B3758" s="76">
        <v>2023.1867923196764</v>
      </c>
      <c r="C3758">
        <v>924.67159841907073</v>
      </c>
      <c r="D3758" s="77">
        <v>154.11193306984512</v>
      </c>
      <c r="E3758" s="77">
        <v>154.11193306984512</v>
      </c>
      <c r="F3758" s="77">
        <v>154.11193306984512</v>
      </c>
      <c r="G3758" s="77">
        <v>154.11193306984512</v>
      </c>
      <c r="H3758" s="77">
        <v>154.11193306984512</v>
      </c>
      <c r="I3758" s="77">
        <v>154.11193306984512</v>
      </c>
    </row>
    <row r="3759" spans="2:9">
      <c r="B3759" s="76">
        <v>2023.0224610885739</v>
      </c>
      <c r="C3759">
        <v>878.19422178606123</v>
      </c>
      <c r="D3759" s="77">
        <v>146.36570363101021</v>
      </c>
      <c r="E3759" s="77">
        <v>146.36570363101021</v>
      </c>
      <c r="F3759" s="77">
        <v>146.36570363101021</v>
      </c>
      <c r="G3759" s="77">
        <v>146.36570363101021</v>
      </c>
      <c r="H3759" s="77">
        <v>146.36570363101021</v>
      </c>
      <c r="I3759" s="77">
        <v>146.36570363101021</v>
      </c>
    </row>
    <row r="3760" spans="2:9">
      <c r="B3760" s="76">
        <v>2023.2030116220315</v>
      </c>
      <c r="C3760">
        <v>970.24778249743815</v>
      </c>
      <c r="D3760" s="77">
        <v>161.70796374957303</v>
      </c>
      <c r="E3760" s="77">
        <v>161.70796374957303</v>
      </c>
      <c r="F3760" s="77">
        <v>161.70796374957303</v>
      </c>
      <c r="G3760" s="77">
        <v>161.70796374957303</v>
      </c>
      <c r="H3760" s="77">
        <v>161.70796374957303</v>
      </c>
      <c r="I3760" s="77">
        <v>161.70796374957303</v>
      </c>
    </row>
    <row r="3761" spans="2:9">
      <c r="B3761" s="76">
        <v>2023.1689843281808</v>
      </c>
      <c r="C3761">
        <v>873.38752658027306</v>
      </c>
      <c r="D3761" s="77">
        <v>145.56458776337885</v>
      </c>
      <c r="E3761" s="77">
        <v>145.56458776337885</v>
      </c>
      <c r="F3761" s="77">
        <v>145.56458776337885</v>
      </c>
      <c r="G3761" s="77">
        <v>145.56458776337885</v>
      </c>
      <c r="H3761" s="77">
        <v>145.56458776337885</v>
      </c>
      <c r="I3761" s="77">
        <v>145.56458776337885</v>
      </c>
    </row>
    <row r="3762" spans="2:9">
      <c r="B3762" s="76">
        <v>2022.9628505731546</v>
      </c>
      <c r="C3762">
        <v>894.0182285345744</v>
      </c>
      <c r="D3762" s="77">
        <v>149.00303808909572</v>
      </c>
      <c r="E3762" s="77">
        <v>149.00303808909572</v>
      </c>
      <c r="F3762" s="77">
        <v>149.00303808909572</v>
      </c>
      <c r="G3762" s="77">
        <v>149.00303808909572</v>
      </c>
      <c r="H3762" s="77">
        <v>149.00303808909572</v>
      </c>
      <c r="I3762" s="77">
        <v>149.00303808909572</v>
      </c>
    </row>
    <row r="3763" spans="2:9">
      <c r="B3763" s="76">
        <v>2023.1984567594668</v>
      </c>
      <c r="C3763">
        <v>884.71159207854271</v>
      </c>
      <c r="D3763" s="77">
        <v>147.45193201309044</v>
      </c>
      <c r="E3763" s="77">
        <v>147.45193201309044</v>
      </c>
      <c r="F3763" s="77">
        <v>147.45193201309044</v>
      </c>
      <c r="G3763" s="77">
        <v>147.45193201309044</v>
      </c>
      <c r="H3763" s="77">
        <v>147.45193201309044</v>
      </c>
      <c r="I3763" s="77">
        <v>147.45193201309044</v>
      </c>
    </row>
    <row r="3764" spans="2:9">
      <c r="B3764" s="76">
        <v>2023.1890768192434</v>
      </c>
      <c r="C3764">
        <v>914.60679047590747</v>
      </c>
      <c r="D3764" s="77">
        <v>152.4344650793179</v>
      </c>
      <c r="E3764" s="77">
        <v>152.4344650793179</v>
      </c>
      <c r="F3764" s="77">
        <v>152.4344650793179</v>
      </c>
      <c r="G3764" s="77">
        <v>152.4344650793179</v>
      </c>
      <c r="H3764" s="77">
        <v>152.4344650793179</v>
      </c>
      <c r="I3764" s="77">
        <v>152.4344650793179</v>
      </c>
    </row>
    <row r="3765" spans="2:9">
      <c r="B3765" s="76">
        <v>2023.510429991353</v>
      </c>
      <c r="C3765">
        <v>925.43494033787931</v>
      </c>
      <c r="D3765" s="77">
        <v>154.23915672297989</v>
      </c>
      <c r="E3765" s="77">
        <v>154.23915672297989</v>
      </c>
      <c r="F3765" s="77">
        <v>154.23915672297989</v>
      </c>
      <c r="G3765" s="77">
        <v>154.23915672297989</v>
      </c>
      <c r="H3765" s="77">
        <v>154.23915672297989</v>
      </c>
      <c r="I3765" s="77">
        <v>154.23915672297989</v>
      </c>
    </row>
    <row r="3766" spans="2:9">
      <c r="B3766" s="76">
        <v>2022.8959007410469</v>
      </c>
      <c r="C3766">
        <v>851.97652109172918</v>
      </c>
      <c r="D3766" s="77">
        <v>141.99608684862153</v>
      </c>
      <c r="E3766" s="77">
        <v>141.99608684862153</v>
      </c>
      <c r="F3766" s="77">
        <v>141.99608684862153</v>
      </c>
      <c r="G3766" s="77">
        <v>141.99608684862153</v>
      </c>
      <c r="H3766" s="77">
        <v>141.99608684862153</v>
      </c>
      <c r="I3766" s="77">
        <v>141.99608684862153</v>
      </c>
    </row>
    <row r="3767" spans="2:9">
      <c r="B3767" s="76">
        <v>2024.7982534561352</v>
      </c>
      <c r="C3767">
        <v>1109.6588735534972</v>
      </c>
      <c r="D3767" s="77">
        <v>184.94314559224952</v>
      </c>
      <c r="E3767" s="77">
        <v>184.94314559224952</v>
      </c>
      <c r="F3767" s="77">
        <v>184.94314559224952</v>
      </c>
      <c r="G3767" s="77">
        <v>184.94314559224952</v>
      </c>
      <c r="H3767" s="77">
        <v>184.94314559224952</v>
      </c>
      <c r="I3767" s="77">
        <v>184.94314559224952</v>
      </c>
    </row>
    <row r="3768" spans="2:9">
      <c r="B3768" s="76">
        <v>2022.9848281179045</v>
      </c>
      <c r="C3768">
        <v>932.16726680426098</v>
      </c>
      <c r="D3768" s="77">
        <v>155.36121113404349</v>
      </c>
      <c r="E3768" s="77">
        <v>155.36121113404349</v>
      </c>
      <c r="F3768" s="77">
        <v>155.36121113404349</v>
      </c>
      <c r="G3768" s="77">
        <v>155.36121113404349</v>
      </c>
      <c r="H3768" s="77">
        <v>155.36121113404349</v>
      </c>
      <c r="I3768" s="77">
        <v>155.36121113404349</v>
      </c>
    </row>
    <row r="3769" spans="2:9">
      <c r="B3769" s="76">
        <v>2022.6885292700847</v>
      </c>
      <c r="C3769">
        <v>847.69135338508727</v>
      </c>
      <c r="D3769" s="77">
        <v>141.28189223084789</v>
      </c>
      <c r="E3769" s="77">
        <v>141.28189223084789</v>
      </c>
      <c r="F3769" s="77">
        <v>141.28189223084789</v>
      </c>
      <c r="G3769" s="77">
        <v>141.28189223084789</v>
      </c>
      <c r="H3769" s="77">
        <v>141.28189223084789</v>
      </c>
      <c r="I3769" s="77">
        <v>141.28189223084789</v>
      </c>
    </row>
    <row r="3770" spans="2:9">
      <c r="B3770" s="76">
        <v>2025.8287534887429</v>
      </c>
      <c r="C3770">
        <v>1277.6122311451938</v>
      </c>
      <c r="D3770" s="77">
        <v>212.93537185753232</v>
      </c>
      <c r="E3770" s="77">
        <v>212.93537185753232</v>
      </c>
      <c r="F3770" s="77">
        <v>212.93537185753232</v>
      </c>
      <c r="G3770" s="77">
        <v>212.93537185753232</v>
      </c>
      <c r="H3770" s="77">
        <v>212.93537185753232</v>
      </c>
      <c r="I3770" s="77">
        <v>212.93537185753232</v>
      </c>
    </row>
    <row r="3771" spans="2:9">
      <c r="B3771" s="76">
        <v>2023.3103710483038</v>
      </c>
      <c r="C3771">
        <v>928.71882093588476</v>
      </c>
      <c r="D3771" s="77">
        <v>154.78647015598079</v>
      </c>
      <c r="E3771" s="77">
        <v>154.78647015598079</v>
      </c>
      <c r="F3771" s="77">
        <v>154.78647015598079</v>
      </c>
      <c r="G3771" s="77">
        <v>154.78647015598079</v>
      </c>
      <c r="H3771" s="77">
        <v>154.78647015598079</v>
      </c>
      <c r="I3771" s="77">
        <v>154.78647015598079</v>
      </c>
    </row>
    <row r="3772" spans="2:9">
      <c r="B3772" s="76">
        <v>2023.1144428604966</v>
      </c>
      <c r="C3772">
        <v>905.01072686619318</v>
      </c>
      <c r="D3772" s="77">
        <v>150.83512114436553</v>
      </c>
      <c r="E3772" s="77">
        <v>150.83512114436553</v>
      </c>
      <c r="F3772" s="77">
        <v>150.83512114436553</v>
      </c>
      <c r="G3772" s="77">
        <v>150.83512114436553</v>
      </c>
      <c r="H3772" s="77">
        <v>150.83512114436553</v>
      </c>
      <c r="I3772" s="77">
        <v>150.83512114436553</v>
      </c>
    </row>
    <row r="3773" spans="2:9">
      <c r="B3773" s="76">
        <v>2024.794618875336</v>
      </c>
      <c r="C3773">
        <v>1126.4599659085343</v>
      </c>
      <c r="D3773" s="77">
        <v>187.74332765142239</v>
      </c>
      <c r="E3773" s="77">
        <v>187.74332765142239</v>
      </c>
      <c r="F3773" s="77">
        <v>187.74332765142239</v>
      </c>
      <c r="G3773" s="77">
        <v>187.74332765142239</v>
      </c>
      <c r="H3773" s="77">
        <v>187.74332765142239</v>
      </c>
      <c r="I3773" s="77">
        <v>187.74332765142239</v>
      </c>
    </row>
    <row r="3774" spans="2:9">
      <c r="B3774" s="76">
        <v>2022.7818541174795</v>
      </c>
      <c r="C3774">
        <v>848.46285482206497</v>
      </c>
      <c r="D3774" s="77">
        <v>141.41047580367749</v>
      </c>
      <c r="E3774" s="77">
        <v>141.41047580367749</v>
      </c>
      <c r="F3774" s="77">
        <v>141.41047580367749</v>
      </c>
      <c r="G3774" s="77">
        <v>141.41047580367749</v>
      </c>
      <c r="H3774" s="77">
        <v>141.41047580367749</v>
      </c>
      <c r="I3774" s="77">
        <v>141.41047580367749</v>
      </c>
    </row>
    <row r="3775" spans="2:9">
      <c r="B3775" s="76">
        <v>2023.1220462032909</v>
      </c>
      <c r="C3775">
        <v>946.1703089880009</v>
      </c>
      <c r="D3775" s="77">
        <v>157.69505149800014</v>
      </c>
      <c r="E3775" s="77">
        <v>157.69505149800014</v>
      </c>
      <c r="F3775" s="77">
        <v>157.69505149800014</v>
      </c>
      <c r="G3775" s="77">
        <v>157.69505149800014</v>
      </c>
      <c r="H3775" s="77">
        <v>157.69505149800014</v>
      </c>
      <c r="I3775" s="77">
        <v>157.69505149800014</v>
      </c>
    </row>
    <row r="3776" spans="2:9">
      <c r="B3776" s="76">
        <v>2022.863660376594</v>
      </c>
      <c r="C3776">
        <v>809.5574914623644</v>
      </c>
      <c r="D3776" s="77">
        <v>134.92624857706073</v>
      </c>
      <c r="E3776" s="77">
        <v>134.92624857706073</v>
      </c>
      <c r="F3776" s="77">
        <v>134.92624857706073</v>
      </c>
      <c r="G3776" s="77">
        <v>134.92624857706073</v>
      </c>
      <c r="H3776" s="77">
        <v>134.92624857706073</v>
      </c>
      <c r="I3776" s="77">
        <v>134.92624857706073</v>
      </c>
    </row>
    <row r="3777" spans="2:9">
      <c r="B3777" s="76">
        <v>2024.3394708200219</v>
      </c>
      <c r="C3777">
        <v>1069.005969981692</v>
      </c>
      <c r="D3777" s="77">
        <v>178.16766166361535</v>
      </c>
      <c r="E3777" s="77">
        <v>178.16766166361535</v>
      </c>
      <c r="F3777" s="77">
        <v>178.16766166361535</v>
      </c>
      <c r="G3777" s="77">
        <v>178.16766166361535</v>
      </c>
      <c r="H3777" s="77">
        <v>178.16766166361535</v>
      </c>
      <c r="I3777" s="77">
        <v>178.16766166361535</v>
      </c>
    </row>
    <row r="3778" spans="2:9">
      <c r="B3778" s="76">
        <v>2022.8740393400428</v>
      </c>
      <c r="C3778">
        <v>889.27758269280662</v>
      </c>
      <c r="D3778" s="77">
        <v>148.2129304488011</v>
      </c>
      <c r="E3778" s="77">
        <v>148.2129304488011</v>
      </c>
      <c r="F3778" s="77">
        <v>148.2129304488011</v>
      </c>
      <c r="G3778" s="77">
        <v>148.2129304488011</v>
      </c>
      <c r="H3778" s="77">
        <v>148.2129304488011</v>
      </c>
      <c r="I3778" s="77">
        <v>148.2129304488011</v>
      </c>
    </row>
    <row r="3779" spans="2:9">
      <c r="B3779" s="76">
        <v>2024.4673200798029</v>
      </c>
      <c r="C3779">
        <v>1109.9900873549013</v>
      </c>
      <c r="D3779" s="77">
        <v>184.99834789248357</v>
      </c>
      <c r="E3779" s="77">
        <v>184.99834789248357</v>
      </c>
      <c r="F3779" s="77">
        <v>184.99834789248357</v>
      </c>
      <c r="G3779" s="77">
        <v>184.99834789248357</v>
      </c>
      <c r="H3779" s="77">
        <v>184.99834789248357</v>
      </c>
      <c r="I3779" s="77">
        <v>184.99834789248357</v>
      </c>
    </row>
    <row r="3780" spans="2:9">
      <c r="B3780" s="76">
        <v>2023.1994574056914</v>
      </c>
      <c r="C3780">
        <v>989.73607170822811</v>
      </c>
      <c r="D3780" s="77">
        <v>164.95601195137135</v>
      </c>
      <c r="E3780" s="77">
        <v>164.95601195137135</v>
      </c>
      <c r="F3780" s="77">
        <v>164.95601195137135</v>
      </c>
      <c r="G3780" s="77">
        <v>164.95601195137135</v>
      </c>
      <c r="H3780" s="77">
        <v>164.95601195137135</v>
      </c>
      <c r="I3780" s="77">
        <v>164.95601195137135</v>
      </c>
    </row>
    <row r="3781" spans="2:9">
      <c r="B3781" s="76">
        <v>2025.1153054472027</v>
      </c>
      <c r="C3781">
        <v>1243.391953137344</v>
      </c>
      <c r="D3781" s="77">
        <v>207.23199218955733</v>
      </c>
      <c r="E3781" s="77">
        <v>207.23199218955733</v>
      </c>
      <c r="F3781" s="77">
        <v>207.23199218955733</v>
      </c>
      <c r="G3781" s="77">
        <v>207.23199218955733</v>
      </c>
      <c r="H3781" s="77">
        <v>207.23199218955733</v>
      </c>
      <c r="I3781" s="77">
        <v>207.23199218955733</v>
      </c>
    </row>
    <row r="3782" spans="2:9">
      <c r="B3782" s="76">
        <v>2022.6464619999995</v>
      </c>
      <c r="C3782">
        <v>830.27237330086405</v>
      </c>
      <c r="D3782" s="77">
        <v>138.37872888347735</v>
      </c>
      <c r="E3782" s="77">
        <v>138.37872888347735</v>
      </c>
      <c r="F3782" s="77">
        <v>138.37872888347735</v>
      </c>
      <c r="G3782" s="77">
        <v>138.37872888347735</v>
      </c>
      <c r="H3782" s="77">
        <v>138.37872888347735</v>
      </c>
      <c r="I3782" s="77">
        <v>138.37872888347735</v>
      </c>
    </row>
    <row r="3783" spans="2:9">
      <c r="B3783" s="76">
        <v>2023.3751734084635</v>
      </c>
      <c r="C3783">
        <v>887.74077311313783</v>
      </c>
      <c r="D3783" s="77">
        <v>147.9567955188563</v>
      </c>
      <c r="E3783" s="77">
        <v>147.9567955188563</v>
      </c>
      <c r="F3783" s="77">
        <v>147.9567955188563</v>
      </c>
      <c r="G3783" s="77">
        <v>147.9567955188563</v>
      </c>
      <c r="H3783" s="77">
        <v>147.9567955188563</v>
      </c>
      <c r="I3783" s="77">
        <v>147.9567955188563</v>
      </c>
    </row>
    <row r="3784" spans="2:9">
      <c r="B3784" s="76">
        <v>2022.9878810541745</v>
      </c>
      <c r="C3784">
        <v>877.68778807075455</v>
      </c>
      <c r="D3784" s="77">
        <v>146.28129801179242</v>
      </c>
      <c r="E3784" s="77">
        <v>146.28129801179242</v>
      </c>
      <c r="F3784" s="77">
        <v>146.28129801179242</v>
      </c>
      <c r="G3784" s="77">
        <v>146.28129801179242</v>
      </c>
      <c r="H3784" s="77">
        <v>146.28129801179242</v>
      </c>
      <c r="I3784" s="77">
        <v>146.28129801179242</v>
      </c>
    </row>
    <row r="3785" spans="2:9">
      <c r="B3785" s="76">
        <v>2022.8382266478129</v>
      </c>
      <c r="C3785">
        <v>928.59072648731274</v>
      </c>
      <c r="D3785" s="77">
        <v>154.76512108121878</v>
      </c>
      <c r="E3785" s="77">
        <v>154.76512108121878</v>
      </c>
      <c r="F3785" s="77">
        <v>154.76512108121878</v>
      </c>
      <c r="G3785" s="77">
        <v>154.76512108121878</v>
      </c>
      <c r="H3785" s="77">
        <v>154.76512108121878</v>
      </c>
      <c r="I3785" s="77">
        <v>154.76512108121878</v>
      </c>
    </row>
    <row r="3786" spans="2:9">
      <c r="B3786" s="76">
        <v>2025.6443096544817</v>
      </c>
      <c r="C3786">
        <v>1203.1661325091573</v>
      </c>
      <c r="D3786" s="77">
        <v>200.5276887515262</v>
      </c>
      <c r="E3786" s="77">
        <v>200.5276887515262</v>
      </c>
      <c r="F3786" s="77">
        <v>200.5276887515262</v>
      </c>
      <c r="G3786" s="77">
        <v>200.5276887515262</v>
      </c>
      <c r="H3786" s="77">
        <v>200.5276887515262</v>
      </c>
      <c r="I3786" s="77">
        <v>200.5276887515262</v>
      </c>
    </row>
    <row r="3787" spans="2:9">
      <c r="B3787" s="76">
        <v>2025.162461511947</v>
      </c>
      <c r="C3787">
        <v>1081.6784945600514</v>
      </c>
      <c r="D3787" s="77">
        <v>180.27974909334191</v>
      </c>
      <c r="E3787" s="77">
        <v>180.27974909334191</v>
      </c>
      <c r="F3787" s="77">
        <v>180.27974909334191</v>
      </c>
      <c r="G3787" s="77">
        <v>180.27974909334191</v>
      </c>
      <c r="H3787" s="77">
        <v>180.27974909334191</v>
      </c>
      <c r="I3787" s="77">
        <v>180.27974909334191</v>
      </c>
    </row>
    <row r="3788" spans="2:9">
      <c r="B3788" s="76">
        <v>2023.6852827566859</v>
      </c>
      <c r="C3788">
        <v>982.07654771325497</v>
      </c>
      <c r="D3788" s="77">
        <v>163.67942461887583</v>
      </c>
      <c r="E3788" s="77">
        <v>163.67942461887583</v>
      </c>
      <c r="F3788" s="77">
        <v>163.67942461887583</v>
      </c>
      <c r="G3788" s="77">
        <v>163.67942461887583</v>
      </c>
      <c r="H3788" s="77">
        <v>163.67942461887583</v>
      </c>
      <c r="I3788" s="77">
        <v>163.67942461887583</v>
      </c>
    </row>
    <row r="3789" spans="2:9">
      <c r="B3789" s="76">
        <v>2023.1956532410095</v>
      </c>
      <c r="C3789">
        <v>922.52548347168772</v>
      </c>
      <c r="D3789" s="77">
        <v>153.75424724528128</v>
      </c>
      <c r="E3789" s="77">
        <v>153.75424724528128</v>
      </c>
      <c r="F3789" s="77">
        <v>153.75424724528128</v>
      </c>
      <c r="G3789" s="77">
        <v>153.75424724528128</v>
      </c>
      <c r="H3789" s="77">
        <v>153.75424724528128</v>
      </c>
      <c r="I3789" s="77">
        <v>153.75424724528128</v>
      </c>
    </row>
    <row r="3790" spans="2:9">
      <c r="B3790" s="76">
        <v>2023.5296157643259</v>
      </c>
      <c r="C3790">
        <v>885.90094674023771</v>
      </c>
      <c r="D3790" s="77">
        <v>147.65015779003963</v>
      </c>
      <c r="E3790" s="77">
        <v>147.65015779003963</v>
      </c>
      <c r="F3790" s="77">
        <v>147.65015779003963</v>
      </c>
      <c r="G3790" s="77">
        <v>147.65015779003963</v>
      </c>
      <c r="H3790" s="77">
        <v>147.65015779003963</v>
      </c>
      <c r="I3790" s="77">
        <v>147.65015779003963</v>
      </c>
    </row>
    <row r="3791" spans="2:9">
      <c r="B3791" s="76">
        <v>2022.9586397240039</v>
      </c>
      <c r="C3791">
        <v>833.31641728382931</v>
      </c>
      <c r="D3791" s="77">
        <v>138.88606954730488</v>
      </c>
      <c r="E3791" s="77">
        <v>138.88606954730488</v>
      </c>
      <c r="F3791" s="77">
        <v>138.88606954730488</v>
      </c>
      <c r="G3791" s="77">
        <v>138.88606954730488</v>
      </c>
      <c r="H3791" s="77">
        <v>138.88606954730488</v>
      </c>
      <c r="I3791" s="77">
        <v>138.88606954730488</v>
      </c>
    </row>
    <row r="3792" spans="2:9">
      <c r="B3792" s="76">
        <v>2023.1243528856864</v>
      </c>
      <c r="C3792">
        <v>893.33563815910793</v>
      </c>
      <c r="D3792" s="77">
        <v>148.889273026518</v>
      </c>
      <c r="E3792" s="77">
        <v>148.889273026518</v>
      </c>
      <c r="F3792" s="77">
        <v>148.889273026518</v>
      </c>
      <c r="G3792" s="77">
        <v>148.889273026518</v>
      </c>
      <c r="H3792" s="77">
        <v>148.889273026518</v>
      </c>
      <c r="I3792" s="77">
        <v>148.889273026518</v>
      </c>
    </row>
    <row r="3793" spans="2:9">
      <c r="B3793" s="76">
        <v>2024.7056278585699</v>
      </c>
      <c r="C3793">
        <v>1101.0835164761975</v>
      </c>
      <c r="D3793" s="77">
        <v>183.51391941269958</v>
      </c>
      <c r="E3793" s="77">
        <v>183.51391941269958</v>
      </c>
      <c r="F3793" s="77">
        <v>183.51391941269958</v>
      </c>
      <c r="G3793" s="77">
        <v>183.51391941269958</v>
      </c>
      <c r="H3793" s="77">
        <v>183.51391941269958</v>
      </c>
      <c r="I3793" s="77">
        <v>183.51391941269958</v>
      </c>
    </row>
    <row r="3794" spans="2:9">
      <c r="B3794" s="76">
        <v>2023.0735155342397</v>
      </c>
      <c r="C3794">
        <v>935.53344432065091</v>
      </c>
      <c r="D3794" s="77">
        <v>155.92224072010848</v>
      </c>
      <c r="E3794" s="77">
        <v>155.92224072010848</v>
      </c>
      <c r="F3794" s="77">
        <v>155.92224072010848</v>
      </c>
      <c r="G3794" s="77">
        <v>155.92224072010848</v>
      </c>
      <c r="H3794" s="77">
        <v>155.92224072010848</v>
      </c>
      <c r="I3794" s="77">
        <v>155.92224072010848</v>
      </c>
    </row>
    <row r="3795" spans="2:9">
      <c r="B3795" s="76">
        <v>2023.1173931345586</v>
      </c>
      <c r="C3795">
        <v>854.74952464053922</v>
      </c>
      <c r="D3795" s="77">
        <v>142.45825410675653</v>
      </c>
      <c r="E3795" s="77">
        <v>142.45825410675653</v>
      </c>
      <c r="F3795" s="77">
        <v>142.45825410675653</v>
      </c>
      <c r="G3795" s="77">
        <v>142.45825410675653</v>
      </c>
      <c r="H3795" s="77">
        <v>142.45825410675653</v>
      </c>
      <c r="I3795" s="77">
        <v>142.45825410675653</v>
      </c>
    </row>
    <row r="3796" spans="2:9">
      <c r="B3796" s="76">
        <v>2024.6179303911758</v>
      </c>
      <c r="C3796">
        <v>1099.0356407269101</v>
      </c>
      <c r="D3796" s="77">
        <v>183.17260678781835</v>
      </c>
      <c r="E3796" s="77">
        <v>183.17260678781835</v>
      </c>
      <c r="F3796" s="77">
        <v>183.17260678781835</v>
      </c>
      <c r="G3796" s="77">
        <v>183.17260678781835</v>
      </c>
      <c r="H3796" s="77">
        <v>183.17260678781835</v>
      </c>
      <c r="I3796" s="77">
        <v>183.17260678781835</v>
      </c>
    </row>
    <row r="3797" spans="2:9">
      <c r="B3797" s="76">
        <v>2023.4468835178268</v>
      </c>
      <c r="C3797">
        <v>900.61174761357643</v>
      </c>
      <c r="D3797" s="77">
        <v>150.10195793559606</v>
      </c>
      <c r="E3797" s="77">
        <v>150.10195793559606</v>
      </c>
      <c r="F3797" s="77">
        <v>150.10195793559606</v>
      </c>
      <c r="G3797" s="77">
        <v>150.10195793559606</v>
      </c>
      <c r="H3797" s="77">
        <v>150.10195793559606</v>
      </c>
      <c r="I3797" s="77">
        <v>150.10195793559606</v>
      </c>
    </row>
    <row r="3798" spans="2:9">
      <c r="B3798" s="76">
        <v>2023.3634795273692</v>
      </c>
      <c r="C3798">
        <v>958.27398289999121</v>
      </c>
      <c r="D3798" s="77">
        <v>159.71233048333187</v>
      </c>
      <c r="E3798" s="77">
        <v>159.71233048333187</v>
      </c>
      <c r="F3798" s="77">
        <v>159.71233048333187</v>
      </c>
      <c r="G3798" s="77">
        <v>159.71233048333187</v>
      </c>
      <c r="H3798" s="77">
        <v>159.71233048333187</v>
      </c>
      <c r="I3798" s="77">
        <v>159.71233048333187</v>
      </c>
    </row>
    <row r="3799" spans="2:9">
      <c r="B3799" s="76">
        <v>2022.7402114095225</v>
      </c>
      <c r="C3799">
        <v>850.80125419273634</v>
      </c>
      <c r="D3799" s="77">
        <v>141.80020903212272</v>
      </c>
      <c r="E3799" s="77">
        <v>141.80020903212272</v>
      </c>
      <c r="F3799" s="77">
        <v>141.80020903212272</v>
      </c>
      <c r="G3799" s="77">
        <v>141.80020903212272</v>
      </c>
      <c r="H3799" s="77">
        <v>141.80020903212272</v>
      </c>
      <c r="I3799" s="77">
        <v>141.80020903212272</v>
      </c>
    </row>
    <row r="3800" spans="2:9">
      <c r="B3800" s="76">
        <v>2025.174987737023</v>
      </c>
      <c r="C3800">
        <v>1153.6990512928187</v>
      </c>
      <c r="D3800" s="77">
        <v>192.28317521546978</v>
      </c>
      <c r="E3800" s="77">
        <v>192.28317521546978</v>
      </c>
      <c r="F3800" s="77">
        <v>192.28317521546978</v>
      </c>
      <c r="G3800" s="77">
        <v>192.28317521546978</v>
      </c>
      <c r="H3800" s="77">
        <v>192.28317521546978</v>
      </c>
      <c r="I3800" s="77">
        <v>192.28317521546978</v>
      </c>
    </row>
    <row r="3801" spans="2:9">
      <c r="B3801" s="76">
        <v>2023.2418761266254</v>
      </c>
      <c r="C3801">
        <v>929.92633095716872</v>
      </c>
      <c r="D3801" s="77">
        <v>154.98772182619479</v>
      </c>
      <c r="E3801" s="77">
        <v>154.98772182619479</v>
      </c>
      <c r="F3801" s="77">
        <v>154.98772182619479</v>
      </c>
      <c r="G3801" s="77">
        <v>154.98772182619479</v>
      </c>
      <c r="H3801" s="77">
        <v>154.98772182619479</v>
      </c>
      <c r="I3801" s="77">
        <v>154.98772182619479</v>
      </c>
    </row>
    <row r="3802" spans="2:9">
      <c r="B3802" s="76">
        <v>2024.5700847910045</v>
      </c>
      <c r="C3802">
        <v>1060.7428450432105</v>
      </c>
      <c r="D3802" s="77">
        <v>176.79047417386843</v>
      </c>
      <c r="E3802" s="77">
        <v>176.79047417386843</v>
      </c>
      <c r="F3802" s="77">
        <v>176.79047417386843</v>
      </c>
      <c r="G3802" s="77">
        <v>176.79047417386843</v>
      </c>
      <c r="H3802" s="77">
        <v>176.79047417386843</v>
      </c>
      <c r="I3802" s="77">
        <v>176.79047417386843</v>
      </c>
    </row>
    <row r="3803" spans="2:9">
      <c r="B3803" s="76">
        <v>2023.1653264725385</v>
      </c>
      <c r="C3803">
        <v>936.55073363537326</v>
      </c>
      <c r="D3803" s="77">
        <v>156.09178893922888</v>
      </c>
      <c r="E3803" s="77">
        <v>156.09178893922888</v>
      </c>
      <c r="F3803" s="77">
        <v>156.09178893922888</v>
      </c>
      <c r="G3803" s="77">
        <v>156.09178893922888</v>
      </c>
      <c r="H3803" s="77">
        <v>156.09178893922888</v>
      </c>
      <c r="I3803" s="77">
        <v>156.09178893922888</v>
      </c>
    </row>
    <row r="3804" spans="2:9">
      <c r="B3804" s="76">
        <v>2023.0601338637646</v>
      </c>
      <c r="C3804">
        <v>868.860293328936</v>
      </c>
      <c r="D3804" s="77">
        <v>144.81004888815599</v>
      </c>
      <c r="E3804" s="77">
        <v>144.81004888815599</v>
      </c>
      <c r="F3804" s="77">
        <v>144.81004888815599</v>
      </c>
      <c r="G3804" s="77">
        <v>144.81004888815599</v>
      </c>
      <c r="H3804" s="77">
        <v>144.81004888815599</v>
      </c>
      <c r="I3804" s="77">
        <v>144.81004888815599</v>
      </c>
    </row>
    <row r="3805" spans="2:9">
      <c r="B3805" s="76">
        <v>2023.3788102298629</v>
      </c>
      <c r="C3805">
        <v>1031.8707947503708</v>
      </c>
      <c r="D3805" s="77">
        <v>171.97846579172847</v>
      </c>
      <c r="E3805" s="77">
        <v>171.97846579172847</v>
      </c>
      <c r="F3805" s="77">
        <v>171.97846579172847</v>
      </c>
      <c r="G3805" s="77">
        <v>171.97846579172847</v>
      </c>
      <c r="H3805" s="77">
        <v>171.97846579172847</v>
      </c>
      <c r="I3805" s="77">
        <v>171.97846579172847</v>
      </c>
    </row>
    <row r="3806" spans="2:9">
      <c r="B3806" s="76">
        <v>2023.4489951244279</v>
      </c>
      <c r="C3806">
        <v>918.88109882972549</v>
      </c>
      <c r="D3806" s="77">
        <v>153.14684980495426</v>
      </c>
      <c r="E3806" s="77">
        <v>153.14684980495426</v>
      </c>
      <c r="F3806" s="77">
        <v>153.14684980495426</v>
      </c>
      <c r="G3806" s="77">
        <v>153.14684980495426</v>
      </c>
      <c r="H3806" s="77">
        <v>153.14684980495426</v>
      </c>
      <c r="I3806" s="77">
        <v>153.14684980495426</v>
      </c>
    </row>
    <row r="3807" spans="2:9">
      <c r="B3807" s="76">
        <v>2022.7955360053704</v>
      </c>
      <c r="C3807">
        <v>870.66098820001105</v>
      </c>
      <c r="D3807" s="77">
        <v>145.11016470000183</v>
      </c>
      <c r="E3807" s="77">
        <v>145.11016470000183</v>
      </c>
      <c r="F3807" s="77">
        <v>145.11016470000183</v>
      </c>
      <c r="G3807" s="77">
        <v>145.11016470000183</v>
      </c>
      <c r="H3807" s="77">
        <v>145.11016470000183</v>
      </c>
      <c r="I3807" s="77">
        <v>145.11016470000183</v>
      </c>
    </row>
    <row r="3808" spans="2:9">
      <c r="B3808" s="76">
        <v>2023.1377126883633</v>
      </c>
      <c r="C3808">
        <v>989.22880337263371</v>
      </c>
      <c r="D3808" s="77">
        <v>164.87146722877227</v>
      </c>
      <c r="E3808" s="77">
        <v>164.87146722877227</v>
      </c>
      <c r="F3808" s="77">
        <v>164.87146722877227</v>
      </c>
      <c r="G3808" s="77">
        <v>164.87146722877227</v>
      </c>
      <c r="H3808" s="77">
        <v>164.87146722877227</v>
      </c>
      <c r="I3808" s="77">
        <v>164.87146722877227</v>
      </c>
    </row>
    <row r="3809" spans="2:9">
      <c r="B3809" s="76">
        <v>2022.8714241538482</v>
      </c>
      <c r="C3809">
        <v>875.50882177663073</v>
      </c>
      <c r="D3809" s="77">
        <v>145.9181369627718</v>
      </c>
      <c r="E3809" s="77">
        <v>145.9181369627718</v>
      </c>
      <c r="F3809" s="77">
        <v>145.9181369627718</v>
      </c>
      <c r="G3809" s="77">
        <v>145.9181369627718</v>
      </c>
      <c r="H3809" s="77">
        <v>145.9181369627718</v>
      </c>
      <c r="I3809" s="77">
        <v>145.9181369627718</v>
      </c>
    </row>
    <row r="3810" spans="2:9">
      <c r="B3810" s="76">
        <v>2023.2982490144682</v>
      </c>
      <c r="C3810">
        <v>918.34090655291459</v>
      </c>
      <c r="D3810" s="77">
        <v>153.05681775881911</v>
      </c>
      <c r="E3810" s="77">
        <v>153.05681775881911</v>
      </c>
      <c r="F3810" s="77">
        <v>153.05681775881911</v>
      </c>
      <c r="G3810" s="77">
        <v>153.05681775881911</v>
      </c>
      <c r="H3810" s="77">
        <v>153.05681775881911</v>
      </c>
      <c r="I3810" s="77">
        <v>153.05681775881911</v>
      </c>
    </row>
    <row r="3811" spans="2:9">
      <c r="B3811" s="76">
        <v>2024.9698094082405</v>
      </c>
      <c r="C3811">
        <v>1117.6486909695589</v>
      </c>
      <c r="D3811" s="77">
        <v>186.27478182825982</v>
      </c>
      <c r="E3811" s="77">
        <v>186.27478182825982</v>
      </c>
      <c r="F3811" s="77">
        <v>186.27478182825982</v>
      </c>
      <c r="G3811" s="77">
        <v>186.27478182825982</v>
      </c>
      <c r="H3811" s="77">
        <v>186.27478182825982</v>
      </c>
      <c r="I3811" s="77">
        <v>186.27478182825982</v>
      </c>
    </row>
    <row r="3812" spans="2:9">
      <c r="B3812" s="76">
        <v>2024.8595951718589</v>
      </c>
      <c r="C3812">
        <v>1136.0424750271723</v>
      </c>
      <c r="D3812" s="77">
        <v>189.3404125045287</v>
      </c>
      <c r="E3812" s="77">
        <v>189.3404125045287</v>
      </c>
      <c r="F3812" s="77">
        <v>189.3404125045287</v>
      </c>
      <c r="G3812" s="77">
        <v>189.3404125045287</v>
      </c>
      <c r="H3812" s="77">
        <v>189.3404125045287</v>
      </c>
      <c r="I3812" s="77">
        <v>189.3404125045287</v>
      </c>
    </row>
    <row r="3813" spans="2:9">
      <c r="B3813" s="76">
        <v>2025.4597864565635</v>
      </c>
      <c r="C3813">
        <v>1248.7975102943576</v>
      </c>
      <c r="D3813" s="77">
        <v>208.13291838239294</v>
      </c>
      <c r="E3813" s="77">
        <v>208.13291838239294</v>
      </c>
      <c r="F3813" s="77">
        <v>208.13291838239294</v>
      </c>
      <c r="G3813" s="77">
        <v>208.13291838239294</v>
      </c>
      <c r="H3813" s="77">
        <v>208.13291838239294</v>
      </c>
      <c r="I3813" s="77">
        <v>208.13291838239294</v>
      </c>
    </row>
    <row r="3814" spans="2:9">
      <c r="B3814" s="76">
        <v>2023.2017081665147</v>
      </c>
      <c r="C3814">
        <v>851.88993215143307</v>
      </c>
      <c r="D3814" s="77">
        <v>141.98165535857217</v>
      </c>
      <c r="E3814" s="77">
        <v>141.98165535857217</v>
      </c>
      <c r="F3814" s="77">
        <v>141.98165535857217</v>
      </c>
      <c r="G3814" s="77">
        <v>141.98165535857217</v>
      </c>
      <c r="H3814" s="77">
        <v>141.98165535857217</v>
      </c>
      <c r="I3814" s="77">
        <v>141.98165535857217</v>
      </c>
    </row>
    <row r="3815" spans="2:9">
      <c r="B3815" s="76">
        <v>2022.5865155930828</v>
      </c>
      <c r="C3815">
        <v>879.0450469459131</v>
      </c>
      <c r="D3815" s="77">
        <v>146.50750782431885</v>
      </c>
      <c r="E3815" s="77">
        <v>146.50750782431885</v>
      </c>
      <c r="F3815" s="77">
        <v>146.50750782431885</v>
      </c>
      <c r="G3815" s="77">
        <v>146.50750782431885</v>
      </c>
      <c r="H3815" s="77">
        <v>146.50750782431885</v>
      </c>
      <c r="I3815" s="77">
        <v>146.50750782431885</v>
      </c>
    </row>
    <row r="3816" spans="2:9">
      <c r="B3816" s="76">
        <v>2023.7805874011644</v>
      </c>
      <c r="C3816">
        <v>997.47566209482761</v>
      </c>
      <c r="D3816" s="77">
        <v>166.24594368247128</v>
      </c>
      <c r="E3816" s="77">
        <v>166.24594368247128</v>
      </c>
      <c r="F3816" s="77">
        <v>166.24594368247128</v>
      </c>
      <c r="G3816" s="77">
        <v>166.24594368247128</v>
      </c>
      <c r="H3816" s="77">
        <v>166.24594368247128</v>
      </c>
      <c r="I3816" s="77">
        <v>166.24594368247128</v>
      </c>
    </row>
    <row r="3817" spans="2:9">
      <c r="B3817" s="76">
        <v>2024.8024543183367</v>
      </c>
      <c r="C3817">
        <v>1113.0639167614499</v>
      </c>
      <c r="D3817" s="77">
        <v>185.51065279357499</v>
      </c>
      <c r="E3817" s="77">
        <v>185.51065279357499</v>
      </c>
      <c r="F3817" s="77">
        <v>185.51065279357499</v>
      </c>
      <c r="G3817" s="77">
        <v>185.51065279357499</v>
      </c>
      <c r="H3817" s="77">
        <v>185.51065279357499</v>
      </c>
      <c r="I3817" s="77">
        <v>185.51065279357499</v>
      </c>
    </row>
    <row r="3818" spans="2:9">
      <c r="B3818" s="76">
        <v>2022.9931024210275</v>
      </c>
      <c r="C3818">
        <v>857.73405936762799</v>
      </c>
      <c r="D3818" s="77">
        <v>142.95567656127133</v>
      </c>
      <c r="E3818" s="77">
        <v>142.95567656127133</v>
      </c>
      <c r="F3818" s="77">
        <v>142.95567656127133</v>
      </c>
      <c r="G3818" s="77">
        <v>142.95567656127133</v>
      </c>
      <c r="H3818" s="77">
        <v>142.95567656127133</v>
      </c>
      <c r="I3818" s="77">
        <v>142.95567656127133</v>
      </c>
    </row>
    <row r="3819" spans="2:9">
      <c r="B3819" s="76">
        <v>2025.4455282028719</v>
      </c>
      <c r="C3819">
        <v>1126.0059555991475</v>
      </c>
      <c r="D3819" s="77">
        <v>187.66765926652457</v>
      </c>
      <c r="E3819" s="77">
        <v>187.66765926652457</v>
      </c>
      <c r="F3819" s="77">
        <v>187.66765926652457</v>
      </c>
      <c r="G3819" s="77">
        <v>187.66765926652457</v>
      </c>
      <c r="H3819" s="77">
        <v>187.66765926652457</v>
      </c>
      <c r="I3819" s="77">
        <v>187.66765926652457</v>
      </c>
    </row>
    <row r="3820" spans="2:9">
      <c r="B3820" s="76">
        <v>2023.2003488771941</v>
      </c>
      <c r="C3820">
        <v>928.86137252830372</v>
      </c>
      <c r="D3820" s="77">
        <v>154.81022875471729</v>
      </c>
      <c r="E3820" s="77">
        <v>154.81022875471729</v>
      </c>
      <c r="F3820" s="77">
        <v>154.81022875471729</v>
      </c>
      <c r="G3820" s="77">
        <v>154.81022875471729</v>
      </c>
      <c r="H3820" s="77">
        <v>154.81022875471729</v>
      </c>
      <c r="I3820" s="77">
        <v>154.81022875471729</v>
      </c>
    </row>
    <row r="3821" spans="2:9">
      <c r="B3821" s="76">
        <v>2023.1252316280543</v>
      </c>
      <c r="C3821">
        <v>892.35796195804016</v>
      </c>
      <c r="D3821" s="77">
        <v>148.72632699300669</v>
      </c>
      <c r="E3821" s="77">
        <v>148.72632699300669</v>
      </c>
      <c r="F3821" s="77">
        <v>148.72632699300669</v>
      </c>
      <c r="G3821" s="77">
        <v>148.72632699300669</v>
      </c>
      <c r="H3821" s="77">
        <v>148.72632699300669</v>
      </c>
      <c r="I3821" s="77">
        <v>148.72632699300669</v>
      </c>
    </row>
    <row r="3822" spans="2:9">
      <c r="B3822" s="76">
        <v>2024.8992519078924</v>
      </c>
      <c r="C3822">
        <v>1100.1127159071798</v>
      </c>
      <c r="D3822" s="77">
        <v>183.3521193178633</v>
      </c>
      <c r="E3822" s="77">
        <v>183.3521193178633</v>
      </c>
      <c r="F3822" s="77">
        <v>183.3521193178633</v>
      </c>
      <c r="G3822" s="77">
        <v>183.3521193178633</v>
      </c>
      <c r="H3822" s="77">
        <v>183.3521193178633</v>
      </c>
      <c r="I3822" s="77">
        <v>183.3521193178633</v>
      </c>
    </row>
    <row r="3823" spans="2:9">
      <c r="B3823" s="76">
        <v>2022.9267074596785</v>
      </c>
      <c r="C3823">
        <v>942.21640186980017</v>
      </c>
      <c r="D3823" s="77">
        <v>157.03606697830003</v>
      </c>
      <c r="E3823" s="77">
        <v>157.03606697830003</v>
      </c>
      <c r="F3823" s="77">
        <v>157.03606697830003</v>
      </c>
      <c r="G3823" s="77">
        <v>157.03606697830003</v>
      </c>
      <c r="H3823" s="77">
        <v>157.03606697830003</v>
      </c>
      <c r="I3823" s="77">
        <v>157.03606697830003</v>
      </c>
    </row>
    <row r="3824" spans="2:9">
      <c r="B3824" s="76">
        <v>2023.0505896101029</v>
      </c>
      <c r="C3824">
        <v>905.78921960460286</v>
      </c>
      <c r="D3824" s="77">
        <v>150.96486993410048</v>
      </c>
      <c r="E3824" s="77">
        <v>150.96486993410048</v>
      </c>
      <c r="F3824" s="77">
        <v>150.96486993410048</v>
      </c>
      <c r="G3824" s="77">
        <v>150.96486993410048</v>
      </c>
      <c r="H3824" s="77">
        <v>150.96486993410048</v>
      </c>
      <c r="I3824" s="77">
        <v>150.96486993410048</v>
      </c>
    </row>
    <row r="3825" spans="2:9">
      <c r="B3825" s="76">
        <v>2023.0046498743882</v>
      </c>
      <c r="C3825">
        <v>847.82696204613831</v>
      </c>
      <c r="D3825" s="77">
        <v>141.30449367435639</v>
      </c>
      <c r="E3825" s="77">
        <v>141.30449367435639</v>
      </c>
      <c r="F3825" s="77">
        <v>141.30449367435639</v>
      </c>
      <c r="G3825" s="77">
        <v>141.30449367435639</v>
      </c>
      <c r="H3825" s="77">
        <v>141.30449367435639</v>
      </c>
      <c r="I3825" s="77">
        <v>141.30449367435639</v>
      </c>
    </row>
    <row r="3826" spans="2:9">
      <c r="B3826" s="76">
        <v>2023.2342773692283</v>
      </c>
      <c r="C3826">
        <v>914.67977409464481</v>
      </c>
      <c r="D3826" s="77">
        <v>152.44662901577414</v>
      </c>
      <c r="E3826" s="77">
        <v>152.44662901577414</v>
      </c>
      <c r="F3826" s="77">
        <v>152.44662901577414</v>
      </c>
      <c r="G3826" s="77">
        <v>152.44662901577414</v>
      </c>
      <c r="H3826" s="77">
        <v>152.44662901577414</v>
      </c>
      <c r="I3826" s="77">
        <v>152.44662901577414</v>
      </c>
    </row>
    <row r="3827" spans="2:9">
      <c r="B3827" s="76">
        <v>2023.0481540249116</v>
      </c>
      <c r="C3827">
        <v>863.48261812467592</v>
      </c>
      <c r="D3827" s="77">
        <v>143.91376968744598</v>
      </c>
      <c r="E3827" s="77">
        <v>143.91376968744598</v>
      </c>
      <c r="F3827" s="77">
        <v>143.91376968744598</v>
      </c>
      <c r="G3827" s="77">
        <v>143.91376968744598</v>
      </c>
      <c r="H3827" s="77">
        <v>143.91376968744598</v>
      </c>
      <c r="I3827" s="77">
        <v>143.91376968744598</v>
      </c>
    </row>
    <row r="3828" spans="2:9">
      <c r="B3828" s="76">
        <v>2024.4234064091936</v>
      </c>
      <c r="C3828">
        <v>1078.971935495684</v>
      </c>
      <c r="D3828" s="77">
        <v>179.82865591594734</v>
      </c>
      <c r="E3828" s="77">
        <v>179.82865591594734</v>
      </c>
      <c r="F3828" s="77">
        <v>179.82865591594734</v>
      </c>
      <c r="G3828" s="77">
        <v>179.82865591594734</v>
      </c>
      <c r="H3828" s="77">
        <v>179.82865591594734</v>
      </c>
      <c r="I3828" s="77">
        <v>179.82865591594734</v>
      </c>
    </row>
    <row r="3829" spans="2:9">
      <c r="B3829" s="76">
        <v>2023.2187356883662</v>
      </c>
      <c r="C3829">
        <v>877.22599955196017</v>
      </c>
      <c r="D3829" s="77">
        <v>146.20433325866003</v>
      </c>
      <c r="E3829" s="77">
        <v>146.20433325866003</v>
      </c>
      <c r="F3829" s="77">
        <v>146.20433325866003</v>
      </c>
      <c r="G3829" s="77">
        <v>146.20433325866003</v>
      </c>
      <c r="H3829" s="77">
        <v>146.20433325866003</v>
      </c>
      <c r="I3829" s="77">
        <v>146.20433325866003</v>
      </c>
    </row>
    <row r="3830" spans="2:9">
      <c r="B3830" s="76">
        <v>2023.1615505202192</v>
      </c>
      <c r="C3830">
        <v>952.18673217667833</v>
      </c>
      <c r="D3830" s="77">
        <v>158.69778869611307</v>
      </c>
      <c r="E3830" s="77">
        <v>158.69778869611307</v>
      </c>
      <c r="F3830" s="77">
        <v>158.69778869611307</v>
      </c>
      <c r="G3830" s="77">
        <v>158.69778869611307</v>
      </c>
      <c r="H3830" s="77">
        <v>158.69778869611307</v>
      </c>
      <c r="I3830" s="77">
        <v>158.69778869611307</v>
      </c>
    </row>
    <row r="3831" spans="2:9">
      <c r="B3831" s="76">
        <v>2023.4781688584858</v>
      </c>
      <c r="C3831">
        <v>946.47585128237415</v>
      </c>
      <c r="D3831" s="77">
        <v>157.74597521372903</v>
      </c>
      <c r="E3831" s="77">
        <v>157.74597521372903</v>
      </c>
      <c r="F3831" s="77">
        <v>157.74597521372903</v>
      </c>
      <c r="G3831" s="77">
        <v>157.74597521372903</v>
      </c>
      <c r="H3831" s="77">
        <v>157.74597521372903</v>
      </c>
      <c r="I3831" s="77">
        <v>157.74597521372903</v>
      </c>
    </row>
    <row r="3832" spans="2:9">
      <c r="B3832" s="76">
        <v>2023.3613946975672</v>
      </c>
      <c r="C3832">
        <v>998.39363308668794</v>
      </c>
      <c r="D3832" s="77">
        <v>166.39893884778132</v>
      </c>
      <c r="E3832" s="77">
        <v>166.39893884778132</v>
      </c>
      <c r="F3832" s="77">
        <v>166.39893884778132</v>
      </c>
      <c r="G3832" s="77">
        <v>166.39893884778132</v>
      </c>
      <c r="H3832" s="77">
        <v>166.39893884778132</v>
      </c>
      <c r="I3832" s="77">
        <v>166.39893884778132</v>
      </c>
    </row>
    <row r="3833" spans="2:9">
      <c r="B3833" s="76">
        <v>2023.3396659790794</v>
      </c>
      <c r="C3833">
        <v>974.68822796371683</v>
      </c>
      <c r="D3833" s="77">
        <v>162.44803799395279</v>
      </c>
      <c r="E3833" s="77">
        <v>162.44803799395279</v>
      </c>
      <c r="F3833" s="77">
        <v>162.44803799395279</v>
      </c>
      <c r="G3833" s="77">
        <v>162.44803799395279</v>
      </c>
      <c r="H3833" s="77">
        <v>162.44803799395279</v>
      </c>
      <c r="I3833" s="77">
        <v>162.44803799395279</v>
      </c>
    </row>
    <row r="3834" spans="2:9">
      <c r="B3834" s="76">
        <v>2022.9339715311091</v>
      </c>
      <c r="C3834">
        <v>920.0772392738312</v>
      </c>
      <c r="D3834" s="77">
        <v>153.34620654563852</v>
      </c>
      <c r="E3834" s="77">
        <v>153.34620654563852</v>
      </c>
      <c r="F3834" s="77">
        <v>153.34620654563852</v>
      </c>
      <c r="G3834" s="77">
        <v>153.34620654563852</v>
      </c>
      <c r="H3834" s="77">
        <v>153.34620654563852</v>
      </c>
      <c r="I3834" s="77">
        <v>153.34620654563852</v>
      </c>
    </row>
    <row r="3835" spans="2:9">
      <c r="B3835" s="76">
        <v>2024.8155403460723</v>
      </c>
      <c r="C3835">
        <v>1130.9649810122235</v>
      </c>
      <c r="D3835" s="77">
        <v>188.49416350203725</v>
      </c>
      <c r="E3835" s="77">
        <v>188.49416350203725</v>
      </c>
      <c r="F3835" s="77">
        <v>188.49416350203725</v>
      </c>
      <c r="G3835" s="77">
        <v>188.49416350203725</v>
      </c>
      <c r="H3835" s="77">
        <v>188.49416350203725</v>
      </c>
      <c r="I3835" s="77">
        <v>188.49416350203725</v>
      </c>
    </row>
    <row r="3836" spans="2:9">
      <c r="B3836" s="76">
        <v>2023.243996234009</v>
      </c>
      <c r="C3836">
        <v>926.96816899477756</v>
      </c>
      <c r="D3836" s="77">
        <v>154.49469483246293</v>
      </c>
      <c r="E3836" s="77">
        <v>154.49469483246293</v>
      </c>
      <c r="F3836" s="77">
        <v>154.49469483246293</v>
      </c>
      <c r="G3836" s="77">
        <v>154.49469483246293</v>
      </c>
      <c r="H3836" s="77">
        <v>154.49469483246293</v>
      </c>
      <c r="I3836" s="77">
        <v>154.49469483246293</v>
      </c>
    </row>
    <row r="3837" spans="2:9">
      <c r="B3837" s="76">
        <v>2022.8547082645077</v>
      </c>
      <c r="C3837">
        <v>910.99167958788712</v>
      </c>
      <c r="D3837" s="77">
        <v>151.83194659798119</v>
      </c>
      <c r="E3837" s="77">
        <v>151.83194659798119</v>
      </c>
      <c r="F3837" s="77">
        <v>151.83194659798119</v>
      </c>
      <c r="G3837" s="77">
        <v>151.83194659798119</v>
      </c>
      <c r="H3837" s="77">
        <v>151.83194659798119</v>
      </c>
      <c r="I3837" s="77">
        <v>151.83194659798119</v>
      </c>
    </row>
    <row r="3838" spans="2:9">
      <c r="B3838" s="76">
        <v>2025.3102433689339</v>
      </c>
      <c r="C3838">
        <v>1195.0280399422047</v>
      </c>
      <c r="D3838" s="77">
        <v>199.17133999036744</v>
      </c>
      <c r="E3838" s="77">
        <v>199.17133999036744</v>
      </c>
      <c r="F3838" s="77">
        <v>199.17133999036744</v>
      </c>
      <c r="G3838" s="77">
        <v>199.17133999036744</v>
      </c>
      <c r="H3838" s="77">
        <v>199.17133999036744</v>
      </c>
      <c r="I3838" s="77">
        <v>199.17133999036744</v>
      </c>
    </row>
    <row r="3839" spans="2:9">
      <c r="B3839" s="76">
        <v>2025.1323789598462</v>
      </c>
      <c r="C3839">
        <v>1204.8874282536406</v>
      </c>
      <c r="D3839" s="77">
        <v>200.81457137560676</v>
      </c>
      <c r="E3839" s="77">
        <v>200.81457137560676</v>
      </c>
      <c r="F3839" s="77">
        <v>200.81457137560676</v>
      </c>
      <c r="G3839" s="77">
        <v>200.81457137560676</v>
      </c>
      <c r="H3839" s="77">
        <v>200.81457137560676</v>
      </c>
      <c r="I3839" s="77">
        <v>200.81457137560676</v>
      </c>
    </row>
    <row r="3840" spans="2:9">
      <c r="B3840" s="76">
        <v>2023.0880651863845</v>
      </c>
      <c r="C3840">
        <v>877.85721490154981</v>
      </c>
      <c r="D3840" s="77">
        <v>146.30953581692498</v>
      </c>
      <c r="E3840" s="77">
        <v>146.30953581692498</v>
      </c>
      <c r="F3840" s="77">
        <v>146.30953581692498</v>
      </c>
      <c r="G3840" s="77">
        <v>146.30953581692498</v>
      </c>
      <c r="H3840" s="77">
        <v>146.30953581692498</v>
      </c>
      <c r="I3840" s="77">
        <v>146.30953581692498</v>
      </c>
    </row>
    <row r="3841" spans="2:9">
      <c r="B3841" s="76">
        <v>2022.5992160425503</v>
      </c>
      <c r="C3841">
        <v>896.82508860025212</v>
      </c>
      <c r="D3841" s="77">
        <v>149.47084810004202</v>
      </c>
      <c r="E3841" s="77">
        <v>149.47084810004202</v>
      </c>
      <c r="F3841" s="77">
        <v>149.47084810004202</v>
      </c>
      <c r="G3841" s="77">
        <v>149.47084810004202</v>
      </c>
      <c r="H3841" s="77">
        <v>149.47084810004202</v>
      </c>
      <c r="I3841" s="77">
        <v>149.47084810004202</v>
      </c>
    </row>
    <row r="3842" spans="2:9">
      <c r="B3842" s="76">
        <v>2024.3055426210367</v>
      </c>
      <c r="C3842">
        <v>973.26223455844956</v>
      </c>
      <c r="D3842" s="77">
        <v>162.21037242640827</v>
      </c>
      <c r="E3842" s="77">
        <v>162.21037242640827</v>
      </c>
      <c r="F3842" s="77">
        <v>162.21037242640827</v>
      </c>
      <c r="G3842" s="77">
        <v>162.21037242640827</v>
      </c>
      <c r="H3842" s="77">
        <v>162.21037242640827</v>
      </c>
      <c r="I3842" s="77">
        <v>162.21037242640827</v>
      </c>
    </row>
    <row r="3843" spans="2:9">
      <c r="B3843" s="76">
        <v>2023.4530104932239</v>
      </c>
      <c r="C3843">
        <v>931.84631929856062</v>
      </c>
      <c r="D3843" s="77">
        <v>155.30771988309343</v>
      </c>
      <c r="E3843" s="77">
        <v>155.30771988309343</v>
      </c>
      <c r="F3843" s="77">
        <v>155.30771988309343</v>
      </c>
      <c r="G3843" s="77">
        <v>155.30771988309343</v>
      </c>
      <c r="H3843" s="77">
        <v>155.30771988309343</v>
      </c>
      <c r="I3843" s="77">
        <v>155.30771988309343</v>
      </c>
    </row>
    <row r="3844" spans="2:9">
      <c r="B3844" s="76">
        <v>2023.4854799552882</v>
      </c>
      <c r="C3844">
        <v>979.9447602427249</v>
      </c>
      <c r="D3844" s="77">
        <v>163.32412670712083</v>
      </c>
      <c r="E3844" s="77">
        <v>163.32412670712083</v>
      </c>
      <c r="F3844" s="77">
        <v>163.32412670712083</v>
      </c>
      <c r="G3844" s="77">
        <v>163.32412670712083</v>
      </c>
      <c r="H3844" s="77">
        <v>163.32412670712083</v>
      </c>
      <c r="I3844" s="77">
        <v>163.32412670712083</v>
      </c>
    </row>
    <row r="3845" spans="2:9">
      <c r="B3845" s="76">
        <v>2022.9399180132382</v>
      </c>
      <c r="C3845">
        <v>914.72524975924921</v>
      </c>
      <c r="D3845" s="77">
        <v>152.45420829320821</v>
      </c>
      <c r="E3845" s="77">
        <v>152.45420829320821</v>
      </c>
      <c r="F3845" s="77">
        <v>152.45420829320821</v>
      </c>
      <c r="G3845" s="77">
        <v>152.45420829320821</v>
      </c>
      <c r="H3845" s="77">
        <v>152.45420829320821</v>
      </c>
      <c r="I3845" s="77">
        <v>152.45420829320821</v>
      </c>
    </row>
    <row r="3846" spans="2:9">
      <c r="B3846" s="76">
        <v>2024.5668917664859</v>
      </c>
      <c r="C3846">
        <v>1084.2608415714863</v>
      </c>
      <c r="D3846" s="77">
        <v>180.71014026191438</v>
      </c>
      <c r="E3846" s="77">
        <v>180.71014026191438</v>
      </c>
      <c r="F3846" s="77">
        <v>180.71014026191438</v>
      </c>
      <c r="G3846" s="77">
        <v>180.71014026191438</v>
      </c>
      <c r="H3846" s="77">
        <v>180.71014026191438</v>
      </c>
      <c r="I3846" s="77">
        <v>180.71014026191438</v>
      </c>
    </row>
    <row r="3847" spans="2:9">
      <c r="B3847" s="76">
        <v>2025.3155172403594</v>
      </c>
      <c r="C3847">
        <v>1161.3258273044319</v>
      </c>
      <c r="D3847" s="77">
        <v>193.55430455073864</v>
      </c>
      <c r="E3847" s="77">
        <v>193.55430455073864</v>
      </c>
      <c r="F3847" s="77">
        <v>193.55430455073864</v>
      </c>
      <c r="G3847" s="77">
        <v>193.55430455073864</v>
      </c>
      <c r="H3847" s="77">
        <v>193.55430455073864</v>
      </c>
      <c r="I3847" s="77">
        <v>193.55430455073864</v>
      </c>
    </row>
    <row r="3848" spans="2:9">
      <c r="B3848" s="76">
        <v>2023.2415133382974</v>
      </c>
      <c r="C3848">
        <v>875.03375117080668</v>
      </c>
      <c r="D3848" s="77">
        <v>145.83895852846777</v>
      </c>
      <c r="E3848" s="77">
        <v>145.83895852846777</v>
      </c>
      <c r="F3848" s="77">
        <v>145.83895852846777</v>
      </c>
      <c r="G3848" s="77">
        <v>145.83895852846777</v>
      </c>
      <c r="H3848" s="77">
        <v>145.83895852846777</v>
      </c>
      <c r="I3848" s="77">
        <v>145.83895852846777</v>
      </c>
    </row>
    <row r="3849" spans="2:9">
      <c r="B3849" s="76">
        <v>2024.667461800964</v>
      </c>
      <c r="C3849">
        <v>1060.2964376181149</v>
      </c>
      <c r="D3849" s="77">
        <v>176.71607293635248</v>
      </c>
      <c r="E3849" s="77">
        <v>176.71607293635248</v>
      </c>
      <c r="F3849" s="77">
        <v>176.71607293635248</v>
      </c>
      <c r="G3849" s="77">
        <v>176.71607293635248</v>
      </c>
      <c r="H3849" s="77">
        <v>176.71607293635248</v>
      </c>
      <c r="I3849" s="77">
        <v>176.71607293635248</v>
      </c>
    </row>
    <row r="3850" spans="2:9">
      <c r="B3850" s="76">
        <v>2022.8314651298035</v>
      </c>
      <c r="C3850">
        <v>851.1074607126418</v>
      </c>
      <c r="D3850" s="77">
        <v>141.85124345210696</v>
      </c>
      <c r="E3850" s="77">
        <v>141.85124345210696</v>
      </c>
      <c r="F3850" s="77">
        <v>141.85124345210696</v>
      </c>
      <c r="G3850" s="77">
        <v>141.85124345210696</v>
      </c>
      <c r="H3850" s="77">
        <v>141.85124345210696</v>
      </c>
      <c r="I3850" s="77">
        <v>141.85124345210696</v>
      </c>
    </row>
    <row r="3851" spans="2:9">
      <c r="B3851" s="76">
        <v>2024.7316704036632</v>
      </c>
      <c r="C3851">
        <v>1119.0069640897129</v>
      </c>
      <c r="D3851" s="77">
        <v>186.50116068161881</v>
      </c>
      <c r="E3851" s="77">
        <v>186.50116068161881</v>
      </c>
      <c r="F3851" s="77">
        <v>186.50116068161881</v>
      </c>
      <c r="G3851" s="77">
        <v>186.50116068161881</v>
      </c>
      <c r="H3851" s="77">
        <v>186.50116068161881</v>
      </c>
      <c r="I3851" s="77">
        <v>186.50116068161881</v>
      </c>
    </row>
    <row r="3852" spans="2:9">
      <c r="B3852" s="76">
        <v>2024.6350832014</v>
      </c>
      <c r="C3852">
        <v>1052.8435567009208</v>
      </c>
      <c r="D3852" s="77">
        <v>175.47392611682014</v>
      </c>
      <c r="E3852" s="77">
        <v>175.47392611682014</v>
      </c>
      <c r="F3852" s="77">
        <v>175.47392611682014</v>
      </c>
      <c r="G3852" s="77">
        <v>175.47392611682014</v>
      </c>
      <c r="H3852" s="77">
        <v>175.47392611682014</v>
      </c>
      <c r="I3852" s="77">
        <v>175.47392611682014</v>
      </c>
    </row>
    <row r="3853" spans="2:9">
      <c r="B3853" s="76">
        <v>2022.8587700382643</v>
      </c>
      <c r="C3853">
        <v>892.03027152172911</v>
      </c>
      <c r="D3853" s="77">
        <v>148.67171192028817</v>
      </c>
      <c r="E3853" s="77">
        <v>148.67171192028817</v>
      </c>
      <c r="F3853" s="77">
        <v>148.67171192028817</v>
      </c>
      <c r="G3853" s="77">
        <v>148.67171192028817</v>
      </c>
      <c r="H3853" s="77">
        <v>148.67171192028817</v>
      </c>
      <c r="I3853" s="77">
        <v>148.67171192028817</v>
      </c>
    </row>
    <row r="3854" spans="2:9">
      <c r="B3854" s="76">
        <v>2022.8645395173742</v>
      </c>
      <c r="C3854">
        <v>832.11843279288667</v>
      </c>
      <c r="D3854" s="77">
        <v>138.6864054654811</v>
      </c>
      <c r="E3854" s="77">
        <v>138.6864054654811</v>
      </c>
      <c r="F3854" s="77">
        <v>138.6864054654811</v>
      </c>
      <c r="G3854" s="77">
        <v>138.6864054654811</v>
      </c>
      <c r="H3854" s="77">
        <v>138.6864054654811</v>
      </c>
      <c r="I3854" s="77">
        <v>138.6864054654811</v>
      </c>
    </row>
    <row r="3855" spans="2:9">
      <c r="B3855" s="76">
        <v>2022.8100154290166</v>
      </c>
      <c r="C3855">
        <v>805.26296267085127</v>
      </c>
      <c r="D3855" s="77">
        <v>134.21049377847521</v>
      </c>
      <c r="E3855" s="77">
        <v>134.21049377847521</v>
      </c>
      <c r="F3855" s="77">
        <v>134.21049377847521</v>
      </c>
      <c r="G3855" s="77">
        <v>134.21049377847521</v>
      </c>
      <c r="H3855" s="77">
        <v>134.21049377847521</v>
      </c>
      <c r="I3855" s="77">
        <v>134.21049377847521</v>
      </c>
    </row>
    <row r="3856" spans="2:9">
      <c r="B3856" s="76">
        <v>2022.9832075538102</v>
      </c>
      <c r="C3856">
        <v>854.74439770158187</v>
      </c>
      <c r="D3856" s="77">
        <v>142.4573996169303</v>
      </c>
      <c r="E3856" s="77">
        <v>142.4573996169303</v>
      </c>
      <c r="F3856" s="77">
        <v>142.4573996169303</v>
      </c>
      <c r="G3856" s="77">
        <v>142.4573996169303</v>
      </c>
      <c r="H3856" s="77">
        <v>142.4573996169303</v>
      </c>
      <c r="I3856" s="77">
        <v>142.4573996169303</v>
      </c>
    </row>
    <row r="3857" spans="2:9">
      <c r="B3857" s="76">
        <v>2022.9470311794228</v>
      </c>
      <c r="C3857">
        <v>813.92843768525529</v>
      </c>
      <c r="D3857" s="77">
        <v>135.65473961420921</v>
      </c>
      <c r="E3857" s="77">
        <v>135.65473961420921</v>
      </c>
      <c r="F3857" s="77">
        <v>135.65473961420921</v>
      </c>
      <c r="G3857" s="77">
        <v>135.65473961420921</v>
      </c>
      <c r="H3857" s="77">
        <v>135.65473961420921</v>
      </c>
      <c r="I3857" s="77">
        <v>135.65473961420921</v>
      </c>
    </row>
    <row r="3858" spans="2:9">
      <c r="B3858" s="76">
        <v>2022.7025711322253</v>
      </c>
      <c r="C3858">
        <v>806.38028186706049</v>
      </c>
      <c r="D3858" s="77">
        <v>134.39671364451007</v>
      </c>
      <c r="E3858" s="77">
        <v>134.39671364451007</v>
      </c>
      <c r="F3858" s="77">
        <v>134.39671364451007</v>
      </c>
      <c r="G3858" s="77">
        <v>134.39671364451007</v>
      </c>
      <c r="H3858" s="77">
        <v>134.39671364451007</v>
      </c>
      <c r="I3858" s="77">
        <v>134.39671364451007</v>
      </c>
    </row>
    <row r="3859" spans="2:9">
      <c r="B3859" s="76">
        <v>2022.7435959056752</v>
      </c>
      <c r="C3859">
        <v>811.35702289256028</v>
      </c>
      <c r="D3859" s="77">
        <v>135.22617048209338</v>
      </c>
      <c r="E3859" s="77">
        <v>135.22617048209338</v>
      </c>
      <c r="F3859" s="77">
        <v>135.22617048209338</v>
      </c>
      <c r="G3859" s="77">
        <v>135.22617048209338</v>
      </c>
      <c r="H3859" s="77">
        <v>135.22617048209338</v>
      </c>
      <c r="I3859" s="77">
        <v>135.22617048209338</v>
      </c>
    </row>
    <row r="3860" spans="2:9">
      <c r="B3860" s="76">
        <v>2023.4219916708898</v>
      </c>
      <c r="C3860">
        <v>990.84260448270402</v>
      </c>
      <c r="D3860" s="77">
        <v>165.14043408045066</v>
      </c>
      <c r="E3860" s="77">
        <v>165.14043408045066</v>
      </c>
      <c r="F3860" s="77">
        <v>165.14043408045066</v>
      </c>
      <c r="G3860" s="77">
        <v>165.14043408045066</v>
      </c>
      <c r="H3860" s="77">
        <v>165.14043408045066</v>
      </c>
      <c r="I3860" s="77">
        <v>165.14043408045066</v>
      </c>
    </row>
    <row r="3861" spans="2:9">
      <c r="B3861" s="76">
        <v>2023.0554586131468</v>
      </c>
      <c r="C3861">
        <v>926.72861464327718</v>
      </c>
      <c r="D3861" s="77">
        <v>154.45476910721285</v>
      </c>
      <c r="E3861" s="77">
        <v>154.45476910721285</v>
      </c>
      <c r="F3861" s="77">
        <v>154.45476910721285</v>
      </c>
      <c r="G3861" s="77">
        <v>154.45476910721285</v>
      </c>
      <c r="H3861" s="77">
        <v>154.45476910721285</v>
      </c>
      <c r="I3861" s="77">
        <v>154.45476910721285</v>
      </c>
    </row>
    <row r="3862" spans="2:9">
      <c r="B3862" s="76">
        <v>2023.7539500504176</v>
      </c>
      <c r="C3862">
        <v>930.57180676935775</v>
      </c>
      <c r="D3862" s="77">
        <v>155.09530112822628</v>
      </c>
      <c r="E3862" s="77">
        <v>155.09530112822628</v>
      </c>
      <c r="F3862" s="77">
        <v>155.09530112822628</v>
      </c>
      <c r="G3862" s="77">
        <v>155.09530112822628</v>
      </c>
      <c r="H3862" s="77">
        <v>155.09530112822628</v>
      </c>
      <c r="I3862" s="77">
        <v>155.09530112822628</v>
      </c>
    </row>
    <row r="3863" spans="2:9">
      <c r="B3863" s="76">
        <v>2023.1911843725079</v>
      </c>
      <c r="C3863">
        <v>910.46266101679817</v>
      </c>
      <c r="D3863" s="77">
        <v>151.74377683613304</v>
      </c>
      <c r="E3863" s="77">
        <v>151.74377683613304</v>
      </c>
      <c r="F3863" s="77">
        <v>151.74377683613304</v>
      </c>
      <c r="G3863" s="77">
        <v>151.74377683613304</v>
      </c>
      <c r="H3863" s="77">
        <v>151.74377683613304</v>
      </c>
      <c r="I3863" s="77">
        <v>151.74377683613304</v>
      </c>
    </row>
    <row r="3864" spans="2:9">
      <c r="B3864" s="76">
        <v>2024.8524643678984</v>
      </c>
      <c r="C3864">
        <v>1088.1475629752968</v>
      </c>
      <c r="D3864" s="77">
        <v>181.35792716254946</v>
      </c>
      <c r="E3864" s="77">
        <v>181.35792716254946</v>
      </c>
      <c r="F3864" s="77">
        <v>181.35792716254946</v>
      </c>
      <c r="G3864" s="77">
        <v>181.35792716254946</v>
      </c>
      <c r="H3864" s="77">
        <v>181.35792716254946</v>
      </c>
      <c r="I3864" s="77">
        <v>181.35792716254946</v>
      </c>
    </row>
    <row r="3865" spans="2:9">
      <c r="B3865" s="76">
        <v>2022.9045118854372</v>
      </c>
      <c r="C3865">
        <v>879.79696913182306</v>
      </c>
      <c r="D3865" s="77">
        <v>146.63282818863718</v>
      </c>
      <c r="E3865" s="77">
        <v>146.63282818863718</v>
      </c>
      <c r="F3865" s="77">
        <v>146.63282818863718</v>
      </c>
      <c r="G3865" s="77">
        <v>146.63282818863718</v>
      </c>
      <c r="H3865" s="77">
        <v>146.63282818863718</v>
      </c>
      <c r="I3865" s="77">
        <v>146.63282818863718</v>
      </c>
    </row>
    <row r="3866" spans="2:9">
      <c r="B3866" s="76">
        <v>2024.950833532245</v>
      </c>
      <c r="C3866">
        <v>1088.0137835572168</v>
      </c>
      <c r="D3866" s="77">
        <v>181.33563059286948</v>
      </c>
      <c r="E3866" s="77">
        <v>181.33563059286948</v>
      </c>
      <c r="F3866" s="77">
        <v>181.33563059286948</v>
      </c>
      <c r="G3866" s="77">
        <v>181.33563059286948</v>
      </c>
      <c r="H3866" s="77">
        <v>181.33563059286948</v>
      </c>
      <c r="I3866" s="77">
        <v>181.33563059286948</v>
      </c>
    </row>
    <row r="3867" spans="2:9">
      <c r="B3867" s="76">
        <v>2024.1718791716555</v>
      </c>
      <c r="C3867">
        <v>992.58171081776322</v>
      </c>
      <c r="D3867" s="77">
        <v>165.43028513629386</v>
      </c>
      <c r="E3867" s="77">
        <v>165.43028513629386</v>
      </c>
      <c r="F3867" s="77">
        <v>165.43028513629386</v>
      </c>
      <c r="G3867" s="77">
        <v>165.43028513629386</v>
      </c>
      <c r="H3867" s="77">
        <v>165.43028513629386</v>
      </c>
      <c r="I3867" s="77">
        <v>165.43028513629386</v>
      </c>
    </row>
    <row r="3868" spans="2:9">
      <c r="B3868" s="76">
        <v>2025.2146739869331</v>
      </c>
      <c r="C3868">
        <v>1105.678441238088</v>
      </c>
      <c r="D3868" s="77">
        <v>184.27974020634801</v>
      </c>
      <c r="E3868" s="77">
        <v>184.27974020634801</v>
      </c>
      <c r="F3868" s="77">
        <v>184.27974020634801</v>
      </c>
      <c r="G3868" s="77">
        <v>184.27974020634801</v>
      </c>
      <c r="H3868" s="77">
        <v>184.27974020634801</v>
      </c>
      <c r="I3868" s="77">
        <v>184.27974020634801</v>
      </c>
    </row>
    <row r="3869" spans="2:9">
      <c r="B3869" s="76">
        <v>2024.9107150627206</v>
      </c>
      <c r="C3869">
        <v>1146.1025236563485</v>
      </c>
      <c r="D3869" s="77">
        <v>191.01708727605808</v>
      </c>
      <c r="E3869" s="77">
        <v>191.01708727605808</v>
      </c>
      <c r="F3869" s="77">
        <v>191.01708727605808</v>
      </c>
      <c r="G3869" s="77">
        <v>191.01708727605808</v>
      </c>
      <c r="H3869" s="77">
        <v>191.01708727605808</v>
      </c>
      <c r="I3869" s="77">
        <v>191.01708727605808</v>
      </c>
    </row>
    <row r="3870" spans="2:9">
      <c r="B3870" s="76">
        <v>2023.2805764617142</v>
      </c>
      <c r="C3870">
        <v>918.32245244467629</v>
      </c>
      <c r="D3870" s="77">
        <v>153.05374207411271</v>
      </c>
      <c r="E3870" s="77">
        <v>153.05374207411271</v>
      </c>
      <c r="F3870" s="77">
        <v>153.05374207411271</v>
      </c>
      <c r="G3870" s="77">
        <v>153.05374207411271</v>
      </c>
      <c r="H3870" s="77">
        <v>153.05374207411271</v>
      </c>
      <c r="I3870" s="77">
        <v>153.05374207411271</v>
      </c>
    </row>
    <row r="3871" spans="2:9">
      <c r="B3871" s="76">
        <v>2023.0152511599908</v>
      </c>
      <c r="C3871">
        <v>972.6364992129819</v>
      </c>
      <c r="D3871" s="77">
        <v>162.10608320216366</v>
      </c>
      <c r="E3871" s="77">
        <v>162.10608320216366</v>
      </c>
      <c r="F3871" s="77">
        <v>162.10608320216366</v>
      </c>
      <c r="G3871" s="77">
        <v>162.10608320216366</v>
      </c>
      <c r="H3871" s="77">
        <v>162.10608320216366</v>
      </c>
      <c r="I3871" s="77">
        <v>162.10608320216366</v>
      </c>
    </row>
    <row r="3872" spans="2:9">
      <c r="B3872" s="76">
        <v>2023.3232970182219</v>
      </c>
      <c r="C3872">
        <v>1000.9518246127809</v>
      </c>
      <c r="D3872" s="77">
        <v>166.82530410213016</v>
      </c>
      <c r="E3872" s="77">
        <v>166.82530410213016</v>
      </c>
      <c r="F3872" s="77">
        <v>166.82530410213016</v>
      </c>
      <c r="G3872" s="77">
        <v>166.82530410213016</v>
      </c>
      <c r="H3872" s="77">
        <v>166.82530410213016</v>
      </c>
      <c r="I3872" s="77">
        <v>166.82530410213016</v>
      </c>
    </row>
    <row r="3873" spans="2:9">
      <c r="B3873" s="76">
        <v>2023.167727094627</v>
      </c>
      <c r="C3873">
        <v>886.66786156366356</v>
      </c>
      <c r="D3873" s="77">
        <v>147.77797692727725</v>
      </c>
      <c r="E3873" s="77">
        <v>147.77797692727725</v>
      </c>
      <c r="F3873" s="77">
        <v>147.77797692727725</v>
      </c>
      <c r="G3873" s="77">
        <v>147.77797692727725</v>
      </c>
      <c r="H3873" s="77">
        <v>147.77797692727725</v>
      </c>
      <c r="I3873" s="77">
        <v>147.77797692727725</v>
      </c>
    </row>
    <row r="3874" spans="2:9">
      <c r="B3874" s="76">
        <v>2024.849101028791</v>
      </c>
      <c r="C3874">
        <v>1146.9104396949726</v>
      </c>
      <c r="D3874" s="77">
        <v>191.15173994916211</v>
      </c>
      <c r="E3874" s="77">
        <v>191.15173994916211</v>
      </c>
      <c r="F3874" s="77">
        <v>191.15173994916211</v>
      </c>
      <c r="G3874" s="77">
        <v>191.15173994916211</v>
      </c>
      <c r="H3874" s="77">
        <v>191.15173994916211</v>
      </c>
      <c r="I3874" s="77">
        <v>191.15173994916211</v>
      </c>
    </row>
    <row r="3875" spans="2:9">
      <c r="B3875" s="76">
        <v>2024.33754536436</v>
      </c>
      <c r="C3875">
        <v>1036.8511420451698</v>
      </c>
      <c r="D3875" s="77">
        <v>172.80852367419496</v>
      </c>
      <c r="E3875" s="77">
        <v>172.80852367419496</v>
      </c>
      <c r="F3875" s="77">
        <v>172.80852367419496</v>
      </c>
      <c r="G3875" s="77">
        <v>172.80852367419496</v>
      </c>
      <c r="H3875" s="77">
        <v>172.80852367419496</v>
      </c>
      <c r="I3875" s="77">
        <v>172.80852367419496</v>
      </c>
    </row>
    <row r="3876" spans="2:9">
      <c r="B3876" s="76">
        <v>2022.8019822571616</v>
      </c>
      <c r="C3876">
        <v>852.24406918258967</v>
      </c>
      <c r="D3876" s="77">
        <v>142.04067819709829</v>
      </c>
      <c r="E3876" s="77">
        <v>142.04067819709829</v>
      </c>
      <c r="F3876" s="77">
        <v>142.04067819709829</v>
      </c>
      <c r="G3876" s="77">
        <v>142.04067819709829</v>
      </c>
      <c r="H3876" s="77">
        <v>142.04067819709829</v>
      </c>
      <c r="I3876" s="77">
        <v>142.04067819709829</v>
      </c>
    </row>
    <row r="3877" spans="2:9">
      <c r="B3877" s="76">
        <v>2024.8758103684077</v>
      </c>
      <c r="C3877">
        <v>1137.5782221973964</v>
      </c>
      <c r="D3877" s="77">
        <v>189.59637036623272</v>
      </c>
      <c r="E3877" s="77">
        <v>189.59637036623272</v>
      </c>
      <c r="F3877" s="77">
        <v>189.59637036623272</v>
      </c>
      <c r="G3877" s="77">
        <v>189.59637036623272</v>
      </c>
      <c r="H3877" s="77">
        <v>189.59637036623272</v>
      </c>
      <c r="I3877" s="77">
        <v>189.59637036623272</v>
      </c>
    </row>
    <row r="3878" spans="2:9">
      <c r="B3878" s="76">
        <v>2023.0130968204135</v>
      </c>
      <c r="C3878">
        <v>881.02629209904023</v>
      </c>
      <c r="D3878" s="77">
        <v>146.83771534984004</v>
      </c>
      <c r="E3878" s="77">
        <v>146.83771534984004</v>
      </c>
      <c r="F3878" s="77">
        <v>146.83771534984004</v>
      </c>
      <c r="G3878" s="77">
        <v>146.83771534984004</v>
      </c>
      <c r="H3878" s="77">
        <v>146.83771534984004</v>
      </c>
      <c r="I3878" s="77">
        <v>146.83771534984004</v>
      </c>
    </row>
    <row r="3879" spans="2:9">
      <c r="B3879" s="76">
        <v>2023.1277807917943</v>
      </c>
      <c r="C3879">
        <v>896.74940689094683</v>
      </c>
      <c r="D3879" s="77">
        <v>149.45823448182446</v>
      </c>
      <c r="E3879" s="77">
        <v>149.45823448182446</v>
      </c>
      <c r="F3879" s="77">
        <v>149.45823448182446</v>
      </c>
      <c r="G3879" s="77">
        <v>149.45823448182446</v>
      </c>
      <c r="H3879" s="77">
        <v>149.45823448182446</v>
      </c>
      <c r="I3879" s="77">
        <v>149.45823448182446</v>
      </c>
    </row>
    <row r="3880" spans="2:9">
      <c r="B3880" s="76">
        <v>2024.1979484987498</v>
      </c>
      <c r="C3880">
        <v>1045.0566907149955</v>
      </c>
      <c r="D3880" s="77">
        <v>174.17611511916593</v>
      </c>
      <c r="E3880" s="77">
        <v>174.17611511916593</v>
      </c>
      <c r="F3880" s="77">
        <v>174.17611511916593</v>
      </c>
      <c r="G3880" s="77">
        <v>174.17611511916593</v>
      </c>
      <c r="H3880" s="77">
        <v>174.17611511916593</v>
      </c>
      <c r="I3880" s="77">
        <v>174.17611511916593</v>
      </c>
    </row>
    <row r="3881" spans="2:9">
      <c r="B3881" s="76">
        <v>2025.0349639137692</v>
      </c>
      <c r="C3881">
        <v>1124.8899765879096</v>
      </c>
      <c r="D3881" s="77">
        <v>187.48166276465159</v>
      </c>
      <c r="E3881" s="77">
        <v>187.48166276465159</v>
      </c>
      <c r="F3881" s="77">
        <v>187.48166276465159</v>
      </c>
      <c r="G3881" s="77">
        <v>187.48166276465159</v>
      </c>
      <c r="H3881" s="77">
        <v>187.48166276465159</v>
      </c>
      <c r="I3881" s="77">
        <v>187.48166276465159</v>
      </c>
    </row>
    <row r="3882" spans="2:9">
      <c r="B3882" s="76">
        <v>2022.8173878913422</v>
      </c>
      <c r="C3882">
        <v>867.29586044934979</v>
      </c>
      <c r="D3882" s="77">
        <v>144.54931007489162</v>
      </c>
      <c r="E3882" s="77">
        <v>144.54931007489162</v>
      </c>
      <c r="F3882" s="77">
        <v>144.54931007489162</v>
      </c>
      <c r="G3882" s="77">
        <v>144.54931007489162</v>
      </c>
      <c r="H3882" s="77">
        <v>144.54931007489162</v>
      </c>
      <c r="I3882" s="77">
        <v>144.54931007489162</v>
      </c>
    </row>
    <row r="3883" spans="2:9">
      <c r="B3883" s="76">
        <v>2024.795523774628</v>
      </c>
      <c r="C3883">
        <v>1129.4984432341582</v>
      </c>
      <c r="D3883" s="77">
        <v>188.24974053902636</v>
      </c>
      <c r="E3883" s="77">
        <v>188.24974053902636</v>
      </c>
      <c r="F3883" s="77">
        <v>188.24974053902636</v>
      </c>
      <c r="G3883" s="77">
        <v>188.24974053902636</v>
      </c>
      <c r="H3883" s="77">
        <v>188.24974053902636</v>
      </c>
      <c r="I3883" s="77">
        <v>188.24974053902636</v>
      </c>
    </row>
    <row r="3884" spans="2:9">
      <c r="B3884" s="76">
        <v>2023.3236092536947</v>
      </c>
      <c r="C3884">
        <v>967.92801427551126</v>
      </c>
      <c r="D3884" s="77">
        <v>161.32133571258521</v>
      </c>
      <c r="E3884" s="77">
        <v>161.32133571258521</v>
      </c>
      <c r="F3884" s="77">
        <v>161.32133571258521</v>
      </c>
      <c r="G3884" s="77">
        <v>161.32133571258521</v>
      </c>
      <c r="H3884" s="77">
        <v>161.32133571258521</v>
      </c>
      <c r="I3884" s="77">
        <v>161.32133571258521</v>
      </c>
    </row>
    <row r="3885" spans="2:9">
      <c r="B3885" s="76">
        <v>2023.7435995798387</v>
      </c>
      <c r="C3885">
        <v>999.86802659196712</v>
      </c>
      <c r="D3885" s="77">
        <v>166.64467109866118</v>
      </c>
      <c r="E3885" s="77">
        <v>166.64467109866118</v>
      </c>
      <c r="F3885" s="77">
        <v>166.64467109866118</v>
      </c>
      <c r="G3885" s="77">
        <v>166.64467109866118</v>
      </c>
      <c r="H3885" s="77">
        <v>166.64467109866118</v>
      </c>
      <c r="I3885" s="77">
        <v>166.64467109866118</v>
      </c>
    </row>
    <row r="3886" spans="2:9">
      <c r="B3886" s="76">
        <v>2023.1207997675051</v>
      </c>
      <c r="C3886">
        <v>932.51689844081318</v>
      </c>
      <c r="D3886" s="77">
        <v>155.41948307346885</v>
      </c>
      <c r="E3886" s="77">
        <v>155.41948307346885</v>
      </c>
      <c r="F3886" s="77">
        <v>155.41948307346885</v>
      </c>
      <c r="G3886" s="77">
        <v>155.41948307346885</v>
      </c>
      <c r="H3886" s="77">
        <v>155.41948307346885</v>
      </c>
      <c r="I3886" s="77">
        <v>155.41948307346885</v>
      </c>
    </row>
    <row r="3887" spans="2:9">
      <c r="B3887" s="76">
        <v>2025.6102936292673</v>
      </c>
      <c r="C3887">
        <v>1236.9687120130789</v>
      </c>
      <c r="D3887" s="77">
        <v>206.1614520021798</v>
      </c>
      <c r="E3887" s="77">
        <v>206.1614520021798</v>
      </c>
      <c r="F3887" s="77">
        <v>206.1614520021798</v>
      </c>
      <c r="G3887" s="77">
        <v>206.1614520021798</v>
      </c>
      <c r="H3887" s="77">
        <v>206.1614520021798</v>
      </c>
      <c r="I3887" s="77">
        <v>206.1614520021798</v>
      </c>
    </row>
    <row r="3888" spans="2:9">
      <c r="B3888" s="76">
        <v>2024.611809925367</v>
      </c>
      <c r="C3888">
        <v>1113.8323852212268</v>
      </c>
      <c r="D3888" s="77">
        <v>185.63873087020445</v>
      </c>
      <c r="E3888" s="77">
        <v>185.63873087020445</v>
      </c>
      <c r="F3888" s="77">
        <v>185.63873087020445</v>
      </c>
      <c r="G3888" s="77">
        <v>185.63873087020445</v>
      </c>
      <c r="H3888" s="77">
        <v>185.63873087020445</v>
      </c>
      <c r="I3888" s="77">
        <v>185.63873087020445</v>
      </c>
    </row>
    <row r="3889" spans="2:9">
      <c r="B3889" s="76">
        <v>2023.3246618331214</v>
      </c>
      <c r="C3889">
        <v>964.50137931643849</v>
      </c>
      <c r="D3889" s="77">
        <v>160.75022988607307</v>
      </c>
      <c r="E3889" s="77">
        <v>160.75022988607307</v>
      </c>
      <c r="F3889" s="77">
        <v>160.75022988607307</v>
      </c>
      <c r="G3889" s="77">
        <v>160.75022988607307</v>
      </c>
      <c r="H3889" s="77">
        <v>160.75022988607307</v>
      </c>
      <c r="I3889" s="77">
        <v>160.75022988607307</v>
      </c>
    </row>
    <row r="3890" spans="2:9">
      <c r="B3890" s="76">
        <v>2022.8570988955282</v>
      </c>
      <c r="C3890">
        <v>833.70819334026839</v>
      </c>
      <c r="D3890" s="77">
        <v>138.95136555671141</v>
      </c>
      <c r="E3890" s="77">
        <v>138.95136555671141</v>
      </c>
      <c r="F3890" s="77">
        <v>138.95136555671141</v>
      </c>
      <c r="G3890" s="77">
        <v>138.95136555671141</v>
      </c>
      <c r="H3890" s="77">
        <v>138.95136555671141</v>
      </c>
      <c r="I3890" s="77">
        <v>138.95136555671141</v>
      </c>
    </row>
    <row r="3891" spans="2:9">
      <c r="B3891" s="76">
        <v>2022.7059520090236</v>
      </c>
      <c r="C3891">
        <v>857.08589706721568</v>
      </c>
      <c r="D3891" s="77">
        <v>142.8476495112026</v>
      </c>
      <c r="E3891" s="77">
        <v>142.8476495112026</v>
      </c>
      <c r="F3891" s="77">
        <v>142.8476495112026</v>
      </c>
      <c r="G3891" s="77">
        <v>142.8476495112026</v>
      </c>
      <c r="H3891" s="77">
        <v>142.8476495112026</v>
      </c>
      <c r="I3891" s="77">
        <v>142.8476495112026</v>
      </c>
    </row>
    <row r="3892" spans="2:9">
      <c r="B3892" s="76">
        <v>2023.28622661195</v>
      </c>
      <c r="C3892">
        <v>898.81521039417635</v>
      </c>
      <c r="D3892" s="77">
        <v>149.80253506569605</v>
      </c>
      <c r="E3892" s="77">
        <v>149.80253506569605</v>
      </c>
      <c r="F3892" s="77">
        <v>149.80253506569605</v>
      </c>
      <c r="G3892" s="77">
        <v>149.80253506569605</v>
      </c>
      <c r="H3892" s="77">
        <v>149.80253506569605</v>
      </c>
      <c r="I3892" s="77">
        <v>149.80253506569605</v>
      </c>
    </row>
    <row r="3893" spans="2:9">
      <c r="B3893" s="76">
        <v>2023.0824619211198</v>
      </c>
      <c r="C3893">
        <v>940.40729009071174</v>
      </c>
      <c r="D3893" s="77">
        <v>156.73454834845197</v>
      </c>
      <c r="E3893" s="77">
        <v>156.73454834845197</v>
      </c>
      <c r="F3893" s="77">
        <v>156.73454834845197</v>
      </c>
      <c r="G3893" s="77">
        <v>156.73454834845197</v>
      </c>
      <c r="H3893" s="77">
        <v>156.73454834845197</v>
      </c>
      <c r="I3893" s="77">
        <v>156.73454834845197</v>
      </c>
    </row>
    <row r="3894" spans="2:9">
      <c r="B3894" s="76">
        <v>2025.054274017486</v>
      </c>
      <c r="C3894">
        <v>1167.9367432332053</v>
      </c>
      <c r="D3894" s="77">
        <v>194.65612387220088</v>
      </c>
      <c r="E3894" s="77">
        <v>194.65612387220088</v>
      </c>
      <c r="F3894" s="77">
        <v>194.65612387220088</v>
      </c>
      <c r="G3894" s="77">
        <v>194.65612387220088</v>
      </c>
      <c r="H3894" s="77">
        <v>194.65612387220088</v>
      </c>
      <c r="I3894" s="77">
        <v>194.65612387220088</v>
      </c>
    </row>
    <row r="3895" spans="2:9">
      <c r="B3895" s="76">
        <v>2023.0413915559143</v>
      </c>
      <c r="C3895">
        <v>910.32059076467385</v>
      </c>
      <c r="D3895" s="77">
        <v>151.72009846077898</v>
      </c>
      <c r="E3895" s="77">
        <v>151.72009846077898</v>
      </c>
      <c r="F3895" s="77">
        <v>151.72009846077898</v>
      </c>
      <c r="G3895" s="77">
        <v>151.72009846077898</v>
      </c>
      <c r="H3895" s="77">
        <v>151.72009846077898</v>
      </c>
      <c r="I3895" s="77">
        <v>151.72009846077898</v>
      </c>
    </row>
    <row r="3896" spans="2:9">
      <c r="B3896" s="76">
        <v>2023.2280041423976</v>
      </c>
      <c r="C3896">
        <v>928.88280369001268</v>
      </c>
      <c r="D3896" s="77">
        <v>154.81380061500212</v>
      </c>
      <c r="E3896" s="77">
        <v>154.81380061500212</v>
      </c>
      <c r="F3896" s="77">
        <v>154.81380061500212</v>
      </c>
      <c r="G3896" s="77">
        <v>154.81380061500212</v>
      </c>
      <c r="H3896" s="77">
        <v>154.81380061500212</v>
      </c>
      <c r="I3896" s="77">
        <v>154.81380061500212</v>
      </c>
    </row>
    <row r="3897" spans="2:9">
      <c r="B3897" s="76">
        <v>2024.7195789459272</v>
      </c>
      <c r="C3897">
        <v>1085.1990341709077</v>
      </c>
      <c r="D3897" s="77">
        <v>180.86650569515129</v>
      </c>
      <c r="E3897" s="77">
        <v>180.86650569515129</v>
      </c>
      <c r="F3897" s="77">
        <v>180.86650569515129</v>
      </c>
      <c r="G3897" s="77">
        <v>180.86650569515129</v>
      </c>
      <c r="H3897" s="77">
        <v>180.86650569515129</v>
      </c>
      <c r="I3897" s="77">
        <v>180.86650569515129</v>
      </c>
    </row>
    <row r="3898" spans="2:9">
      <c r="B3898" s="76">
        <v>2023.2031661813439</v>
      </c>
      <c r="C3898">
        <v>934.86525711959678</v>
      </c>
      <c r="D3898" s="77">
        <v>155.81087618659947</v>
      </c>
      <c r="E3898" s="77">
        <v>155.81087618659947</v>
      </c>
      <c r="F3898" s="77">
        <v>155.81087618659947</v>
      </c>
      <c r="G3898" s="77">
        <v>155.81087618659947</v>
      </c>
      <c r="H3898" s="77">
        <v>155.81087618659947</v>
      </c>
      <c r="I3898" s="77">
        <v>155.81087618659947</v>
      </c>
    </row>
    <row r="3899" spans="2:9">
      <c r="B3899" s="76">
        <v>2024.5089710174325</v>
      </c>
      <c r="C3899">
        <v>1020.1443225359877</v>
      </c>
      <c r="D3899" s="77">
        <v>170.02405375599795</v>
      </c>
      <c r="E3899" s="77">
        <v>170.02405375599795</v>
      </c>
      <c r="F3899" s="77">
        <v>170.02405375599795</v>
      </c>
      <c r="G3899" s="77">
        <v>170.02405375599795</v>
      </c>
      <c r="H3899" s="77">
        <v>170.02405375599795</v>
      </c>
      <c r="I3899" s="77">
        <v>170.02405375599795</v>
      </c>
    </row>
    <row r="3900" spans="2:9">
      <c r="B3900" s="76">
        <v>2024.9163358960582</v>
      </c>
      <c r="C3900">
        <v>1085.4859029717895</v>
      </c>
      <c r="D3900" s="77">
        <v>180.91431716196493</v>
      </c>
      <c r="E3900" s="77">
        <v>180.91431716196493</v>
      </c>
      <c r="F3900" s="77">
        <v>180.91431716196493</v>
      </c>
      <c r="G3900" s="77">
        <v>180.91431716196493</v>
      </c>
      <c r="H3900" s="77">
        <v>180.91431716196493</v>
      </c>
      <c r="I3900" s="77">
        <v>180.91431716196493</v>
      </c>
    </row>
    <row r="3901" spans="2:9">
      <c r="B3901" s="76">
        <v>2023.3167491895474</v>
      </c>
      <c r="C3901">
        <v>856.02984526735054</v>
      </c>
      <c r="D3901" s="77">
        <v>142.67164087789175</v>
      </c>
      <c r="E3901" s="77">
        <v>142.67164087789175</v>
      </c>
      <c r="F3901" s="77">
        <v>142.67164087789175</v>
      </c>
      <c r="G3901" s="77">
        <v>142.67164087789175</v>
      </c>
      <c r="H3901" s="77">
        <v>142.67164087789175</v>
      </c>
      <c r="I3901" s="77">
        <v>142.67164087789175</v>
      </c>
    </row>
    <row r="3902" spans="2:9">
      <c r="B3902" s="76">
        <v>2023.2591773925371</v>
      </c>
      <c r="C3902">
        <v>910.57779041087224</v>
      </c>
      <c r="D3902" s="77">
        <v>151.76296506847871</v>
      </c>
      <c r="E3902" s="77">
        <v>151.76296506847871</v>
      </c>
      <c r="F3902" s="77">
        <v>151.76296506847871</v>
      </c>
      <c r="G3902" s="77">
        <v>151.76296506847871</v>
      </c>
      <c r="H3902" s="77">
        <v>151.76296506847871</v>
      </c>
      <c r="I3902" s="77">
        <v>151.76296506847871</v>
      </c>
    </row>
    <row r="3903" spans="2:9">
      <c r="B3903" s="76">
        <v>2023.2162977410226</v>
      </c>
      <c r="C3903">
        <v>863.83992037038695</v>
      </c>
      <c r="D3903" s="77">
        <v>143.97332006173116</v>
      </c>
      <c r="E3903" s="77">
        <v>143.97332006173116</v>
      </c>
      <c r="F3903" s="77">
        <v>143.97332006173116</v>
      </c>
      <c r="G3903" s="77">
        <v>143.97332006173116</v>
      </c>
      <c r="H3903" s="77">
        <v>143.97332006173116</v>
      </c>
      <c r="I3903" s="77">
        <v>143.97332006173116</v>
      </c>
    </row>
    <row r="3904" spans="2:9">
      <c r="B3904" s="76">
        <v>2023.0964281081958</v>
      </c>
      <c r="C3904">
        <v>965.76376927063234</v>
      </c>
      <c r="D3904" s="77">
        <v>160.96062821177205</v>
      </c>
      <c r="E3904" s="77">
        <v>160.96062821177205</v>
      </c>
      <c r="F3904" s="77">
        <v>160.96062821177205</v>
      </c>
      <c r="G3904" s="77">
        <v>160.96062821177205</v>
      </c>
      <c r="H3904" s="77">
        <v>160.96062821177205</v>
      </c>
      <c r="I3904" s="77">
        <v>160.96062821177205</v>
      </c>
    </row>
    <row r="3905" spans="2:9">
      <c r="B3905" s="76">
        <v>2025.0281226026395</v>
      </c>
      <c r="C3905">
        <v>1190.1347951023713</v>
      </c>
      <c r="D3905" s="77">
        <v>198.35579918372855</v>
      </c>
      <c r="E3905" s="77">
        <v>198.35579918372855</v>
      </c>
      <c r="F3905" s="77">
        <v>198.35579918372855</v>
      </c>
      <c r="G3905" s="77">
        <v>198.35579918372855</v>
      </c>
      <c r="H3905" s="77">
        <v>198.35579918372855</v>
      </c>
      <c r="I3905" s="77">
        <v>198.35579918372855</v>
      </c>
    </row>
    <row r="3906" spans="2:9">
      <c r="B3906" s="76">
        <v>2023.0597495307809</v>
      </c>
      <c r="C3906">
        <v>888.86657530014384</v>
      </c>
      <c r="D3906" s="77">
        <v>148.14442921669064</v>
      </c>
      <c r="E3906" s="77">
        <v>148.14442921669064</v>
      </c>
      <c r="F3906" s="77">
        <v>148.14442921669064</v>
      </c>
      <c r="G3906" s="77">
        <v>148.14442921669064</v>
      </c>
      <c r="H3906" s="77">
        <v>148.14442921669064</v>
      </c>
      <c r="I3906" s="77">
        <v>148.14442921669064</v>
      </c>
    </row>
    <row r="3907" spans="2:9">
      <c r="B3907" s="76">
        <v>2023.0321825751996</v>
      </c>
      <c r="C3907">
        <v>952.25919953321215</v>
      </c>
      <c r="D3907" s="77">
        <v>158.70986658886869</v>
      </c>
      <c r="E3907" s="77">
        <v>158.70986658886869</v>
      </c>
      <c r="F3907" s="77">
        <v>158.70986658886869</v>
      </c>
      <c r="G3907" s="77">
        <v>158.70986658886869</v>
      </c>
      <c r="H3907" s="77">
        <v>158.70986658886869</v>
      </c>
      <c r="I3907" s="77">
        <v>158.70986658886869</v>
      </c>
    </row>
    <row r="3908" spans="2:9">
      <c r="B3908" s="76">
        <v>2022.916421539288</v>
      </c>
      <c r="C3908">
        <v>874.06134017679426</v>
      </c>
      <c r="D3908" s="77">
        <v>145.67689002946571</v>
      </c>
      <c r="E3908" s="77">
        <v>145.67689002946571</v>
      </c>
      <c r="F3908" s="77">
        <v>145.67689002946571</v>
      </c>
      <c r="G3908" s="77">
        <v>145.67689002946571</v>
      </c>
      <c r="H3908" s="77">
        <v>145.67689002946571</v>
      </c>
      <c r="I3908" s="77">
        <v>145.67689002946571</v>
      </c>
    </row>
    <row r="3909" spans="2:9">
      <c r="B3909" s="76">
        <v>2023.0443751247681</v>
      </c>
      <c r="C3909">
        <v>907.54305656873055</v>
      </c>
      <c r="D3909" s="77">
        <v>151.25717609478843</v>
      </c>
      <c r="E3909" s="77">
        <v>151.25717609478843</v>
      </c>
      <c r="F3909" s="77">
        <v>151.25717609478843</v>
      </c>
      <c r="G3909" s="77">
        <v>151.25717609478843</v>
      </c>
      <c r="H3909" s="77">
        <v>151.25717609478843</v>
      </c>
      <c r="I3909" s="77">
        <v>151.25717609478843</v>
      </c>
    </row>
    <row r="3910" spans="2:9">
      <c r="B3910" s="76">
        <v>2023.1411088479585</v>
      </c>
      <c r="C3910">
        <v>911.14091975353824</v>
      </c>
      <c r="D3910" s="77">
        <v>151.85681995892304</v>
      </c>
      <c r="E3910" s="77">
        <v>151.85681995892304</v>
      </c>
      <c r="F3910" s="77">
        <v>151.85681995892304</v>
      </c>
      <c r="G3910" s="77">
        <v>151.85681995892304</v>
      </c>
      <c r="H3910" s="77">
        <v>151.85681995892304</v>
      </c>
      <c r="I3910" s="77">
        <v>151.85681995892304</v>
      </c>
    </row>
    <row r="3911" spans="2:9">
      <c r="B3911" s="76">
        <v>2023.1848754233658</v>
      </c>
      <c r="C3911">
        <v>872.97017596504122</v>
      </c>
      <c r="D3911" s="77">
        <v>145.49502932750687</v>
      </c>
      <c r="E3911" s="77">
        <v>145.49502932750687</v>
      </c>
      <c r="F3911" s="77">
        <v>145.49502932750687</v>
      </c>
      <c r="G3911" s="77">
        <v>145.49502932750687</v>
      </c>
      <c r="H3911" s="77">
        <v>145.49502932750687</v>
      </c>
      <c r="I3911" s="77">
        <v>145.49502932750687</v>
      </c>
    </row>
    <row r="3912" spans="2:9">
      <c r="B3912" s="76">
        <v>2023.4693841573019</v>
      </c>
      <c r="C3912">
        <v>913.38961333582563</v>
      </c>
      <c r="D3912" s="77">
        <v>152.2316022226376</v>
      </c>
      <c r="E3912" s="77">
        <v>152.2316022226376</v>
      </c>
      <c r="F3912" s="77">
        <v>152.2316022226376</v>
      </c>
      <c r="G3912" s="77">
        <v>152.2316022226376</v>
      </c>
      <c r="H3912" s="77">
        <v>152.2316022226376</v>
      </c>
      <c r="I3912" s="77">
        <v>152.2316022226376</v>
      </c>
    </row>
    <row r="3913" spans="2:9">
      <c r="B3913" s="76">
        <v>2025.6113659914943</v>
      </c>
      <c r="C3913">
        <v>1284.1412317701045</v>
      </c>
      <c r="D3913" s="77">
        <v>214.02353862835074</v>
      </c>
      <c r="E3913" s="77">
        <v>214.02353862835074</v>
      </c>
      <c r="F3913" s="77">
        <v>214.02353862835074</v>
      </c>
      <c r="G3913" s="77">
        <v>214.02353862835074</v>
      </c>
      <c r="H3913" s="77">
        <v>214.02353862835074</v>
      </c>
      <c r="I3913" s="77">
        <v>214.02353862835074</v>
      </c>
    </row>
    <row r="3914" spans="2:9">
      <c r="B3914" s="76">
        <v>2023.6680715865848</v>
      </c>
      <c r="C3914">
        <v>932.72319054714058</v>
      </c>
      <c r="D3914" s="77">
        <v>155.4538650911901</v>
      </c>
      <c r="E3914" s="77">
        <v>155.4538650911901</v>
      </c>
      <c r="F3914" s="77">
        <v>155.4538650911901</v>
      </c>
      <c r="G3914" s="77">
        <v>155.4538650911901</v>
      </c>
      <c r="H3914" s="77">
        <v>155.4538650911901</v>
      </c>
      <c r="I3914" s="77">
        <v>155.4538650911901</v>
      </c>
    </row>
    <row r="3915" spans="2:9">
      <c r="B3915" s="76">
        <v>2023.0498884494632</v>
      </c>
      <c r="C3915">
        <v>859.51366592277964</v>
      </c>
      <c r="D3915" s="77">
        <v>143.2522776537966</v>
      </c>
      <c r="E3915" s="77">
        <v>143.2522776537966</v>
      </c>
      <c r="F3915" s="77">
        <v>143.2522776537966</v>
      </c>
      <c r="G3915" s="77">
        <v>143.2522776537966</v>
      </c>
      <c r="H3915" s="77">
        <v>143.2522776537966</v>
      </c>
      <c r="I3915" s="77">
        <v>143.2522776537966</v>
      </c>
    </row>
    <row r="3916" spans="2:9">
      <c r="B3916" s="76">
        <v>2025.1602489355439</v>
      </c>
      <c r="C3916">
        <v>1167.5692430732922</v>
      </c>
      <c r="D3916" s="77">
        <v>194.5948738455487</v>
      </c>
      <c r="E3916" s="77">
        <v>194.5948738455487</v>
      </c>
      <c r="F3916" s="77">
        <v>194.5948738455487</v>
      </c>
      <c r="G3916" s="77">
        <v>194.5948738455487</v>
      </c>
      <c r="H3916" s="77">
        <v>194.5948738455487</v>
      </c>
      <c r="I3916" s="77">
        <v>194.5948738455487</v>
      </c>
    </row>
    <row r="3917" spans="2:9">
      <c r="B3917" s="76">
        <v>2023.5242889510109</v>
      </c>
      <c r="C3917">
        <v>929.6885037438027</v>
      </c>
      <c r="D3917" s="77">
        <v>154.94808395730044</v>
      </c>
      <c r="E3917" s="77">
        <v>154.94808395730044</v>
      </c>
      <c r="F3917" s="77">
        <v>154.94808395730044</v>
      </c>
      <c r="G3917" s="77">
        <v>154.94808395730044</v>
      </c>
      <c r="H3917" s="77">
        <v>154.94808395730044</v>
      </c>
      <c r="I3917" s="77">
        <v>154.94808395730044</v>
      </c>
    </row>
    <row r="3918" spans="2:9">
      <c r="B3918" s="76">
        <v>2023.2424933416737</v>
      </c>
      <c r="C3918">
        <v>957.18793384081766</v>
      </c>
      <c r="D3918" s="77">
        <v>159.53132230680293</v>
      </c>
      <c r="E3918" s="77">
        <v>159.53132230680293</v>
      </c>
      <c r="F3918" s="77">
        <v>159.53132230680293</v>
      </c>
      <c r="G3918" s="77">
        <v>159.53132230680293</v>
      </c>
      <c r="H3918" s="77">
        <v>159.53132230680293</v>
      </c>
      <c r="I3918" s="77">
        <v>159.53132230680293</v>
      </c>
    </row>
    <row r="3919" spans="2:9">
      <c r="B3919" s="76">
        <v>2023.0298864024903</v>
      </c>
      <c r="C3919">
        <v>945.49414932166337</v>
      </c>
      <c r="D3919" s="77">
        <v>157.58235822027723</v>
      </c>
      <c r="E3919" s="77">
        <v>157.58235822027723</v>
      </c>
      <c r="F3919" s="77">
        <v>157.58235822027723</v>
      </c>
      <c r="G3919" s="77">
        <v>157.58235822027723</v>
      </c>
      <c r="H3919" s="77">
        <v>157.58235822027723</v>
      </c>
      <c r="I3919" s="77">
        <v>157.58235822027723</v>
      </c>
    </row>
    <row r="3920" spans="2:9">
      <c r="B3920" s="76">
        <v>2024.1883597872736</v>
      </c>
      <c r="C3920">
        <v>994.68113396077274</v>
      </c>
      <c r="D3920" s="77">
        <v>165.78018899346213</v>
      </c>
      <c r="E3920" s="77">
        <v>165.78018899346213</v>
      </c>
      <c r="F3920" s="77">
        <v>165.78018899346213</v>
      </c>
      <c r="G3920" s="77">
        <v>165.78018899346213</v>
      </c>
      <c r="H3920" s="77">
        <v>165.78018899346213</v>
      </c>
      <c r="I3920" s="77">
        <v>165.78018899346213</v>
      </c>
    </row>
    <row r="3921" spans="2:9">
      <c r="B3921" s="76">
        <v>2025.3711684931507</v>
      </c>
      <c r="C3921">
        <v>1265.5393689956277</v>
      </c>
      <c r="D3921" s="77">
        <v>210.92322816593796</v>
      </c>
      <c r="E3921" s="77">
        <v>210.92322816593796</v>
      </c>
      <c r="F3921" s="77">
        <v>210.92322816593796</v>
      </c>
      <c r="G3921" s="77">
        <v>210.92322816593796</v>
      </c>
      <c r="H3921" s="77">
        <v>210.92322816593796</v>
      </c>
      <c r="I3921" s="77">
        <v>210.92322816593796</v>
      </c>
    </row>
    <row r="3922" spans="2:9">
      <c r="B3922" s="76">
        <v>2022.6287311656256</v>
      </c>
      <c r="C3922">
        <v>807.38859175686571</v>
      </c>
      <c r="D3922" s="77">
        <v>134.56476529281096</v>
      </c>
      <c r="E3922" s="77">
        <v>134.56476529281096</v>
      </c>
      <c r="F3922" s="77">
        <v>134.56476529281096</v>
      </c>
      <c r="G3922" s="77">
        <v>134.56476529281096</v>
      </c>
      <c r="H3922" s="77">
        <v>134.56476529281096</v>
      </c>
      <c r="I3922" s="77">
        <v>134.56476529281096</v>
      </c>
    </row>
    <row r="3923" spans="2:9">
      <c r="B3923" s="76">
        <v>2023.7093584474108</v>
      </c>
      <c r="C3923">
        <v>1035.1598435091564</v>
      </c>
      <c r="D3923" s="77">
        <v>172.52664058485939</v>
      </c>
      <c r="E3923" s="77">
        <v>172.52664058485939</v>
      </c>
      <c r="F3923" s="77">
        <v>172.52664058485939</v>
      </c>
      <c r="G3923" s="77">
        <v>172.52664058485939</v>
      </c>
      <c r="H3923" s="77">
        <v>172.52664058485939</v>
      </c>
      <c r="I3923" s="77">
        <v>172.52664058485939</v>
      </c>
    </row>
    <row r="3924" spans="2:9">
      <c r="B3924" s="76">
        <v>2023.5057826576774</v>
      </c>
      <c r="C3924">
        <v>905.63488256297182</v>
      </c>
      <c r="D3924" s="77">
        <v>150.93914709382864</v>
      </c>
      <c r="E3924" s="77">
        <v>150.93914709382864</v>
      </c>
      <c r="F3924" s="77">
        <v>150.93914709382864</v>
      </c>
      <c r="G3924" s="77">
        <v>150.93914709382864</v>
      </c>
      <c r="H3924" s="77">
        <v>150.93914709382864</v>
      </c>
      <c r="I3924" s="77">
        <v>150.93914709382864</v>
      </c>
    </row>
    <row r="3925" spans="2:9">
      <c r="B3925" s="76">
        <v>2023.2424862097214</v>
      </c>
      <c r="C3925">
        <v>917.7425383225011</v>
      </c>
      <c r="D3925" s="77">
        <v>152.95708972041686</v>
      </c>
      <c r="E3925" s="77">
        <v>152.95708972041686</v>
      </c>
      <c r="F3925" s="77">
        <v>152.95708972041686</v>
      </c>
      <c r="G3925" s="77">
        <v>152.95708972041686</v>
      </c>
      <c r="H3925" s="77">
        <v>152.95708972041686</v>
      </c>
      <c r="I3925" s="77">
        <v>152.95708972041686</v>
      </c>
    </row>
    <row r="3926" spans="2:9">
      <c r="B3926" s="76">
        <v>2024.9544888740743</v>
      </c>
      <c r="C3926">
        <v>1115.2337527972684</v>
      </c>
      <c r="D3926" s="77">
        <v>185.87229213287807</v>
      </c>
      <c r="E3926" s="77">
        <v>185.87229213287807</v>
      </c>
      <c r="F3926" s="77">
        <v>185.87229213287807</v>
      </c>
      <c r="G3926" s="77">
        <v>185.87229213287807</v>
      </c>
      <c r="H3926" s="77">
        <v>185.87229213287807</v>
      </c>
      <c r="I3926" s="77">
        <v>185.87229213287807</v>
      </c>
    </row>
    <row r="3927" spans="2:9">
      <c r="B3927" s="76">
        <v>2023.3303498678652</v>
      </c>
      <c r="C3927">
        <v>916.57596105511323</v>
      </c>
      <c r="D3927" s="77">
        <v>152.7626601758522</v>
      </c>
      <c r="E3927" s="77">
        <v>152.7626601758522</v>
      </c>
      <c r="F3927" s="77">
        <v>152.7626601758522</v>
      </c>
      <c r="G3927" s="77">
        <v>152.7626601758522</v>
      </c>
      <c r="H3927" s="77">
        <v>152.7626601758522</v>
      </c>
      <c r="I3927" s="77">
        <v>152.7626601758522</v>
      </c>
    </row>
    <row r="3928" spans="2:9">
      <c r="B3928" s="76">
        <v>2024.2841742306923</v>
      </c>
      <c r="C3928">
        <v>1046.0904804726506</v>
      </c>
      <c r="D3928" s="77">
        <v>174.34841341210844</v>
      </c>
      <c r="E3928" s="77">
        <v>174.34841341210844</v>
      </c>
      <c r="F3928" s="77">
        <v>174.34841341210844</v>
      </c>
      <c r="G3928" s="77">
        <v>174.34841341210844</v>
      </c>
      <c r="H3928" s="77">
        <v>174.34841341210844</v>
      </c>
      <c r="I3928" s="77">
        <v>174.34841341210844</v>
      </c>
    </row>
    <row r="3929" spans="2:9">
      <c r="B3929" s="76">
        <v>2022.9419919747058</v>
      </c>
      <c r="C3929">
        <v>832.89095411267704</v>
      </c>
      <c r="D3929" s="77">
        <v>138.8151590187795</v>
      </c>
      <c r="E3929" s="77">
        <v>138.8151590187795</v>
      </c>
      <c r="F3929" s="77">
        <v>138.8151590187795</v>
      </c>
      <c r="G3929" s="77">
        <v>138.8151590187795</v>
      </c>
      <c r="H3929" s="77">
        <v>138.8151590187795</v>
      </c>
      <c r="I3929" s="77">
        <v>138.8151590187795</v>
      </c>
    </row>
    <row r="3930" spans="2:9">
      <c r="B3930" s="76">
        <v>2022.8294507896831</v>
      </c>
      <c r="C3930">
        <v>850.77766320866738</v>
      </c>
      <c r="D3930" s="77">
        <v>141.79627720144455</v>
      </c>
      <c r="E3930" s="77">
        <v>141.79627720144455</v>
      </c>
      <c r="F3930" s="77">
        <v>141.79627720144455</v>
      </c>
      <c r="G3930" s="77">
        <v>141.79627720144455</v>
      </c>
      <c r="H3930" s="77">
        <v>141.79627720144455</v>
      </c>
      <c r="I3930" s="77">
        <v>141.79627720144455</v>
      </c>
    </row>
    <row r="3931" spans="2:9">
      <c r="B3931" s="76">
        <v>2023.3054395854169</v>
      </c>
      <c r="C3931">
        <v>916.31678979299386</v>
      </c>
      <c r="D3931" s="77">
        <v>152.71946496549899</v>
      </c>
      <c r="E3931" s="77">
        <v>152.71946496549899</v>
      </c>
      <c r="F3931" s="77">
        <v>152.71946496549899</v>
      </c>
      <c r="G3931" s="77">
        <v>152.71946496549899</v>
      </c>
      <c r="H3931" s="77">
        <v>152.71946496549899</v>
      </c>
      <c r="I3931" s="77">
        <v>152.71946496549899</v>
      </c>
    </row>
    <row r="3932" spans="2:9">
      <c r="B3932" s="76">
        <v>2023.2195783299239</v>
      </c>
      <c r="C3932">
        <v>922.71289802667206</v>
      </c>
      <c r="D3932" s="77">
        <v>153.78548300444535</v>
      </c>
      <c r="E3932" s="77">
        <v>153.78548300444535</v>
      </c>
      <c r="F3932" s="77">
        <v>153.78548300444535</v>
      </c>
      <c r="G3932" s="77">
        <v>153.78548300444535</v>
      </c>
      <c r="H3932" s="77">
        <v>153.78548300444535</v>
      </c>
      <c r="I3932" s="77">
        <v>153.78548300444535</v>
      </c>
    </row>
    <row r="3933" spans="2:9">
      <c r="B3933" s="76">
        <v>2023.5400741772482</v>
      </c>
      <c r="C3933">
        <v>943.21851753792919</v>
      </c>
      <c r="D3933" s="77">
        <v>157.20308625632154</v>
      </c>
      <c r="E3933" s="77">
        <v>157.20308625632154</v>
      </c>
      <c r="F3933" s="77">
        <v>157.20308625632154</v>
      </c>
      <c r="G3933" s="77">
        <v>157.20308625632154</v>
      </c>
      <c r="H3933" s="77">
        <v>157.20308625632154</v>
      </c>
      <c r="I3933" s="77">
        <v>157.20308625632154</v>
      </c>
    </row>
    <row r="3934" spans="2:9">
      <c r="B3934" s="76">
        <v>2023.3765259061574</v>
      </c>
      <c r="C3934">
        <v>930.20960987777005</v>
      </c>
      <c r="D3934" s="77">
        <v>155.03493497962833</v>
      </c>
      <c r="E3934" s="77">
        <v>155.03493497962833</v>
      </c>
      <c r="F3934" s="77">
        <v>155.03493497962833</v>
      </c>
      <c r="G3934" s="77">
        <v>155.03493497962833</v>
      </c>
      <c r="H3934" s="77">
        <v>155.03493497962833</v>
      </c>
      <c r="I3934" s="77">
        <v>155.03493497962833</v>
      </c>
    </row>
    <row r="3935" spans="2:9">
      <c r="B3935" s="76">
        <v>2022.8593689225092</v>
      </c>
      <c r="C3935">
        <v>838.05484542425563</v>
      </c>
      <c r="D3935" s="77">
        <v>139.67580757070928</v>
      </c>
      <c r="E3935" s="77">
        <v>139.67580757070928</v>
      </c>
      <c r="F3935" s="77">
        <v>139.67580757070928</v>
      </c>
      <c r="G3935" s="77">
        <v>139.67580757070928</v>
      </c>
      <c r="H3935" s="77">
        <v>139.67580757070928</v>
      </c>
      <c r="I3935" s="77">
        <v>139.67580757070928</v>
      </c>
    </row>
    <row r="3936" spans="2:9">
      <c r="B3936" s="76">
        <v>2022.9045875235322</v>
      </c>
      <c r="C3936">
        <v>817.01953059050663</v>
      </c>
      <c r="D3936" s="77">
        <v>136.16992176508444</v>
      </c>
      <c r="E3936" s="77">
        <v>136.16992176508444</v>
      </c>
      <c r="F3936" s="77">
        <v>136.16992176508444</v>
      </c>
      <c r="G3936" s="77">
        <v>136.16992176508444</v>
      </c>
      <c r="H3936" s="77">
        <v>136.16992176508444</v>
      </c>
      <c r="I3936" s="77">
        <v>136.16992176508444</v>
      </c>
    </row>
    <row r="3937" spans="2:9">
      <c r="B3937" s="76">
        <v>2022.8287999968852</v>
      </c>
      <c r="C3937">
        <v>832.6415475739567</v>
      </c>
      <c r="D3937" s="77">
        <v>138.77359126232611</v>
      </c>
      <c r="E3937" s="77">
        <v>138.77359126232611</v>
      </c>
      <c r="F3937" s="77">
        <v>138.77359126232611</v>
      </c>
      <c r="G3937" s="77">
        <v>138.77359126232611</v>
      </c>
      <c r="H3937" s="77">
        <v>138.77359126232611</v>
      </c>
      <c r="I3937" s="77">
        <v>138.77359126232611</v>
      </c>
    </row>
    <row r="3938" spans="2:9">
      <c r="B3938" s="76">
        <v>2023.5542621075865</v>
      </c>
      <c r="C3938">
        <v>976.25866818250097</v>
      </c>
      <c r="D3938" s="77">
        <v>162.70977803041683</v>
      </c>
      <c r="E3938" s="77">
        <v>162.70977803041683</v>
      </c>
      <c r="F3938" s="77">
        <v>162.70977803041683</v>
      </c>
      <c r="G3938" s="77">
        <v>162.70977803041683</v>
      </c>
      <c r="H3938" s="77">
        <v>162.70977803041683</v>
      </c>
      <c r="I3938" s="77">
        <v>162.70977803041683</v>
      </c>
    </row>
    <row r="3939" spans="2:9">
      <c r="B3939" s="76">
        <v>2025.447771541536</v>
      </c>
      <c r="C3939">
        <v>1257.680673201397</v>
      </c>
      <c r="D3939" s="77">
        <v>209.61344553356616</v>
      </c>
      <c r="E3939" s="77">
        <v>209.61344553356616</v>
      </c>
      <c r="F3939" s="77">
        <v>209.61344553356616</v>
      </c>
      <c r="G3939" s="77">
        <v>209.61344553356616</v>
      </c>
      <c r="H3939" s="77">
        <v>209.61344553356616</v>
      </c>
      <c r="I3939" s="77">
        <v>209.61344553356616</v>
      </c>
    </row>
    <row r="3940" spans="2:9">
      <c r="B3940" s="76">
        <v>2022.8955963870342</v>
      </c>
      <c r="C3940">
        <v>923.36670375228903</v>
      </c>
      <c r="D3940" s="77">
        <v>153.8944506253815</v>
      </c>
      <c r="E3940" s="77">
        <v>153.8944506253815</v>
      </c>
      <c r="F3940" s="77">
        <v>153.8944506253815</v>
      </c>
      <c r="G3940" s="77">
        <v>153.8944506253815</v>
      </c>
      <c r="H3940" s="77">
        <v>153.8944506253815</v>
      </c>
      <c r="I3940" s="77">
        <v>153.8944506253815</v>
      </c>
    </row>
    <row r="3941" spans="2:9">
      <c r="B3941" s="76">
        <v>2025.0899627024248</v>
      </c>
      <c r="C3941">
        <v>1186.8223655851425</v>
      </c>
      <c r="D3941" s="77">
        <v>197.80372759752376</v>
      </c>
      <c r="E3941" s="77">
        <v>197.80372759752376</v>
      </c>
      <c r="F3941" s="77">
        <v>197.80372759752376</v>
      </c>
      <c r="G3941" s="77">
        <v>197.80372759752376</v>
      </c>
      <c r="H3941" s="77">
        <v>197.80372759752376</v>
      </c>
      <c r="I3941" s="77">
        <v>197.80372759752376</v>
      </c>
    </row>
    <row r="3942" spans="2:9">
      <c r="B3942" s="76">
        <v>2022.9258073378346</v>
      </c>
      <c r="C3942">
        <v>889.3655984010777</v>
      </c>
      <c r="D3942" s="77">
        <v>148.22759973351296</v>
      </c>
      <c r="E3942" s="77">
        <v>148.22759973351296</v>
      </c>
      <c r="F3942" s="77">
        <v>148.22759973351296</v>
      </c>
      <c r="G3942" s="77">
        <v>148.22759973351296</v>
      </c>
      <c r="H3942" s="77">
        <v>148.22759973351296</v>
      </c>
      <c r="I3942" s="77">
        <v>148.22759973351296</v>
      </c>
    </row>
    <row r="3943" spans="2:9">
      <c r="B3943" s="76">
        <v>2024.8211637577158</v>
      </c>
      <c r="C3943">
        <v>1188.8894197526367</v>
      </c>
      <c r="D3943" s="77">
        <v>198.14823662543947</v>
      </c>
      <c r="E3943" s="77">
        <v>198.14823662543947</v>
      </c>
      <c r="F3943" s="77">
        <v>198.14823662543947</v>
      </c>
      <c r="G3943" s="77">
        <v>198.14823662543947</v>
      </c>
      <c r="H3943" s="77">
        <v>198.14823662543947</v>
      </c>
      <c r="I3943" s="77">
        <v>198.14823662543947</v>
      </c>
    </row>
    <row r="3944" spans="2:9">
      <c r="B3944" s="76">
        <v>2022.7494211019177</v>
      </c>
      <c r="C3944">
        <v>820.8032056126068</v>
      </c>
      <c r="D3944" s="77">
        <v>136.80053426876779</v>
      </c>
      <c r="E3944" s="77">
        <v>136.80053426876779</v>
      </c>
      <c r="F3944" s="77">
        <v>136.80053426876779</v>
      </c>
      <c r="G3944" s="77">
        <v>136.80053426876779</v>
      </c>
      <c r="H3944" s="77">
        <v>136.80053426876779</v>
      </c>
      <c r="I3944" s="77">
        <v>136.80053426876779</v>
      </c>
    </row>
    <row r="3945" spans="2:9">
      <c r="B3945" s="76">
        <v>2022.9975220060214</v>
      </c>
      <c r="C3945">
        <v>956.2221243584429</v>
      </c>
      <c r="D3945" s="77">
        <v>159.37035405974049</v>
      </c>
      <c r="E3945" s="77">
        <v>159.37035405974049</v>
      </c>
      <c r="F3945" s="77">
        <v>159.37035405974049</v>
      </c>
      <c r="G3945" s="77">
        <v>159.37035405974049</v>
      </c>
      <c r="H3945" s="77">
        <v>159.37035405974049</v>
      </c>
      <c r="I3945" s="77">
        <v>159.37035405974049</v>
      </c>
    </row>
    <row r="3946" spans="2:9">
      <c r="B3946" s="76">
        <v>2023.2007924265145</v>
      </c>
      <c r="C3946">
        <v>886.83599427486104</v>
      </c>
      <c r="D3946" s="77">
        <v>147.80599904581018</v>
      </c>
      <c r="E3946" s="77">
        <v>147.80599904581018</v>
      </c>
      <c r="F3946" s="77">
        <v>147.80599904581018</v>
      </c>
      <c r="G3946" s="77">
        <v>147.80599904581018</v>
      </c>
      <c r="H3946" s="77">
        <v>147.80599904581018</v>
      </c>
      <c r="I3946" s="77">
        <v>147.80599904581018</v>
      </c>
    </row>
    <row r="3947" spans="2:9">
      <c r="B3947" s="76">
        <v>2023.3205083857711</v>
      </c>
      <c r="C3947">
        <v>935.49424074766807</v>
      </c>
      <c r="D3947" s="77">
        <v>155.91570679127801</v>
      </c>
      <c r="E3947" s="77">
        <v>155.91570679127801</v>
      </c>
      <c r="F3947" s="77">
        <v>155.91570679127801</v>
      </c>
      <c r="G3947" s="77">
        <v>155.91570679127801</v>
      </c>
      <c r="H3947" s="77">
        <v>155.91570679127801</v>
      </c>
      <c r="I3947" s="77">
        <v>155.91570679127801</v>
      </c>
    </row>
    <row r="3948" spans="2:9">
      <c r="B3948" s="76">
        <v>2023.0486599132346</v>
      </c>
      <c r="C3948">
        <v>871.71866321905793</v>
      </c>
      <c r="D3948" s="77">
        <v>145.286443869843</v>
      </c>
      <c r="E3948" s="77">
        <v>145.286443869843</v>
      </c>
      <c r="F3948" s="77">
        <v>145.286443869843</v>
      </c>
      <c r="G3948" s="77">
        <v>145.286443869843</v>
      </c>
      <c r="H3948" s="77">
        <v>145.286443869843</v>
      </c>
      <c r="I3948" s="77">
        <v>145.286443869843</v>
      </c>
    </row>
    <row r="3949" spans="2:9">
      <c r="B3949" s="76">
        <v>2023.2132565492911</v>
      </c>
      <c r="C3949">
        <v>882.22075905268855</v>
      </c>
      <c r="D3949" s="77">
        <v>147.03679317544808</v>
      </c>
      <c r="E3949" s="77">
        <v>147.03679317544808</v>
      </c>
      <c r="F3949" s="77">
        <v>147.03679317544808</v>
      </c>
      <c r="G3949" s="77">
        <v>147.03679317544808</v>
      </c>
      <c r="H3949" s="77">
        <v>147.03679317544808</v>
      </c>
      <c r="I3949" s="77">
        <v>147.03679317544808</v>
      </c>
    </row>
    <row r="3950" spans="2:9">
      <c r="B3950" s="76">
        <v>2023.1588675683872</v>
      </c>
      <c r="C3950">
        <v>880.9416315911044</v>
      </c>
      <c r="D3950" s="77">
        <v>146.82360526518406</v>
      </c>
      <c r="E3950" s="77">
        <v>146.82360526518406</v>
      </c>
      <c r="F3950" s="77">
        <v>146.82360526518406</v>
      </c>
      <c r="G3950" s="77">
        <v>146.82360526518406</v>
      </c>
      <c r="H3950" s="77">
        <v>146.82360526518406</v>
      </c>
      <c r="I3950" s="77">
        <v>146.82360526518406</v>
      </c>
    </row>
    <row r="3951" spans="2:9">
      <c r="B3951" s="76">
        <v>2022.9811293007278</v>
      </c>
      <c r="C3951">
        <v>883.67282529921579</v>
      </c>
      <c r="D3951" s="77">
        <v>147.27880421653597</v>
      </c>
      <c r="E3951" s="77">
        <v>147.27880421653597</v>
      </c>
      <c r="F3951" s="77">
        <v>147.27880421653597</v>
      </c>
      <c r="G3951" s="77">
        <v>147.27880421653597</v>
      </c>
      <c r="H3951" s="77">
        <v>147.27880421653597</v>
      </c>
      <c r="I3951" s="77">
        <v>147.27880421653597</v>
      </c>
    </row>
    <row r="3952" spans="2:9">
      <c r="B3952" s="76">
        <v>2023.1549057216553</v>
      </c>
      <c r="C3952">
        <v>923.52794525271884</v>
      </c>
      <c r="D3952" s="77">
        <v>153.92132420878647</v>
      </c>
      <c r="E3952" s="77">
        <v>153.92132420878647</v>
      </c>
      <c r="F3952" s="77">
        <v>153.92132420878647</v>
      </c>
      <c r="G3952" s="77">
        <v>153.92132420878647</v>
      </c>
      <c r="H3952" s="77">
        <v>153.92132420878647</v>
      </c>
      <c r="I3952" s="77">
        <v>153.92132420878647</v>
      </c>
    </row>
    <row r="3953" spans="2:9">
      <c r="B3953" s="76">
        <v>2022.9843294239017</v>
      </c>
      <c r="C3953">
        <v>844.799301520634</v>
      </c>
      <c r="D3953" s="77">
        <v>140.79988358677232</v>
      </c>
      <c r="E3953" s="77">
        <v>140.79988358677232</v>
      </c>
      <c r="F3953" s="77">
        <v>140.79988358677232</v>
      </c>
      <c r="G3953" s="77">
        <v>140.79988358677232</v>
      </c>
      <c r="H3953" s="77">
        <v>140.79988358677232</v>
      </c>
      <c r="I3953" s="77">
        <v>140.79988358677232</v>
      </c>
    </row>
    <row r="3954" spans="2:9">
      <c r="B3954" s="76">
        <v>2023.5976835025097</v>
      </c>
      <c r="C3954">
        <v>943.3154444399205</v>
      </c>
      <c r="D3954" s="77">
        <v>157.21924073998676</v>
      </c>
      <c r="E3954" s="77">
        <v>157.21924073998676</v>
      </c>
      <c r="F3954" s="77">
        <v>157.21924073998676</v>
      </c>
      <c r="G3954" s="77">
        <v>157.21924073998676</v>
      </c>
      <c r="H3954" s="77">
        <v>157.21924073998676</v>
      </c>
      <c r="I3954" s="77">
        <v>157.21924073998676</v>
      </c>
    </row>
    <row r="3955" spans="2:9">
      <c r="B3955" s="76">
        <v>2025.0150876130097</v>
      </c>
      <c r="C3955">
        <v>1135.2576870895055</v>
      </c>
      <c r="D3955" s="77">
        <v>189.20961451491758</v>
      </c>
      <c r="E3955" s="77">
        <v>189.20961451491758</v>
      </c>
      <c r="F3955" s="77">
        <v>189.20961451491758</v>
      </c>
      <c r="G3955" s="77">
        <v>189.20961451491758</v>
      </c>
      <c r="H3955" s="77">
        <v>189.20961451491758</v>
      </c>
      <c r="I3955" s="77">
        <v>189.20961451491758</v>
      </c>
    </row>
    <row r="3956" spans="2:9">
      <c r="B3956" s="76">
        <v>2022.8958832815533</v>
      </c>
      <c r="C3956">
        <v>877.20075038795221</v>
      </c>
      <c r="D3956" s="77">
        <v>146.20012506465869</v>
      </c>
      <c r="E3956" s="77">
        <v>146.20012506465869</v>
      </c>
      <c r="F3956" s="77">
        <v>146.20012506465869</v>
      </c>
      <c r="G3956" s="77">
        <v>146.20012506465869</v>
      </c>
      <c r="H3956" s="77">
        <v>146.20012506465869</v>
      </c>
      <c r="I3956" s="77">
        <v>146.20012506465869</v>
      </c>
    </row>
    <row r="3957" spans="2:9">
      <c r="B3957" s="76">
        <v>2022.8456377736952</v>
      </c>
      <c r="C3957">
        <v>822.39316419979946</v>
      </c>
      <c r="D3957" s="77">
        <v>137.06552736663323</v>
      </c>
      <c r="E3957" s="77">
        <v>137.06552736663323</v>
      </c>
      <c r="F3957" s="77">
        <v>137.06552736663323</v>
      </c>
      <c r="G3957" s="77">
        <v>137.06552736663323</v>
      </c>
      <c r="H3957" s="77">
        <v>137.06552736663323</v>
      </c>
      <c r="I3957" s="77">
        <v>137.06552736663323</v>
      </c>
    </row>
    <row r="3958" spans="2:9">
      <c r="B3958" s="76">
        <v>2023.1905505226148</v>
      </c>
      <c r="C3958">
        <v>870.70831057182045</v>
      </c>
      <c r="D3958" s="77">
        <v>145.11805176197007</v>
      </c>
      <c r="E3958" s="77">
        <v>145.11805176197007</v>
      </c>
      <c r="F3958" s="77">
        <v>145.11805176197007</v>
      </c>
      <c r="G3958" s="77">
        <v>145.11805176197007</v>
      </c>
      <c r="H3958" s="77">
        <v>145.11805176197007</v>
      </c>
      <c r="I3958" s="77">
        <v>145.11805176197007</v>
      </c>
    </row>
    <row r="3959" spans="2:9">
      <c r="B3959" s="76">
        <v>2024.5109580678359</v>
      </c>
      <c r="C3959">
        <v>1097.8686234436113</v>
      </c>
      <c r="D3959" s="77">
        <v>182.97810390726855</v>
      </c>
      <c r="E3959" s="77">
        <v>182.97810390726855</v>
      </c>
      <c r="F3959" s="77">
        <v>182.97810390726855</v>
      </c>
      <c r="G3959" s="77">
        <v>182.97810390726855</v>
      </c>
      <c r="H3959" s="77">
        <v>182.97810390726855</v>
      </c>
      <c r="I3959" s="77">
        <v>182.97810390726855</v>
      </c>
    </row>
    <row r="3960" spans="2:9">
      <c r="B3960" s="76">
        <v>2023.0983237090556</v>
      </c>
      <c r="C3960">
        <v>863.09680859699461</v>
      </c>
      <c r="D3960" s="77">
        <v>143.84946809949909</v>
      </c>
      <c r="E3960" s="77">
        <v>143.84946809949909</v>
      </c>
      <c r="F3960" s="77">
        <v>143.84946809949909</v>
      </c>
      <c r="G3960" s="77">
        <v>143.84946809949909</v>
      </c>
      <c r="H3960" s="77">
        <v>143.84946809949909</v>
      </c>
      <c r="I3960" s="77">
        <v>143.84946809949909</v>
      </c>
    </row>
    <row r="3961" spans="2:9">
      <c r="B3961" s="76">
        <v>2025.0898685828813</v>
      </c>
      <c r="C3961">
        <v>1171.8538294751336</v>
      </c>
      <c r="D3961" s="77">
        <v>195.30897157918892</v>
      </c>
      <c r="E3961" s="77">
        <v>195.30897157918892</v>
      </c>
      <c r="F3961" s="77">
        <v>195.30897157918892</v>
      </c>
      <c r="G3961" s="77">
        <v>195.30897157918892</v>
      </c>
      <c r="H3961" s="77">
        <v>195.30897157918892</v>
      </c>
      <c r="I3961" s="77">
        <v>195.30897157918892</v>
      </c>
    </row>
    <row r="3962" spans="2:9">
      <c r="B3962" s="76">
        <v>2022.8632575514307</v>
      </c>
      <c r="C3962">
        <v>857.31837955215326</v>
      </c>
      <c r="D3962" s="77">
        <v>142.88639659202553</v>
      </c>
      <c r="E3962" s="77">
        <v>142.88639659202553</v>
      </c>
      <c r="F3962" s="77">
        <v>142.88639659202553</v>
      </c>
      <c r="G3962" s="77">
        <v>142.88639659202553</v>
      </c>
      <c r="H3962" s="77">
        <v>142.88639659202553</v>
      </c>
      <c r="I3962" s="77">
        <v>142.88639659202553</v>
      </c>
    </row>
    <row r="3963" spans="2:9">
      <c r="B3963" s="76">
        <v>2023.4873420759438</v>
      </c>
      <c r="C3963">
        <v>929.23787032595931</v>
      </c>
      <c r="D3963" s="77">
        <v>154.87297838765988</v>
      </c>
      <c r="E3963" s="77">
        <v>154.87297838765988</v>
      </c>
      <c r="F3963" s="77">
        <v>154.87297838765988</v>
      </c>
      <c r="G3963" s="77">
        <v>154.87297838765988</v>
      </c>
      <c r="H3963" s="77">
        <v>154.87297838765988</v>
      </c>
      <c r="I3963" s="77">
        <v>154.87297838765988</v>
      </c>
    </row>
    <row r="3964" spans="2:9">
      <c r="B3964" s="76">
        <v>2024.3017551182875</v>
      </c>
      <c r="C3964">
        <v>1072.2782973057688</v>
      </c>
      <c r="D3964" s="77">
        <v>178.71304955096147</v>
      </c>
      <c r="E3964" s="77">
        <v>178.71304955096147</v>
      </c>
      <c r="F3964" s="77">
        <v>178.71304955096147</v>
      </c>
      <c r="G3964" s="77">
        <v>178.71304955096147</v>
      </c>
      <c r="H3964" s="77">
        <v>178.71304955096147</v>
      </c>
      <c r="I3964" s="77">
        <v>178.71304955096147</v>
      </c>
    </row>
    <row r="3965" spans="2:9">
      <c r="B3965" s="76">
        <v>2022.845635774662</v>
      </c>
      <c r="C3965">
        <v>883.35249697933466</v>
      </c>
      <c r="D3965" s="77">
        <v>147.22541616322243</v>
      </c>
      <c r="E3965" s="77">
        <v>147.22541616322243</v>
      </c>
      <c r="F3965" s="77">
        <v>147.22541616322243</v>
      </c>
      <c r="G3965" s="77">
        <v>147.22541616322243</v>
      </c>
      <c r="H3965" s="77">
        <v>147.22541616322243</v>
      </c>
      <c r="I3965" s="77">
        <v>147.22541616322243</v>
      </c>
    </row>
    <row r="3966" spans="2:9">
      <c r="B3966" s="76">
        <v>2025.0103866859647</v>
      </c>
      <c r="C3966">
        <v>1172.9896299044988</v>
      </c>
      <c r="D3966" s="77">
        <v>195.49827165074979</v>
      </c>
      <c r="E3966" s="77">
        <v>195.49827165074979</v>
      </c>
      <c r="F3966" s="77">
        <v>195.49827165074979</v>
      </c>
      <c r="G3966" s="77">
        <v>195.49827165074979</v>
      </c>
      <c r="H3966" s="77">
        <v>195.49827165074979</v>
      </c>
      <c r="I3966" s="77">
        <v>195.49827165074979</v>
      </c>
    </row>
    <row r="3967" spans="2:9">
      <c r="B3967" s="76">
        <v>2024.7684114477531</v>
      </c>
      <c r="C3967">
        <v>1102.3299962342026</v>
      </c>
      <c r="D3967" s="77">
        <v>183.72166603903375</v>
      </c>
      <c r="E3967" s="77">
        <v>183.72166603903375</v>
      </c>
      <c r="F3967" s="77">
        <v>183.72166603903375</v>
      </c>
      <c r="G3967" s="77">
        <v>183.72166603903375</v>
      </c>
      <c r="H3967" s="77">
        <v>183.72166603903375</v>
      </c>
      <c r="I3967" s="77">
        <v>183.72166603903375</v>
      </c>
    </row>
    <row r="3968" spans="2:9">
      <c r="B3968" s="76">
        <v>2024.9711289871439</v>
      </c>
      <c r="C3968">
        <v>1146.6650496890343</v>
      </c>
      <c r="D3968" s="77">
        <v>191.11084161483905</v>
      </c>
      <c r="E3968" s="77">
        <v>191.11084161483905</v>
      </c>
      <c r="F3968" s="77">
        <v>191.11084161483905</v>
      </c>
      <c r="G3968" s="77">
        <v>191.11084161483905</v>
      </c>
      <c r="H3968" s="77">
        <v>191.11084161483905</v>
      </c>
      <c r="I3968" s="77">
        <v>191.11084161483905</v>
      </c>
    </row>
    <row r="3969" spans="2:9">
      <c r="B3969" s="76">
        <v>2022.9954761043732</v>
      </c>
      <c r="C3969">
        <v>878.06239652642569</v>
      </c>
      <c r="D3969" s="77">
        <v>146.34373275440427</v>
      </c>
      <c r="E3969" s="77">
        <v>146.34373275440427</v>
      </c>
      <c r="F3969" s="77">
        <v>146.34373275440427</v>
      </c>
      <c r="G3969" s="77">
        <v>146.34373275440427</v>
      </c>
      <c r="H3969" s="77">
        <v>146.34373275440427</v>
      </c>
      <c r="I3969" s="77">
        <v>146.34373275440427</v>
      </c>
    </row>
    <row r="3970" spans="2:9">
      <c r="B3970" s="76">
        <v>2023.1662009536037</v>
      </c>
      <c r="C3970">
        <v>968.45337561083397</v>
      </c>
      <c r="D3970" s="77">
        <v>161.40889593513899</v>
      </c>
      <c r="E3970" s="77">
        <v>161.40889593513899</v>
      </c>
      <c r="F3970" s="77">
        <v>161.40889593513899</v>
      </c>
      <c r="G3970" s="77">
        <v>161.40889593513899</v>
      </c>
      <c r="H3970" s="77">
        <v>161.40889593513899</v>
      </c>
      <c r="I3970" s="77">
        <v>161.40889593513899</v>
      </c>
    </row>
    <row r="3971" spans="2:9">
      <c r="B3971" s="76">
        <v>2023.1877430485615</v>
      </c>
      <c r="C3971">
        <v>946.30478064588499</v>
      </c>
      <c r="D3971" s="77">
        <v>157.71746344098082</v>
      </c>
      <c r="E3971" s="77">
        <v>157.71746344098082</v>
      </c>
      <c r="F3971" s="77">
        <v>157.71746344098082</v>
      </c>
      <c r="G3971" s="77">
        <v>157.71746344098082</v>
      </c>
      <c r="H3971" s="77">
        <v>157.71746344098082</v>
      </c>
      <c r="I3971" s="77">
        <v>157.71746344098082</v>
      </c>
    </row>
    <row r="3972" spans="2:9">
      <c r="B3972" s="76">
        <v>2025.1706478620893</v>
      </c>
      <c r="C3972">
        <v>1106.1793741539705</v>
      </c>
      <c r="D3972" s="77">
        <v>184.36322902566175</v>
      </c>
      <c r="E3972" s="77">
        <v>184.36322902566175</v>
      </c>
      <c r="F3972" s="77">
        <v>184.36322902566175</v>
      </c>
      <c r="G3972" s="77">
        <v>184.36322902566175</v>
      </c>
      <c r="H3972" s="77">
        <v>184.36322902566175</v>
      </c>
      <c r="I3972" s="77">
        <v>184.36322902566175</v>
      </c>
    </row>
    <row r="3973" spans="2:9">
      <c r="B3973" s="76">
        <v>2022.942083729356</v>
      </c>
      <c r="C3973">
        <v>893.85526052878276</v>
      </c>
      <c r="D3973" s="77">
        <v>148.97587675479713</v>
      </c>
      <c r="E3973" s="77">
        <v>148.97587675479713</v>
      </c>
      <c r="F3973" s="77">
        <v>148.97587675479713</v>
      </c>
      <c r="G3973" s="77">
        <v>148.97587675479713</v>
      </c>
      <c r="H3973" s="77">
        <v>148.97587675479713</v>
      </c>
      <c r="I3973" s="77">
        <v>148.97587675479713</v>
      </c>
    </row>
    <row r="3974" spans="2:9">
      <c r="B3974" s="76">
        <v>2023.3122849877147</v>
      </c>
      <c r="C3974">
        <v>930.97095355394072</v>
      </c>
      <c r="D3974" s="77">
        <v>155.16182559232345</v>
      </c>
      <c r="E3974" s="77">
        <v>155.16182559232345</v>
      </c>
      <c r="F3974" s="77">
        <v>155.16182559232345</v>
      </c>
      <c r="G3974" s="77">
        <v>155.16182559232345</v>
      </c>
      <c r="H3974" s="77">
        <v>155.16182559232345</v>
      </c>
      <c r="I3974" s="77">
        <v>155.16182559232345</v>
      </c>
    </row>
    <row r="3975" spans="2:9">
      <c r="B3975" s="76">
        <v>2025.2624734272506</v>
      </c>
      <c r="C3975">
        <v>1197.2508150513306</v>
      </c>
      <c r="D3975" s="77">
        <v>199.54180250855509</v>
      </c>
      <c r="E3975" s="77">
        <v>199.54180250855509</v>
      </c>
      <c r="F3975" s="77">
        <v>199.54180250855509</v>
      </c>
      <c r="G3975" s="77">
        <v>199.54180250855509</v>
      </c>
      <c r="H3975" s="77">
        <v>199.54180250855509</v>
      </c>
      <c r="I3975" s="77">
        <v>199.54180250855509</v>
      </c>
    </row>
    <row r="3976" spans="2:9">
      <c r="B3976" s="76">
        <v>2025.0184898866812</v>
      </c>
      <c r="C3976">
        <v>1150.2552967349343</v>
      </c>
      <c r="D3976" s="77">
        <v>191.70921612248904</v>
      </c>
      <c r="E3976" s="77">
        <v>191.70921612248904</v>
      </c>
      <c r="F3976" s="77">
        <v>191.70921612248904</v>
      </c>
      <c r="G3976" s="77">
        <v>191.70921612248904</v>
      </c>
      <c r="H3976" s="77">
        <v>191.70921612248904</v>
      </c>
      <c r="I3976" s="77">
        <v>191.70921612248904</v>
      </c>
    </row>
    <row r="3977" spans="2:9">
      <c r="B3977" s="76">
        <v>2023.5345085308177</v>
      </c>
      <c r="C3977">
        <v>898.41133393077087</v>
      </c>
      <c r="D3977" s="77">
        <v>149.73522232179513</v>
      </c>
      <c r="E3977" s="77">
        <v>149.73522232179513</v>
      </c>
      <c r="F3977" s="77">
        <v>149.73522232179513</v>
      </c>
      <c r="G3977" s="77">
        <v>149.73522232179513</v>
      </c>
      <c r="H3977" s="77">
        <v>149.73522232179513</v>
      </c>
      <c r="I3977" s="77">
        <v>149.73522232179513</v>
      </c>
    </row>
    <row r="3978" spans="2:9">
      <c r="B3978" s="76">
        <v>2024.8258939017396</v>
      </c>
      <c r="C3978">
        <v>1201.6798989645756</v>
      </c>
      <c r="D3978" s="77">
        <v>200.27998316076261</v>
      </c>
      <c r="E3978" s="77">
        <v>200.27998316076261</v>
      </c>
      <c r="F3978" s="77">
        <v>200.27998316076261</v>
      </c>
      <c r="G3978" s="77">
        <v>200.27998316076261</v>
      </c>
      <c r="H3978" s="77">
        <v>200.27998316076261</v>
      </c>
      <c r="I3978" s="77">
        <v>200.27998316076261</v>
      </c>
    </row>
    <row r="3979" spans="2:9">
      <c r="B3979" s="76">
        <v>2022.9374481518014</v>
      </c>
      <c r="C3979">
        <v>866.58363732552039</v>
      </c>
      <c r="D3979" s="77">
        <v>144.43060622092005</v>
      </c>
      <c r="E3979" s="77">
        <v>144.43060622092005</v>
      </c>
      <c r="F3979" s="77">
        <v>144.43060622092005</v>
      </c>
      <c r="G3979" s="77">
        <v>144.43060622092005</v>
      </c>
      <c r="H3979" s="77">
        <v>144.43060622092005</v>
      </c>
      <c r="I3979" s="77">
        <v>144.43060622092005</v>
      </c>
    </row>
    <row r="3980" spans="2:9">
      <c r="B3980" s="76">
        <v>2024.8585347615272</v>
      </c>
      <c r="C3980">
        <v>1120.1294437602137</v>
      </c>
      <c r="D3980" s="77">
        <v>186.68824062670228</v>
      </c>
      <c r="E3980" s="77">
        <v>186.68824062670228</v>
      </c>
      <c r="F3980" s="77">
        <v>186.68824062670228</v>
      </c>
      <c r="G3980" s="77">
        <v>186.68824062670228</v>
      </c>
      <c r="H3980" s="77">
        <v>186.68824062670228</v>
      </c>
      <c r="I3980" s="77">
        <v>186.68824062670228</v>
      </c>
    </row>
    <row r="3981" spans="2:9">
      <c r="B3981" s="76">
        <v>2023.7219181644591</v>
      </c>
      <c r="C3981">
        <v>955.59796517623317</v>
      </c>
      <c r="D3981" s="77">
        <v>159.26632752937221</v>
      </c>
      <c r="E3981" s="77">
        <v>159.26632752937221</v>
      </c>
      <c r="F3981" s="77">
        <v>159.26632752937221</v>
      </c>
      <c r="G3981" s="77">
        <v>159.26632752937221</v>
      </c>
      <c r="H3981" s="77">
        <v>159.26632752937221</v>
      </c>
      <c r="I3981" s="77">
        <v>159.26632752937221</v>
      </c>
    </row>
    <row r="3982" spans="2:9">
      <c r="B3982" s="76">
        <v>2022.8766870300628</v>
      </c>
      <c r="C3982">
        <v>919.02245311162164</v>
      </c>
      <c r="D3982" s="77">
        <v>153.17040885193694</v>
      </c>
      <c r="E3982" s="77">
        <v>153.17040885193694</v>
      </c>
      <c r="F3982" s="77">
        <v>153.17040885193694</v>
      </c>
      <c r="G3982" s="77">
        <v>153.17040885193694</v>
      </c>
      <c r="H3982" s="77">
        <v>153.17040885193694</v>
      </c>
      <c r="I3982" s="77">
        <v>153.17040885193694</v>
      </c>
    </row>
    <row r="3983" spans="2:9">
      <c r="B3983" s="76">
        <v>2023.4952916263653</v>
      </c>
      <c r="C3983">
        <v>931.00217649139199</v>
      </c>
      <c r="D3983" s="77">
        <v>155.16702941523201</v>
      </c>
      <c r="E3983" s="77">
        <v>155.16702941523201</v>
      </c>
      <c r="F3983" s="77">
        <v>155.16702941523201</v>
      </c>
      <c r="G3983" s="77">
        <v>155.16702941523201</v>
      </c>
      <c r="H3983" s="77">
        <v>155.16702941523201</v>
      </c>
      <c r="I3983" s="77">
        <v>155.16702941523201</v>
      </c>
    </row>
    <row r="3984" spans="2:9">
      <c r="B3984" s="76">
        <v>2023.5449717361253</v>
      </c>
      <c r="C3984">
        <v>961.66473337014259</v>
      </c>
      <c r="D3984" s="77">
        <v>160.27745556169043</v>
      </c>
      <c r="E3984" s="77">
        <v>160.27745556169043</v>
      </c>
      <c r="F3984" s="77">
        <v>160.27745556169043</v>
      </c>
      <c r="G3984" s="77">
        <v>160.27745556169043</v>
      </c>
      <c r="H3984" s="77">
        <v>160.27745556169043</v>
      </c>
      <c r="I3984" s="77">
        <v>160.27745556169043</v>
      </c>
    </row>
    <row r="3985" spans="2:9">
      <c r="B3985" s="76">
        <v>2025.5835506958988</v>
      </c>
      <c r="C3985">
        <v>1261.1757867799424</v>
      </c>
      <c r="D3985" s="77">
        <v>210.19596446332375</v>
      </c>
      <c r="E3985" s="77">
        <v>210.19596446332375</v>
      </c>
      <c r="F3985" s="77">
        <v>210.19596446332375</v>
      </c>
      <c r="G3985" s="77">
        <v>210.19596446332375</v>
      </c>
      <c r="H3985" s="77">
        <v>210.19596446332375</v>
      </c>
      <c r="I3985" s="77">
        <v>210.19596446332375</v>
      </c>
    </row>
    <row r="3986" spans="2:9">
      <c r="B3986" s="76">
        <v>2023.5863445949317</v>
      </c>
      <c r="C3986">
        <v>949.87286484656249</v>
      </c>
      <c r="D3986" s="77">
        <v>158.31214414109374</v>
      </c>
      <c r="E3986" s="77">
        <v>158.31214414109374</v>
      </c>
      <c r="F3986" s="77">
        <v>158.31214414109374</v>
      </c>
      <c r="G3986" s="77">
        <v>158.31214414109374</v>
      </c>
      <c r="H3986" s="77">
        <v>158.31214414109374</v>
      </c>
      <c r="I3986" s="77">
        <v>158.31214414109374</v>
      </c>
    </row>
    <row r="3987" spans="2:9">
      <c r="B3987" s="76">
        <v>2024.8755892564909</v>
      </c>
      <c r="C3987">
        <v>1024.4377869618734</v>
      </c>
      <c r="D3987" s="77">
        <v>170.73963116031223</v>
      </c>
      <c r="E3987" s="77">
        <v>170.73963116031223</v>
      </c>
      <c r="F3987" s="77">
        <v>170.73963116031223</v>
      </c>
      <c r="G3987" s="77">
        <v>170.73963116031223</v>
      </c>
      <c r="H3987" s="77">
        <v>170.73963116031223</v>
      </c>
      <c r="I3987" s="77">
        <v>170.73963116031223</v>
      </c>
    </row>
    <row r="3988" spans="2:9">
      <c r="B3988" s="76">
        <v>2023.6119835149395</v>
      </c>
      <c r="C3988">
        <v>923.26674694543874</v>
      </c>
      <c r="D3988" s="77">
        <v>153.87779115757311</v>
      </c>
      <c r="E3988" s="77">
        <v>153.87779115757311</v>
      </c>
      <c r="F3988" s="77">
        <v>153.87779115757311</v>
      </c>
      <c r="G3988" s="77">
        <v>153.87779115757311</v>
      </c>
      <c r="H3988" s="77">
        <v>153.87779115757311</v>
      </c>
      <c r="I3988" s="77">
        <v>153.87779115757311</v>
      </c>
    </row>
    <row r="3989" spans="2:9">
      <c r="B3989" s="76">
        <v>2023.2661847839365</v>
      </c>
      <c r="C3989">
        <v>961.88945078673248</v>
      </c>
      <c r="D3989" s="77">
        <v>160.31490846445541</v>
      </c>
      <c r="E3989" s="77">
        <v>160.31490846445541</v>
      </c>
      <c r="F3989" s="77">
        <v>160.31490846445541</v>
      </c>
      <c r="G3989" s="77">
        <v>160.31490846445541</v>
      </c>
      <c r="H3989" s="77">
        <v>160.31490846445541</v>
      </c>
      <c r="I3989" s="77">
        <v>160.31490846445541</v>
      </c>
    </row>
    <row r="3990" spans="2:9">
      <c r="B3990" s="76">
        <v>2023.108665553013</v>
      </c>
      <c r="C3990">
        <v>883.7749834564205</v>
      </c>
      <c r="D3990" s="77">
        <v>147.29583057607007</v>
      </c>
      <c r="E3990" s="77">
        <v>147.29583057607007</v>
      </c>
      <c r="F3990" s="77">
        <v>147.29583057607007</v>
      </c>
      <c r="G3990" s="77">
        <v>147.29583057607007</v>
      </c>
      <c r="H3990" s="77">
        <v>147.29583057607007</v>
      </c>
      <c r="I3990" s="77">
        <v>147.29583057607007</v>
      </c>
    </row>
    <row r="3991" spans="2:9">
      <c r="B3991" s="76">
        <v>2024.0774546034022</v>
      </c>
      <c r="C3991">
        <v>1006.2002896292551</v>
      </c>
      <c r="D3991" s="77">
        <v>167.7000482715425</v>
      </c>
      <c r="E3991" s="77">
        <v>167.7000482715425</v>
      </c>
      <c r="F3991" s="77">
        <v>167.7000482715425</v>
      </c>
      <c r="G3991" s="77">
        <v>167.7000482715425</v>
      </c>
      <c r="H3991" s="77">
        <v>167.7000482715425</v>
      </c>
      <c r="I3991" s="77">
        <v>167.7000482715425</v>
      </c>
    </row>
    <row r="3992" spans="2:9">
      <c r="B3992" s="76">
        <v>2023.2343113863178</v>
      </c>
      <c r="C3992">
        <v>951.41901607748412</v>
      </c>
      <c r="D3992" s="77">
        <v>158.56983601291401</v>
      </c>
      <c r="E3992" s="77">
        <v>158.56983601291401</v>
      </c>
      <c r="F3992" s="77">
        <v>158.56983601291401</v>
      </c>
      <c r="G3992" s="77">
        <v>158.56983601291401</v>
      </c>
      <c r="H3992" s="77">
        <v>158.56983601291401</v>
      </c>
      <c r="I3992" s="77">
        <v>158.56983601291401</v>
      </c>
    </row>
    <row r="3993" spans="2:9">
      <c r="B3993" s="76">
        <v>2023.469847651392</v>
      </c>
      <c r="C3993">
        <v>965.76488471630989</v>
      </c>
      <c r="D3993" s="77">
        <v>160.96081411938499</v>
      </c>
      <c r="E3993" s="77">
        <v>160.96081411938499</v>
      </c>
      <c r="F3993" s="77">
        <v>160.96081411938499</v>
      </c>
      <c r="G3993" s="77">
        <v>160.96081411938499</v>
      </c>
      <c r="H3993" s="77">
        <v>160.96081411938499</v>
      </c>
      <c r="I3993" s="77">
        <v>160.96081411938499</v>
      </c>
    </row>
    <row r="3994" spans="2:9">
      <c r="B3994" s="76">
        <v>2023.1738353592598</v>
      </c>
      <c r="C3994">
        <v>882.94687522535526</v>
      </c>
      <c r="D3994" s="77">
        <v>147.15781253755921</v>
      </c>
      <c r="E3994" s="77">
        <v>147.15781253755921</v>
      </c>
      <c r="F3994" s="77">
        <v>147.15781253755921</v>
      </c>
      <c r="G3994" s="77">
        <v>147.15781253755921</v>
      </c>
      <c r="H3994" s="77">
        <v>147.15781253755921</v>
      </c>
      <c r="I3994" s="77">
        <v>147.15781253755921</v>
      </c>
    </row>
    <row r="3995" spans="2:9">
      <c r="B3995" s="76">
        <v>2024.8816532831481</v>
      </c>
      <c r="C3995">
        <v>1140.5480623096566</v>
      </c>
      <c r="D3995" s="77">
        <v>190.09134371827611</v>
      </c>
      <c r="E3995" s="77">
        <v>190.09134371827611</v>
      </c>
      <c r="F3995" s="77">
        <v>190.09134371827611</v>
      </c>
      <c r="G3995" s="77">
        <v>190.09134371827611</v>
      </c>
      <c r="H3995" s="77">
        <v>190.09134371827611</v>
      </c>
      <c r="I3995" s="77">
        <v>190.09134371827611</v>
      </c>
    </row>
    <row r="3996" spans="2:9">
      <c r="B3996" s="76">
        <v>2025.5121988400306</v>
      </c>
      <c r="C3996">
        <v>1266.5514164588806</v>
      </c>
      <c r="D3996" s="77">
        <v>211.09190274314676</v>
      </c>
      <c r="E3996" s="77">
        <v>211.09190274314676</v>
      </c>
      <c r="F3996" s="77">
        <v>211.09190274314676</v>
      </c>
      <c r="G3996" s="77">
        <v>211.09190274314676</v>
      </c>
      <c r="H3996" s="77">
        <v>211.09190274314676</v>
      </c>
      <c r="I3996" s="77">
        <v>211.09190274314676</v>
      </c>
    </row>
    <row r="3997" spans="2:9">
      <c r="B3997" s="76">
        <v>2023.5719905739484</v>
      </c>
      <c r="C3997">
        <v>968.34127326585201</v>
      </c>
      <c r="D3997" s="77">
        <v>161.39021221097533</v>
      </c>
      <c r="E3997" s="77">
        <v>161.39021221097533</v>
      </c>
      <c r="F3997" s="77">
        <v>161.39021221097533</v>
      </c>
      <c r="G3997" s="77">
        <v>161.39021221097533</v>
      </c>
      <c r="H3997" s="77">
        <v>161.39021221097533</v>
      </c>
      <c r="I3997" s="77">
        <v>161.39021221097533</v>
      </c>
    </row>
    <row r="3998" spans="2:9">
      <c r="B3998" s="76">
        <v>2024.2282840785576</v>
      </c>
      <c r="C3998">
        <v>1073.3622924942681</v>
      </c>
      <c r="D3998" s="77">
        <v>178.89371541571134</v>
      </c>
      <c r="E3998" s="77">
        <v>178.89371541571134</v>
      </c>
      <c r="F3998" s="77">
        <v>178.89371541571134</v>
      </c>
      <c r="G3998" s="77">
        <v>178.89371541571134</v>
      </c>
      <c r="H3998" s="77">
        <v>178.89371541571134</v>
      </c>
      <c r="I3998" s="77">
        <v>178.89371541571134</v>
      </c>
    </row>
    <row r="3999" spans="2:9">
      <c r="B3999" s="76">
        <v>2022.8948827919182</v>
      </c>
      <c r="C3999">
        <v>844.21890722788476</v>
      </c>
      <c r="D3999" s="77">
        <v>140.70315120464747</v>
      </c>
      <c r="E3999" s="77">
        <v>140.70315120464747</v>
      </c>
      <c r="F3999" s="77">
        <v>140.70315120464747</v>
      </c>
      <c r="G3999" s="77">
        <v>140.70315120464747</v>
      </c>
      <c r="H3999" s="77">
        <v>140.70315120464747</v>
      </c>
      <c r="I3999" s="77">
        <v>140.70315120464747</v>
      </c>
    </row>
    <row r="4000" spans="2:9">
      <c r="B4000" s="76">
        <v>2023.1407460220817</v>
      </c>
      <c r="C4000">
        <v>843.56245269533406</v>
      </c>
      <c r="D4000" s="77">
        <v>140.593742115889</v>
      </c>
      <c r="E4000" s="77">
        <v>140.593742115889</v>
      </c>
      <c r="F4000" s="77">
        <v>140.593742115889</v>
      </c>
      <c r="G4000" s="77">
        <v>140.593742115889</v>
      </c>
      <c r="H4000" s="77">
        <v>140.593742115889</v>
      </c>
      <c r="I4000" s="77">
        <v>140.593742115889</v>
      </c>
    </row>
    <row r="4001" spans="2:9">
      <c r="B4001" s="76">
        <v>2023.2999106222994</v>
      </c>
      <c r="C4001">
        <v>914.06784719155019</v>
      </c>
      <c r="D4001" s="77">
        <v>152.34464119859169</v>
      </c>
      <c r="E4001" s="77">
        <v>152.34464119859169</v>
      </c>
      <c r="F4001" s="77">
        <v>152.34464119859169</v>
      </c>
      <c r="G4001" s="77">
        <v>152.34464119859169</v>
      </c>
      <c r="H4001" s="77">
        <v>152.34464119859169</v>
      </c>
      <c r="I4001" s="77">
        <v>152.34464119859169</v>
      </c>
    </row>
    <row r="4002" spans="2:9">
      <c r="B4002" s="76">
        <v>2022.9875932158411</v>
      </c>
      <c r="C4002">
        <v>928.43129144733427</v>
      </c>
      <c r="D4002" s="77">
        <v>154.73854857455572</v>
      </c>
      <c r="E4002" s="77">
        <v>154.73854857455572</v>
      </c>
      <c r="F4002" s="77">
        <v>154.73854857455572</v>
      </c>
      <c r="G4002" s="77">
        <v>154.73854857455572</v>
      </c>
      <c r="H4002" s="77">
        <v>154.73854857455572</v>
      </c>
      <c r="I4002" s="77">
        <v>154.73854857455572</v>
      </c>
    </row>
    <row r="4003" spans="2:9">
      <c r="B4003" s="76">
        <v>2024.710683010429</v>
      </c>
      <c r="C4003">
        <v>1093.5782359357504</v>
      </c>
      <c r="D4003" s="77">
        <v>182.26303932262508</v>
      </c>
      <c r="E4003" s="77">
        <v>182.26303932262508</v>
      </c>
      <c r="F4003" s="77">
        <v>182.26303932262508</v>
      </c>
      <c r="G4003" s="77">
        <v>182.26303932262508</v>
      </c>
      <c r="H4003" s="77">
        <v>182.26303932262508</v>
      </c>
      <c r="I4003" s="77">
        <v>182.26303932262508</v>
      </c>
    </row>
    <row r="4004" spans="2:9">
      <c r="B4004" s="76">
        <v>2023.2065912419109</v>
      </c>
      <c r="C4004">
        <v>951.9275245457236</v>
      </c>
      <c r="D4004" s="77">
        <v>158.65458742428726</v>
      </c>
      <c r="E4004" s="77">
        <v>158.65458742428726</v>
      </c>
      <c r="F4004" s="77">
        <v>158.65458742428726</v>
      </c>
      <c r="G4004" s="77">
        <v>158.65458742428726</v>
      </c>
      <c r="H4004" s="77">
        <v>158.65458742428726</v>
      </c>
      <c r="I4004" s="77">
        <v>158.65458742428726</v>
      </c>
    </row>
    <row r="4005" spans="2:9">
      <c r="B4005" s="76">
        <v>2023.3709981086961</v>
      </c>
      <c r="C4005">
        <v>898.87678968720832</v>
      </c>
      <c r="D4005" s="77">
        <v>149.8127982812014</v>
      </c>
      <c r="E4005" s="77">
        <v>149.8127982812014</v>
      </c>
      <c r="F4005" s="77">
        <v>149.8127982812014</v>
      </c>
      <c r="G4005" s="77">
        <v>149.8127982812014</v>
      </c>
      <c r="H4005" s="77">
        <v>149.8127982812014</v>
      </c>
      <c r="I4005" s="77">
        <v>149.8127982812014</v>
      </c>
    </row>
    <row r="4006" spans="2:9">
      <c r="B4006" s="76">
        <v>2022.9182229420719</v>
      </c>
      <c r="C4006">
        <v>869.51041523292315</v>
      </c>
      <c r="D4006" s="77">
        <v>144.91840253882052</v>
      </c>
      <c r="E4006" s="77">
        <v>144.91840253882052</v>
      </c>
      <c r="F4006" s="77">
        <v>144.91840253882052</v>
      </c>
      <c r="G4006" s="77">
        <v>144.91840253882052</v>
      </c>
      <c r="H4006" s="77">
        <v>144.91840253882052</v>
      </c>
      <c r="I4006" s="77">
        <v>144.91840253882052</v>
      </c>
    </row>
    <row r="4007" spans="2:9">
      <c r="B4007" s="76">
        <v>2023.1810128163938</v>
      </c>
      <c r="C4007">
        <v>965.77964012645089</v>
      </c>
      <c r="D4007" s="77">
        <v>160.96327335440847</v>
      </c>
      <c r="E4007" s="77">
        <v>160.96327335440847</v>
      </c>
      <c r="F4007" s="77">
        <v>160.96327335440847</v>
      </c>
      <c r="G4007" s="77">
        <v>160.96327335440847</v>
      </c>
      <c r="H4007" s="77">
        <v>160.96327335440847</v>
      </c>
      <c r="I4007" s="77">
        <v>160.96327335440847</v>
      </c>
    </row>
    <row r="4008" spans="2:9">
      <c r="B4008" s="76">
        <v>2025.4488416750896</v>
      </c>
      <c r="C4008">
        <v>1234.9030387572172</v>
      </c>
      <c r="D4008" s="77">
        <v>205.81717312620287</v>
      </c>
      <c r="E4008" s="77">
        <v>205.81717312620287</v>
      </c>
      <c r="F4008" s="77">
        <v>205.81717312620287</v>
      </c>
      <c r="G4008" s="77">
        <v>205.81717312620287</v>
      </c>
      <c r="H4008" s="77">
        <v>205.81717312620287</v>
      </c>
      <c r="I4008" s="77">
        <v>205.81717312620287</v>
      </c>
    </row>
    <row r="4009" spans="2:9">
      <c r="B4009" s="76">
        <v>2022.7705658286347</v>
      </c>
      <c r="C4009">
        <v>853.67544937098455</v>
      </c>
      <c r="D4009" s="77">
        <v>142.27924156183076</v>
      </c>
      <c r="E4009" s="77">
        <v>142.27924156183076</v>
      </c>
      <c r="F4009" s="77">
        <v>142.27924156183076</v>
      </c>
      <c r="G4009" s="77">
        <v>142.27924156183076</v>
      </c>
      <c r="H4009" s="77">
        <v>142.27924156183076</v>
      </c>
      <c r="I4009" s="77">
        <v>142.27924156183076</v>
      </c>
    </row>
    <row r="4010" spans="2:9">
      <c r="B4010" s="76">
        <v>2023.01343014848</v>
      </c>
      <c r="C4010">
        <v>927.77024780790941</v>
      </c>
      <c r="D4010" s="77">
        <v>154.62837463465158</v>
      </c>
      <c r="E4010" s="77">
        <v>154.62837463465158</v>
      </c>
      <c r="F4010" s="77">
        <v>154.62837463465158</v>
      </c>
      <c r="G4010" s="77">
        <v>154.62837463465158</v>
      </c>
      <c r="H4010" s="77">
        <v>154.62837463465158</v>
      </c>
      <c r="I4010" s="77">
        <v>154.62837463465158</v>
      </c>
    </row>
    <row r="4011" spans="2:9">
      <c r="B4011" s="76">
        <v>2023.1667060902812</v>
      </c>
      <c r="C4011">
        <v>937.81869168841035</v>
      </c>
      <c r="D4011" s="77">
        <v>156.30311528140172</v>
      </c>
      <c r="E4011" s="77">
        <v>156.30311528140172</v>
      </c>
      <c r="F4011" s="77">
        <v>156.30311528140172</v>
      </c>
      <c r="G4011" s="77">
        <v>156.30311528140172</v>
      </c>
      <c r="H4011" s="77">
        <v>156.30311528140172</v>
      </c>
      <c r="I4011" s="77">
        <v>156.30311528140172</v>
      </c>
    </row>
    <row r="4012" spans="2:9">
      <c r="B4012" s="76">
        <v>2023.0611374512725</v>
      </c>
      <c r="C4012">
        <v>952.78135699161817</v>
      </c>
      <c r="D4012" s="77">
        <v>158.79689283193636</v>
      </c>
      <c r="E4012" s="77">
        <v>158.79689283193636</v>
      </c>
      <c r="F4012" s="77">
        <v>158.79689283193636</v>
      </c>
      <c r="G4012" s="77">
        <v>158.79689283193636</v>
      </c>
      <c r="H4012" s="77">
        <v>158.79689283193636</v>
      </c>
      <c r="I4012" s="77">
        <v>158.79689283193636</v>
      </c>
    </row>
    <row r="4013" spans="2:9">
      <c r="B4013" s="76">
        <v>2023.2943126816788</v>
      </c>
      <c r="C4013">
        <v>909.91133432872255</v>
      </c>
      <c r="D4013" s="77">
        <v>151.65188905478709</v>
      </c>
      <c r="E4013" s="77">
        <v>151.65188905478709</v>
      </c>
      <c r="F4013" s="77">
        <v>151.65188905478709</v>
      </c>
      <c r="G4013" s="77">
        <v>151.65188905478709</v>
      </c>
      <c r="H4013" s="77">
        <v>151.65188905478709</v>
      </c>
      <c r="I4013" s="77">
        <v>151.65188905478709</v>
      </c>
    </row>
    <row r="4014" spans="2:9">
      <c r="B4014" s="76">
        <v>2025.8109061344087</v>
      </c>
      <c r="C4014">
        <v>1208.5535673158161</v>
      </c>
      <c r="D4014" s="77">
        <v>201.425594552636</v>
      </c>
      <c r="E4014" s="77">
        <v>201.425594552636</v>
      </c>
      <c r="F4014" s="77">
        <v>201.425594552636</v>
      </c>
      <c r="G4014" s="77">
        <v>201.425594552636</v>
      </c>
      <c r="H4014" s="77">
        <v>201.425594552636</v>
      </c>
      <c r="I4014" s="77">
        <v>201.425594552636</v>
      </c>
    </row>
    <row r="4015" spans="2:9">
      <c r="B4015" s="76">
        <v>2023.3485566586867</v>
      </c>
      <c r="C4015">
        <v>929.37662760761918</v>
      </c>
      <c r="D4015" s="77">
        <v>154.89610460126985</v>
      </c>
      <c r="E4015" s="77">
        <v>154.89610460126985</v>
      </c>
      <c r="F4015" s="77">
        <v>154.89610460126985</v>
      </c>
      <c r="G4015" s="77">
        <v>154.89610460126985</v>
      </c>
      <c r="H4015" s="77">
        <v>154.89610460126985</v>
      </c>
      <c r="I4015" s="77">
        <v>154.89610460126985</v>
      </c>
    </row>
    <row r="4016" spans="2:9">
      <c r="B4016" s="76">
        <v>2023.1627398703181</v>
      </c>
      <c r="C4016">
        <v>875.04256008392099</v>
      </c>
      <c r="D4016" s="77">
        <v>145.84042668065351</v>
      </c>
      <c r="E4016" s="77">
        <v>145.84042668065351</v>
      </c>
      <c r="F4016" s="77">
        <v>145.84042668065351</v>
      </c>
      <c r="G4016" s="77">
        <v>145.84042668065351</v>
      </c>
      <c r="H4016" s="77">
        <v>145.84042668065351</v>
      </c>
      <c r="I4016" s="77">
        <v>145.84042668065351</v>
      </c>
    </row>
    <row r="4017" spans="2:9">
      <c r="B4017" s="76">
        <v>2023.1466361834805</v>
      </c>
      <c r="C4017">
        <v>887.91130430138605</v>
      </c>
      <c r="D4017" s="77">
        <v>147.98521738356433</v>
      </c>
      <c r="E4017" s="77">
        <v>147.98521738356433</v>
      </c>
      <c r="F4017" s="77">
        <v>147.98521738356433</v>
      </c>
      <c r="G4017" s="77">
        <v>147.98521738356433</v>
      </c>
      <c r="H4017" s="77">
        <v>147.98521738356433</v>
      </c>
      <c r="I4017" s="77">
        <v>147.98521738356433</v>
      </c>
    </row>
    <row r="4018" spans="2:9">
      <c r="B4018" s="76">
        <v>2023.3889020510971</v>
      </c>
      <c r="C4018">
        <v>910.75994402534309</v>
      </c>
      <c r="D4018" s="77">
        <v>151.79332400422385</v>
      </c>
      <c r="E4018" s="77">
        <v>151.79332400422385</v>
      </c>
      <c r="F4018" s="77">
        <v>151.79332400422385</v>
      </c>
      <c r="G4018" s="77">
        <v>151.79332400422385</v>
      </c>
      <c r="H4018" s="77">
        <v>151.79332400422385</v>
      </c>
      <c r="I4018" s="77">
        <v>151.79332400422385</v>
      </c>
    </row>
    <row r="4019" spans="2:9">
      <c r="B4019" s="76">
        <v>2023.2056188838094</v>
      </c>
      <c r="C4019">
        <v>906.76448165428712</v>
      </c>
      <c r="D4019" s="77">
        <v>151.12741360904786</v>
      </c>
      <c r="E4019" s="77">
        <v>151.12741360904786</v>
      </c>
      <c r="F4019" s="77">
        <v>151.12741360904786</v>
      </c>
      <c r="G4019" s="77">
        <v>151.12741360904786</v>
      </c>
      <c r="H4019" s="77">
        <v>151.12741360904786</v>
      </c>
      <c r="I4019" s="77">
        <v>151.12741360904786</v>
      </c>
    </row>
    <row r="4020" spans="2:9">
      <c r="B4020" s="76">
        <v>2022.967187116385</v>
      </c>
      <c r="C4020">
        <v>962.06513750367753</v>
      </c>
      <c r="D4020" s="77">
        <v>160.34418958394625</v>
      </c>
      <c r="E4020" s="77">
        <v>160.34418958394625</v>
      </c>
      <c r="F4020" s="77">
        <v>160.34418958394625</v>
      </c>
      <c r="G4020" s="77">
        <v>160.34418958394625</v>
      </c>
      <c r="H4020" s="77">
        <v>160.34418958394625</v>
      </c>
      <c r="I4020" s="77">
        <v>160.34418958394625</v>
      </c>
    </row>
    <row r="4021" spans="2:9">
      <c r="B4021" s="76">
        <v>2022.9540579139111</v>
      </c>
      <c r="C4021">
        <v>866.40707856913434</v>
      </c>
      <c r="D4021" s="77">
        <v>144.4011797615224</v>
      </c>
      <c r="E4021" s="77">
        <v>144.4011797615224</v>
      </c>
      <c r="F4021" s="77">
        <v>144.4011797615224</v>
      </c>
      <c r="G4021" s="77">
        <v>144.4011797615224</v>
      </c>
      <c r="H4021" s="77">
        <v>144.4011797615224</v>
      </c>
      <c r="I4021" s="77">
        <v>144.4011797615224</v>
      </c>
    </row>
    <row r="4022" spans="2:9">
      <c r="B4022" s="76">
        <v>2022.8104282468505</v>
      </c>
      <c r="C4022">
        <v>828.2861286581674</v>
      </c>
      <c r="D4022" s="77">
        <v>138.04768810969458</v>
      </c>
      <c r="E4022" s="77">
        <v>138.04768810969458</v>
      </c>
      <c r="F4022" s="77">
        <v>138.04768810969458</v>
      </c>
      <c r="G4022" s="77">
        <v>138.04768810969458</v>
      </c>
      <c r="H4022" s="77">
        <v>138.04768810969458</v>
      </c>
      <c r="I4022" s="77">
        <v>138.04768810969458</v>
      </c>
    </row>
    <row r="4023" spans="2:9">
      <c r="B4023" s="76">
        <v>2024.2234423636046</v>
      </c>
      <c r="C4023">
        <v>998.3346465848831</v>
      </c>
      <c r="D4023" s="77">
        <v>166.38910776414718</v>
      </c>
      <c r="E4023" s="77">
        <v>166.38910776414718</v>
      </c>
      <c r="F4023" s="77">
        <v>166.38910776414718</v>
      </c>
      <c r="G4023" s="77">
        <v>166.38910776414718</v>
      </c>
      <c r="H4023" s="77">
        <v>166.38910776414718</v>
      </c>
      <c r="I4023" s="77">
        <v>166.38910776414718</v>
      </c>
    </row>
    <row r="4024" spans="2:9">
      <c r="B4024" s="76">
        <v>2024.5746386649821</v>
      </c>
      <c r="C4024">
        <v>1093.5344088612133</v>
      </c>
      <c r="D4024" s="77">
        <v>182.2557348102022</v>
      </c>
      <c r="E4024" s="77">
        <v>182.2557348102022</v>
      </c>
      <c r="F4024" s="77">
        <v>182.2557348102022</v>
      </c>
      <c r="G4024" s="77">
        <v>182.2557348102022</v>
      </c>
      <c r="H4024" s="77">
        <v>182.2557348102022</v>
      </c>
      <c r="I4024" s="77">
        <v>182.2557348102022</v>
      </c>
    </row>
    <row r="4025" spans="2:9">
      <c r="B4025" s="76">
        <v>2023.2334390615999</v>
      </c>
      <c r="C4025">
        <v>918.56349556826694</v>
      </c>
      <c r="D4025" s="77">
        <v>153.09391592804448</v>
      </c>
      <c r="E4025" s="77">
        <v>153.09391592804448</v>
      </c>
      <c r="F4025" s="77">
        <v>153.09391592804448</v>
      </c>
      <c r="G4025" s="77">
        <v>153.09391592804448</v>
      </c>
      <c r="H4025" s="77">
        <v>153.09391592804448</v>
      </c>
      <c r="I4025" s="77">
        <v>153.09391592804448</v>
      </c>
    </row>
    <row r="4026" spans="2:9">
      <c r="B4026" s="76">
        <v>2024.3399951218248</v>
      </c>
      <c r="C4026">
        <v>1081.9829923244795</v>
      </c>
      <c r="D4026" s="77">
        <v>180.33049872074659</v>
      </c>
      <c r="E4026" s="77">
        <v>180.33049872074659</v>
      </c>
      <c r="F4026" s="77">
        <v>180.33049872074659</v>
      </c>
      <c r="G4026" s="77">
        <v>180.33049872074659</v>
      </c>
      <c r="H4026" s="77">
        <v>180.33049872074659</v>
      </c>
      <c r="I4026" s="77">
        <v>180.33049872074659</v>
      </c>
    </row>
    <row r="4027" spans="2:9">
      <c r="B4027" s="76">
        <v>2022.6967777932616</v>
      </c>
      <c r="C4027">
        <v>847.56061751618188</v>
      </c>
      <c r="D4027" s="77">
        <v>141.26010291936365</v>
      </c>
      <c r="E4027" s="77">
        <v>141.26010291936365</v>
      </c>
      <c r="F4027" s="77">
        <v>141.26010291936365</v>
      </c>
      <c r="G4027" s="77">
        <v>141.26010291936365</v>
      </c>
      <c r="H4027" s="77">
        <v>141.26010291936365</v>
      </c>
      <c r="I4027" s="77">
        <v>141.26010291936365</v>
      </c>
    </row>
    <row r="4028" spans="2:9">
      <c r="B4028" s="76">
        <v>2022.9942775476391</v>
      </c>
      <c r="C4028">
        <v>895.18263779518884</v>
      </c>
      <c r="D4028" s="77">
        <v>149.19710629919814</v>
      </c>
      <c r="E4028" s="77">
        <v>149.19710629919814</v>
      </c>
      <c r="F4028" s="77">
        <v>149.19710629919814</v>
      </c>
      <c r="G4028" s="77">
        <v>149.19710629919814</v>
      </c>
      <c r="H4028" s="77">
        <v>149.19710629919814</v>
      </c>
      <c r="I4028" s="77">
        <v>149.19710629919814</v>
      </c>
    </row>
    <row r="4029" spans="2:9">
      <c r="B4029" s="76">
        <v>2022.9465854754681</v>
      </c>
      <c r="C4029">
        <v>841.65323879313644</v>
      </c>
      <c r="D4029" s="77">
        <v>140.27553979885607</v>
      </c>
      <c r="E4029" s="77">
        <v>140.27553979885607</v>
      </c>
      <c r="F4029" s="77">
        <v>140.27553979885607</v>
      </c>
      <c r="G4029" s="77">
        <v>140.27553979885607</v>
      </c>
      <c r="H4029" s="77">
        <v>140.27553979885607</v>
      </c>
      <c r="I4029" s="77">
        <v>140.27553979885607</v>
      </c>
    </row>
    <row r="4030" spans="2:9">
      <c r="B4030" s="76">
        <v>2024.6168090748861</v>
      </c>
      <c r="C4030">
        <v>1057.1332691914852</v>
      </c>
      <c r="D4030" s="77">
        <v>176.18887819858085</v>
      </c>
      <c r="E4030" s="77">
        <v>176.18887819858085</v>
      </c>
      <c r="F4030" s="77">
        <v>176.18887819858085</v>
      </c>
      <c r="G4030" s="77">
        <v>176.18887819858085</v>
      </c>
      <c r="H4030" s="77">
        <v>176.18887819858085</v>
      </c>
      <c r="I4030" s="77">
        <v>176.18887819858085</v>
      </c>
    </row>
    <row r="4031" spans="2:9">
      <c r="B4031" s="76">
        <v>2025.3216824116798</v>
      </c>
      <c r="C4031">
        <v>1167.0613334954855</v>
      </c>
      <c r="D4031" s="77">
        <v>194.51022224924759</v>
      </c>
      <c r="E4031" s="77">
        <v>194.51022224924759</v>
      </c>
      <c r="F4031" s="77">
        <v>194.51022224924759</v>
      </c>
      <c r="G4031" s="77">
        <v>194.51022224924759</v>
      </c>
      <c r="H4031" s="77">
        <v>194.51022224924759</v>
      </c>
      <c r="I4031" s="77">
        <v>194.51022224924759</v>
      </c>
    </row>
    <row r="4032" spans="2:9">
      <c r="B4032" s="76">
        <v>2023.0235330432545</v>
      </c>
      <c r="C4032">
        <v>955.31682083976204</v>
      </c>
      <c r="D4032" s="77">
        <v>159.21947013996035</v>
      </c>
      <c r="E4032" s="77">
        <v>159.21947013996035</v>
      </c>
      <c r="F4032" s="77">
        <v>159.21947013996035</v>
      </c>
      <c r="G4032" s="77">
        <v>159.21947013996035</v>
      </c>
      <c r="H4032" s="77">
        <v>159.21947013996035</v>
      </c>
      <c r="I4032" s="77">
        <v>159.21947013996035</v>
      </c>
    </row>
    <row r="4033" spans="2:9">
      <c r="B4033" s="76">
        <v>2022.8703206207713</v>
      </c>
      <c r="C4033">
        <v>905.07713859267915</v>
      </c>
      <c r="D4033" s="77">
        <v>150.84618976544652</v>
      </c>
      <c r="E4033" s="77">
        <v>150.84618976544652</v>
      </c>
      <c r="F4033" s="77">
        <v>150.84618976544652</v>
      </c>
      <c r="G4033" s="77">
        <v>150.84618976544652</v>
      </c>
      <c r="H4033" s="77">
        <v>150.84618976544652</v>
      </c>
      <c r="I4033" s="77">
        <v>150.84618976544652</v>
      </c>
    </row>
    <row r="4034" spans="2:9">
      <c r="B4034" s="76">
        <v>2024.4262516380456</v>
      </c>
      <c r="C4034">
        <v>1021.2625941065272</v>
      </c>
      <c r="D4034" s="77">
        <v>170.21043235108786</v>
      </c>
      <c r="E4034" s="77">
        <v>170.21043235108786</v>
      </c>
      <c r="F4034" s="77">
        <v>170.21043235108786</v>
      </c>
      <c r="G4034" s="77">
        <v>170.21043235108786</v>
      </c>
      <c r="H4034" s="77">
        <v>170.21043235108786</v>
      </c>
      <c r="I4034" s="77">
        <v>170.21043235108786</v>
      </c>
    </row>
    <row r="4035" spans="2:9">
      <c r="B4035" s="76">
        <v>2023.4694932562161</v>
      </c>
      <c r="C4035">
        <v>887.35956686865063</v>
      </c>
      <c r="D4035" s="77">
        <v>147.8932611447751</v>
      </c>
      <c r="E4035" s="77">
        <v>147.8932611447751</v>
      </c>
      <c r="F4035" s="77">
        <v>147.8932611447751</v>
      </c>
      <c r="G4035" s="77">
        <v>147.8932611447751</v>
      </c>
      <c r="H4035" s="77">
        <v>147.8932611447751</v>
      </c>
      <c r="I4035" s="77">
        <v>147.8932611447751</v>
      </c>
    </row>
    <row r="4036" spans="2:9">
      <c r="B4036" s="76">
        <v>2022.8829362892452</v>
      </c>
      <c r="C4036">
        <v>835.45430929137797</v>
      </c>
      <c r="D4036" s="77">
        <v>139.24238488189633</v>
      </c>
      <c r="E4036" s="77">
        <v>139.24238488189633</v>
      </c>
      <c r="F4036" s="77">
        <v>139.24238488189633</v>
      </c>
      <c r="G4036" s="77">
        <v>139.24238488189633</v>
      </c>
      <c r="H4036" s="77">
        <v>139.24238488189633</v>
      </c>
      <c r="I4036" s="77">
        <v>139.24238488189633</v>
      </c>
    </row>
    <row r="4037" spans="2:9">
      <c r="B4037" s="76">
        <v>2023.5235844630085</v>
      </c>
      <c r="C4037">
        <v>955.75036568957432</v>
      </c>
      <c r="D4037" s="77">
        <v>159.29172761492904</v>
      </c>
      <c r="E4037" s="77">
        <v>159.29172761492904</v>
      </c>
      <c r="F4037" s="77">
        <v>159.29172761492904</v>
      </c>
      <c r="G4037" s="77">
        <v>159.29172761492904</v>
      </c>
      <c r="H4037" s="77">
        <v>159.29172761492904</v>
      </c>
      <c r="I4037" s="77">
        <v>159.29172761492904</v>
      </c>
    </row>
    <row r="4038" spans="2:9">
      <c r="B4038" s="76">
        <v>2022.6550177944848</v>
      </c>
      <c r="C4038">
        <v>881.75717684331255</v>
      </c>
      <c r="D4038" s="77">
        <v>146.95952947388542</v>
      </c>
      <c r="E4038" s="77">
        <v>146.95952947388542</v>
      </c>
      <c r="F4038" s="77">
        <v>146.95952947388542</v>
      </c>
      <c r="G4038" s="77">
        <v>146.95952947388542</v>
      </c>
      <c r="H4038" s="77">
        <v>146.95952947388542</v>
      </c>
      <c r="I4038" s="77">
        <v>146.95952947388542</v>
      </c>
    </row>
    <row r="4039" spans="2:9">
      <c r="B4039" s="76">
        <v>2023.251827443155</v>
      </c>
      <c r="C4039">
        <v>894.2632637058947</v>
      </c>
      <c r="D4039" s="77">
        <v>149.04387728431578</v>
      </c>
      <c r="E4039" s="77">
        <v>149.04387728431578</v>
      </c>
      <c r="F4039" s="77">
        <v>149.04387728431578</v>
      </c>
      <c r="G4039" s="77">
        <v>149.04387728431578</v>
      </c>
      <c r="H4039" s="77">
        <v>149.04387728431578</v>
      </c>
      <c r="I4039" s="77">
        <v>149.04387728431578</v>
      </c>
    </row>
    <row r="4040" spans="2:9">
      <c r="B4040" s="76">
        <v>2023.2209824170527</v>
      </c>
      <c r="C4040">
        <v>916.85476955214995</v>
      </c>
      <c r="D4040" s="77">
        <v>152.80912825869166</v>
      </c>
      <c r="E4040" s="77">
        <v>152.80912825869166</v>
      </c>
      <c r="F4040" s="77">
        <v>152.80912825869166</v>
      </c>
      <c r="G4040" s="77">
        <v>152.80912825869166</v>
      </c>
      <c r="H4040" s="77">
        <v>152.80912825869166</v>
      </c>
      <c r="I4040" s="77">
        <v>152.80912825869166</v>
      </c>
    </row>
    <row r="4041" spans="2:9">
      <c r="B4041" s="76">
        <v>2022.9521427979976</v>
      </c>
      <c r="C4041">
        <v>948.2369831852219</v>
      </c>
      <c r="D4041" s="77">
        <v>158.03949719753697</v>
      </c>
      <c r="E4041" s="77">
        <v>158.03949719753697</v>
      </c>
      <c r="F4041" s="77">
        <v>158.03949719753697</v>
      </c>
      <c r="G4041" s="77">
        <v>158.03949719753697</v>
      </c>
      <c r="H4041" s="77">
        <v>158.03949719753697</v>
      </c>
      <c r="I4041" s="77">
        <v>158.03949719753697</v>
      </c>
    </row>
    <row r="4042" spans="2:9">
      <c r="B4042" s="76">
        <v>2023.5426755467365</v>
      </c>
      <c r="C4042">
        <v>920.57125116212217</v>
      </c>
      <c r="D4042" s="77">
        <v>153.4285418603537</v>
      </c>
      <c r="E4042" s="77">
        <v>153.4285418603537</v>
      </c>
      <c r="F4042" s="77">
        <v>153.4285418603537</v>
      </c>
      <c r="G4042" s="77">
        <v>153.4285418603537</v>
      </c>
      <c r="H4042" s="77">
        <v>153.4285418603537</v>
      </c>
      <c r="I4042" s="77">
        <v>153.4285418603537</v>
      </c>
    </row>
    <row r="4043" spans="2:9">
      <c r="B4043" s="76">
        <v>2023.6697447613428</v>
      </c>
      <c r="C4043">
        <v>1004.6018178996566</v>
      </c>
      <c r="D4043" s="77">
        <v>167.43363631660944</v>
      </c>
      <c r="E4043" s="77">
        <v>167.43363631660944</v>
      </c>
      <c r="F4043" s="77">
        <v>167.43363631660944</v>
      </c>
      <c r="G4043" s="77">
        <v>167.43363631660944</v>
      </c>
      <c r="H4043" s="77">
        <v>167.43363631660944</v>
      </c>
      <c r="I4043" s="77">
        <v>167.43363631660944</v>
      </c>
    </row>
    <row r="4044" spans="2:9">
      <c r="B4044" s="76">
        <v>2023.4887035770671</v>
      </c>
      <c r="C4044">
        <v>938.7156443858139</v>
      </c>
      <c r="D4044" s="77">
        <v>156.45260739763566</v>
      </c>
      <c r="E4044" s="77">
        <v>156.45260739763566</v>
      </c>
      <c r="F4044" s="77">
        <v>156.45260739763566</v>
      </c>
      <c r="G4044" s="77">
        <v>156.45260739763566</v>
      </c>
      <c r="H4044" s="77">
        <v>156.45260739763566</v>
      </c>
      <c r="I4044" s="77">
        <v>156.45260739763566</v>
      </c>
    </row>
    <row r="4045" spans="2:9">
      <c r="B4045" s="76">
        <v>2023.8881736392741</v>
      </c>
      <c r="C4045">
        <v>970.46643570501692</v>
      </c>
      <c r="D4045" s="77">
        <v>161.74440595083615</v>
      </c>
      <c r="E4045" s="77">
        <v>161.74440595083615</v>
      </c>
      <c r="F4045" s="77">
        <v>161.74440595083615</v>
      </c>
      <c r="G4045" s="77">
        <v>161.74440595083615</v>
      </c>
      <c r="H4045" s="77">
        <v>161.74440595083615</v>
      </c>
      <c r="I4045" s="77">
        <v>161.74440595083615</v>
      </c>
    </row>
    <row r="4046" spans="2:9">
      <c r="B4046" s="76">
        <v>2022.8194894511162</v>
      </c>
      <c r="C4046">
        <v>883.46800286662028</v>
      </c>
      <c r="D4046" s="77">
        <v>147.2446671444367</v>
      </c>
      <c r="E4046" s="77">
        <v>147.2446671444367</v>
      </c>
      <c r="F4046" s="77">
        <v>147.2446671444367</v>
      </c>
      <c r="G4046" s="77">
        <v>147.2446671444367</v>
      </c>
      <c r="H4046" s="77">
        <v>147.2446671444367</v>
      </c>
      <c r="I4046" s="77">
        <v>147.2446671444367</v>
      </c>
    </row>
    <row r="4047" spans="2:9">
      <c r="B4047" s="76">
        <v>2023.3796994302759</v>
      </c>
      <c r="C4047">
        <v>972.13078036921422</v>
      </c>
      <c r="D4047" s="77">
        <v>162.02179672820236</v>
      </c>
      <c r="E4047" s="77">
        <v>162.02179672820236</v>
      </c>
      <c r="F4047" s="77">
        <v>162.02179672820236</v>
      </c>
      <c r="G4047" s="77">
        <v>162.02179672820236</v>
      </c>
      <c r="H4047" s="77">
        <v>162.02179672820236</v>
      </c>
      <c r="I4047" s="77">
        <v>162.02179672820236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/>
    <outlinePr summaryBelow="0" summaryRight="0"/>
  </sheetPr>
  <dimension ref="A1:AG71"/>
  <sheetViews>
    <sheetView showGridLines="0" zoomScale="55" zoomScaleNormal="55" workbookViewId="0">
      <selection activeCell="K5" sqref="K5"/>
    </sheetView>
  </sheetViews>
  <sheetFormatPr defaultRowHeight="15.5" outlineLevelRow="2"/>
  <cols>
    <col min="2" max="2" width="13.08203125" customWidth="1"/>
    <col min="3" max="4" width="10.83203125" customWidth="1"/>
    <col min="6" max="6" width="15" customWidth="1"/>
    <col min="7" max="7" width="15.83203125" customWidth="1"/>
    <col min="8" max="8" width="11.25" customWidth="1"/>
    <col min="9" max="9" width="11.25" bestFit="1" customWidth="1"/>
    <col min="10" max="10" width="9.58203125" bestFit="1" customWidth="1"/>
    <col min="12" max="12" width="2" customWidth="1"/>
    <col min="13" max="13" width="15.83203125" bestFit="1" customWidth="1"/>
    <col min="14" max="14" width="10.08203125" bestFit="1" customWidth="1"/>
    <col min="21" max="21" width="22.08203125" bestFit="1" customWidth="1"/>
    <col min="22" max="22" width="11.83203125" bestFit="1" customWidth="1"/>
    <col min="27" max="28" width="56" style="27" customWidth="1"/>
  </cols>
  <sheetData>
    <row r="1" spans="1:13">
      <c r="A1" s="1"/>
    </row>
    <row r="3" spans="1:13">
      <c r="A3" s="15" t="s">
        <v>39</v>
      </c>
    </row>
    <row r="4" spans="1:13" outlineLevel="1"/>
    <row r="5" spans="1:13" outlineLevel="1" collapsed="1">
      <c r="F5" s="16" t="s">
        <v>40</v>
      </c>
      <c r="G5" s="78" t="s">
        <v>91</v>
      </c>
      <c r="H5" s="78"/>
      <c r="I5" s="78"/>
    </row>
    <row r="6" spans="1:13" hidden="1" outlineLevel="2">
      <c r="A6" s="17"/>
      <c r="F6" s="18" t="s">
        <v>41</v>
      </c>
      <c r="G6" s="79" t="str">
        <f>SUBSTITUTE(SUBSTITUTE(G5, "TY$M PE_", ""), "_Total", "")</f>
        <v>Development Cost</v>
      </c>
      <c r="H6" s="79"/>
      <c r="I6" s="79"/>
    </row>
    <row r="7" spans="1:13" hidden="1" outlineLevel="2">
      <c r="A7" s="17"/>
      <c r="F7" s="18" t="s">
        <v>42</v>
      </c>
      <c r="G7" s="80" t="str">
        <f>"CH-53K " &amp; G6 &amp;" S-Curve
CV = "&amp;LEFT(ROUND(N23,2)&amp;0, 4)</f>
        <v>CH-53K Development Cost S-Curve
CV = 0.11</v>
      </c>
      <c r="H7" s="80"/>
      <c r="I7" s="80"/>
    </row>
    <row r="8" spans="1:13" hidden="1" outlineLevel="2">
      <c r="A8" s="17"/>
      <c r="F8" s="18" t="s">
        <v>43</v>
      </c>
      <c r="G8" s="81">
        <f>ROUND(N21*0.5,J8)</f>
        <v>500</v>
      </c>
      <c r="H8" s="81"/>
      <c r="I8" s="81"/>
      <c r="J8">
        <f>IF(N21&lt;1, 1, IF(N21&lt;10, 0, IF(N21&lt;100, -1, IF(N21&lt;1000, -2, IF(N21&lt;10000, -3, -4)))))</f>
        <v>-2</v>
      </c>
      <c r="M8" s="65"/>
    </row>
    <row r="9" spans="1:13" hidden="1" outlineLevel="2">
      <c r="A9" s="17"/>
      <c r="F9" s="18" t="s">
        <v>44</v>
      </c>
      <c r="G9" s="81">
        <f>IF(ROUND(N21*1.5,J8)=0, 100, ROUND(N21*1.5,J8))</f>
        <v>1500</v>
      </c>
      <c r="H9" s="81"/>
      <c r="I9" s="81"/>
    </row>
    <row r="10" spans="1:13" hidden="1" outlineLevel="2">
      <c r="A10" s="17"/>
    </row>
    <row r="11" spans="1:13" outlineLevel="1">
      <c r="A11" s="17"/>
    </row>
    <row r="12" spans="1:13" outlineLevel="1">
      <c r="B12" s="16" t="s">
        <v>45</v>
      </c>
      <c r="C12" s="16" t="s">
        <v>46</v>
      </c>
      <c r="D12" s="16" t="s">
        <v>47</v>
      </c>
    </row>
    <row r="13" spans="1:13" outlineLevel="1">
      <c r="B13" s="19">
        <v>3</v>
      </c>
      <c r="C13" s="20">
        <v>0.05</v>
      </c>
      <c r="D13" s="21">
        <f>HLOOKUP($G$5, 'Simulation Data'!$21:$42, B13,FALSE)</f>
        <v>836.17941971567552</v>
      </c>
    </row>
    <row r="14" spans="1:13" outlineLevel="1">
      <c r="B14" s="19">
        <v>4</v>
      </c>
      <c r="C14" s="20">
        <v>0.1</v>
      </c>
      <c r="D14" s="21">
        <f>HLOOKUP($G$5, 'Simulation Data'!$21:$42, B14,FALSE)</f>
        <v>855.02501806596388</v>
      </c>
    </row>
    <row r="15" spans="1:13" outlineLevel="1">
      <c r="B15" s="19">
        <v>5</v>
      </c>
      <c r="C15" s="20">
        <v>0.15</v>
      </c>
      <c r="D15" s="21">
        <f>HLOOKUP($G$5, 'Simulation Data'!$21:$42, B15,FALSE)</f>
        <v>869.19165714519374</v>
      </c>
    </row>
    <row r="16" spans="1:13" outlineLevel="1">
      <c r="B16" s="19">
        <v>6</v>
      </c>
      <c r="C16" s="20">
        <v>0.2</v>
      </c>
      <c r="D16" s="21">
        <f>HLOOKUP($G$5, 'Simulation Data'!$21:$42, B16,FALSE)</f>
        <v>878.71773545700694</v>
      </c>
    </row>
    <row r="17" spans="2:16" outlineLevel="1">
      <c r="B17" s="19">
        <v>7</v>
      </c>
      <c r="C17" s="20">
        <v>0.25</v>
      </c>
      <c r="D17" s="21">
        <f>HLOOKUP($G$5, 'Simulation Data'!$21:$42, B17,FALSE)</f>
        <v>888.61999366441023</v>
      </c>
    </row>
    <row r="18" spans="2:16" outlineLevel="1">
      <c r="B18" s="19">
        <v>8</v>
      </c>
      <c r="C18" s="20">
        <v>0.3</v>
      </c>
      <c r="D18" s="21">
        <f>HLOOKUP($G$5, 'Simulation Data'!$21:$42, B18,FALSE)</f>
        <v>897.02916307733074</v>
      </c>
    </row>
    <row r="19" spans="2:16" outlineLevel="1">
      <c r="B19" s="19">
        <v>9</v>
      </c>
      <c r="C19" s="20">
        <v>0.35</v>
      </c>
      <c r="D19" s="21">
        <f>HLOOKUP($G$5, 'Simulation Data'!$21:$42, B19,FALSE)</f>
        <v>905.52267788279232</v>
      </c>
    </row>
    <row r="20" spans="2:16" outlineLevel="1">
      <c r="B20" s="19">
        <v>10</v>
      </c>
      <c r="C20" s="20">
        <v>0.4</v>
      </c>
      <c r="D20" s="21">
        <f>HLOOKUP($G$5, 'Simulation Data'!$21:$42, B20,FALSE)</f>
        <v>915.23443622164166</v>
      </c>
      <c r="M20" s="16" t="s">
        <v>48</v>
      </c>
      <c r="N20" s="16" t="s">
        <v>49</v>
      </c>
      <c r="P20" s="16" t="s">
        <v>50</v>
      </c>
    </row>
    <row r="21" spans="2:16" outlineLevel="1">
      <c r="B21" s="19">
        <v>11</v>
      </c>
      <c r="C21" s="20">
        <v>0.45</v>
      </c>
      <c r="D21" s="21">
        <f>HLOOKUP($G$5, 'Simulation Data'!$21:$42, B21,FALSE)</f>
        <v>925.29768454536872</v>
      </c>
      <c r="M21" s="22" t="s">
        <v>3</v>
      </c>
      <c r="N21" s="23">
        <f>HLOOKUP($G$5, 'Simulation Data'!$3:$18, P21,FALSE)</f>
        <v>969.45300672040628</v>
      </c>
      <c r="P21" s="24">
        <v>4</v>
      </c>
    </row>
    <row r="22" spans="2:16" outlineLevel="1">
      <c r="B22" s="19">
        <v>12</v>
      </c>
      <c r="C22" s="20">
        <v>0.5</v>
      </c>
      <c r="D22" s="21">
        <f>HLOOKUP($G$5, 'Simulation Data'!$21:$42, B22,FALSE)</f>
        <v>936.15048234700976</v>
      </c>
      <c r="M22" s="22" t="s">
        <v>7</v>
      </c>
      <c r="N22" s="23">
        <f>HLOOKUP($G$5, 'Simulation Data'!$3:$18, P22,FALSE)</f>
        <v>110.20573986811452</v>
      </c>
      <c r="P22" s="24">
        <v>7</v>
      </c>
    </row>
    <row r="23" spans="2:16" outlineLevel="1">
      <c r="B23" s="19">
        <v>13</v>
      </c>
      <c r="C23" s="20">
        <v>0.55000000000000004</v>
      </c>
      <c r="D23" s="21">
        <f>HLOOKUP($G$5, 'Simulation Data'!$21:$42, B23,FALSE)</f>
        <v>948.18867934710318</v>
      </c>
      <c r="M23" s="22" t="s">
        <v>11</v>
      </c>
      <c r="N23" s="25">
        <f>HLOOKUP($G$5, 'Simulation Data'!$3:$18, P23,FALSE)</f>
        <v>0.11367826919319489</v>
      </c>
      <c r="P23" s="24">
        <v>11</v>
      </c>
    </row>
    <row r="24" spans="2:16" outlineLevel="1">
      <c r="B24" s="19">
        <v>14</v>
      </c>
      <c r="C24" s="20">
        <v>0.6</v>
      </c>
      <c r="D24" s="21">
        <f>HLOOKUP($G$5, 'Simulation Data'!$21:$42, B24,FALSE)</f>
        <v>961.28578294477609</v>
      </c>
    </row>
    <row r="25" spans="2:16" outlineLevel="1">
      <c r="B25" s="19">
        <v>15</v>
      </c>
      <c r="C25" s="20">
        <v>0.65</v>
      </c>
      <c r="D25" s="21">
        <f>HLOOKUP($G$5, 'Simulation Data'!$21:$42, B25,FALSE)</f>
        <v>979.18014874598646</v>
      </c>
    </row>
    <row r="26" spans="2:16" outlineLevel="1">
      <c r="B26" s="19">
        <v>16</v>
      </c>
      <c r="C26" s="20">
        <v>0.7</v>
      </c>
      <c r="D26" s="21">
        <f>HLOOKUP($G$5, 'Simulation Data'!$21:$42, B26,FALSE)</f>
        <v>1005.4453227831053</v>
      </c>
    </row>
    <row r="27" spans="2:16" outlineLevel="1">
      <c r="B27" s="19">
        <v>17</v>
      </c>
      <c r="C27" s="20">
        <v>0.75</v>
      </c>
      <c r="D27" s="21">
        <f>HLOOKUP($G$5, 'Simulation Data'!$21:$42, B27,FALSE)</f>
        <v>1041.9390224951349</v>
      </c>
    </row>
    <row r="28" spans="2:16" outlineLevel="1">
      <c r="B28" s="19">
        <v>18</v>
      </c>
      <c r="C28" s="20">
        <v>0.8</v>
      </c>
      <c r="D28" s="21">
        <f>HLOOKUP($G$5, 'Simulation Data'!$21:$42, B28,FALSE)</f>
        <v>1076.5896146668047</v>
      </c>
    </row>
    <row r="29" spans="2:16" outlineLevel="1">
      <c r="B29" s="19">
        <v>19</v>
      </c>
      <c r="C29" s="20">
        <v>0.85</v>
      </c>
      <c r="D29" s="21">
        <f>HLOOKUP($G$5, 'Simulation Data'!$21:$42, B29,FALSE)</f>
        <v>1108.2200284953853</v>
      </c>
    </row>
    <row r="30" spans="2:16" outlineLevel="1">
      <c r="B30" s="19">
        <v>20</v>
      </c>
      <c r="C30" s="20">
        <v>0.9</v>
      </c>
      <c r="D30" s="21">
        <f>HLOOKUP($G$5, 'Simulation Data'!$21:$42, B30,FALSE)</f>
        <v>1141.8505477344688</v>
      </c>
    </row>
    <row r="31" spans="2:16" outlineLevel="1">
      <c r="B31" s="19">
        <v>21</v>
      </c>
      <c r="C31" s="20">
        <v>0.95</v>
      </c>
      <c r="D31" s="21">
        <f>HLOOKUP($G$5, 'Simulation Data'!$21:$42, B31,FALSE)</f>
        <v>1186.8287335516043</v>
      </c>
    </row>
    <row r="32" spans="2:16" outlineLevel="1"/>
    <row r="37" spans="2:33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2:33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2:33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2:33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</row>
    <row r="41" spans="2:33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</row>
    <row r="42" spans="2:33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2:33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2:33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2:33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</row>
    <row r="46" spans="2:33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AC46" s="33"/>
      <c r="AD46" s="33"/>
      <c r="AE46" s="52"/>
      <c r="AF46" s="28"/>
      <c r="AG46" s="28"/>
    </row>
    <row r="47" spans="2:33">
      <c r="B47" s="28"/>
      <c r="C47" s="28"/>
      <c r="D47" s="28"/>
      <c r="E47" s="28"/>
      <c r="F47" s="28"/>
      <c r="G47" s="28"/>
      <c r="H47" s="28"/>
      <c r="I47" s="28"/>
      <c r="L47" s="28"/>
      <c r="M47" s="28"/>
      <c r="AC47" s="28"/>
      <c r="AD47" s="28"/>
    </row>
    <row r="48" spans="2:33">
      <c r="B48" s="28"/>
      <c r="C48" s="28"/>
      <c r="D48" s="28"/>
      <c r="E48" s="28"/>
      <c r="F48" s="28"/>
      <c r="G48" s="28"/>
      <c r="H48" s="28"/>
      <c r="I48" s="28"/>
      <c r="L48" s="28"/>
      <c r="M48" s="28"/>
      <c r="AC48" s="28"/>
      <c r="AD48" s="28"/>
    </row>
    <row r="49" spans="2:30">
      <c r="B49" s="28"/>
      <c r="C49" s="28"/>
      <c r="D49" s="28"/>
      <c r="E49" s="28"/>
      <c r="F49" s="28"/>
      <c r="G49" s="28"/>
      <c r="H49" s="28"/>
      <c r="I49" s="28"/>
      <c r="L49" s="28"/>
      <c r="M49" s="28"/>
      <c r="AC49" s="28"/>
      <c r="AD49" s="28"/>
    </row>
    <row r="50" spans="2:30">
      <c r="B50" s="28"/>
      <c r="C50" s="28"/>
      <c r="D50" s="28"/>
      <c r="E50" s="28"/>
      <c r="F50" s="28"/>
      <c r="G50" s="28"/>
      <c r="H50" s="28"/>
      <c r="I50" s="28"/>
      <c r="L50" s="28"/>
      <c r="M50" s="28"/>
    </row>
    <row r="51" spans="2:30">
      <c r="B51" s="28"/>
      <c r="C51" s="28"/>
      <c r="D51" s="28"/>
      <c r="E51" s="28"/>
      <c r="F51" s="28"/>
      <c r="G51" s="28"/>
      <c r="H51" s="28"/>
      <c r="I51" s="28"/>
      <c r="L51" s="28"/>
      <c r="M51" s="28"/>
    </row>
    <row r="52" spans="2:30">
      <c r="B52" s="28"/>
      <c r="C52" s="28"/>
      <c r="D52" s="28"/>
      <c r="E52" s="28"/>
      <c r="F52" s="28"/>
      <c r="G52" s="28"/>
      <c r="H52" s="28"/>
      <c r="I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2:30">
      <c r="B53" s="28"/>
      <c r="C53" s="28"/>
      <c r="D53" s="28"/>
      <c r="E53" s="28"/>
      <c r="F53" s="28"/>
      <c r="G53" s="28"/>
      <c r="H53" s="28"/>
      <c r="I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2:30">
      <c r="B54" s="28"/>
      <c r="C54" s="28"/>
      <c r="D54" s="28"/>
      <c r="E54" s="28"/>
      <c r="F54" s="28"/>
      <c r="G54" s="28"/>
      <c r="H54" s="28"/>
      <c r="I54" s="28"/>
      <c r="L54" s="28"/>
      <c r="M54" s="28"/>
      <c r="N54" s="32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2:30">
      <c r="B55" s="28"/>
      <c r="C55" s="28"/>
      <c r="D55" s="28"/>
      <c r="E55" s="28"/>
      <c r="F55" s="28"/>
      <c r="G55" s="28"/>
      <c r="H55" s="28"/>
      <c r="I55" s="28"/>
      <c r="L55" s="28"/>
      <c r="M55" s="28"/>
      <c r="N55" s="28"/>
      <c r="O55" s="28"/>
      <c r="P55" s="28"/>
      <c r="Q55" s="28"/>
      <c r="R55" s="28"/>
      <c r="S55" s="53"/>
      <c r="T55" s="28"/>
      <c r="U55" s="28"/>
      <c r="V55" s="28"/>
      <c r="W55" s="28"/>
      <c r="X55" s="28"/>
      <c r="Y55" s="28"/>
    </row>
    <row r="56" spans="2:30">
      <c r="B56" s="28"/>
      <c r="C56" s="28"/>
      <c r="D56" s="28"/>
      <c r="E56" s="28"/>
      <c r="F56" s="28"/>
      <c r="G56" s="28"/>
      <c r="H56" s="28"/>
      <c r="I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spans="2:30">
      <c r="B57" s="28"/>
      <c r="C57" s="28"/>
      <c r="D57" s="28"/>
      <c r="E57" s="28"/>
      <c r="F57" s="28"/>
      <c r="G57" s="28"/>
      <c r="H57" s="28"/>
      <c r="I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</row>
    <row r="58" spans="2:30">
      <c r="B58" s="28"/>
      <c r="C58" s="28"/>
      <c r="D58" s="28"/>
      <c r="E58" s="28"/>
      <c r="F58" s="28"/>
      <c r="G58" s="28"/>
      <c r="H58" s="28"/>
      <c r="I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2:30">
      <c r="B59" s="28"/>
      <c r="C59" s="28"/>
      <c r="D59" s="28"/>
      <c r="E59" s="28"/>
      <c r="F59" s="28"/>
      <c r="G59" s="28"/>
      <c r="H59" s="28"/>
      <c r="I59" s="28"/>
      <c r="L59" s="28"/>
      <c r="M59" s="28"/>
      <c r="N59" s="28"/>
      <c r="O59" s="28"/>
      <c r="P59" s="28"/>
      <c r="Q59" s="28"/>
      <c r="R59" s="28"/>
      <c r="S59" s="28"/>
      <c r="U59" s="28"/>
      <c r="V59" s="28"/>
      <c r="W59" s="28"/>
      <c r="X59" s="28"/>
      <c r="Y59" s="28"/>
    </row>
    <row r="60" spans="2:30">
      <c r="B60" s="28"/>
      <c r="C60" s="28"/>
      <c r="D60" s="28"/>
      <c r="E60" s="28"/>
      <c r="F60" s="28"/>
      <c r="G60" s="28"/>
      <c r="H60" s="28"/>
      <c r="I60" s="28"/>
      <c r="L60" s="28"/>
      <c r="M60" s="28"/>
      <c r="N60" s="28"/>
      <c r="O60" s="28"/>
      <c r="P60" s="28"/>
      <c r="Q60" s="28"/>
      <c r="R60" s="28"/>
      <c r="S60" s="28"/>
      <c r="U60" s="28"/>
      <c r="V60" s="28"/>
      <c r="W60" s="28"/>
      <c r="X60" s="28"/>
      <c r="Y60" s="28"/>
    </row>
    <row r="61" spans="2:30">
      <c r="B61" s="28"/>
      <c r="C61" s="28"/>
      <c r="D61" s="28"/>
      <c r="E61" s="28"/>
      <c r="F61" s="28"/>
      <c r="G61" s="28"/>
      <c r="H61" s="28"/>
      <c r="I61" s="28"/>
      <c r="L61" s="28"/>
      <c r="M61" s="28"/>
      <c r="N61" s="28"/>
      <c r="O61" s="28"/>
      <c r="P61" s="28"/>
      <c r="Q61" s="28"/>
      <c r="R61" s="28"/>
      <c r="S61" s="28"/>
      <c r="U61" s="28"/>
      <c r="V61" s="28"/>
      <c r="W61" s="28"/>
      <c r="X61" s="28"/>
      <c r="Y61" s="28"/>
    </row>
    <row r="62" spans="2:30">
      <c r="B62" s="28"/>
      <c r="C62" s="28"/>
      <c r="D62" s="28"/>
      <c r="E62" s="28"/>
      <c r="F62" s="28"/>
      <c r="G62" s="28"/>
      <c r="H62" s="28"/>
      <c r="I62" s="28"/>
      <c r="L62" s="28"/>
      <c r="M62" s="28"/>
      <c r="N62" s="28"/>
      <c r="O62" s="28"/>
      <c r="P62" s="28"/>
      <c r="Q62" s="28"/>
      <c r="R62" s="28"/>
      <c r="S62" s="28"/>
      <c r="U62" s="28"/>
      <c r="V62" s="28"/>
      <c r="W62" s="28"/>
      <c r="X62" s="28"/>
      <c r="Y62" s="28"/>
    </row>
    <row r="63" spans="2:30">
      <c r="B63" s="28"/>
      <c r="C63" s="28"/>
      <c r="D63" s="28"/>
      <c r="E63" s="28"/>
      <c r="F63" s="28"/>
      <c r="G63" s="28"/>
      <c r="H63" s="28"/>
      <c r="I63" s="28"/>
      <c r="L63" s="28"/>
      <c r="M63" s="28"/>
      <c r="N63" s="28"/>
      <c r="O63" s="28"/>
      <c r="P63" s="28"/>
      <c r="Q63" s="28"/>
      <c r="R63" s="28"/>
      <c r="S63" s="28"/>
      <c r="U63" s="28"/>
      <c r="V63" s="28"/>
      <c r="W63" s="28"/>
      <c r="X63" s="28"/>
      <c r="Y63" s="28"/>
    </row>
    <row r="64" spans="2:30">
      <c r="B64" s="28"/>
      <c r="C64" s="28"/>
      <c r="D64" s="28"/>
      <c r="E64" s="28"/>
      <c r="F64" s="28"/>
      <c r="G64" s="28"/>
      <c r="H64" s="28"/>
      <c r="I64" s="28"/>
      <c r="L64" s="28"/>
      <c r="M64" s="28"/>
      <c r="N64" s="28"/>
      <c r="O64" s="28"/>
      <c r="P64" s="28"/>
      <c r="Q64" s="28"/>
      <c r="R64" s="28"/>
      <c r="S64" s="28"/>
      <c r="U64" s="28"/>
      <c r="V64" s="28"/>
      <c r="W64" s="28"/>
      <c r="X64" s="28"/>
      <c r="Y64" s="28"/>
    </row>
    <row r="65" spans="2:25">
      <c r="B65" s="28"/>
      <c r="C65" s="28"/>
      <c r="D65" s="28"/>
      <c r="E65" s="28"/>
      <c r="F65" s="28"/>
      <c r="G65" s="28"/>
      <c r="H65" s="28"/>
      <c r="I65" s="28"/>
      <c r="L65" s="28"/>
      <c r="M65" s="28"/>
      <c r="N65" s="28"/>
      <c r="O65" s="28"/>
      <c r="P65" s="28"/>
      <c r="Q65" s="28"/>
      <c r="R65" s="28"/>
      <c r="S65" s="28"/>
      <c r="U65" s="28"/>
      <c r="V65" s="28"/>
      <c r="W65" s="28"/>
      <c r="X65" s="28"/>
      <c r="Y65" s="28"/>
    </row>
    <row r="66" spans="2:25">
      <c r="B66" s="28"/>
      <c r="C66" s="28"/>
      <c r="D66" s="28"/>
      <c r="E66" s="28"/>
      <c r="F66" s="28"/>
      <c r="G66" s="28"/>
      <c r="H66" s="28"/>
      <c r="I66" s="28"/>
      <c r="L66" s="28"/>
      <c r="M66" s="28"/>
      <c r="N66" s="28"/>
      <c r="O66" s="28"/>
      <c r="P66" s="28"/>
      <c r="Q66" s="28"/>
      <c r="R66" s="28"/>
      <c r="S66" s="28"/>
      <c r="U66" s="28"/>
      <c r="V66" s="28"/>
      <c r="W66" s="28"/>
      <c r="X66" s="28"/>
      <c r="Y66" s="28"/>
    </row>
    <row r="67" spans="2:25">
      <c r="B67" s="28"/>
      <c r="C67" s="28"/>
      <c r="D67" s="28"/>
      <c r="E67" s="28"/>
      <c r="F67" s="28"/>
      <c r="G67" s="28"/>
      <c r="H67" s="28"/>
      <c r="I67" s="28"/>
      <c r="L67" s="28"/>
      <c r="M67" s="28"/>
      <c r="N67" s="28"/>
      <c r="O67" s="28"/>
      <c r="P67" s="28"/>
      <c r="Q67" s="28"/>
      <c r="R67" s="28"/>
      <c r="S67" s="28"/>
      <c r="U67" s="28"/>
      <c r="V67" s="28"/>
      <c r="W67" s="28"/>
      <c r="X67" s="28"/>
      <c r="Y67" s="28"/>
    </row>
    <row r="68" spans="2:25">
      <c r="B68" s="28"/>
      <c r="C68" s="28"/>
      <c r="D68" s="28"/>
      <c r="E68" s="28"/>
      <c r="F68" s="28"/>
      <c r="G68" s="28"/>
      <c r="H68" s="28"/>
      <c r="I68" s="28"/>
      <c r="L68" s="28"/>
      <c r="M68" s="28"/>
      <c r="N68" s="28"/>
      <c r="O68" s="28"/>
      <c r="P68" s="28"/>
      <c r="Q68" s="28"/>
      <c r="R68" s="28"/>
      <c r="S68" s="28"/>
      <c r="U68" s="28"/>
      <c r="V68" s="28"/>
      <c r="W68" s="28"/>
      <c r="X68" s="28"/>
      <c r="Y68" s="28"/>
    </row>
    <row r="69" spans="2:25">
      <c r="B69" s="28"/>
      <c r="C69" s="28"/>
      <c r="D69" s="28"/>
      <c r="E69" s="28"/>
      <c r="F69" s="28"/>
      <c r="G69" s="28"/>
      <c r="H69" s="28"/>
      <c r="I69" s="28"/>
      <c r="L69" s="28"/>
      <c r="M69" s="28"/>
      <c r="N69" s="28"/>
      <c r="O69" s="28"/>
      <c r="P69" s="28"/>
      <c r="Q69" s="28"/>
      <c r="R69" s="28"/>
      <c r="S69" s="28"/>
      <c r="U69" s="28"/>
      <c r="V69" s="28"/>
      <c r="W69" s="28"/>
      <c r="X69" s="28"/>
      <c r="Y69" s="28"/>
    </row>
    <row r="70" spans="2:25">
      <c r="B70" s="28"/>
      <c r="C70" s="28"/>
      <c r="D70" s="28"/>
      <c r="E70" s="28"/>
      <c r="F70" s="28"/>
      <c r="G70" s="28"/>
      <c r="H70" s="28"/>
      <c r="I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</row>
    <row r="71" spans="2:25">
      <c r="B71" s="28"/>
      <c r="C71" s="28"/>
      <c r="D71" s="28"/>
      <c r="E71" s="28"/>
      <c r="F71" s="28"/>
      <c r="G71" s="28"/>
      <c r="H71" s="28"/>
      <c r="I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</sheetData>
  <mergeCells count="5">
    <mergeCell ref="G5:I5"/>
    <mergeCell ref="G6:I6"/>
    <mergeCell ref="G7:I7"/>
    <mergeCell ref="G8:I8"/>
    <mergeCell ref="G9:I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'Simulation Data'!$21:$21</xm:f>
          </x14:formula1>
          <xm:sqref>G5:I5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/>
    <outlinePr summaryBelow="0" summaryRight="0"/>
  </sheetPr>
  <dimension ref="A1:AH80"/>
  <sheetViews>
    <sheetView showGridLines="0" zoomScale="55" zoomScaleNormal="55" workbookViewId="0">
      <selection activeCell="I7" sqref="I7:K7"/>
    </sheetView>
  </sheetViews>
  <sheetFormatPr defaultRowHeight="15.5" outlineLevelRow="1"/>
  <cols>
    <col min="1" max="1" width="8.6640625" style="28"/>
    <col min="2" max="2" width="13.08203125" style="28" customWidth="1"/>
    <col min="3" max="3" width="10.08203125" style="28" bestFit="1" customWidth="1"/>
    <col min="4" max="4" width="11.58203125" style="28" bestFit="1" customWidth="1"/>
    <col min="5" max="5" width="11.25" style="28" customWidth="1"/>
    <col min="6" max="6" width="13.75" style="28" bestFit="1" customWidth="1"/>
    <col min="7" max="7" width="15.83203125" style="28" customWidth="1"/>
    <col min="8" max="8" width="11.25" style="28" customWidth="1"/>
    <col min="9" max="9" width="11.25" style="28" bestFit="1" customWidth="1"/>
    <col min="10" max="10" width="9.58203125" style="28" bestFit="1" customWidth="1"/>
    <col min="11" max="11" width="8.6640625" style="28"/>
    <col min="12" max="12" width="2" style="28" customWidth="1"/>
    <col min="13" max="13" width="15.83203125" style="28" bestFit="1" customWidth="1"/>
    <col min="14" max="14" width="10.08203125" style="28" bestFit="1" customWidth="1"/>
    <col min="15" max="20" width="8.6640625" style="28"/>
    <col min="21" max="21" width="22.08203125" style="28" bestFit="1" customWidth="1"/>
    <col min="22" max="22" width="11.83203125" style="28" bestFit="1" customWidth="1"/>
    <col min="23" max="26" width="8.6640625" style="28"/>
    <col min="27" max="28" width="56" style="43" customWidth="1"/>
    <col min="29" max="16384" width="8.6640625" style="28"/>
  </cols>
  <sheetData>
    <row r="1" spans="1:34">
      <c r="A1" s="63"/>
    </row>
    <row r="2" spans="1:34">
      <c r="A2" s="26" t="s">
        <v>51</v>
      </c>
    </row>
    <row r="3" spans="1:34" outlineLevel="1">
      <c r="A3" s="26"/>
    </row>
    <row r="4" spans="1:34" outlineLevel="1">
      <c r="A4" s="26"/>
    </row>
    <row r="5" spans="1:34" outlineLevel="1">
      <c r="A5" s="26"/>
    </row>
    <row r="6" spans="1:34" ht="33.5" customHeight="1" outlineLevel="1">
      <c r="A6" s="26"/>
      <c r="H6" s="61" t="s">
        <v>52</v>
      </c>
      <c r="I6" s="85" t="s">
        <v>90</v>
      </c>
      <c r="J6" s="85"/>
      <c r="K6" s="85"/>
    </row>
    <row r="7" spans="1:34" ht="42.5" customHeight="1" outlineLevel="1">
      <c r="A7" s="26"/>
      <c r="H7" s="61" t="s">
        <v>53</v>
      </c>
      <c r="I7" s="85" t="s">
        <v>91</v>
      </c>
      <c r="J7" s="85"/>
      <c r="K7" s="85"/>
    </row>
    <row r="8" spans="1:34" outlineLevel="1">
      <c r="A8" s="26"/>
    </row>
    <row r="9" spans="1:34" ht="32.25" customHeight="1" outlineLevel="1">
      <c r="A9" s="26"/>
    </row>
    <row r="10" spans="1:34" ht="37.5" customHeight="1" outlineLevel="1">
      <c r="A10" s="26"/>
      <c r="H10" s="29" t="s">
        <v>42</v>
      </c>
      <c r="I10" s="86" t="s">
        <v>54</v>
      </c>
      <c r="J10" s="86"/>
      <c r="K10" s="86"/>
      <c r="L10" s="86"/>
      <c r="M10" s="86"/>
      <c r="AA10" s="28"/>
      <c r="AB10" s="28"/>
      <c r="AG10" s="43"/>
      <c r="AH10" s="43"/>
    </row>
    <row r="11" spans="1:34" outlineLevel="1">
      <c r="A11" s="26"/>
      <c r="H11" s="30" t="s">
        <v>55</v>
      </c>
      <c r="I11" s="87" t="s">
        <v>47</v>
      </c>
      <c r="J11" s="87"/>
      <c r="K11" s="87"/>
      <c r="L11" s="87"/>
      <c r="M11" s="87"/>
      <c r="AG11" s="43"/>
      <c r="AH11" s="43"/>
    </row>
    <row r="12" spans="1:34" outlineLevel="1">
      <c r="A12" s="26"/>
      <c r="H12" s="29" t="s">
        <v>56</v>
      </c>
      <c r="I12" s="87" t="s">
        <v>81</v>
      </c>
      <c r="J12" s="87"/>
      <c r="K12" s="87"/>
      <c r="L12" s="87"/>
      <c r="M12" s="87"/>
      <c r="V12" s="31"/>
      <c r="W12" s="32"/>
      <c r="AG12" s="43"/>
      <c r="AH12" s="43"/>
    </row>
    <row r="13" spans="1:34" outlineLevel="1">
      <c r="A13" s="26"/>
      <c r="B13" s="82" t="s">
        <v>51</v>
      </c>
      <c r="C13" s="83"/>
      <c r="D13" s="83"/>
      <c r="E13" s="84"/>
      <c r="G13" s="33"/>
      <c r="H13" s="29" t="s">
        <v>57</v>
      </c>
      <c r="I13" s="59">
        <f ca="1">ROUNDDOWN(PERCENTILE(JCLy, 0),-2)</f>
        <v>700</v>
      </c>
      <c r="J13" s="34">
        <f ca="1">I14-D16</f>
        <v>451.81132065289682</v>
      </c>
      <c r="V13" s="31"/>
      <c r="W13" s="32"/>
      <c r="AG13" s="43"/>
      <c r="AH13" s="43"/>
    </row>
    <row r="14" spans="1:34" ht="31" outlineLevel="1">
      <c r="A14" s="26"/>
      <c r="B14" s="35"/>
      <c r="C14" s="36" t="s">
        <v>58</v>
      </c>
      <c r="D14" s="36" t="s">
        <v>59</v>
      </c>
      <c r="E14" s="36" t="s">
        <v>60</v>
      </c>
      <c r="G14" s="33"/>
      <c r="H14" s="64" t="s">
        <v>61</v>
      </c>
      <c r="I14" s="60">
        <f ca="1">ROUNDUP(PERCENTILE(JCLy, 1), -2)</f>
        <v>1400</v>
      </c>
      <c r="J14" s="37">
        <f ca="1">D16-I13</f>
        <v>248.18867934710318</v>
      </c>
      <c r="AG14" s="43"/>
      <c r="AH14" s="43"/>
    </row>
    <row r="15" spans="1:34" outlineLevel="1">
      <c r="A15" s="26"/>
      <c r="B15" s="35" t="s">
        <v>62</v>
      </c>
      <c r="C15" s="38">
        <f ca="1">AVERAGE(JCLx)</f>
        <v>2023.6734046466561</v>
      </c>
      <c r="D15" s="56">
        <f ca="1">AVERAGE(JCLy)</f>
        <v>969.45300672040628</v>
      </c>
      <c r="E15" s="39">
        <f ca="1">COUNTIFS(JCLy,"&lt;"&amp;$D$15,JCLx,"&lt;"&amp;$C$15)/COUNT(JCLx)</f>
        <v>0.60924999999999996</v>
      </c>
      <c r="H15" s="29" t="s">
        <v>63</v>
      </c>
      <c r="I15" s="54">
        <f ca="1">ROUND(PERCENTILE(JCLx, 0),0)</f>
        <v>2022</v>
      </c>
      <c r="J15" s="37">
        <f ca="1">I16-C16</f>
        <v>2.6820543181015637</v>
      </c>
      <c r="AG15" s="43"/>
      <c r="AH15" s="43"/>
    </row>
    <row r="16" spans="1:34" outlineLevel="1">
      <c r="A16" s="26"/>
      <c r="B16" s="35" t="s">
        <v>64</v>
      </c>
      <c r="C16" s="40">
        <f ca="1">PERCENTILE(JCLx,0.495)</f>
        <v>2023.3179456818984</v>
      </c>
      <c r="D16" s="57">
        <f ca="1">PERCENTILE(JCLy,0.55)</f>
        <v>948.18867934710318</v>
      </c>
      <c r="E16" s="39">
        <f ca="1">COUNTIFS(JCLy,"&lt;"&amp;$D$16,JCLx,"&lt;"&amp;$C$16)/COUNT(JCLx)</f>
        <v>0.44574999999999998</v>
      </c>
      <c r="H16" s="29" t="s">
        <v>65</v>
      </c>
      <c r="I16" s="54">
        <f ca="1">ROUND(PERCENTILE(JCLx, 1), 0)</f>
        <v>2026</v>
      </c>
      <c r="J16" s="37">
        <f ca="1">C16-I15</f>
        <v>1.3179456818984363</v>
      </c>
      <c r="AG16" s="43"/>
      <c r="AH16" s="43"/>
    </row>
    <row r="17" spans="1:34" outlineLevel="1">
      <c r="A17" s="26"/>
      <c r="C17" s="62"/>
      <c r="AG17" s="43"/>
      <c r="AH17" s="43"/>
    </row>
    <row r="18" spans="1:34" outlineLevel="1">
      <c r="A18" s="26"/>
      <c r="C18" s="62"/>
      <c r="AG18" s="43"/>
      <c r="AH18" s="43"/>
    </row>
    <row r="19" spans="1:34" outlineLevel="1">
      <c r="A19" s="26"/>
      <c r="C19" s="62"/>
      <c r="V19" s="32"/>
      <c r="W19" s="32"/>
      <c r="X19" s="32"/>
      <c r="AG19" s="43"/>
      <c r="AH19" s="43"/>
    </row>
    <row r="20" spans="1:34" outlineLevel="1">
      <c r="A20" s="41" t="s">
        <v>66</v>
      </c>
      <c r="B20" s="42" t="s">
        <v>67</v>
      </c>
      <c r="C20" s="42" t="s">
        <v>68</v>
      </c>
      <c r="E20" s="43"/>
      <c r="F20" s="43"/>
      <c r="W20" s="44"/>
      <c r="AG20" s="43"/>
      <c r="AH20" s="43"/>
    </row>
    <row r="21" spans="1:34" outlineLevel="1">
      <c r="A21" s="42" t="s">
        <v>69</v>
      </c>
      <c r="B21" s="45">
        <f ca="1">COUNTIFS(JCLy,"&gt;"&amp;$D$16,JCLx,"&lt;"&amp;$C$16)/COUNT(JCLx)</f>
        <v>4.9250000000000002E-2</v>
      </c>
      <c r="C21" s="46">
        <f ca="1">COUNTIFS(JCLy,"&gt;"&amp;$D$16,JCLx,"&gt;"&amp;$C$16)/COUNT(JCLx)</f>
        <v>0.40075</v>
      </c>
      <c r="D21" s="47">
        <f ca="1">SUM(JCL!B21:C21)</f>
        <v>0.45</v>
      </c>
      <c r="E21" s="48" t="str">
        <f ca="1">ROUND(JCL!B21, 3)*100 &amp; "%"&amp; " of the time " &amp; "the Progam" &amp; " will execute above cost AND ahead of schedule"</f>
        <v>4.9% of the time the Progam will execute above cost AND ahead of schedule</v>
      </c>
      <c r="F21" s="48" t="str">
        <f ca="1">ROUND(JCL!C21, 3)*100 &amp; "%"&amp; " of the time " &amp; "the Program" &amp; " will exeute above cost AND behind schedule"</f>
        <v>40.1% of the time the Program will exeute above cost AND behind schedule</v>
      </c>
      <c r="T21" s="49"/>
      <c r="AA21" s="28"/>
      <c r="AB21" s="28"/>
    </row>
    <row r="22" spans="1:34" outlineLevel="1">
      <c r="A22" s="42" t="s">
        <v>70</v>
      </c>
      <c r="B22" s="50">
        <f ca="1">COUNTIFS(JCLy,"&lt;"&amp;$D$16,JCLx,"&lt;"&amp;$C$16)/COUNT(JCLx)</f>
        <v>0.44574999999999998</v>
      </c>
      <c r="C22" s="45">
        <f ca="1">COUNTIFS(JCLy,"&lt;"&amp;$D$16,JCLx,"&gt;"&amp;$C$16)/COUNT(JCLx)</f>
        <v>0.10425</v>
      </c>
      <c r="D22" s="47">
        <f ca="1">SUM(JCL!B22:C22)</f>
        <v>0.54999999999999993</v>
      </c>
      <c r="E22" s="48" t="str">
        <f ca="1">ROUND(JCL!B22,3)*100&amp;"%"&amp;" of the time "&amp;"the Program " &amp; "will execute below cost AND ahead of schedule"</f>
        <v>44.6% of the time the Program will execute below cost AND ahead of schedule</v>
      </c>
      <c r="F22" s="48" t="str">
        <f ca="1">ROUND(JCL!C22, 3)*100 &amp; "%"&amp; " of the time " &amp; "the Program" &amp; " will execute below cost AND behind schedule"</f>
        <v>10.4% of the time the Program will execute below cost AND behind schedule</v>
      </c>
      <c r="V22" s="49"/>
      <c r="AA22" s="28"/>
      <c r="AB22" s="28"/>
    </row>
    <row r="23" spans="1:34" outlineLevel="1">
      <c r="A23" s="33"/>
      <c r="B23" s="51">
        <f ca="1">SUM(B21:B22)</f>
        <v>0.495</v>
      </c>
      <c r="C23" s="51">
        <f ca="1">SUM(C21:C22)</f>
        <v>0.505</v>
      </c>
      <c r="D23" s="47">
        <f ca="1">SUM(JCL!B21:C22)</f>
        <v>1</v>
      </c>
      <c r="E23" s="43"/>
      <c r="F23" s="43"/>
      <c r="AA23" s="28"/>
      <c r="AB23" s="28"/>
    </row>
    <row r="24" spans="1:34" outlineLevel="1">
      <c r="A24" s="26"/>
      <c r="C24" s="62"/>
      <c r="AA24" s="28"/>
      <c r="AB24" s="28"/>
    </row>
    <row r="25" spans="1:34" outlineLevel="1">
      <c r="A25" s="26"/>
      <c r="C25" s="62"/>
      <c r="AA25" s="28"/>
      <c r="AB25" s="28"/>
      <c r="AG25" s="43"/>
      <c r="AH25" s="43"/>
    </row>
    <row r="26" spans="1:34" outlineLevel="1">
      <c r="A26" s="26"/>
      <c r="C26" s="62"/>
      <c r="AA26" s="28"/>
      <c r="AB26" s="28"/>
      <c r="AG26" s="43"/>
      <c r="AH26" s="43"/>
    </row>
    <row r="27" spans="1:34" outlineLevel="1">
      <c r="A27" s="26"/>
      <c r="C27" s="62"/>
    </row>
    <row r="28" spans="1:34" outlineLevel="1">
      <c r="A28" s="26"/>
      <c r="C28" s="62"/>
    </row>
    <row r="29" spans="1:34" outlineLevel="1">
      <c r="A29" s="26"/>
      <c r="C29" s="62"/>
    </row>
    <row r="30" spans="1:34" outlineLevel="1">
      <c r="A30" s="26"/>
      <c r="C30" s="62"/>
    </row>
    <row r="31" spans="1:34" outlineLevel="1">
      <c r="A31" s="26"/>
      <c r="C31" s="62"/>
    </row>
    <row r="32" spans="1:34" outlineLevel="1">
      <c r="A32" s="26"/>
      <c r="C32" s="62"/>
    </row>
    <row r="33" spans="1:3" outlineLevel="1">
      <c r="A33" s="26"/>
      <c r="C33" s="62"/>
    </row>
    <row r="34" spans="1:3" outlineLevel="1">
      <c r="A34" s="26"/>
      <c r="C34" s="62"/>
    </row>
    <row r="35" spans="1:3" outlineLevel="1">
      <c r="A35" s="26"/>
      <c r="C35" s="62"/>
    </row>
    <row r="36" spans="1:3" outlineLevel="1">
      <c r="A36" s="26"/>
      <c r="C36" s="62"/>
    </row>
    <row r="37" spans="1:3" outlineLevel="1">
      <c r="A37" s="26"/>
      <c r="C37" s="62"/>
    </row>
    <row r="38" spans="1:3" outlineLevel="1">
      <c r="A38" s="26"/>
      <c r="C38" s="62"/>
    </row>
    <row r="39" spans="1:3" outlineLevel="1">
      <c r="A39" s="26"/>
      <c r="C39" s="62"/>
    </row>
    <row r="40" spans="1:3" outlineLevel="1">
      <c r="A40" s="26"/>
    </row>
    <row r="41" spans="1:3" outlineLevel="1">
      <c r="A41" s="26"/>
      <c r="C41" s="62"/>
    </row>
    <row r="42" spans="1:3" outlineLevel="1">
      <c r="A42" s="26"/>
      <c r="C42" s="62"/>
    </row>
    <row r="43" spans="1:3" outlineLevel="1">
      <c r="A43" s="26"/>
    </row>
    <row r="44" spans="1:3" outlineLevel="1">
      <c r="A44" s="26"/>
    </row>
    <row r="45" spans="1:3" outlineLevel="1">
      <c r="A45" s="26"/>
    </row>
    <row r="46" spans="1:3" outlineLevel="1">
      <c r="A46" s="26"/>
    </row>
    <row r="47" spans="1:3" outlineLevel="1">
      <c r="A47" s="26"/>
    </row>
    <row r="48" spans="1:3" outlineLevel="1">
      <c r="A48" s="26"/>
    </row>
    <row r="49" spans="1:1" outlineLevel="1">
      <c r="A49" s="26"/>
    </row>
    <row r="50" spans="1:1" outlineLevel="1">
      <c r="A50" s="26"/>
    </row>
    <row r="51" spans="1:1" outlineLevel="1">
      <c r="A51" s="26"/>
    </row>
    <row r="52" spans="1:1" outlineLevel="1">
      <c r="A52" s="26"/>
    </row>
    <row r="53" spans="1:1" outlineLevel="1">
      <c r="A53" s="26"/>
    </row>
    <row r="54" spans="1:1" outlineLevel="1">
      <c r="A54" s="26"/>
    </row>
    <row r="55" spans="1:1" outlineLevel="1">
      <c r="A55" s="26"/>
    </row>
    <row r="56" spans="1:1" outlineLevel="1">
      <c r="A56" s="26"/>
    </row>
    <row r="57" spans="1:1" outlineLevel="1">
      <c r="A57" s="26"/>
    </row>
    <row r="58" spans="1:1" outlineLevel="1">
      <c r="A58" s="26"/>
    </row>
    <row r="71" spans="14:31">
      <c r="AC71" s="33"/>
      <c r="AD71" s="33"/>
      <c r="AE71" s="33"/>
    </row>
    <row r="79" spans="14:31">
      <c r="N79" s="32"/>
    </row>
    <row r="80" spans="14:31">
      <c r="S80" s="53"/>
    </row>
  </sheetData>
  <mergeCells count="6">
    <mergeCell ref="B13:E13"/>
    <mergeCell ref="I6:K6"/>
    <mergeCell ref="I7:K7"/>
    <mergeCell ref="I10:M10"/>
    <mergeCell ref="I11:M11"/>
    <mergeCell ref="I12:M12"/>
  </mergeCells>
  <dataValidations count="1">
    <dataValidation type="list" allowBlank="1" showInputMessage="1" showErrorMessage="1" sqref="I6:K7">
      <formula1>Forecasts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  <outlinePr summaryBelow="0" summaryRight="0"/>
  </sheetPr>
  <dimension ref="A1:AG59"/>
  <sheetViews>
    <sheetView showGridLines="0" zoomScale="70" zoomScaleNormal="70" workbookViewId="0">
      <selection activeCell="J9" sqref="J9"/>
    </sheetView>
  </sheetViews>
  <sheetFormatPr defaultRowHeight="15.5" outlineLevelRow="1"/>
  <cols>
    <col min="2" max="2" width="10.33203125" customWidth="1"/>
    <col min="3" max="3" width="13.08203125" bestFit="1" customWidth="1"/>
    <col min="4" max="4" width="13.25" customWidth="1"/>
    <col min="5" max="9" width="12.5" customWidth="1"/>
    <col min="10" max="10" width="18.4140625" customWidth="1"/>
    <col min="11" max="13" width="12.5" customWidth="1"/>
    <col min="14" max="14" width="10.08203125" bestFit="1" customWidth="1"/>
    <col min="21" max="21" width="22.08203125" bestFit="1" customWidth="1"/>
    <col min="22" max="22" width="11.83203125" bestFit="1" customWidth="1"/>
    <col min="27" max="28" width="56" style="27" customWidth="1"/>
  </cols>
  <sheetData>
    <row r="1" spans="1:9">
      <c r="A1" s="1"/>
    </row>
    <row r="2" spans="1:9">
      <c r="A2" s="26" t="s">
        <v>71</v>
      </c>
    </row>
    <row r="3" spans="1:9" outlineLevel="1"/>
    <row r="4" spans="1:9" outlineLevel="1"/>
    <row r="5" spans="1:9" outlineLevel="1">
      <c r="D5" s="69" t="s">
        <v>94</v>
      </c>
      <c r="E5" s="69" t="s">
        <v>95</v>
      </c>
      <c r="F5" s="69" t="s">
        <v>96</v>
      </c>
      <c r="G5" s="69" t="s">
        <v>97</v>
      </c>
      <c r="H5" s="69" t="s">
        <v>98</v>
      </c>
      <c r="I5" s="69" t="s">
        <v>99</v>
      </c>
    </row>
    <row r="6" spans="1:9" outlineLevel="1">
      <c r="D6" s="58" t="s">
        <v>74</v>
      </c>
      <c r="E6" s="58" t="s">
        <v>75</v>
      </c>
      <c r="F6" s="58" t="s">
        <v>76</v>
      </c>
      <c r="G6" s="58" t="s">
        <v>77</v>
      </c>
      <c r="H6" s="58" t="s">
        <v>78</v>
      </c>
      <c r="I6" s="58" t="s">
        <v>79</v>
      </c>
    </row>
    <row r="7" spans="1:9" outlineLevel="1">
      <c r="B7" t="s">
        <v>18</v>
      </c>
      <c r="C7" s="67" t="str">
        <f t="shared" ref="C7:C8" si="0">B6&amp; " - " &amp;B7</f>
        <v xml:space="preserve"> - 5%</v>
      </c>
      <c r="D7" s="66">
        <f>INDEX('Simulation Data'!$1:$1048576,MATCH($B7,'Simulation Data'!$A:$A,0),MATCH(D$5,'Simulation Data'!$3:$3,0))</f>
        <v>139.36323661927926</v>
      </c>
      <c r="E7" s="66">
        <f>INDEX('Simulation Data'!$1:$1048576,MATCH($B7,'Simulation Data'!$A:$A,0),MATCH(E$5,'Simulation Data'!$3:$3,0))</f>
        <v>139.36323661927926</v>
      </c>
      <c r="F7" s="66">
        <f>INDEX('Simulation Data'!$1:$1048576,MATCH($B7,'Simulation Data'!$A:$A,0),MATCH(F$5,'Simulation Data'!$3:$3,0))</f>
        <v>139.36323661927926</v>
      </c>
      <c r="G7" s="66">
        <f>INDEX('Simulation Data'!$1:$1048576,MATCH($B7,'Simulation Data'!$A:$A,0),MATCH(G$5,'Simulation Data'!$3:$3,0))</f>
        <v>139.36323661927926</v>
      </c>
      <c r="H7" s="66">
        <f>INDEX('Simulation Data'!$1:$1048576,MATCH($B7,'Simulation Data'!$A:$A,0),MATCH(H$5,'Simulation Data'!$3:$3,0))</f>
        <v>139.36323661927926</v>
      </c>
      <c r="I7" s="66">
        <f>INDEX('Simulation Data'!$1:$1048576,MATCH($B7,'Simulation Data'!$A:$A,0),MATCH(I$5,'Simulation Data'!$3:$3,0))</f>
        <v>139.36323661927926</v>
      </c>
    </row>
    <row r="8" spans="1:9" outlineLevel="1">
      <c r="B8" t="s">
        <v>22</v>
      </c>
      <c r="C8" s="67" t="str">
        <f t="shared" si="0"/>
        <v>5% - 25%</v>
      </c>
      <c r="D8" s="66">
        <f>INDEX('Simulation Data'!$1:$1048576,MATCH($B8,'Simulation Data'!$A:$A,0),MATCH(D$5,'Simulation Data'!$3:$3,0))-SUM(D$7:D7)</f>
        <v>8.740095658122442</v>
      </c>
      <c r="E8" s="66">
        <f>INDEX('Simulation Data'!$1:$1048576,MATCH($B8,'Simulation Data'!$A:$A,0),MATCH(E$5,'Simulation Data'!$3:$3,0))-SUM(E$7:E7)</f>
        <v>8.740095658122442</v>
      </c>
      <c r="F8" s="66">
        <f>INDEX('Simulation Data'!$1:$1048576,MATCH($B8,'Simulation Data'!$A:$A,0),MATCH(F$5,'Simulation Data'!$3:$3,0))-SUM(F$7:F7)</f>
        <v>8.740095658122442</v>
      </c>
      <c r="G8" s="66">
        <f>INDEX('Simulation Data'!$1:$1048576,MATCH($B8,'Simulation Data'!$A:$A,0),MATCH(G$5,'Simulation Data'!$3:$3,0))-SUM(G$7:G7)</f>
        <v>8.740095658122442</v>
      </c>
      <c r="H8" s="66">
        <f>INDEX('Simulation Data'!$1:$1048576,MATCH($B8,'Simulation Data'!$A:$A,0),MATCH(H$5,'Simulation Data'!$3:$3,0))-SUM(H$7:H7)</f>
        <v>8.740095658122442</v>
      </c>
      <c r="I8" s="66">
        <f>INDEX('Simulation Data'!$1:$1048576,MATCH($B8,'Simulation Data'!$A:$A,0),MATCH(I$5,'Simulation Data'!$3:$3,0))-SUM(I$7:I7)</f>
        <v>8.740095658122442</v>
      </c>
    </row>
    <row r="9" spans="1:9" outlineLevel="1">
      <c r="B9" t="s">
        <v>32</v>
      </c>
      <c r="C9" s="67" t="str">
        <f>B8&amp; " - " &amp;B9</f>
        <v>25% - 75%</v>
      </c>
      <c r="D9" s="66">
        <f>INDEX('Simulation Data'!$1:$1048576,MATCH($B9,'Simulation Data'!$A:$A,0),MATCH(D$5,'Simulation Data'!$3:$3,0))-SUM(D$7:D8)</f>
        <v>25.553171471787437</v>
      </c>
      <c r="E9" s="66">
        <f>INDEX('Simulation Data'!$1:$1048576,MATCH($B9,'Simulation Data'!$A:$A,0),MATCH(E$5,'Simulation Data'!$3:$3,0))-SUM(E$7:E8)</f>
        <v>25.553171471787437</v>
      </c>
      <c r="F9" s="66">
        <f>INDEX('Simulation Data'!$1:$1048576,MATCH($B9,'Simulation Data'!$A:$A,0),MATCH(F$5,'Simulation Data'!$3:$3,0))-SUM(F$7:F8)</f>
        <v>25.553171471787437</v>
      </c>
      <c r="G9" s="66">
        <f>INDEX('Simulation Data'!$1:$1048576,MATCH($B9,'Simulation Data'!$A:$A,0),MATCH(G$5,'Simulation Data'!$3:$3,0))-SUM(G$7:G8)</f>
        <v>25.553171471787437</v>
      </c>
      <c r="H9" s="66">
        <f>INDEX('Simulation Data'!$1:$1048576,MATCH($B9,'Simulation Data'!$A:$A,0),MATCH(H$5,'Simulation Data'!$3:$3,0))-SUM(H$7:H8)</f>
        <v>25.553171471787437</v>
      </c>
      <c r="I9" s="66">
        <f>INDEX('Simulation Data'!$1:$1048576,MATCH($B9,'Simulation Data'!$A:$A,0),MATCH(I$5,'Simulation Data'!$3:$3,0))-SUM(I$7:I8)</f>
        <v>25.553171471787437</v>
      </c>
    </row>
    <row r="10" spans="1:9" outlineLevel="1">
      <c r="B10" t="s">
        <v>36</v>
      </c>
      <c r="C10" s="67" t="str">
        <f>B9&amp; " - " &amp;B10</f>
        <v>75% - 95%</v>
      </c>
      <c r="D10" s="66">
        <f>INDEX('Simulation Data'!$1:$1048576,MATCH($B10,'Simulation Data'!$A:$A,0),MATCH(D$5,'Simulation Data'!$3:$3,0))-SUM(D$7:D9)</f>
        <v>24.148285176078247</v>
      </c>
      <c r="E10" s="66">
        <f>INDEX('Simulation Data'!$1:$1048576,MATCH($B10,'Simulation Data'!$A:$A,0),MATCH(E$5,'Simulation Data'!$3:$3,0))-SUM(E$7:E9)</f>
        <v>24.148285176078247</v>
      </c>
      <c r="F10" s="66">
        <f>INDEX('Simulation Data'!$1:$1048576,MATCH($B10,'Simulation Data'!$A:$A,0),MATCH(F$5,'Simulation Data'!$3:$3,0))-SUM(F$7:F9)</f>
        <v>24.148285176078247</v>
      </c>
      <c r="G10" s="66">
        <f>INDEX('Simulation Data'!$1:$1048576,MATCH($B10,'Simulation Data'!$A:$A,0),MATCH(G$5,'Simulation Data'!$3:$3,0))-SUM(G$7:G9)</f>
        <v>24.148285176078247</v>
      </c>
      <c r="H10" s="66">
        <f>INDEX('Simulation Data'!$1:$1048576,MATCH($B10,'Simulation Data'!$A:$A,0),MATCH(H$5,'Simulation Data'!$3:$3,0))-SUM(H$7:H9)</f>
        <v>24.148285176078247</v>
      </c>
      <c r="I10" s="66">
        <f>INDEX('Simulation Data'!$1:$1048576,MATCH($B10,'Simulation Data'!$A:$A,0),MATCH(I$5,'Simulation Data'!$3:$3,0))-SUM(I$7:I9)</f>
        <v>24.148285176078247</v>
      </c>
    </row>
    <row r="11" spans="1:9" outlineLevel="1">
      <c r="B11" t="s">
        <v>2</v>
      </c>
      <c r="C11" s="68" t="s">
        <v>82</v>
      </c>
      <c r="D11" s="70">
        <f>INDEX('Simulation Data'!$1:$1048576,MATCH($B11,'Simulation Data'!$A:$A,0),MATCH(D$5,'Simulation Data'!$3:$3,0))</f>
        <v>158.33333333333334</v>
      </c>
      <c r="E11" s="70">
        <f>INDEX('Simulation Data'!$1:$1048576,MATCH($B11,'Simulation Data'!$A:$A,0),MATCH(E$5,'Simulation Data'!$3:$3,0))</f>
        <v>158.33333333333334</v>
      </c>
      <c r="F11" s="70">
        <f>INDEX('Simulation Data'!$1:$1048576,MATCH($B11,'Simulation Data'!$A:$A,0),MATCH(F$5,'Simulation Data'!$3:$3,0))</f>
        <v>158.33333333333334</v>
      </c>
      <c r="G11" s="70">
        <f>INDEX('Simulation Data'!$1:$1048576,MATCH($B11,'Simulation Data'!$A:$A,0),MATCH(G$5,'Simulation Data'!$3:$3,0))</f>
        <v>158.33333333333334</v>
      </c>
      <c r="H11" s="70">
        <f>INDEX('Simulation Data'!$1:$1048576,MATCH($B11,'Simulation Data'!$A:$A,0),MATCH(H$5,'Simulation Data'!$3:$3,0))</f>
        <v>158.33333333333334</v>
      </c>
      <c r="I11" s="70">
        <f>INDEX('Simulation Data'!$1:$1048576,MATCH($B11,'Simulation Data'!$A:$A,0),MATCH(I$5,'Simulation Data'!$3:$3,0))</f>
        <v>158.33333333333334</v>
      </c>
    </row>
    <row r="12" spans="1:9" outlineLevel="1">
      <c r="B12" t="s">
        <v>3</v>
      </c>
      <c r="C12" s="67" t="s">
        <v>3</v>
      </c>
      <c r="D12" s="66">
        <f>INDEX('Simulation Data'!$1:$1048576,MATCH($B12,'Simulation Data'!$A:$A,0),MATCH(D$5,'Simulation Data'!$3:$3,0))</f>
        <v>161.57550112006771</v>
      </c>
      <c r="E12" s="66">
        <f>INDEX('Simulation Data'!$1:$1048576,MATCH($B12,'Simulation Data'!$A:$A,0),MATCH(E$5,'Simulation Data'!$3:$3,0))</f>
        <v>161.57550112006771</v>
      </c>
      <c r="F12" s="66">
        <f>INDEX('Simulation Data'!$1:$1048576,MATCH($B12,'Simulation Data'!$A:$A,0),MATCH(F$5,'Simulation Data'!$3:$3,0))</f>
        <v>161.57550112006771</v>
      </c>
      <c r="G12" s="66">
        <f>INDEX('Simulation Data'!$1:$1048576,MATCH($B12,'Simulation Data'!$A:$A,0),MATCH(G$5,'Simulation Data'!$3:$3,0))</f>
        <v>161.57550112006771</v>
      </c>
      <c r="H12" s="66">
        <f>INDEX('Simulation Data'!$1:$1048576,MATCH($B12,'Simulation Data'!$A:$A,0),MATCH(H$5,'Simulation Data'!$3:$3,0))</f>
        <v>161.57550112006771</v>
      </c>
      <c r="I12" s="66">
        <f>INDEX('Simulation Data'!$1:$1048576,MATCH($B12,'Simulation Data'!$A:$A,0),MATCH(I$5,'Simulation Data'!$3:$3,0))</f>
        <v>161.57550112006771</v>
      </c>
    </row>
    <row r="13" spans="1:9" outlineLevel="1">
      <c r="C13" s="67" t="s">
        <v>80</v>
      </c>
      <c r="D13" s="69"/>
      <c r="E13" s="69"/>
      <c r="F13" s="69"/>
      <c r="G13" s="69"/>
      <c r="H13" s="69"/>
      <c r="I13" s="69"/>
    </row>
    <row r="14" spans="1:9" outlineLevel="1"/>
    <row r="15" spans="1:9" outlineLevel="1"/>
    <row r="16" spans="1:9" outlineLevel="1"/>
    <row r="17" spans="2:13" outlineLevel="1"/>
    <row r="18" spans="2:13" outlineLevel="1"/>
    <row r="19" spans="2:13" outlineLevel="1"/>
    <row r="20" spans="2:13" outlineLevel="1"/>
    <row r="21" spans="2:13" outlineLevel="1"/>
    <row r="22" spans="2:13" outlineLevel="1"/>
    <row r="23" spans="2:13" outlineLevel="1"/>
    <row r="24" spans="2:13" outlineLevel="1"/>
    <row r="25" spans="2:13" outlineLevel="1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2:13" outlineLevel="1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2:13" outlineLevel="1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2:13" outlineLevel="1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2:13" outlineLevel="1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2:13" outlineLevel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2:1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</row>
    <row r="32" spans="2:13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2:33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2:33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AC34" s="33"/>
      <c r="AD34" s="33"/>
      <c r="AE34" s="52"/>
      <c r="AF34" s="28"/>
      <c r="AG34" s="28"/>
    </row>
    <row r="35" spans="2:33">
      <c r="B35" s="28"/>
      <c r="C35" s="28"/>
      <c r="D35" s="28"/>
      <c r="E35" s="28"/>
      <c r="F35" s="28"/>
      <c r="G35" s="28"/>
      <c r="H35" s="28"/>
      <c r="I35" s="28"/>
      <c r="L35" s="28"/>
      <c r="M35" s="28"/>
      <c r="AC35" s="28"/>
      <c r="AD35" s="28"/>
    </row>
    <row r="36" spans="2:33">
      <c r="B36" s="28"/>
      <c r="C36" s="28"/>
      <c r="D36" s="28"/>
      <c r="E36" s="28"/>
      <c r="F36" s="28"/>
      <c r="G36" s="28"/>
      <c r="H36" s="28"/>
      <c r="I36" s="28"/>
      <c r="L36" s="28"/>
      <c r="M36" s="28"/>
      <c r="AC36" s="28"/>
      <c r="AD36" s="28"/>
    </row>
    <row r="37" spans="2:33">
      <c r="B37" s="28"/>
      <c r="C37" s="28"/>
      <c r="D37" s="28"/>
      <c r="E37" s="28"/>
      <c r="F37" s="28"/>
      <c r="G37" s="28"/>
      <c r="H37" s="28"/>
      <c r="I37" s="28"/>
      <c r="L37" s="28"/>
      <c r="M37" s="28"/>
      <c r="AC37" s="28"/>
      <c r="AD37" s="28"/>
    </row>
    <row r="38" spans="2:33">
      <c r="B38" s="28"/>
      <c r="C38" s="28"/>
      <c r="D38" s="28"/>
      <c r="E38" s="28"/>
      <c r="F38" s="28"/>
      <c r="G38" s="28"/>
      <c r="H38" s="28"/>
      <c r="I38" s="28"/>
      <c r="L38" s="28"/>
      <c r="M38" s="28"/>
    </row>
    <row r="39" spans="2:33">
      <c r="B39" s="28"/>
      <c r="C39" s="28"/>
      <c r="D39" s="28"/>
      <c r="E39" s="28"/>
      <c r="F39" s="28"/>
      <c r="G39" s="28"/>
      <c r="H39" s="28"/>
      <c r="I39" s="28"/>
      <c r="L39" s="28"/>
      <c r="M39" s="28"/>
    </row>
    <row r="40" spans="2:33">
      <c r="B40" s="28"/>
      <c r="C40" s="28"/>
      <c r="D40" s="28"/>
      <c r="E40" s="28"/>
      <c r="F40" s="28"/>
      <c r="G40" s="28"/>
      <c r="H40" s="28"/>
      <c r="I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2:33">
      <c r="B41" s="28"/>
      <c r="C41" s="28"/>
      <c r="D41" s="28"/>
      <c r="E41" s="28"/>
      <c r="F41" s="28"/>
      <c r="G41" s="28"/>
      <c r="H41" s="28"/>
      <c r="I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2:33">
      <c r="B42" s="28"/>
      <c r="C42" s="28"/>
      <c r="D42" s="28"/>
      <c r="E42" s="28"/>
      <c r="F42" s="28"/>
      <c r="G42" s="28"/>
      <c r="H42" s="28"/>
      <c r="I42" s="28"/>
      <c r="L42" s="28"/>
      <c r="M42" s="28"/>
      <c r="N42" s="32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2:33">
      <c r="B43" s="28"/>
      <c r="C43" s="28"/>
      <c r="D43" s="28"/>
      <c r="E43" s="28"/>
      <c r="F43" s="28"/>
      <c r="G43" s="28"/>
      <c r="H43" s="28"/>
      <c r="I43" s="28"/>
      <c r="L43" s="28"/>
      <c r="M43" s="28"/>
      <c r="N43" s="28"/>
      <c r="O43" s="28"/>
      <c r="P43" s="28"/>
      <c r="Q43" s="28"/>
      <c r="R43" s="28"/>
      <c r="S43" s="53"/>
      <c r="T43" s="28"/>
      <c r="U43" s="28"/>
      <c r="V43" s="28"/>
      <c r="W43" s="28"/>
      <c r="X43" s="28"/>
      <c r="Y43" s="28"/>
    </row>
    <row r="44" spans="2:33">
      <c r="B44" s="28"/>
      <c r="C44" s="28"/>
      <c r="D44" s="28"/>
      <c r="E44" s="28"/>
      <c r="F44" s="28"/>
      <c r="G44" s="28"/>
      <c r="H44" s="28"/>
      <c r="I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2:33">
      <c r="B45" s="28"/>
      <c r="C45" s="28"/>
      <c r="D45" s="28"/>
      <c r="E45" s="28"/>
      <c r="F45" s="28"/>
      <c r="G45" s="28"/>
      <c r="H45" s="28"/>
      <c r="I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2:33">
      <c r="B46" s="28"/>
      <c r="C46" s="28"/>
      <c r="D46" s="28"/>
      <c r="E46" s="28"/>
      <c r="F46" s="28"/>
      <c r="G46" s="28"/>
      <c r="H46" s="28"/>
      <c r="I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2:33">
      <c r="B47" s="28"/>
      <c r="C47" s="28"/>
      <c r="D47" s="28"/>
      <c r="E47" s="28"/>
      <c r="F47" s="28"/>
      <c r="G47" s="28"/>
      <c r="H47" s="28"/>
      <c r="I47" s="28"/>
      <c r="L47" s="28"/>
      <c r="M47" s="28"/>
      <c r="N47" s="28"/>
      <c r="O47" s="28"/>
      <c r="P47" s="28"/>
      <c r="Q47" s="28"/>
      <c r="R47" s="28"/>
      <c r="S47" s="28"/>
      <c r="U47" s="28"/>
      <c r="V47" s="28"/>
      <c r="W47" s="28"/>
      <c r="X47" s="28"/>
      <c r="Y47" s="28"/>
    </row>
    <row r="48" spans="2:33">
      <c r="B48" s="28"/>
      <c r="C48" s="28"/>
      <c r="D48" s="28"/>
      <c r="E48" s="28"/>
      <c r="F48" s="28"/>
      <c r="G48" s="28"/>
      <c r="H48" s="28"/>
      <c r="I48" s="28"/>
      <c r="L48" s="28"/>
      <c r="M48" s="28"/>
      <c r="N48" s="28"/>
      <c r="O48" s="28"/>
      <c r="P48" s="28"/>
      <c r="Q48" s="28"/>
      <c r="R48" s="28"/>
      <c r="S48" s="28"/>
      <c r="U48" s="28"/>
      <c r="V48" s="28"/>
      <c r="W48" s="28"/>
      <c r="X48" s="28"/>
      <c r="Y48" s="28"/>
    </row>
    <row r="49" spans="2:25">
      <c r="B49" s="28"/>
      <c r="C49" s="28"/>
      <c r="D49" s="28"/>
      <c r="E49" s="28"/>
      <c r="F49" s="28"/>
      <c r="G49" s="28"/>
      <c r="H49" s="28"/>
      <c r="I49" s="28"/>
      <c r="L49" s="28"/>
      <c r="M49" s="28"/>
      <c r="N49" s="28"/>
      <c r="O49" s="28"/>
      <c r="P49" s="28"/>
      <c r="Q49" s="28"/>
      <c r="R49" s="28"/>
      <c r="S49" s="28"/>
      <c r="U49" s="28"/>
      <c r="V49" s="28"/>
      <c r="W49" s="28"/>
      <c r="X49" s="28"/>
      <c r="Y49" s="28"/>
    </row>
    <row r="50" spans="2:25">
      <c r="B50" s="28"/>
      <c r="C50" s="28"/>
      <c r="D50" s="28"/>
      <c r="E50" s="28"/>
      <c r="F50" s="28"/>
      <c r="G50" s="28"/>
      <c r="H50" s="28"/>
      <c r="I50" s="28"/>
      <c r="L50" s="28"/>
      <c r="M50" s="28"/>
      <c r="N50" s="28"/>
      <c r="O50" s="28"/>
      <c r="P50" s="28"/>
      <c r="Q50" s="28"/>
      <c r="R50" s="28"/>
      <c r="S50" s="28"/>
      <c r="U50" s="28"/>
      <c r="V50" s="28"/>
      <c r="W50" s="28"/>
      <c r="X50" s="28"/>
      <c r="Y50" s="28"/>
    </row>
    <row r="51" spans="2:25">
      <c r="B51" s="28"/>
      <c r="C51" s="28"/>
      <c r="D51" s="28"/>
      <c r="E51" s="28"/>
      <c r="F51" s="28"/>
      <c r="G51" s="28"/>
      <c r="H51" s="28"/>
      <c r="I51" s="28"/>
      <c r="L51" s="28"/>
      <c r="M51" s="28"/>
      <c r="N51" s="28"/>
      <c r="O51" s="28"/>
      <c r="P51" s="28"/>
      <c r="Q51" s="28"/>
      <c r="R51" s="28"/>
      <c r="S51" s="28"/>
      <c r="U51" s="28"/>
      <c r="V51" s="28"/>
      <c r="W51" s="28"/>
      <c r="X51" s="28"/>
      <c r="Y51" s="28"/>
    </row>
    <row r="52" spans="2:25">
      <c r="B52" s="28"/>
      <c r="C52" s="28"/>
      <c r="D52" s="28"/>
      <c r="E52" s="28"/>
      <c r="F52" s="28"/>
      <c r="G52" s="28"/>
      <c r="H52" s="28"/>
      <c r="I52" s="28"/>
      <c r="L52" s="28"/>
      <c r="M52" s="28"/>
      <c r="N52" s="28"/>
      <c r="O52" s="28"/>
      <c r="P52" s="28"/>
      <c r="Q52" s="28"/>
      <c r="R52" s="28"/>
      <c r="S52" s="28"/>
      <c r="U52" s="28"/>
      <c r="V52" s="28"/>
      <c r="W52" s="28"/>
      <c r="X52" s="28"/>
      <c r="Y52" s="28"/>
    </row>
    <row r="53" spans="2:25">
      <c r="B53" s="28"/>
      <c r="C53" s="28"/>
      <c r="D53" s="28"/>
      <c r="E53" s="28"/>
      <c r="F53" s="28"/>
      <c r="G53" s="28"/>
      <c r="H53" s="28"/>
      <c r="I53" s="28"/>
      <c r="L53" s="28"/>
      <c r="M53" s="28"/>
      <c r="N53" s="28"/>
      <c r="O53" s="28"/>
      <c r="P53" s="28"/>
      <c r="Q53" s="28"/>
      <c r="R53" s="28"/>
      <c r="S53" s="28"/>
      <c r="U53" s="28"/>
      <c r="V53" s="28"/>
      <c r="W53" s="28"/>
      <c r="X53" s="28"/>
      <c r="Y53" s="28"/>
    </row>
    <row r="54" spans="2:25">
      <c r="B54" s="28"/>
      <c r="C54" s="28"/>
      <c r="D54" s="28"/>
      <c r="E54" s="28"/>
      <c r="F54" s="28"/>
      <c r="G54" s="28"/>
      <c r="H54" s="28"/>
      <c r="I54" s="28"/>
      <c r="L54" s="28"/>
      <c r="M54" s="28"/>
      <c r="N54" s="28"/>
      <c r="O54" s="28"/>
      <c r="P54" s="28"/>
      <c r="Q54" s="28"/>
      <c r="R54" s="28"/>
      <c r="S54" s="28"/>
      <c r="U54" s="28"/>
      <c r="V54" s="28"/>
      <c r="W54" s="28"/>
      <c r="X54" s="28"/>
      <c r="Y54" s="28"/>
    </row>
    <row r="55" spans="2:25">
      <c r="B55" s="28"/>
      <c r="C55" s="28"/>
      <c r="D55" s="28"/>
      <c r="E55" s="28"/>
      <c r="F55" s="28"/>
      <c r="G55" s="28"/>
      <c r="H55" s="28"/>
      <c r="I55" s="28"/>
      <c r="L55" s="28"/>
      <c r="M55" s="28"/>
      <c r="N55" s="28"/>
      <c r="O55" s="28"/>
      <c r="P55" s="28"/>
      <c r="Q55" s="28"/>
      <c r="R55" s="28"/>
      <c r="S55" s="28"/>
      <c r="U55" s="28"/>
      <c r="V55" s="28"/>
      <c r="W55" s="28"/>
      <c r="X55" s="28"/>
      <c r="Y55" s="28"/>
    </row>
    <row r="56" spans="2:25">
      <c r="B56" s="28"/>
      <c r="C56" s="28"/>
      <c r="D56" s="28"/>
      <c r="E56" s="28"/>
      <c r="F56" s="28"/>
      <c r="G56" s="28"/>
      <c r="H56" s="28"/>
      <c r="I56" s="28"/>
      <c r="L56" s="28"/>
      <c r="M56" s="28"/>
      <c r="N56" s="28"/>
      <c r="O56" s="28"/>
      <c r="P56" s="28"/>
      <c r="Q56" s="28"/>
      <c r="R56" s="28"/>
      <c r="S56" s="28"/>
      <c r="U56" s="28"/>
      <c r="V56" s="28"/>
      <c r="W56" s="28"/>
      <c r="X56" s="28"/>
      <c r="Y56" s="28"/>
    </row>
    <row r="57" spans="2:25">
      <c r="B57" s="28"/>
      <c r="C57" s="28"/>
      <c r="D57" s="28"/>
      <c r="E57" s="28"/>
      <c r="F57" s="28"/>
      <c r="G57" s="28"/>
      <c r="H57" s="28"/>
      <c r="I57" s="28"/>
      <c r="L57" s="28"/>
      <c r="M57" s="28"/>
      <c r="N57" s="28"/>
      <c r="O57" s="28"/>
      <c r="P57" s="28"/>
      <c r="Q57" s="28"/>
      <c r="R57" s="28"/>
      <c r="S57" s="28"/>
      <c r="U57" s="28"/>
      <c r="V57" s="28"/>
      <c r="W57" s="28"/>
      <c r="X57" s="28"/>
      <c r="Y57" s="28"/>
    </row>
    <row r="58" spans="2:25">
      <c r="B58" s="28"/>
      <c r="C58" s="28"/>
      <c r="D58" s="28"/>
      <c r="E58" s="28"/>
      <c r="F58" s="28"/>
      <c r="G58" s="28"/>
      <c r="H58" s="28"/>
      <c r="I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2:25">
      <c r="B59" s="28"/>
      <c r="C59" s="28"/>
      <c r="D59" s="28"/>
      <c r="E59" s="28"/>
      <c r="F59" s="28"/>
      <c r="G59" s="28"/>
      <c r="H59" s="28"/>
      <c r="I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</row>
  </sheetData>
  <dataValidations count="1">
    <dataValidation type="list" allowBlank="1" showInputMessage="1" showErrorMessage="1" sqref="D5:I5">
      <formula1>Forecasts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'Simulation Data'!$A$23:$A$32</xm:f>
          </x14:formula1>
          <xm:sqref>B7:B8</xm:sqref>
        </x14:dataValidation>
        <x14:dataValidation type="list" allowBlank="1" showInputMessage="1" showErrorMessage="1">
          <x14:formula1>
            <xm:f>'Simulation Data'!$A$33:$A$41</xm:f>
          </x14:formula1>
          <xm:sqref>B9:B10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Instructions</vt:lpstr>
      <vt:lpstr>Simulation Data</vt:lpstr>
      <vt:lpstr>S-Curve</vt:lpstr>
      <vt:lpstr>JCL</vt:lpstr>
      <vt:lpstr>Annual Confidence</vt:lpstr>
      <vt:lpstr>MaxXAxis</vt:lpstr>
      <vt:lpstr>MinXAxis</vt:lpstr>
      <vt:lpstr>X_Axis_Max</vt:lpstr>
      <vt:lpstr>X_Axis_Min</vt:lpstr>
      <vt:lpstr>Y_Axis_Max</vt:lpstr>
      <vt:lpstr>Y_Axis_Min</vt:lpstr>
    </vt:vector>
  </TitlesOfParts>
  <Company>NMCI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Joy, Kevin CIV OASN(FM&amp;C), NCCA</dc:creator>
  <cp:lastModifiedBy>Joy, Kevin CIV OASN(FM&amp;C), NCCA</cp:lastModifiedBy>
  <dcterms:created xsi:type="dcterms:W3CDTF">2017-03-07T20:55:21Z</dcterms:created>
  <dcterms:modified xsi:type="dcterms:W3CDTF">2017-07-17T16:50:01Z</dcterms:modified>
</cp:coreProperties>
</file>